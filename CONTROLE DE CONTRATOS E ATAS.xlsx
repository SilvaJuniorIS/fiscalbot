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TOS VIGENTES" sheetId="1" r:id="rId5"/>
    <sheet state="visible" name="CONTRATOS ENCERRADOS" sheetId="2" r:id="rId6"/>
    <sheet state="visible" name="ATAS VIGENTES" sheetId="3" r:id="rId7"/>
    <sheet state="visible" name="ATAS ENCERRADAS" sheetId="4" r:id="rId8"/>
    <sheet state="hidden" name="Contratos e Convênios-DPP" sheetId="5" r:id="rId9"/>
    <sheet state="hidden" name="Projeção" sheetId="6" r:id="rId10"/>
    <sheet state="hidden" name="Terceirização Mão de Obra" sheetId="7" r:id="rId11"/>
  </sheets>
  <definedNames>
    <definedName hidden="1" localSheetId="2" name="_xlnm._FilterDatabase">'ATAS VIGENTES'!$E$1:$E$861</definedName>
  </definedNames>
  <calcPr/>
</workbook>
</file>

<file path=xl/sharedStrings.xml><?xml version="1.0" encoding="utf-8"?>
<sst xmlns="http://schemas.openxmlformats.org/spreadsheetml/2006/main" count="9735" uniqueCount="5542">
  <si>
    <t xml:space="preserve">TÉRMINO DA VIGÊNCIA </t>
  </si>
  <si>
    <t>CONTRATO</t>
  </si>
  <si>
    <t>ADITIVO</t>
  </si>
  <si>
    <t>FORNECEDOR</t>
  </si>
  <si>
    <t>SECRETARIA</t>
  </si>
  <si>
    <t>SECRETÁRIO</t>
  </si>
  <si>
    <t>GESTOR</t>
  </si>
  <si>
    <t>FISCAL</t>
  </si>
  <si>
    <t>OBJETO</t>
  </si>
  <si>
    <t xml:space="preserve">VIGÊNCIA </t>
  </si>
  <si>
    <t>DATA DA OS</t>
  </si>
  <si>
    <t>PERÍODO</t>
  </si>
  <si>
    <t>PROCESSO ADMINISTRATIVO</t>
  </si>
  <si>
    <t>PROCESSO EXECUÇÃO</t>
  </si>
  <si>
    <t>AUDESP LICITAÇÃO</t>
  </si>
  <si>
    <t>AUDESP AJUSTE</t>
  </si>
  <si>
    <t>MODALIDADE LICITAÇÃO</t>
  </si>
  <si>
    <t>VALOR TOTAL CONTRATO</t>
  </si>
  <si>
    <t>ASSINATURA</t>
  </si>
  <si>
    <t>DATA DE PUBLICAÇÃO</t>
  </si>
  <si>
    <t>OBSERVAÇÃO</t>
  </si>
  <si>
    <t>CONTRATOS COM VENCIMENTO: MARÇO 2026</t>
  </si>
  <si>
    <t>12/24</t>
  </si>
  <si>
    <t>1º Aditivo</t>
  </si>
  <si>
    <t>LECASA PARTICIPAÇÕES E EMPREENDIMENTOS IMOBILIÁRIOS LTDA
CNPJ - 21.091.888/0001-95</t>
  </si>
  <si>
    <t>SAÚDE</t>
  </si>
  <si>
    <t>Felipe Vieira de Sá dos Santos
CPF: 361.930.868-38</t>
  </si>
  <si>
    <t>Alex Sandro Barroso Alves
CPF: 303.636.638-51</t>
  </si>
  <si>
    <t>Débora Gomes dos Santos
CPF: 420.245.978-40</t>
  </si>
  <si>
    <t>LOCAÇÃO DE IMÓVEL SITUADO NO MUNÍCIPIO DE RIO GRANDE DA SERRA, NA AVENIDA DOM PEDRO I ESQUINA COM A RUA VENÂNCIO ORSINI, PARA O FIM EXCLUSIVO DA INSTALAÇÃO DO CENTRO MÉDICO DE ESPECIALIDADE (CEME).</t>
  </si>
  <si>
    <t>24 MESES</t>
  </si>
  <si>
    <t>-</t>
  </si>
  <si>
    <t>01/04/26 A 31/03/28</t>
  </si>
  <si>
    <t>205/24</t>
  </si>
  <si>
    <t>779/24</t>
  </si>
  <si>
    <t>INEX 04/24</t>
  </si>
  <si>
    <t>CONTRATOS COM VENCIMENTO: MAIO 2026</t>
  </si>
  <si>
    <t>18/23</t>
  </si>
  <si>
    <t>2º Aditivo</t>
  </si>
  <si>
    <t>ESPAÇO 2 TECNOLOGIA E INFORMÁTICA LTDA EPP
CNPJ - 09.066.243/0001-05</t>
  </si>
  <si>
    <t>ADMINISTRAÇÃO</t>
  </si>
  <si>
    <t>MILTON DE SOUZA MARTINS - CPF/MF sob o nº. 107.599.858-12</t>
  </si>
  <si>
    <t>Elias</t>
  </si>
  <si>
    <t>Fábio Eduardo Garcia</t>
  </si>
  <si>
    <t>CONTRATAÇÃO DE EMPRESA ESPECIALIZADA PARA PRESTAÇÃO DE SERVIÇOS DE LOCAÇÃO, POR MEIO DE DISPONIBILIDADE DE EQUIPAMENTOS (MULTIFUNCIONAIS) DESTINADOS À IMPRESSÃO, REPROGRAFIA E DIGITALIZAÇÃO DE DOCUMENTOS NAS DEPENDÊNCIAS DA PREFEITURA MUNICIPAL DE RIO GRANDE DA SERRA</t>
  </si>
  <si>
    <t>12 MESES com cláusula resolutiva</t>
  </si>
  <si>
    <t>24/05/25 a 23/05/26</t>
  </si>
  <si>
    <t>303/22</t>
  </si>
  <si>
    <t>1130/23</t>
  </si>
  <si>
    <t>AJUSTE 2023000000269 
1 TERMO ADITIVO 2023000000019
2 TERMO ADITIVO 2024000000039
3 TERMO ADITIVO
2025000000051</t>
  </si>
  <si>
    <t>PP 25/23</t>
  </si>
  <si>
    <t>16/25</t>
  </si>
  <si>
    <t>Contrato</t>
  </si>
  <si>
    <t>MARIA CAPARROZ SANTINELLI</t>
  </si>
  <si>
    <t>ESPORTE</t>
  </si>
  <si>
    <t>Nikson Nonato Nascimento Andrade CPF 337.710.608-18</t>
  </si>
  <si>
    <t>Luana Aline dos Santos CPF 350.638.378-75</t>
  </si>
  <si>
    <t>LOCAÇÃO DE IMÓVEL PARA ATENDIMENTO DO PROJETO DE ARTES MARCIAIS FAZER VALER</t>
  </si>
  <si>
    <t>12 meses</t>
  </si>
  <si>
    <t>26/05/2025 a 26/05/2026</t>
  </si>
  <si>
    <t>207/25</t>
  </si>
  <si>
    <t>996/25</t>
  </si>
  <si>
    <t>INEX 13/25</t>
  </si>
  <si>
    <t>48/24</t>
  </si>
  <si>
    <t>RENOV PAVIMENTAÇÃO E CONSTRUÇÕES LTDA</t>
  </si>
  <si>
    <t>OBRAS</t>
  </si>
  <si>
    <t>Wanderlei Felipe da Silva Junior</t>
  </si>
  <si>
    <t>Leila Andreassi de Castro</t>
  </si>
  <si>
    <t>Guilherme Tadeu Aparecido de Oliveira Dias do Prado</t>
  </si>
  <si>
    <t>CONTRATAÇÃO DE EMPRESA ESPECIALIZADA PARA INTERVENÇÕES URBANÍSTICAS NA RUA ARUJÁ – VILA CONDE SICILIANO, RECAPEAMENTO ASFÁLTICO E CONTENÇÃO NO MUNICÍPIO DE RIO GRANDE DA SERRA / SP</t>
  </si>
  <si>
    <t>270 DIAS</t>
  </si>
  <si>
    <t>29/08/25 A 26/05/2026</t>
  </si>
  <si>
    <t>1114/2024</t>
  </si>
  <si>
    <t>2265/2024</t>
  </si>
  <si>
    <t>2024000000642
1º TERMO ADITIVO
2025000000082</t>
  </si>
  <si>
    <t>CO 06/24</t>
  </si>
  <si>
    <t>CONTRATOS COM VENCIMENTO: JUNHO 2026</t>
  </si>
  <si>
    <t>17/25</t>
  </si>
  <si>
    <t>4F SOLUÇÕES EM TECNOLOGIA LTDA</t>
  </si>
  <si>
    <t>ELIAS RODRIGUES DO PRADO CPF 227.197.288-45</t>
  </si>
  <si>
    <t>ARTHUR GALDINO MARQUES CPF 535.998.138-50</t>
  </si>
  <si>
    <t>CONTRATAÇÃO DE EMPRESA ESPECIALIZADA NO FORNECIMENTO DE 300 LICENÇAS DE SOFTWARE DE ANTIVÍRUS, ACOMPANHADAS DE SUPORTE TÉCNICO PELO PERÍODO DE 12 MESES</t>
  </si>
  <si>
    <t>04/06/25 a 04/06/25</t>
  </si>
  <si>
    <t>663/25</t>
  </si>
  <si>
    <t>1098/25</t>
  </si>
  <si>
    <t>DP 15/25</t>
  </si>
  <si>
    <t>54/24</t>
  </si>
  <si>
    <t>NELY RODRIGUES CONSTRUÇÕES CIVIS, COMÉRCIO E PRESTAÇÃO DE SERVIÇOS LTDA CNPJ sob o nº 01.969.162/0001-03</t>
  </si>
  <si>
    <t>Leandro Dias Florêncio CPF: 335.659.528-81</t>
  </si>
  <si>
    <t>Leila Andreassi de Castro CPF: 235.681.298-92</t>
  </si>
  <si>
    <t xml:space="preserve">Guilherme Tadeu Aparecido de Oliveira Dias do Prado CPF: 414.046.498-40 </t>
  </si>
  <si>
    <t>CONTRATAÇÃO DE EMPRESA ESPECIALIZADA PARA EXECUÇÃO DA PRAÇA ESPORTIVA NA RUA OSASCO - RECANTO DAS FLORES NO MUNICÍPIO DE RIO GRANDE DA SERRA/SP</t>
  </si>
  <si>
    <t>210 DIAS</t>
  </si>
  <si>
    <t>05/11/25 A 05/06/26</t>
  </si>
  <si>
    <t>1113/2024</t>
  </si>
  <si>
    <t>2239/2025</t>
  </si>
  <si>
    <t>AJUSTE 2025000000587</t>
  </si>
  <si>
    <t>CP 08/24</t>
  </si>
  <si>
    <t>AUTORIZADO O ANDAMENTO DO PROCESSO SOMENTE EM 05/11/2025.</t>
  </si>
  <si>
    <t>30/22</t>
  </si>
  <si>
    <t>4º Aditivo</t>
  </si>
  <si>
    <t>WHITE MARTINS GASES INDUSTRIAIS LTDA 
CNPJ: 35.820.448/0081-10</t>
  </si>
  <si>
    <t xml:space="preserve">FELIPE VIEIRA DE SÁ DOS SANTOS
CPF sob o nº 361.930.868-38
</t>
  </si>
  <si>
    <t>Aline Lima da Silva Toledo</t>
  </si>
  <si>
    <t>Telma Moraes Pires</t>
  </si>
  <si>
    <t>CONTRATAÇÃO DE EMPRESA ESPECIALIZADA PARA FORNECIMENTO CONTÍNUO E ININTERRUPTO DE OXIGÊNIO GASOSO EM CILINDROS COM LOCAÇÃO DE CILINDROS PARA ATENDER AS UNIDADES DE SAÚDE E UPA - UNIDADE DE PRONTO ATENDIMENTO</t>
  </si>
  <si>
    <t>180 dias</t>
  </si>
  <si>
    <t>13/12/25 A 11/06/26</t>
  </si>
  <si>
    <t xml:space="preserve">1475/22 </t>
  </si>
  <si>
    <t>2451/22</t>
  </si>
  <si>
    <t>2022000000409
2º TERMO ADITIVO
2025000000025
3º TERMO ADITIVO
2025000000065
4º TERMO ADITIVO
2026000000006</t>
  </si>
  <si>
    <t>PP 31/22</t>
  </si>
  <si>
    <t>07/26</t>
  </si>
  <si>
    <t>HC COMERCIO E SERVICOS LTDA
CNPJ/MF sob o nº 39.346.967/0001-65</t>
  </si>
  <si>
    <t>EDUCAÇÃO</t>
  </si>
  <si>
    <t>VINÍCIUS BRUM DA SILVA
CIN sob o nº 406.779.358-89</t>
  </si>
  <si>
    <t>Mônica Mara Rodrigues</t>
  </si>
  <si>
    <t>Greyce Sueli de Miranda Lima Paula</t>
  </si>
  <si>
    <t>AQUISIÇÃO DE KITS DE UNIFORMES ESCOLARES</t>
  </si>
  <si>
    <t>03 meses</t>
  </si>
  <si>
    <t>19/03/26 a 19/06/26</t>
  </si>
  <si>
    <t>89/26</t>
  </si>
  <si>
    <t>ADESÃO ATA 39/24 TABOÃO DA SERRA</t>
  </si>
  <si>
    <t>19/24</t>
  </si>
  <si>
    <t xml:space="preserve">FL CONTROLE DE PRAGAS E SERVIÇO GERAIS LTDA 
RUA JOÃO THEODORO, 131, CENTRO 
CIDADE JACAREÍ/SP
CEP: 12.308-720
</t>
  </si>
  <si>
    <t>Cidadania</t>
  </si>
  <si>
    <t>ELSA DOS ANJOS IWASAKI</t>
  </si>
  <si>
    <t>FERNANDA STACHOWSKI</t>
  </si>
  <si>
    <t>CIBELY APARECIDA MIRANDA DOS SANTOS</t>
  </si>
  <si>
    <t>CONTRATAÇÃO DE EMPRESA PARA PRESTAÇÃO DE SERVIÇOS DE DEDETIZAÇÃO E DESRATIZAÇÃO, SENDO 02 (DUAS) APLICAÇÕES COM INTERVALO DE 06 (SEIS) MESES, COM O EFETIVO CONTROLE DE PRAGAS, DAS ÁREAS INTERNAS E EXTERNAS DAS UNIDADES: CRAS, CREAS, SAICA (SERVIÇO DE ACOLHIMENTO INSTITUCIONAL PARA CRIANÇAS E ADOLESCENTES), CONSELHO TUTELAR, E DA SEDE DA SECRETARIA DA FAMÍLIA E DESENVOLVIMENTO SOCIAL</t>
  </si>
  <si>
    <t>12 MESES</t>
  </si>
  <si>
    <t>26/06/2025 A 26/06/2026</t>
  </si>
  <si>
    <t>144/2025</t>
  </si>
  <si>
    <t>1242/2025</t>
  </si>
  <si>
    <t>NÃO SE APLICA</t>
  </si>
  <si>
    <t>DP 16/23</t>
  </si>
  <si>
    <t>14/22</t>
  </si>
  <si>
    <t>3º Aditivo</t>
  </si>
  <si>
    <t>CESPRO PROCESSAMENTO DE DADOS LTDA 
CNPJ - 17.875.435/0001-82</t>
  </si>
  <si>
    <t>JURÍDICO</t>
  </si>
  <si>
    <t xml:space="preserve">Fábio Nunes Fernandes </t>
  </si>
  <si>
    <t>Elaine de Souza Pereira</t>
  </si>
  <si>
    <t>Jairson Virginio dos Santos</t>
  </si>
  <si>
    <t xml:space="preserve">SERVIÇOS DE CONSOLIDAÇÃO DA LEGISLAÇÃO MUNICIPAL, DE MODO INFORMATIZADO, PARA UTILIZAÇÃO VIA INTERNET </t>
  </si>
  <si>
    <t>27/06/25 a 27/06/26</t>
  </si>
  <si>
    <t>197/22</t>
  </si>
  <si>
    <t>1456/22</t>
  </si>
  <si>
    <t>3º TERMO ADITIVO
2025000000067</t>
  </si>
  <si>
    <t>DP 06/22</t>
  </si>
  <si>
    <t>CONTRATOS COM VENCIMENTO: JULHO 2026</t>
  </si>
  <si>
    <t>45/23</t>
  </si>
  <si>
    <t>RENOV PAVIMENTAÇÃO E CONSTRUÇÕES LTDA - EPP
CNPJ - 2024000000071</t>
  </si>
  <si>
    <t>LEILA ANDREASSI DE CASTRO</t>
  </si>
  <si>
    <t>CONTRATAÇÃO DE EMPRESA PARA EXECUÇÃO DE PAVIMENTAÇÃO, DRENAGEM E SINALIZAÇÃO VIÁRIA - RUA CAMPOS SALES E RUA VALINHOS NO MUNICÍPIO DE RIO GRANDE DA SERRA</t>
  </si>
  <si>
    <t>450 DIAS</t>
  </si>
  <si>
    <t>05/10/2025 a 02/07/2026</t>
  </si>
  <si>
    <t>1148/22</t>
  </si>
  <si>
    <t>1986/23</t>
  </si>
  <si>
    <t>Ajuste 2023000000388
 Aditivo 1
 2024000000028
Aditivo 2 
2025000000009
Aditivo 3
2025000000091</t>
  </si>
  <si>
    <t>CO 08/23</t>
  </si>
  <si>
    <t>VIGENCIA A PARTIR DA ORDEM DE INICIO</t>
  </si>
  <si>
    <t>56/24</t>
  </si>
  <si>
    <t>UPC - URBANA PAULISTA CONSTRUTORA LTDA CNPJ: 23.094.219/0001-00</t>
  </si>
  <si>
    <t>Leandro Dias Florencio CPF: 335.659.528-81</t>
  </si>
  <si>
    <t>Guilherme Tadeu Aparecido de Oliveira Dias do Prado CPF: 414.046.498-40</t>
  </si>
  <si>
    <t>CONTRATAÇÃO DE EMPRESA ESPECIALIZADA PARA EXECUÇÃO DE RECAPEAMENTO E PAVIMENTAÇÃO ASFÁLTICA COM SINALIZAÇÃO VIÁRIA HORIZONTAL – ÁREA CENTRAL: RUA PREFEITO CARLOS JOSÉ CARLSON, RUA PASTOR AQUILINO SARTORI, RUA VENÂNCIO ORSINI E RUA PEDRO BRACIALLI NO MUNICÍPIO DE RIO GRANDE DA SERRA – SP</t>
  </si>
  <si>
    <t>15 MESES</t>
  </si>
  <si>
    <t>14/04/2024 A 13/07/2026</t>
  </si>
  <si>
    <t>1208/2024</t>
  </si>
  <si>
    <t>301/2025</t>
  </si>
  <si>
    <t>2025000000195 REEVIADO AUDESP VIGÊNCIA A PARTIR DA OS 2026000000072</t>
  </si>
  <si>
    <t>CE 11/24</t>
  </si>
  <si>
    <t>R$ 654.000,00</t>
  </si>
  <si>
    <t>CONTRATOS COM VENCIMENTO: AGOSTO 2026</t>
  </si>
  <si>
    <t>12/20</t>
  </si>
  <si>
    <t>5º Aditivo</t>
  </si>
  <si>
    <t>MARCIA ANDREA ZUCCO NISHIKAWARA
CPF - 251.418.818-06</t>
  </si>
  <si>
    <t>FELIPE VIEIRA DE SÁ DOS SANTOS</t>
  </si>
  <si>
    <t>Paula Azevedo Lopes</t>
  </si>
  <si>
    <t>Bianca Dantas Jacob</t>
  </si>
  <si>
    <t>LOCAÇÃO DE IMÓVEL SITUADO A RUA PREFEITO JOSÉ CARLSON, 07 - CENTRO - PARA ATENDER AS INSTALAÇÕES DO CAPS - CENTRO DE ATENÇÃO PSICOSSOCIAL</t>
  </si>
  <si>
    <t>03/08/24 a 03/08/25</t>
  </si>
  <si>
    <t>1987/19</t>
  </si>
  <si>
    <t>1418/20</t>
  </si>
  <si>
    <t>5º TERMO ADITIVO
2025000000075</t>
  </si>
  <si>
    <t>DP 9/2020</t>
  </si>
  <si>
    <t>16/22</t>
  </si>
  <si>
    <t>MARIA SANTOS SILVA
CPF - 097.374.208-96</t>
  </si>
  <si>
    <t>CIDADANIA</t>
  </si>
  <si>
    <t>Elza Dos Anjos Iwasaki</t>
  </si>
  <si>
    <t>Ilana Rodrigues Mariano</t>
  </si>
  <si>
    <t>Fernanda Stachowski</t>
  </si>
  <si>
    <t>LOCAÇÃO DE IMÓVEL SITO A RUA JOSE MARIA DE FIGUEIREDO, 575 - VILA GONÇALVES - RIO GRANDE DA SERRA/SP, ONDE ESTA INSTALADO O CREAS - CENTRO DE REFERENCIA DE ASSISTENCIA SOCIAL</t>
  </si>
  <si>
    <t>05/08/25 A 05/08/26</t>
  </si>
  <si>
    <t>930/22</t>
  </si>
  <si>
    <t>1583/22</t>
  </si>
  <si>
    <t>2024000000035
3º TERMO ADITIVO
2025000000069</t>
  </si>
  <si>
    <t>DP 9/22</t>
  </si>
  <si>
    <t>34/24</t>
  </si>
  <si>
    <t xml:space="preserve">RENOV PAVIMENTAÇÃO E CONSTRUÇÕES LTDA - EPP - </t>
  </si>
  <si>
    <t>CONTRATAÇÃO DE EMPRESA ESPECIALIZADA PARA EXECUÇÃO DE PAVIMENTAÇÃO ASFÁLTICA, DRENAGEM E SINALIZAÇÃO VIÁRIA – RUA JOAQUIM LOPES – BAIRRO VILA LOPES, NO MUNICÍPIO DE RIO GRANDE DA SERRA/SP</t>
  </si>
  <si>
    <t>18/08/2025 A 13/08/2026</t>
  </si>
  <si>
    <t>638/2024</t>
  </si>
  <si>
    <t>1612/2024</t>
  </si>
  <si>
    <t xml:space="preserve">2024000000602
1º aditivo
2025000000083
2º aditivo
</t>
  </si>
  <si>
    <t>CP 04/24</t>
  </si>
  <si>
    <t>32/23</t>
  </si>
  <si>
    <t>N.K. FIBER LINK LTDA
CNPJ - 29.845.988/0001-71</t>
  </si>
  <si>
    <t>Alex Sandro</t>
  </si>
  <si>
    <t>Elias Rodrigues do Prado</t>
  </si>
  <si>
    <t xml:space="preserve">Fabio Eduardo Garcia
</t>
  </si>
  <si>
    <t>LOCAÇÃO DE CIRCUITO DE VÍDEO-MONITORAMENTO NAS DEPENDÊNCIAS DA PREFEITURA MUNICIPAL DE RIO GRANDE DA SERRA</t>
  </si>
  <si>
    <t>14/08/24 A 14/08/25</t>
  </si>
  <si>
    <t>680/23</t>
  </si>
  <si>
    <t>1805/23</t>
  </si>
  <si>
    <t>CD 161/23</t>
  </si>
  <si>
    <t>Milton de Souza Martins</t>
  </si>
  <si>
    <t>14/08/25 A 14/08/26</t>
  </si>
  <si>
    <t>36/23</t>
  </si>
  <si>
    <t>NARCISIO CALASANS VIEIRA
CPF - 124.629.878-35</t>
  </si>
  <si>
    <t>Felipe Vieira de Sá dos Santos</t>
  </si>
  <si>
    <t>Maria Olivia Paulino Torres Portugal</t>
  </si>
  <si>
    <t>Sandra Emidio da Silva Calheiros</t>
  </si>
  <si>
    <t>LOCAÇÃO DE IMÓVEL SITO À RUA CEARÁ, 261 - VILA SÃO JOÃO, ONDE ESTÁ INSTALADO A UNIDADE BÁSICA DE SAÚDE - VILA SÃO JOÃO</t>
  </si>
  <si>
    <t>28/08/25 A 28/08/26</t>
  </si>
  <si>
    <t>751/20</t>
  </si>
  <si>
    <t>1776/23</t>
  </si>
  <si>
    <t>2º TERMO ADITIVO
2025000000073</t>
  </si>
  <si>
    <t>30/24</t>
  </si>
  <si>
    <t>INNOVAMED MANUTENÇÃO DE EQUIPAMENTOS MÉDICOS LTDA
CNPJ - 59.055.921/0001-02</t>
  </si>
  <si>
    <t>Silvana Moraes Branco Conceição</t>
  </si>
  <si>
    <t xml:space="preserve">UBS CENTRO
FISCAL DO CONTRATO: Laize Aparecida Mendes
UBS VILA NIWA
FISCAL DO CONTRATO: Ana Paula de Matos Merlos Pompeo
UBS SÃO JOÃO
FISCAL DO CONTRATO: Maria Olivia Paulino Torres Portugal
UBS SITIO MARIA JOANA
FISCAL DO CONTRATO: Nathalia Pimentel Felintro
UBS VILA CONDE
FISCAL DO CONTRATO: Giselda Souza Batista Pereira
UBS VILA LOPES
FISCAL DO CONTRATO: Celia Barbosa Lima
UBS SANTA TEREZA
FISCAL DO CONTRATO: Aparecida Patrícia Pereira de Abreu Vieira
UBS PARQUE AMÉRICA
FISCAL DO CONTRATO: Odalia de Souza Cruz da Silva
UPA
FISCAL DO CONTRATO: Drielly Rodrigues Faustino Santos
CAPS 
FISCAL DO CONTRATO: Paula Azevedo Lopes
</t>
  </si>
  <si>
    <t>CONTRATAÇÃO DE EMPRESA ESPECIALIZADA PARA MANUTENÇÃO PREVENTIVA E CORRETIVA DE EQUIPAMENTOS ODONTOLÓGICOS E MÉDICO-HOSPITALARES BEM COMO A INSTALAÇÃO DE NOVOS EQUIPAMENTOS QUE SEJAM ADQUIRIDOS E INCORPORADOS A COBERTURA CONTRATUAL, NA REDE DE SAÚDE DE RIO GRANDE DA SERRA, PARA ATENDER A SECRETARIA MUNICIPAL DE SAÚDE</t>
  </si>
  <si>
    <t>29/08/25 A 29/08/26</t>
  </si>
  <si>
    <t>324/24</t>
  </si>
  <si>
    <t>1670/24</t>
  </si>
  <si>
    <t>2024000000486
ADITIVO 1
2025000000077</t>
  </si>
  <si>
    <t>PE - 13/24</t>
  </si>
  <si>
    <t>PRORROGAÇÃO E ACRÉSCIMO DE 25%</t>
  </si>
  <si>
    <t>38/23</t>
  </si>
  <si>
    <t>REDE SOL FUEL DISTRIBUIDORA S/A
CNPJ - 02.913.444/0001-43</t>
  </si>
  <si>
    <t>S. URBANOS</t>
  </si>
  <si>
    <t>Jefferson Crispim de Souza</t>
  </si>
  <si>
    <t>Michele Aparecida de Sousa Carneiro
CPF: 457.917.218-38</t>
  </si>
  <si>
    <t>Guilherme Leandro Bernardo
CPF: 335.305.768-40</t>
  </si>
  <si>
    <t>CONTRATAÇÃO DE EMPRESA PARA FORNECIMENTO PARCELADO DE COMBUSTÍVEIS DO TIPO GASOLINA COMUM E ÓLEO DIESEL BS10, COM MAIOR PERCENTUAL DE DESCONTO SOBRE O PREÇO MÉDIO MENSAL DIVULGADO PELA ANP (AGÊNCIA NACIONAL DO PETRÓLEO) PRATICADOS NO ESTADO DE SÃO PAULO, TENDO COMO REFERÊNCIA O PREÇO MÉDIO DA REGIÃO DO ABC OS MUNICÍPIOS DE RIBEIRÃO PIRES, MAUÁ E SANTO ANDRÉ PARA ABASTECIMENTO NO TANQUE DE COMBUSTÍVEL INSTALADO NA GARAGEM MUNICIPAL DA PREFEITURA MUNICIPAL DE RIO GRANDE DA SERRA</t>
  </si>
  <si>
    <t>30/08/25 a 30/08/26</t>
  </si>
  <si>
    <t>977/23</t>
  </si>
  <si>
    <t>1768/23</t>
  </si>
  <si>
    <t>2023000000358
1º TERMO ADITIVO
2024000000037
2º TERMO ADITIVO
2025000000086</t>
  </si>
  <si>
    <t>PP 36/23</t>
  </si>
  <si>
    <t>1% DE DESCONTO NEGOCIAÇÃO</t>
  </si>
  <si>
    <t>CONTRATOS COM VENCIMENTO: SETEMBRO 2026</t>
  </si>
  <si>
    <t>37/23</t>
  </si>
  <si>
    <t>P&amp;P COLIBRI – CONSULTORIA E SOLUÇÕES S/S LTDA
CNPJ - 15.417.725/0001-57</t>
  </si>
  <si>
    <t>COMUNICAÇÃO</t>
  </si>
  <si>
    <t>JULIANA</t>
  </si>
  <si>
    <t>Ualisson Henrique de Oliveira Monteiro</t>
  </si>
  <si>
    <t>Juciane da Penha Silva</t>
  </si>
  <si>
    <t>CONTRATAÇÃO DE EMPRESA PARA FORNECIMENTO DE SOFTWARE PARA ESTRUTURAÇÃO DE IMPRENSA OFICIAL DO MUNICÍPIO</t>
  </si>
  <si>
    <t>04/09/24 A 04/09/25</t>
  </si>
  <si>
    <t>1549/23</t>
  </si>
  <si>
    <t>1893/23</t>
  </si>
  <si>
    <t>2023000000371 
1º ADITIVO 
2024000000040</t>
  </si>
  <si>
    <t>CD 192/23</t>
  </si>
  <si>
    <t xml:space="preserve">2 º Aditivo </t>
  </si>
  <si>
    <t>DANILO SILVEIRA DE LIMA CPF: 415.016.588-24</t>
  </si>
  <si>
    <t>Douglas Ferreira Bombana CPF: 296.491.178-90</t>
  </si>
  <si>
    <t>Jéssica Cristine Alves Pereira CPF: 385.599.468-45</t>
  </si>
  <si>
    <t>04/09/25 A 04/09/26</t>
  </si>
  <si>
    <t>32/25</t>
  </si>
  <si>
    <t xml:space="preserve">RIOMEDICA SAÚDE E NUTRIÇÃO COMÉRCIO DE SUPLEMENTOS LTDA ME
CNPJ/MF sob o nº 35.578.077/0001-28
</t>
  </si>
  <si>
    <t xml:space="preserve">FELIPE VIEIRA DE SÁ DOS SANTOS
CPF sob o nº 361.930.868-38
</t>
  </si>
  <si>
    <t>Heloísa Pereira da Silva
CPF: 434.113.338-12</t>
  </si>
  <si>
    <t xml:space="preserve">Sara de Melo Silva Fernandes
CPF: 448.006.058-81 </t>
  </si>
  <si>
    <t>AQUISIÇÃO DE SUPLEMENTO ALIMENTAR PARA ATENDIMENTO DE PACIENTE DA FARMÁCIA DE DEMANDA JUDICIAL DA SECRETARIA DE SAÚDE DE RIO GRANDE DA SERRA</t>
  </si>
  <si>
    <t>11/09/25 a 11/09/26</t>
  </si>
  <si>
    <t>1455/25</t>
  </si>
  <si>
    <t>1897/2025</t>
  </si>
  <si>
    <t>Dispensa nº 30/2025</t>
  </si>
  <si>
    <t>VIGENCIA A PARTIR DA PUBLICAÇÃO</t>
  </si>
  <si>
    <t>36/25</t>
  </si>
  <si>
    <t>FORTALEZA REAL COMERCIAL DE MATERIAIS E MANUTENÇÃO EM GERAL LTDA - ME
CNPJ/MF sob o nº. 20.661.647/0001-71</t>
  </si>
  <si>
    <t xml:space="preserve">Silvana Moraes Branco Conceição
CPF: 140.431.098-30
</t>
  </si>
  <si>
    <t xml:space="preserve">Telma Moraes Pires
CPF: 263.971.178-47
</t>
  </si>
  <si>
    <t>AQUISIÇÃO DE KITS ODONTOLÓGICOS – PROGRAMA SAÚDE NA ESCOLA</t>
  </si>
  <si>
    <t>707/25</t>
  </si>
  <si>
    <t>2017/2025</t>
  </si>
  <si>
    <t>Dispensa nº 08/2025</t>
  </si>
  <si>
    <t>01/23</t>
  </si>
  <si>
    <t xml:space="preserve">VIAPRECISA TERRAPLENAGEM E PAVIMENTAÇÃO LTDA
CNPJ - 31.133.672/0001-07 </t>
  </si>
  <si>
    <t>WANDERLEI FELIPE DA SILVA JUNIOR CPF 179.165.208-50</t>
  </si>
  <si>
    <t>LEILA ANDREASSI DE CASTRO CPF 235.681.298-92</t>
  </si>
  <si>
    <t>SAMUEL PEREIRA MATOS SILVA CPF 382.138.398-46</t>
  </si>
  <si>
    <t>CONTRATAÇÃO DE EMPRESA PARA EXECUÇÃO DE PAVIMENTAÇÃO, DRENAGEM E SINALIZAÇÃO VIÁRIA DAS RUAS: XAVANTES, PRESIDENTE PRUDENTE E COTIA – BAIRRO PARQUE AMÉRICA NO MUNICÍPIO DE RIO GRANDE DA SERRA</t>
  </si>
  <si>
    <t>8 MESES</t>
  </si>
  <si>
    <t>13/01/2026 À 12/09/2026</t>
  </si>
  <si>
    <t>1147/22</t>
  </si>
  <si>
    <t>309/23</t>
  </si>
  <si>
    <t>2023000000099
2º TERMO ADITIVO
2024000000056
3º TERMO ADITIVO
2025000000056 4º TERMO ADITIVO 2026000000019</t>
  </si>
  <si>
    <t>CO 01/22</t>
  </si>
  <si>
    <t xml:space="preserve"> ORDEM DE INÍCIO 13/02/2023</t>
  </si>
  <si>
    <t>Em Vigência</t>
  </si>
  <si>
    <t>31/25</t>
  </si>
  <si>
    <t>MARIA DOS REMEDIOS DE SOUSA ALVES</t>
  </si>
  <si>
    <t>Kátia  Néris da Silva
CPF
161.660.908-21</t>
  </si>
  <si>
    <t xml:space="preserve">Fernanda Stachowski CPF 336.725.538-67 </t>
  </si>
  <si>
    <t>Rodrigo do Carmo Santos
CPF 
477.987.948-59</t>
  </si>
  <si>
    <t>LOCAÇÃO DO IMÓVEL PARA INSTALAÇÃO DA CASA DE ACOLHIMENTO TEMPORÁRIA PARA PESSOAS EM SITUAÇÃO DE RUA</t>
  </si>
  <si>
    <t>07 MESES</t>
  </si>
  <si>
    <t>14/02/2026 À 13/09/2026</t>
  </si>
  <si>
    <t>357/2025</t>
  </si>
  <si>
    <t>1616/2025</t>
  </si>
  <si>
    <t>2025000000559
ADITIVO 1
2026000000012</t>
  </si>
  <si>
    <t>INEX 15/2025</t>
  </si>
  <si>
    <t xml:space="preserve"> ***</t>
  </si>
  <si>
    <t>SINDICATO DOS SERVIDORES PÚBLICOS RIO GRANDE DA SERRA 
CNPJ: 53.721.247/0001-63</t>
  </si>
  <si>
    <t xml:space="preserve">MILTON DE SOUZA MARTINS
CPF: 107.599.858-12      </t>
  </si>
  <si>
    <t>TERMO DE COOPERAÇÃO TÉCNICA - FORNECIMENTO E A ADMINISTRAÇÃO DO PLANO DE ASSISTÊNCIA MÉDICA - REPASSE AO SINDICATO REFERENTE AO CONVÊNIO MÉDICO - AUXILIO PATRONAL + AUXILIO PATRONAL FUNPREV</t>
  </si>
  <si>
    <t>12/09/2025 A 11/09/2026</t>
  </si>
  <si>
    <t>1324/2023</t>
  </si>
  <si>
    <t>2015/2023</t>
  </si>
  <si>
    <t>****</t>
  </si>
  <si>
    <t>CONVENIO COM SINDICATO</t>
  </si>
  <si>
    <t>ALEX SANDRO BARROSO ALVES</t>
  </si>
  <si>
    <t>***</t>
  </si>
  <si>
    <t>11/09/2024 À 11/09/2025</t>
  </si>
  <si>
    <t>ALEXSANDRA SILVA AGUIAR</t>
  </si>
  <si>
    <t>IASMIN MARIA DA SILVA</t>
  </si>
  <si>
    <t>11/09/2023 A 11/09/2024</t>
  </si>
  <si>
    <t>42/23</t>
  </si>
  <si>
    <t>ANGELUS COMERCIAL E CONSULTORIA EM TECNOLOGIA EIRELI
CNPJ - 31.260.520/0001-67</t>
  </si>
  <si>
    <t>Elza Dos Anjos Iwasaki
CPF: 124.538.988-25</t>
  </si>
  <si>
    <t>Fernanda Stachowski
CPF: 336.725.538-67</t>
  </si>
  <si>
    <t>Cibely Aparecida Miranda dos Santos
CPF: 462.455.488-45</t>
  </si>
  <si>
    <t>FORNECIMENTO DE GÊNEROS ALIMENTÍCIOS, COM ENTREGA FRACIONADA, VISANDO ATENDER ÀS NECESSIDADES DO SAICA – SERVIÇO DE ACOLHIMENTO INSTITUCIONAL PARA CRIANÇAS E ADOLESCENTES</t>
  </si>
  <si>
    <t>25/09/25 À 25/09/26</t>
  </si>
  <si>
    <t>1104/23</t>
  </si>
  <si>
    <t>1937/23</t>
  </si>
  <si>
    <t>ADITIVO 1
2024000000051
ADITIVO 2
2024000000058
ADITIVO 3
2025000000087</t>
  </si>
  <si>
    <t>PP 39/23</t>
  </si>
  <si>
    <t>57/10</t>
  </si>
  <si>
    <t>8° ADITIVO</t>
  </si>
  <si>
    <t>VIAÇÃO TALISMÃ LTDA
CNPJ - 04.150.152/0001-21</t>
  </si>
  <si>
    <t>SEGURANÇA URBANA, TRANSITO E DEFESA CIVIL</t>
  </si>
  <si>
    <t>JOSÉ LUÍS MARTINS NAVARRO
CPF: 041.652.548-27</t>
  </si>
  <si>
    <t>MAURO MUNHOZ MARTINS FERNANDES CPF 343.796.018-02</t>
  </si>
  <si>
    <t>Alexandre de Lima Campos
CPF: 182.863.398-43</t>
  </si>
  <si>
    <r>
      <rPr>
        <rFont val="Calibri"/>
        <b/>
        <color theme="1"/>
        <sz val="11.0"/>
      </rPr>
      <t xml:space="preserve">TARIFA ZERO - </t>
    </r>
    <r>
      <rPr>
        <rFont val="Calibri"/>
        <color theme="1"/>
        <sz val="11.0"/>
      </rPr>
      <t>CONCESSÃO ONEROSA PARA EXPLORAÇÃO E EXECUÇÃO DOS SERVIÇOS DO TRANSPORTE PÚBLICO COLETIVO URBANO DE PASSAGEIROS DE RIO GRANDE DA SERRA</t>
    </r>
  </si>
  <si>
    <t>06 MESES</t>
  </si>
  <si>
    <t xml:space="preserve">26/09/2024 A 26/03/2025
26/03/2025 A 26/09/2025
26/09/2025 A 25/03/2026
26/03/2026 A 25/09/2026
</t>
  </si>
  <si>
    <t>1402/2005 1844/2022
1791/2024</t>
  </si>
  <si>
    <t>2189/2022</t>
  </si>
  <si>
    <t>CO 03/10</t>
  </si>
  <si>
    <t>06/04/2026 E 07/04/2026</t>
  </si>
  <si>
    <t>LEI MUNICIPAL N° 1.856 DE 28/06/2010 E DECRETO MUNICIPAL N° 1.934 DE 06/07/2010 - Por igual período - Repasse ao município de 2,5% = PRAZO DE 15 ANOS</t>
  </si>
  <si>
    <t>CONTRATOS COM VENCIMENTO: OUTUBRO 2026</t>
  </si>
  <si>
    <t>21/22</t>
  </si>
  <si>
    <t>CAIO CESAR SIQUEIRA XAVIER
CPF - 385.859.888.78</t>
  </si>
  <si>
    <t xml:space="preserve">Elza dos Anjos Iwasaki </t>
  </si>
  <si>
    <t>Cibely Aparecida Miranda dos Santos</t>
  </si>
  <si>
    <t>LOCAÇÃO DE IMÓVEL LOCALIZADO NA RUA AURÉLIO FIGUEIREDO, Nº 195 VILA FIGUEIREDO, RIO GRANDE DA SERRA/SP, PARA INSTALAÇÃO DO SAICA – SERVIÇO DE ACOLHIMENTO INSTITUCIONAL PARA CRIANÇAS E ADOLESCENTES MUNICIPAL DA SECRETARIA DE CIDADANIA E INCLUSÃO SOCIAL</t>
  </si>
  <si>
    <t>06/10/25 A 06/10/26</t>
  </si>
  <si>
    <t>1783/22</t>
  </si>
  <si>
    <t>2074/22</t>
  </si>
  <si>
    <t>2024000000065
Aditivo 3 2025000000089</t>
  </si>
  <si>
    <t>DP 25/22</t>
  </si>
  <si>
    <t>PD251594</t>
  </si>
  <si>
    <t>COMPANHIA DE PROCESSAMENTO DE DADOS DO ESTADO DE SÃO PAULO - PRODESP - CNPJ - 62.577.929/0001-35</t>
  </si>
  <si>
    <t>SEGURANÇA</t>
  </si>
  <si>
    <t xml:space="preserve">Elias de Lima Meneses </t>
  </si>
  <si>
    <t>Guilherme Bernardo de Azevedo</t>
  </si>
  <si>
    <t>Alexandre de Lima Campos</t>
  </si>
  <si>
    <t>CONTRATAÇÃO DA PRODESP PARA PRESTAÇÃO DE SERVIÇO DE PROCESSAMENTO DE MULTAS E BANCO DE DADOS DO DETRAN</t>
  </si>
  <si>
    <t>09/10/25 A 08/10/26</t>
  </si>
  <si>
    <t>1840/2025</t>
  </si>
  <si>
    <t>2289/25</t>
  </si>
  <si>
    <t>DP 39/25</t>
  </si>
  <si>
    <t>20/21</t>
  </si>
  <si>
    <t>SCHIMBERGUI COX ADVOGADOS ASSOCIADOS
CNPJ - 24.632.410/0001-13</t>
  </si>
  <si>
    <t>FINANÇAS</t>
  </si>
  <si>
    <t>CONTRATAÇÃO DE ESCRITÓRIO ADVOCATÍCIO, PARA PRESTAÇÃO DE SERVIÇOS ESPECIALIZADOS A FIM DE PROPICIAR EXTRAJUDICIALMENTE E JUDICIALMENTE OS INTERESSES DESTA PREFEITURA MUNICIPAL, EM FACE DA AGÊNCIA NACIONAL DO PETRÓLEO, GÁS NATURAL E BIOCOMBUSTÍVEIS – ANP, VISANDO A CORREÇÃO DOS CRITÉRIOS LEGAIS APLICADOS NA DISTRIBUIÇÃO DOS ROYALTIES HAJA VISTA QUE NÃO ESTÃO SENDO CONSIDERADAS EM SUA INTEGRIDADE PARA EFEITO DE PAGAMENTO OS EQUIPAMENTOS EM FUNCIONAMENTO LIGADOS AO PROCESSO DE ESCOAMENTO DO PETRÓLEO PRODUZIDO NO ESTADO DE SÃO PAULO</t>
  </si>
  <si>
    <t xml:space="preserve">renovado automaticamente até o limite de 60 meses </t>
  </si>
  <si>
    <t>08/10/21 a 08/10/26</t>
  </si>
  <si>
    <t>1023/21</t>
  </si>
  <si>
    <t>2032/21</t>
  </si>
  <si>
    <t>Inexigibilidade nº 01/2021</t>
  </si>
  <si>
    <t>43/2025</t>
  </si>
  <si>
    <t>SKY SERVIÇOS DE BANDA LARGA LTDA 
CNPJ: 72.820.822/0001-20</t>
  </si>
  <si>
    <t>ELZA DOS ANJOS IWAZAKI CPF: 124.538.988-25</t>
  </si>
  <si>
    <t>PROC 953/2025 - CONTRATAÇÃO DE SERVIÇO DE TV DIGITAL POR ASSINATURA, SENDO UM PACOTE INCLUINDO 03 (TRÊS) PONTOS DE ACESSO COM CONTROLE REMOTO E ACESSO A CANAIS BÁSICOS E INFANTIS, PARA ATENDER ÀS NECESSIDADES DO SERVIÇO DE ACOLHIMENTO INSTITUCIONAL PARA CRIANÇAS E ADOLESCENTES – SAICA.</t>
  </si>
  <si>
    <t>14/10/25 A 13/10/26</t>
  </si>
  <si>
    <t>953/25</t>
  </si>
  <si>
    <t>DISP 38/25</t>
  </si>
  <si>
    <t>40/25</t>
  </si>
  <si>
    <t>MAQ POTÊNCIA LTDA
CNPJ/MF sob o nº 18.488.016/0001-50</t>
  </si>
  <si>
    <t>FELIPE VIEIRA DE SÁ DOS SANTOS
CPF sob o nº 361.930.868-38</t>
  </si>
  <si>
    <t>Alessandro dos Santos Possidônio Silva 
CPF: 192.252.648-79</t>
  </si>
  <si>
    <t>Telma Moraes Pires
CPF: 263.971.178-47</t>
  </si>
  <si>
    <t>CONTRATAÇÃO DE EMPRESA ESPECIALIZADA PARA PRESTAÇÃO DE SERVIÇOS DE MANUTENÇÃO PREVENTIVA E CORRETIVA PARA O GRUPO DE GERADORES DE ENERGIA DA UNIDADE DE PRONTO ATENDIMENTO (UPA) DA SECRETARIA MUNICIPAL DE SAÚDE DE RIO GRANDE DA SERRA</t>
  </si>
  <si>
    <t>12 MESES A PARTIR DA PUBLICAÇÃO</t>
  </si>
  <si>
    <t>16/10/25 a 16/10/26</t>
  </si>
  <si>
    <t>1551/25</t>
  </si>
  <si>
    <t>2075/25</t>
  </si>
  <si>
    <t>AJUSTE 
2025000000701</t>
  </si>
  <si>
    <t>DISP 33/25</t>
  </si>
  <si>
    <t>41/25</t>
  </si>
  <si>
    <t>TECBLIN LTDA
CNPJ/MF sob o nº 48.575.558/0001-21</t>
  </si>
  <si>
    <t>Elias de Lima Meneses
CPF: 304.013.528-70</t>
  </si>
  <si>
    <t>Alexandre de Lima Campos
CPF: 182.863.398-43</t>
  </si>
  <si>
    <t>Fabiano Gomes Duarte
CPF: 365.558.428-81</t>
  </si>
  <si>
    <t>AQUISIÇÃO DE COLETE DE PROTEÇÃO BALISTICA E CAPA MODULAR PARA A GUARDA CIVIL MUNICIPAL DE RIO GRANDE DA SERRA</t>
  </si>
  <si>
    <t>22/10/25 a 22/10/26</t>
  </si>
  <si>
    <t>25/25</t>
  </si>
  <si>
    <t>2157/2025</t>
  </si>
  <si>
    <t>AJUSTE 
2025000000704</t>
  </si>
  <si>
    <t>PE Nº 21/2025</t>
  </si>
  <si>
    <t>42/250</t>
  </si>
  <si>
    <t>COESMA - COMÉRCIO E SERVIÇOS PARA O TRÂNSITO E MEIO AMBIENTE LTDA CNPJ/MF sob o nº 13.815.614/0001-09</t>
  </si>
  <si>
    <t xml:space="preserve">ELIAS DE LIMA MENESES CPF: 304.013.528-70 </t>
  </si>
  <si>
    <t>Mauro Munhoz Martins Fernandes CPF: 343.796.018-03</t>
  </si>
  <si>
    <t xml:space="preserve">Alexandre de Lima Campos CPF: 182.863.398-43	</t>
  </si>
  <si>
    <t>CONTRATAÇÃO DE SERVIÇOS MENSAL DE SISTEMA PARA PROCESSAMENTO DE MULTAS DE TRÂNSITO E TALONÁRIO ELETRÔNICO COM IMPRESSORA TÉRMICA PORTÁTIL E INSUMOS PARA O MUNICÍPIO DE RIO GRANDE DA SERRA</t>
  </si>
  <si>
    <t>23/10/2025 A 23/10/2026</t>
  </si>
  <si>
    <t>1044/2025</t>
  </si>
  <si>
    <t>2148/2025</t>
  </si>
  <si>
    <t>LICTAÇÃO 2025000000199</t>
  </si>
  <si>
    <t>AJUSTE 2025000000717</t>
  </si>
  <si>
    <t>PE 26/2025</t>
  </si>
  <si>
    <t>CONTRATOS COM VENCIMENTO: NOVEMBRO DE 2026</t>
  </si>
  <si>
    <t>14/2026</t>
  </si>
  <si>
    <t>KONICA MINOLTA HEALTHCARE DO BRASIL INDUSTRIA DE EQUIPAMENTOS MEDICOS LTDA
CNPJ/MF SOB O Nº   71.256.283/0001-85</t>
  </si>
  <si>
    <t>Alex Sandro Barroso Alves 
CPF:
303.636.638-51</t>
  </si>
  <si>
    <t>Telma Moraes Pires
CPF:
263.971.178-47</t>
  </si>
  <si>
    <t>MANUTENÇÃO CORRETIVA PARA MAMÓGRAFO DELICATA DR Km T0025</t>
  </si>
  <si>
    <t>13/05/2026 A 12/11/2026</t>
  </si>
  <si>
    <t>482/2026</t>
  </si>
  <si>
    <t>835/2026</t>
  </si>
  <si>
    <t>AJUSTE
2026000000227</t>
  </si>
  <si>
    <t>INEX 04/2026</t>
  </si>
  <si>
    <t>R$ 36.967,20</t>
  </si>
  <si>
    <t>22/21</t>
  </si>
  <si>
    <t>GLOBALNET SERVIÇOS E INFORMÁTICA LTDA (INTERNET) 
CNPJ  19.421.083/0001-10</t>
  </si>
  <si>
    <t>MILTON</t>
  </si>
  <si>
    <t xml:space="preserve">Elias Rodrigues do Prado - CPF: </t>
  </si>
  <si>
    <t>Arthur Galdino Marques - CPF: 535.998.138-50</t>
  </si>
  <si>
    <t>CONTRATAÇÃO DE EMPRESA ESPECIALIZADA PARA PRESTAÇÃO DE SERVIÇOS DE ACESSO À INTERNET ATRAVÉS DE LINK DE DADOS COM IP DEDICADO COM VELOCIDADES FORNECIDA VIA FIBRA ÓPTICA FIM A FIM, COM REDUNDÂNCIA NA INFRAESTRUTURA (COM DOIS CAMINHOS DISTINTOS ENTRE PROVEDOR E O LOCAL DE INSTALAÇÃO) INCORPORANDO A REDE DA PREFEITURA MUNICIPAL DE RIO GRANDE DA SERRA À UMA REDE DE DADOS ATRAVÉS DE LINKS DE FIBRA ÓPTICA ATÉ A CENTRAL DA EMPRESA RESPONSÁVEL PELO PROVIMENTO DA INTERNET, EM CONFORMIDADE COM AS CONDIÇÕES E ESPECIFICAÇÕES ESTABELECIDAS NESTE EDITAL E EM TODOS OS SEUS ANEXOS</t>
  </si>
  <si>
    <t>CLAUSULA RESOLUTIVA</t>
  </si>
  <si>
    <t>16/11/2025 A 16/11/2026</t>
  </si>
  <si>
    <t>252/21</t>
  </si>
  <si>
    <t>1943/21</t>
  </si>
  <si>
    <t>LICITAÇÃO 202200000048</t>
  </si>
  <si>
    <t xml:space="preserve"> AJUSTE 2022000000410 
ADITIVO  2024000000005
 ADITIVO  3 202400000041
ADITIVO  4
2026000000008</t>
  </si>
  <si>
    <t>PP 14/2021</t>
  </si>
  <si>
    <t>24/21</t>
  </si>
  <si>
    <t>GLOBALNET SERVIÇOS E INFORMÁTICA LTDA (TELEFONIA)
CNPJ  19.421.083/0001-10</t>
  </si>
  <si>
    <t>CONTRATAÇÃO DE EMPRESA ESPECIALIZADA PARA PRESTAÇÃO DE SERVIÇOS DE SOLUÇÃO CORPORATIVA DE TELEFONIA, CONTEMPLANDO FORNECIMENTO DE PABX IP, APARELHOS TELEFÔNICOS IP, SOFTFONES, SERVIÇO DE INSTALAÇÃO, GARANTIA ON-SITE DE 12 MESES, SERVIÇOS DE TREINAMENTO, SOFTWARE DE TARIFAÇÃO E CABOS DE REDE UTP, PARA ATENDER ÀS NECESSIDADES DA PREFEITURA MUNICIPAL DE RIO GRANDE DA SERRA</t>
  </si>
  <si>
    <t>1945/21</t>
  </si>
  <si>
    <t xml:space="preserve">LICITAÇÃO 202200000048 </t>
  </si>
  <si>
    <t>AJUSTE 2022000000411 
ADITIVO 2024000000004
 ADITIVO  4 202400000042
 ADITIVO  5
2026000000009</t>
  </si>
  <si>
    <t>47/25</t>
  </si>
  <si>
    <t>contrato</t>
  </si>
  <si>
    <t>VANDERLEI JESUS DOS SANTOS  CPF/MF sob nº 645.312.608-72</t>
  </si>
  <si>
    <t>ELZA DOS ANJOS IWASAKI CPF 124.538.988-25</t>
  </si>
  <si>
    <t>Fernanda Stachowski CPF: 336.725.538-67</t>
  </si>
  <si>
    <t>Maria Aparecida da Costa CPF: 157.803.918-58</t>
  </si>
  <si>
    <t>LOCAÇÃO DE IMÓVEL DE INSTALAÇÃO  CRAS – CENTRO DE REFÊRENCIA DE ASSISTÊNCIA SOCIAL</t>
  </si>
  <si>
    <t>27/11/2025 A 27/11/2026</t>
  </si>
  <si>
    <t>497/2025</t>
  </si>
  <si>
    <t>2211/2025</t>
  </si>
  <si>
    <t>AJUSTE 2025000000784</t>
  </si>
  <si>
    <t>INEX 19/2025</t>
  </si>
  <si>
    <t>CONTRATOS COM VENCIMENTO: DEZEMBRO DE 2026</t>
  </si>
  <si>
    <t>49/24</t>
  </si>
  <si>
    <t>3 ALT´S X EDUCAÇÃO LTDA</t>
  </si>
  <si>
    <t>EDUCAÇÃO E CULTURA</t>
  </si>
  <si>
    <t>Vinícius Brum da Silva CPF: 406.779.358 89</t>
  </si>
  <si>
    <t>Mônica Mara Rodrigues CPF: 257.494.078 45</t>
  </si>
  <si>
    <t>Marisa Cristina Rodrigues CPF: 257.489.958 08</t>
  </si>
  <si>
    <t>CONTRATAÇÃO DE EMPRESA PARA AQUISIÇÃO DE SOLUÇÃO PEDAGÓGICA E TECNOLÓGICA PARA ENSINO DA LÍNGUA INGLESA, POR MEIO DE UM PROJETO QUE APRESENTA UMA ESTRUTURA BASEADA NOS NOVOS CONCEITOS EDUCACIONAIS QUE FACILITEM O ENSINO-APRENDIZADO, CONTENDO: MATERIAL IMPRESSO PARA ALUNO E PARA O PROFESSOR; MATERIAL DIGITAL E ASSESSORIA PEDAGÓGICA E TECNOLÓGICA COM ACESSO A PLATAFORMA</t>
  </si>
  <si>
    <t xml:space="preserve">12 MESES </t>
  </si>
  <si>
    <t xml:space="preserve">
11/12/25 a 10/12/26
</t>
  </si>
  <si>
    <t>347/24</t>
  </si>
  <si>
    <t>execução no processo administrativo</t>
  </si>
  <si>
    <t>AJUSTE 2024000000669
ADITIVO 2026000000032</t>
  </si>
  <si>
    <t>PE 24/24</t>
  </si>
  <si>
    <t>R$ 291.994,56</t>
  </si>
  <si>
    <t>58/24</t>
  </si>
  <si>
    <t>1º aditivo</t>
  </si>
  <si>
    <t>CAIXA ECONOMICA FEDERAL</t>
  </si>
  <si>
    <t xml:space="preserve">RICARDO ABÍLIO ROSSI CARDOSO CPF: 246.424.778-29         </t>
  </si>
  <si>
    <t>LAURA CRISTINA PEREIRA CPF 066.005.058-77</t>
  </si>
  <si>
    <t xml:space="preserve">MARLENE NUNES DOS SANTOS OLIVEIRA  CPF 080.198.068-22       </t>
  </si>
  <si>
    <t>PROCESSO ADMINISTRATIVO Nº 1246/2024 - CONTRATAÇÃO DE INSTITUIÇÕES FINANCEIRAS E INSTITUIÇÕES DE PAGAMENTOS, PARA PRESTAÇÃO DE SERVIÇOS BANCÁRIOS DE ARRECADAÇÃO DE TRIBUTOS MUNICIPAIS E DEMAIS RECEITAS DE TITULARIDADE DA PREFEITURA DO MUNICÍPIO DE RIO GRANDE DA SERRA.</t>
  </si>
  <si>
    <t>16/12/2024 A 16/12/2025
17/12/2025 A 16/12/2026</t>
  </si>
  <si>
    <t>1246/2024</t>
  </si>
  <si>
    <t>2372/2024</t>
  </si>
  <si>
    <t>2025000000007
ADITIVO 2026000000003</t>
  </si>
  <si>
    <t>INEX Nº 17/24</t>
  </si>
  <si>
    <t>Chamamento Público 01/2024 - Credenciamento</t>
  </si>
  <si>
    <t>57/24</t>
  </si>
  <si>
    <t>BANCO SANTANDER S/A</t>
  </si>
  <si>
    <t>16/12/2024 A 16/12/2025
17/12/2025 a 16/12/2026</t>
  </si>
  <si>
    <t>2371/2024</t>
  </si>
  <si>
    <t>2025000000006
ADITIVO 2026000000002</t>
  </si>
  <si>
    <t>55/24</t>
  </si>
  <si>
    <t>BANCO BRADESCO S.A</t>
  </si>
  <si>
    <t>16/12/2024 A 16/12/2025
17/12/2025 a 16/12/2025</t>
  </si>
  <si>
    <t>2300/2024</t>
  </si>
  <si>
    <t>AJUSTE 2025000000005
ADITIVO 2026000000001</t>
  </si>
  <si>
    <t>59/24</t>
  </si>
  <si>
    <t>ITAU UNIBANCO S/A</t>
  </si>
  <si>
    <t>19/12/2024 A 19/12/2025
20/12/2025 a19/12/2026</t>
  </si>
  <si>
    <t>2373/24</t>
  </si>
  <si>
    <t>2025000000004
ADITIVO 2026000000001</t>
  </si>
  <si>
    <t>22/22</t>
  </si>
  <si>
    <t>MARCIA APARECIDA ALBANO 
CPF - 560.567.298-34
CONCHETA ALBANO SIQUEIRA
CPF - 080.178.428-05</t>
  </si>
  <si>
    <t xml:space="preserve">ELZA DOS ANJOS IWASAKI
124.538.988-25
</t>
  </si>
  <si>
    <t>Maria Aparecida da Costa</t>
  </si>
  <si>
    <t>LOCAÇÃO DE IMÓVEL SITO À RUA PREFEITO CARLOS JOSÉ CARLSON, 347 - VL. ALBANO, ONDE ESTÁ INSTALADO O CONSELHO TUTELAR</t>
  </si>
  <si>
    <t xml:space="preserve"> 12 MESES </t>
  </si>
  <si>
    <t>21/12/25 A 21/12/26</t>
  </si>
  <si>
    <t>1916/22</t>
  </si>
  <si>
    <t>17/23</t>
  </si>
  <si>
    <t xml:space="preserve">LICITAÇÃO 2023000000002 </t>
  </si>
  <si>
    <t>AJUSTE 2023000000006 
1º ADITIVO 2024000000001
2º ADITIVO 2024000000074
3º ADITIVO 2026000000005</t>
  </si>
  <si>
    <t>DP 27/22</t>
  </si>
  <si>
    <t>CONTRATOS COM VENCIMENTO: JANEIRO 2027</t>
  </si>
  <si>
    <t>01/25</t>
  </si>
  <si>
    <t>COMODATO</t>
  </si>
  <si>
    <t>FÁCIL SOLUÇÕES TECNOLÓGICAS EM INFORMÁTICA S/A</t>
  </si>
  <si>
    <t>MILTON DE SOUZA MARTINS</t>
  </si>
  <si>
    <t>licenciamento de uso do programa de computador CONSIGFÁCIL (“SISTEMA”) – Sistema Eletrônico, via internet, de reserva de margem e controle de consignações, com desconto em folha de pagamento, e outras avenças, de propriedade do COMODANTE para uso no âmbito da PREFEITURA MUNICIPAL DE RIO GRANDE DA SERRA/SP</t>
  </si>
  <si>
    <t>705/01/26 A 05/01/27</t>
  </si>
  <si>
    <t>2387/25</t>
  </si>
  <si>
    <t>INEX 25/2025</t>
  </si>
  <si>
    <t>46/25</t>
  </si>
  <si>
    <t>FABIO LEMOS NAKAMURA</t>
  </si>
  <si>
    <t xml:space="preserve">Elza dos Anjos Iwasaki
CPF: 124.538.988-25
</t>
  </si>
  <si>
    <t xml:space="preserve">CONTRATAÇÃO EMERGENCIAL DE VAGA EM INSTITUIÇÃO DE LONGA PERMANÊNCIA PARA IDOSOS (ILPI) GRAU I, EM ATENDIMENTO AO SR. JOSÉ DA SILVA, CONFORME MEMORANDO Nº 138/2025 ENCAMINHADO PELO CREAS E DETERMINAÇÃO DO MINISTÉRIO PÚBLICO DO ESTADO DE SÃO PAULO, VISANDO GARANTIR ACOLHIMENTO INSTITUCIONAL E CUIDADOS INTEGRAIS </t>
  </si>
  <si>
    <t>06/01/26 À 06/01/2027</t>
  </si>
  <si>
    <t>2042/25</t>
  </si>
  <si>
    <t>20/2026</t>
  </si>
  <si>
    <t>DE 40/25</t>
  </si>
  <si>
    <t>VIGENCIA DA PUBLICAÇÃO</t>
  </si>
  <si>
    <t>9912593829/23</t>
  </si>
  <si>
    <t>EMPRESA BRASILEIRA DE CORREIOS E TELÉGRAFOS 
CNPJ: 34.028.316/0031-29</t>
  </si>
  <si>
    <t xml:space="preserve">MILTON DE SOUZA MARTINS
CPF: 107.599.858-12         
</t>
  </si>
  <si>
    <t>Israel da Silva Junior</t>
  </si>
  <si>
    <t>José Inácio (Zezinho)</t>
  </si>
  <si>
    <t>CONTRATAÇÃO DE EMPRESA PARA PRESTAÇÃO DE SERVIÇOS POSTAIS, INCLUINDO TELEGRAMA, CARTA COMERCIAL, MALA DIRETA BÁSICA E ENCOMENDAS NACIONAIS, COM SERVIÇO DE REMESSA EXPRESSA DE DOCUMENTOS PARA ATENDER OS DEPARTAMENTOS ADMINISTRATIVOS PELA PREFEITURA MUNICIPAL DE RIO GRANDE DA SERRA.</t>
  </si>
  <si>
    <t>17/01/26 A 17/01/27</t>
  </si>
  <si>
    <t>2404/2022</t>
  </si>
  <si>
    <t>288/2023</t>
  </si>
  <si>
    <t xml:space="preserve">LICITAÇÃO 2023000000010 </t>
  </si>
  <si>
    <t>AJUSTE 2023000000092
  3 ADITIVO 2025000000015
  4 ADITIVO 2026000000007</t>
  </si>
  <si>
    <t>DP 33/22</t>
  </si>
  <si>
    <t>CONTATO 3003-0800</t>
  </si>
  <si>
    <t>CONTRATOS COM VENCIMENTO: FEVEREIRO 2027</t>
  </si>
  <si>
    <t>04/24</t>
  </si>
  <si>
    <t>CONSÓRCIO RIO GRANDE DA SERRA PERALTA - COMPOSTA PELA PERALTA AMBIENTAL IMP. E EXP. LTDA 
CNPJ: 05.960.053/0001-78 
LARA CENTRAL DE TRATAMENTO DE RESIDUOS LTDA 
CNPJ: 57.543.001/0001-08</t>
  </si>
  <si>
    <t>SERVIÇOS URBANOS</t>
  </si>
  <si>
    <t>JEFFERSON CRISPIM DE SOUZA - CPF: 362.010.008-01</t>
  </si>
  <si>
    <t>DANIEL SOARES DA SILVA - CPF: 232.046.348-84</t>
  </si>
  <si>
    <t>GUILHERME LEANDRO BERNARDO - CPF: 335.305.768-40</t>
  </si>
  <si>
    <t>CONTRATAÇÃO DE EMPRESA ESPECIALIZADA EM SERVIÇOS DE COLETA E TRANSPORTE DE RESÍDUOS DOMICILIARES, COMERCIAIS E FEIRAS LIVRES; LIMPEZA DE FEIRAS LIVRES; DISPOSIÇÃO FINAL DE RESÍDUOS SÓLIDOS CLASSE II A DOMICILIARES, COMERCIAIS, REJEITOS/INSERVIVEIS E FEIRA LIVRES EM ATERRO SANITÁRIO DEVIDAMENTE LICENCIADO, INCLUINDO TAMBÉM SERVIÇOS DE COLETA, TRANSPORTE E TRATAMENTO DE RESÍDUOS SÓLIDOS DOS SERVIÇOS DE SAÚDE</t>
  </si>
  <si>
    <t>02/02/2026 A 01/02/2027</t>
  </si>
  <si>
    <t>2442/2022</t>
  </si>
  <si>
    <t>479/2024</t>
  </si>
  <si>
    <t>AJUSTE  2024000000008
ADITIVO
2025000000020
ADITIVO 
2026000000013</t>
  </si>
  <si>
    <t>CP 15/2023</t>
  </si>
  <si>
    <t>19/02/2025
06/03/2026</t>
  </si>
  <si>
    <t>05/24</t>
  </si>
  <si>
    <t>LARA CENTRAL DE TRATAMENTO DE RESIDUOS LTDA 
CNPJ: 57.543.001/0001-08</t>
  </si>
  <si>
    <t>480/2024</t>
  </si>
  <si>
    <t>AJUSTE  2024000000009
ADITIVO
2025000000021
ADITIVO 
2026000000014
ADITIVO 2026000000025</t>
  </si>
  <si>
    <t>19/02/2025
06/03/2026
18/03/2026</t>
  </si>
  <si>
    <t>ADITIVO 3 REFERE-SE A DIFERENÇA DE VALOR AO ADITIVO 2º</t>
  </si>
  <si>
    <t>06/24</t>
  </si>
  <si>
    <t>QUALI INOV SERVIÇOS EMPRESARIAIS LTDA
CNPJ - 50.999.258/0001-11</t>
  </si>
  <si>
    <t xml:space="preserve">
Felipe Vieira Sa dos Santos</t>
  </si>
  <si>
    <t xml:space="preserve">Gerlice Brasil da Silva
CPF: 270.446.548-78 
</t>
  </si>
  <si>
    <t xml:space="preserve">Aline Lima da Silva Toledo
CPF: 442.965.068-38
</t>
  </si>
  <si>
    <t>CONTRATAÇÃO DE EMPRESA ESPECIALIZADA PARA PRESTAÇÃO DE SERVIÇOS DE LIMPEZA TÉCNICA E CONSERVAÇÃO PREDIAL DE AMBIENTES ASSISTENCIAIS E ADMINISTRATIVOS, ALÉM DE ÁREAS EXTERNAS, INCLUINDO O FORNECIMENTO DE MÃO DE OBRA, MATERIAIS DE HIGIENE E LIMPEZA, UTENSÍLIOS, EQUIPAMENTOS E DEMAIS INSUMOS NECESSÁRIOS EM UNIDADES DE SAÚDE NO MUNICÍPIO DE RIO GRANDE DA SERRA</t>
  </si>
  <si>
    <t>02/02/2025 a 02/02/2026
02/02/2026 a 01/02/2027</t>
  </si>
  <si>
    <t>268/2023</t>
  </si>
  <si>
    <t>530/2024</t>
  </si>
  <si>
    <t>2024000000144
ADITIVO
2025000000014 ADITIVO 2026000000011</t>
  </si>
  <si>
    <t>PP 53/2023</t>
  </si>
  <si>
    <t>3.153.355,44 
3.276.265,08</t>
  </si>
  <si>
    <t>31/01/2025
02/02/2026</t>
  </si>
  <si>
    <t>25/02/2025
05/05/2026</t>
  </si>
  <si>
    <t>01/26</t>
  </si>
  <si>
    <t xml:space="preserve">BONIZZONI &amp; BONIZZONI LTDA
CNPJ sob nº 03.345.887/0001-48 </t>
  </si>
  <si>
    <t>SECRETARIA DE EDUCAÇÃO, INOVAÇÃO E CULTURA</t>
  </si>
  <si>
    <t xml:space="preserve">VINÍCIUS BRUM DA SILVA CPF: 406.779.358-89 </t>
  </si>
  <si>
    <t xml:space="preserve">Talita Kumy Goes Silva
CPF: 056.833.884-73
</t>
  </si>
  <si>
    <t xml:space="preserve">Viviane Aparecida dos Santos Almeida
CPF: 285.196.758-40
</t>
  </si>
  <si>
    <t>CONTRATAÇÃO DE EMPRESA ESPECIALIZADA PARA A EXECUÇÃO CONTÍNUA DOS SERVIÇOS DE PREPARO E DISTRIBUIÇÃO DE REFEIÇÕES DESTINADAS À ALIMENTAÇÃO ESCOLAR DOS ALUNOS REGULARMENTE MATRICULADOS NA REDE PÚBLICA DE ENSINO DO MUNICÍPIO DE RIO GRANDE DA SERRA/SP</t>
  </si>
  <si>
    <t xml:space="preserve">12MESES
</t>
  </si>
  <si>
    <t>06/02/26 A 06/02/2027</t>
  </si>
  <si>
    <t>1434/25</t>
  </si>
  <si>
    <t>252/26</t>
  </si>
  <si>
    <t>PE 43/25</t>
  </si>
  <si>
    <t>31/23</t>
  </si>
  <si>
    <t xml:space="preserve">VIAPRECISA TERRAPLANAGEM E PAVIMENTAÇÃO LTDA
CNPJ - 31.133.672/0001-07 </t>
  </si>
  <si>
    <t>Leandro Dias Florencio</t>
  </si>
  <si>
    <t xml:space="preserve">Leila Andreassi de Castro
</t>
  </si>
  <si>
    <t>CONTRATAÇÃO DE EMPRESA PARA EXECUÇÃO DE PAVIMENTAÇÃO, DRENAGEM E SINALIZAÇÃO VIÁRIA NAS RUAS AMPARO E BOTUCATU - PARQUE AMÉRICA, ESTRADA DO CARACU – CHÁCARA SÃO PAULO, RUAS DAS AVENCAS E DAS ORQUÍDEAS – JARDIM ESPERANÇA NO MUNICÍPIO DE RIO GRANDE DA SERRA</t>
  </si>
  <si>
    <t>630 DIAS</t>
  </si>
  <si>
    <t>16/05/25 A 07/02/2027</t>
  </si>
  <si>
    <t>1149/22</t>
  </si>
  <si>
    <t>1551/23</t>
  </si>
  <si>
    <t>2023000000092
ADITIVO
2025000000054</t>
  </si>
  <si>
    <t>CO 01/23</t>
  </si>
  <si>
    <t>46/23</t>
  </si>
  <si>
    <t>ENEL - ELETROPAULO METROPOLITANA ELETRICIDADE DE SP S.A. 
CNPJ: 61.695.227/0001-93</t>
  </si>
  <si>
    <t>WANDERLEI FELIPE DA SILVA JUNIOR</t>
  </si>
  <si>
    <t>CONVÊNIO DE ARRECADAÇÃO DA CONTRIBUIÇÃO DE ILUMINAÇÃO PÚBLICA – CIP, INSTITUÍDA PELA LEI MUNICIPAL N° 1.464</t>
  </si>
  <si>
    <t>INDETERMINADO</t>
  </si>
  <si>
    <t>09/02/26 A 09/02/27</t>
  </si>
  <si>
    <t>1565/21</t>
  </si>
  <si>
    <t>827/24</t>
  </si>
  <si>
    <t>INEX N° 1/23</t>
  </si>
  <si>
    <t>RENOVAÇÃO AUTOMÁTICA</t>
  </si>
  <si>
    <t>02/25</t>
  </si>
  <si>
    <t>PHABRICA DE PRODUÇÕES SERVIÇOS DE PROPAGANDA E PUBLICIDADE LTDA EPP CNPJ  - 00.662.315/0001-02</t>
  </si>
  <si>
    <t>MILTON DE SOUZA MARTINS CPF: 107.599.858-12</t>
  </si>
  <si>
    <t>ADOLFO LOPES ALONSO CPF: 140.541.618-12</t>
  </si>
  <si>
    <t>JULIANA OLIVEIRA DA SILVA CPF: 368.150.938-75</t>
  </si>
  <si>
    <t>CONTRATAÇÃO DE SERVIÇO DE PUBLICAÇÃO DE LICITAÇÕES EM JORNAL IMPRESSO E/OU ELETRÔNICO DE GRANDE CIRCULAÇÃO, DENTRO DO ESTADO DE SÃO PAULO, EM OBSERVÂNCIA AO ART. 54, § 1º, DA LEI DE LICITAÇÕES Nº 14.133/2021</t>
  </si>
  <si>
    <t>21/02/2025 a 21/02/2026
21/02/2026 a 20/02/2027</t>
  </si>
  <si>
    <t>62/2025</t>
  </si>
  <si>
    <t>369/25</t>
  </si>
  <si>
    <t>Ajuste 2025000000187 Aditivo
2026000000015</t>
  </si>
  <si>
    <t>DP 03/25</t>
  </si>
  <si>
    <t>21/02/2025
21/02/2026</t>
  </si>
  <si>
    <t>21/02/2025
16/03/2026</t>
  </si>
  <si>
    <t>04/25</t>
  </si>
  <si>
    <t>DOM PEDRITO PARTICIPAÇÕES E EMPREENDIMENTOS IMOBILIÁRIOS LTDA - ME CNPJ: 20.591.702/0001-02</t>
  </si>
  <si>
    <t>MÔNICA MARA RODRIGUES CPF: 257.494.078-45</t>
  </si>
  <si>
    <t>MARCOS ANTÔNIO DE SÁ TELES SOARES CPF: 107.599.358-07</t>
  </si>
  <si>
    <t>LOCAÇÃO DE IMÓVEL PARA INSTALAÇÃO DA SECRETARIA  DE EDUCAÇÃO, INOVAÇÃO E CULTURA</t>
  </si>
  <si>
    <t xml:space="preserve">48 MESES
</t>
  </si>
  <si>
    <r>
      <rPr>
        <rFont val="Calibri"/>
        <b/>
        <color theme="1"/>
        <sz val="11.0"/>
      </rPr>
      <t>1º Período 01/03/25 A 28/02/27</t>
    </r>
    <r>
      <rPr>
        <rFont val="Calibri"/>
        <color theme="1"/>
        <sz val="11.0"/>
      </rPr>
      <t xml:space="preserve">
2º Período 01/03/27 a 28/02/29</t>
    </r>
  </si>
  <si>
    <t>121/25</t>
  </si>
  <si>
    <t>430/25</t>
  </si>
  <si>
    <t>INEX 06/25</t>
  </si>
  <si>
    <t>R$ 234,000,00</t>
  </si>
  <si>
    <t>CONTRATOS COM VENCIMENTO: MARÇO 2027</t>
  </si>
  <si>
    <t>05/25</t>
  </si>
  <si>
    <t>BANCO DO BRASIL S.A - CNPJ - 00.000.000/0001-91</t>
  </si>
  <si>
    <t xml:space="preserve">RICARDO ABILIO ROSSI CARDOSO
CPF sob o nº 246.424.778-29
</t>
  </si>
  <si>
    <t>MARLENE NUNES DOS SANTOS OLIVEIRA CPF: 080.198.068-22</t>
  </si>
  <si>
    <t>LAURA CRISTINA PEREIRA CPF: 066.005.058-77</t>
  </si>
  <si>
    <t>CONTRATAÇÃO DA INSTITUIÇÃO FINANCEIRA ACIMA QUALIFICADA PARA PRESTAÇÃO DE SERVIÇOS BANCÁRIOS DE ARRECADAÇÃO DE TRIBUTOS E DEMAIS RECEITAS PÚBLICAS DO MUNICÍPIO DE RIO GRANDE DA SERRA/SP, CONFORME CONDIÇÕES E EXIGÊNCIAS ESTABELECIDAS NESTE INSTRUMENTO, NO ESTUDO TÉCNICO PRELIMINAR E NO TERMO DE REFERÊNCIA CONSTANTES DO PROCEDIMENTO AUXILIAR DE CREDENCIAMENTO Nº 01/2024</t>
  </si>
  <si>
    <t>12/03/2026 A 12/03/2027</t>
  </si>
  <si>
    <t>438/25</t>
  </si>
  <si>
    <t>INEX 17/24</t>
  </si>
  <si>
    <t>10/24</t>
  </si>
  <si>
    <t>DAVI ALVES DE OLIVEIRA LTDA
CNPJ - 00.700.428/0001-47</t>
  </si>
  <si>
    <t>WILSON DE SOUZA</t>
  </si>
  <si>
    <t>Rawany Nathyely Souza Bedia</t>
  </si>
  <si>
    <t>Daniel Soares da Silva</t>
  </si>
  <si>
    <t>PRESTAÇÃO DE SERVIÇO DE LOCAÇÃO DE MÁQUINAS E EQUIPAMENTOS PESADOS, ENGLOBANDO O FORNECIMENTO DE MÃO-DE-OBRA E MANUTENÇÃO PREVENTIVA/CORRETIVA, ALÉM DO PROVIMENTO DE MATERIAIS DE CONSUMO NECESSÁRIOS AO COMPLETO DESEMPENHO DOS TRABALHOS DE LIMPEZAS NAS VIAS, FOSSAS, RIOS, CÓRREGOS E LOGRADOUROS PÚBLICOS, DESASSOREAMENTO DE GALERIAS DE ÁGUAS PLUVIAIS, ASSOREAMENTO DE CÓRREGOS, ENTRE OUTROS SERVIÇOS</t>
  </si>
  <si>
    <t>13/03/24 A 13/03/25</t>
  </si>
  <si>
    <t>1074/2023</t>
  </si>
  <si>
    <t>546/2024</t>
  </si>
  <si>
    <t>DECORRENTE DA ATA N° 12/2023 - PREGÃO PRESENCIAL Nº 35/2023</t>
  </si>
  <si>
    <t>1 º Aditivo</t>
  </si>
  <si>
    <t>JEFFERSON CRISPIM DE SOUZA</t>
  </si>
  <si>
    <t>DANIEL SOARES DA SILVA</t>
  </si>
  <si>
    <t>GUILHERME LEANDRO BERNARDO</t>
  </si>
  <si>
    <t>13/03/25 A 13/03/26</t>
  </si>
  <si>
    <t>Michele Aparecida de Sousa
Carneiro
CPF 457.917.218-38</t>
  </si>
  <si>
    <t>13/03/26 A 12/03/26</t>
  </si>
  <si>
    <t>03/2026</t>
  </si>
  <si>
    <t xml:space="preserve">BIOLIFE MANUTENÇÃO DE EQUIPAMENTOS HOSPITALARES LTDA  57.367.453/0001-78                                                                                                                                                                                                               </t>
  </si>
  <si>
    <t xml:space="preserve">FELIPE VIEIRA DE SÁ DOS SANTOS CPF: 361.930.868-38 </t>
  </si>
  <si>
    <t>Alessandro dos Santos Possidônio Silva CPF: 192.252.648-79</t>
  </si>
  <si>
    <t>Telma Moraes Pires CPF: 263.971.178-47</t>
  </si>
  <si>
    <t>CONTRATAÇÃO DE EMPRESA ESPECIALIZADA PARA A PRESTAÇÃO DE SERVIÇOS DE MANUTENÇÃO PREVENTIVA E CORRETIVA PARA OS VENTILADORES PULMONARES DA UNIDADE DE PRONTO ATENDIMENTO (UPA) DE RIO GRANDE DA SERRA</t>
  </si>
  <si>
    <t>16/03/2026 A 15/03/2027</t>
  </si>
  <si>
    <t>44/2026</t>
  </si>
  <si>
    <t>456/26</t>
  </si>
  <si>
    <t>INEX 01/26</t>
  </si>
  <si>
    <t>08/23</t>
  </si>
  <si>
    <t>JML 3 SOLUÇÕES E TRANSPORTES LTDA
CNPJ - 05.411.610/0001-00</t>
  </si>
  <si>
    <t>VINICIUS BRUM DA SILVA CPF: 406.779.358-89</t>
  </si>
  <si>
    <t>Alexandre Bueno Alves
CPF: 119.560.408-46</t>
  </si>
  <si>
    <t>Ivete Freire Santos
CPF: 124.425.518-10</t>
  </si>
  <si>
    <t>CONTRATAÇÃO DE EMPRESA ESPECIALIZADA PARA PRESTAÇÃO DE SERVIÇOS DE TRANSPORTE ESCOLAR PARA ALUNOS DO ENSINO FUNDAMENTAL MATRICULADOS NA REDE MUNICIPAL DE ENSINO DE RIO GRANDE DA SERRA</t>
  </si>
  <si>
    <t>OS 17/03/2023</t>
  </si>
  <si>
    <t>17/03/26 A 17/03/27</t>
  </si>
  <si>
    <t>1969/22</t>
  </si>
  <si>
    <t>684/23</t>
  </si>
  <si>
    <t>PP 03/23</t>
  </si>
  <si>
    <t>06/25</t>
  </si>
  <si>
    <t>AVOIP TELECON LTDA-ME CNPJ: 53.109.113/0001-96</t>
  </si>
  <si>
    <t>SECRETARIA DA FAMÍLIA E DESENVOLVIMENTO SOCIAL</t>
  </si>
  <si>
    <t>Katia Neris da Silva
CPF: 161.660.908-70</t>
  </si>
  <si>
    <t>Fernanda Stachowski 
CPF: 336.725.538-67</t>
  </si>
  <si>
    <t>Rodrigo do Carmo Santos 
CPF: 477.987.948-59</t>
  </si>
  <si>
    <t>CONTRATAÇÃO DE PLANO ANUAL DE 04 (QUATRO) LINHAS TELEFÔNICAS MÓVEIS CORPORATIVAS COM ACESSO AO WHATSAPP, PARA ATENDER AS NECESSIDADES DOS SERVIÇOS PERTENCENTES À SECRETARIA DA FAMÍLIA E DESENVOLVIMENTO SOCIAL, PELO PERÍODO DE 12 (DOZE) MESES, CONFORME CONDIÇÕES E EXIGÊNCIAS ESTABELECIDAS NESTE INSTRUMENTO</t>
  </si>
  <si>
    <t>21/03/26 A 21/03/27</t>
  </si>
  <si>
    <t>1780/24</t>
  </si>
  <si>
    <t>530/25</t>
  </si>
  <si>
    <t xml:space="preserve"> - - - </t>
  </si>
  <si>
    <t>DP 05/25</t>
  </si>
  <si>
    <t>09/26</t>
  </si>
  <si>
    <t>2P2L ENGENHARIA LTDA CNPJ/MF sob o nº 26.875.439/0001-51</t>
  </si>
  <si>
    <t>Alex Sandro Barroso Alves CPF: 303.636.638-51</t>
  </si>
  <si>
    <t xml:space="preserve">Alexandro Aparecido dos Santos Costa CPF: 192.281.958-19	</t>
  </si>
  <si>
    <t>CONTRATAÇÃO DE EMPRESA ESPECIALIZADA PARA REFORMA DA COBERTURA DA UBS CENTRO, LOCALIZADA NA RUA PREFEITO CIDO FRANCO, Nº 500, VILA ARNOUD, RIO GRANDE DA SERRA/SP</t>
  </si>
  <si>
    <t>01/04/2026 A 31/03/2027</t>
  </si>
  <si>
    <t>188/2025</t>
  </si>
  <si>
    <t>608/2026</t>
  </si>
  <si>
    <t>AJUSTE 2026000000135</t>
  </si>
  <si>
    <t>PE 01/26</t>
  </si>
  <si>
    <t>CONTRATOS COM VENCIMENTO: ABRIL 2027</t>
  </si>
  <si>
    <t>11/24</t>
  </si>
  <si>
    <t>CARLA DA SILVA MOREIRA CARLOS PSICOLOGIA LTDA
CNPJ - 38.322.528/0001-50</t>
  </si>
  <si>
    <t xml:space="preserve">Charles David Faustino Fumagalli </t>
  </si>
  <si>
    <t>João Vitor Rocha Amado</t>
  </si>
  <si>
    <t>Alan Juliez de Souza</t>
  </si>
  <si>
    <t>CONTRATAÇÃO DE EMPRESA ESPECIALIZADA PARA REALIZAÇÃO DE 50 (CINQUENTA) EXAMES PSICOLÓGICOS COM LAUDO DESTINADOS A ATENDER A GUARDA CIVIL MUNICIPAL DE RIO GRANDE</t>
  </si>
  <si>
    <t>OS</t>
  </si>
  <si>
    <t>02/04/24 A 02/04/25</t>
  </si>
  <si>
    <t>18/24</t>
  </si>
  <si>
    <t>780/24</t>
  </si>
  <si>
    <t>DP 06/24</t>
  </si>
  <si>
    <t xml:space="preserve">Aditivo </t>
  </si>
  <si>
    <t>Elias de Lima Meneses CPF 304.013.528-70</t>
  </si>
  <si>
    <t>João Vitor Rocha Amado CPF 130.010.486-46</t>
  </si>
  <si>
    <t>Alan Juliez de Souza CPF 331.353.138-59</t>
  </si>
  <si>
    <t>02/04/25 A 02/04/26</t>
  </si>
  <si>
    <t>José Luís Martins Navarro</t>
  </si>
  <si>
    <t>Fabiano Gomes Duarte CPF 365.558.428-81</t>
  </si>
  <si>
    <t>02/04/2026 A 01/04/2027</t>
  </si>
  <si>
    <t>R$ 3.600,00</t>
  </si>
  <si>
    <t>04/26</t>
  </si>
  <si>
    <t>QUALI INOV SERVIÇOS EMPRESARIAIS LTDA
CNPJ/MF sob o nº. 50.999.258/0001-11</t>
  </si>
  <si>
    <t xml:space="preserve">MILTON DE SOUZA MARTINS
CPF sob o nº 107.599.858-12
</t>
  </si>
  <si>
    <t>Patricia Flores Xavier</t>
  </si>
  <si>
    <t>Anderson Aparecido da Silva</t>
  </si>
  <si>
    <t>PRESTAÇÃO DE SERVIÇOS DE GUARDA E CUSTÓDIA SEGURA DO ACERVO DOCUMENTAL DA PREFEITURA MUNICIPAL DE RIO GRANDE DA SERRA, INCLUINDO TRANSPORTE, ORGANIZAÇÃO, ARMAZENAMENTO, GESTÃO VIA SISTEMA ELETRÔNICO E ATENDIMENTO A SOLICITAÇÕES DE DOCUMENTOS</t>
  </si>
  <si>
    <t>15/04/2026 A 14/04/2027</t>
  </si>
  <si>
    <t>1379/25</t>
  </si>
  <si>
    <t>683/2026</t>
  </si>
  <si>
    <t>PE 40/25</t>
  </si>
  <si>
    <t>15/24</t>
  </si>
  <si>
    <t>MÉRITO CONSULTORIA ASSESSORIA OCUPACIONAL E SERVIÇOS LTDA
CNPJ - 14.117.450/0001-73</t>
  </si>
  <si>
    <t>Milton de Souza Martins
CPF: 107.599.858-12</t>
  </si>
  <si>
    <t>Bruna Gabrielle Ribeiro Reis de Paula CPF: 433.593.348-76</t>
  </si>
  <si>
    <t xml:space="preserve">Natália Virginia Calefe Pereira
CPF: 339.741.248-0
</t>
  </si>
  <si>
    <t>CONTRATAÇÃO DE SERVIÇOS ESPECIALIZADOS DE SEGURANÇA E MEDICINA DO TRABALHO, COM VISTAS À ELABORAÇÃO, IMPLEMENTAÇÃO, ACOMPANHAMENTO E COORDENAÇÃO DO PROGRAMA DE CONTROLE MÉDICO DE SAÚDE E OCUPACIONAL (PCMSO), DO PROGRAMA DE GESTÃO DE RISCOS (PGR) DO PERFIL PROFISSIOGRÁFICO PREVIDENCIÁRIO (PPP) E DA EMISSÃO DE LAUDO TÉCNICO DE CONDIÇÕES AMBIENTAIS DO TRABALHO (LTCAT), PARA OS SERVIDORES DA PREFEITURA MUNICIPAL DE RIO GRANDE DA SERRA, DE ACORDO COM O MANUAL DE ORIENTAÇÃO DO ESOCIAL</t>
  </si>
  <si>
    <t>22/04/26 A 21/04/27</t>
  </si>
  <si>
    <t>152/2023</t>
  </si>
  <si>
    <t>978/24</t>
  </si>
  <si>
    <t>2025000000042
2 ADITIVO
2026000000040</t>
  </si>
  <si>
    <t>PE 02/24</t>
  </si>
  <si>
    <t>13/24</t>
  </si>
  <si>
    <t xml:space="preserve">VINICIUS BRUM DA SILVA 
CIN sob o nº. 406.779.358-89
</t>
  </si>
  <si>
    <t xml:space="preserve">Paula Neves Bernardo Garcia
CPF: 163.539.478-36
</t>
  </si>
  <si>
    <t xml:space="preserve">José Benedito da Silva
CPF: 037.917.436-78
</t>
  </si>
  <si>
    <t>CONTRATAÇÃO DE EMPRESA ESPECIALIZADA PARA PRESTAÇÃO DE SERVIÇOS DE LIMPEZA TÉCNICA E CONSERVAÇÃO PREDIAL DE AMBIENTES ASSISTENCIAIS E ADMINISTRATIVOS, ALÉM DE ÁREAS EXTERNAS, INCLUINDO O FORNECIMENTO DE MÃO DE OBRA, MATERIAIS DE HIGIENE E LIMPEZA, UTENSÍLIOS, EQUIPAMENTOS E DEMAIS INSUMOS NECESSÁRIOS EM UNIDADES ESCOLARES DO MUNICÍPIO DE RIO GRANDE DA SERRA</t>
  </si>
  <si>
    <t xml:space="preserve">23/04/26 A 22/04/27 </t>
  </si>
  <si>
    <t>2199/22</t>
  </si>
  <si>
    <t>814/24</t>
  </si>
  <si>
    <t>2024000000234
1º TERMO ADITIVO
2025000000041
2º TERMO ADITIVO
2026000000036</t>
  </si>
  <si>
    <t>PP 60/23</t>
  </si>
  <si>
    <t>17/24</t>
  </si>
  <si>
    <t>GARLOC TRANSPORTES, LOGISTICA E LOCAÇÕES LTDA
CNPJ - 69.205.789/0001-13</t>
  </si>
  <si>
    <t>VINICIUS BRUM DA SILVA</t>
  </si>
  <si>
    <t>Alex Bueno Alves</t>
  </si>
  <si>
    <t xml:space="preserve">José Benedito Pereira Lopes
</t>
  </si>
  <si>
    <t>24/04/26 A 23/04/27</t>
  </si>
  <si>
    <t>2413/23</t>
  </si>
  <si>
    <t>596/24</t>
  </si>
  <si>
    <t>pp 54/23</t>
  </si>
  <si>
    <t>CONTRATOS COM VENCIMENTO: MAIO 2027</t>
  </si>
  <si>
    <t>13/25</t>
  </si>
  <si>
    <t>ALEX REPARAÇÃO DE MÁQUINAS LTDA
CNPJ/MF sob o nº 05.820.499/0001-05</t>
  </si>
  <si>
    <t>Felipe Vieira de Sá dos Santos CPF: 361.930.868-38</t>
  </si>
  <si>
    <t>Lucas Pereira Marques CPF: 415.829.618-83</t>
  </si>
  <si>
    <t>CONTRATAÇÃO DE EMPRESA ESPECIALIZADA PARA INSTALAÇÃO E MANUTENÇÃO DE APARELHOS CONDICIONADORES DE AR, NAS UNIDADES DE SAÚDE DO MUNICÍPIO DE RIO GRANDE DA SERRA</t>
  </si>
  <si>
    <t>19/05/25 A 19/05/26
19/05/26 A 18/05/27</t>
  </si>
  <si>
    <t>733/24</t>
  </si>
  <si>
    <t>950/25</t>
  </si>
  <si>
    <t>AJUSTE 2025000000361
ADITIVO 2026000000038</t>
  </si>
  <si>
    <t>PE 04/25</t>
  </si>
  <si>
    <t>03/12/2025
14/05/2026</t>
  </si>
  <si>
    <t>11/12/2025
18/05/2026</t>
  </si>
  <si>
    <t>ACRÉSCIMO 15.2%
REAJUSTE 4,14%</t>
  </si>
  <si>
    <t>15/26</t>
  </si>
  <si>
    <t>EBD BIOTECH IMPORTAÇÃO E COMERCIO DE PRODUTOS MÉDICOS HOSPITALARES LTDA
CNPJ Nº 13.977.106/0001-91</t>
  </si>
  <si>
    <t>Renata Cassimiro dos Reis
CPF:
411.978.028-78</t>
  </si>
  <si>
    <t>Leonardo de Oliveira
CPF:
387.442.738-27</t>
  </si>
  <si>
    <t>AQUISIÇÃO DE TESTE RÁPIDO PARA DETECÇÃO DE ANTÍGENO NS1 PARA O VÍRUS DA DENGUE</t>
  </si>
  <si>
    <t>20/05/2026 A 19/05/2027</t>
  </si>
  <si>
    <t>19/26</t>
  </si>
  <si>
    <t>836/26</t>
  </si>
  <si>
    <t>PE 17/26</t>
  </si>
  <si>
    <t>R$ 8.400,00</t>
  </si>
  <si>
    <t>CONTRATOS COM VENCIMENTO: JULHO 2027</t>
  </si>
  <si>
    <t>29/25</t>
  </si>
  <si>
    <t>NOROESTE COMERCIAL DE SUPRIMENTOS LTDA
CNPJ/MF sob o nº 01.148.472/0001-59</t>
  </si>
  <si>
    <t xml:space="preserve">FABIANA BÉDIA DA SILVA LOPES
CPF/MF sob o nº. 270.620.848-16
</t>
  </si>
  <si>
    <t xml:space="preserve">Bruno Henrique Rioichi Uchiyama
CPF: 390.183.978-06
</t>
  </si>
  <si>
    <t xml:space="preserve">Alexandre Petrokas Meskele
CPF: 285.077.288-71
</t>
  </si>
  <si>
    <t>02/07/25 A 02/07/26</t>
  </si>
  <si>
    <t>490/2025</t>
  </si>
  <si>
    <t>1272/2025</t>
  </si>
  <si>
    <t>NÃO PRECISA VALOR MÍNIMO</t>
  </si>
  <si>
    <t>DISP 23/25</t>
  </si>
  <si>
    <t>28/24</t>
  </si>
  <si>
    <t xml:space="preserve">NATALIA MIRANDA DE ALMEIDA YAMADA
CPF - 255.360.898-54
GILMAR MIRANDA DE ALMEIDA YAMADA
CPF - 280.472.208-29 </t>
  </si>
  <si>
    <t>MEIO AMBIENTE</t>
  </si>
  <si>
    <t>VINICIUS CARVALHO AMANTE</t>
  </si>
  <si>
    <t>GUSTAVO SOARES GOMES</t>
  </si>
  <si>
    <t>LOCAÇÃO DE IMÓVEL PARA INSTALAÇÃO DE CLINICA VETERINÁRIA E CRIAÇÃO DO DEPARTAMENTO DE BEM ESTAR ANIMAL VINCULADA A SECRETARIA DE VERDE E MEIO AMBIENTE</t>
  </si>
  <si>
    <t>36 MESES</t>
  </si>
  <si>
    <t>04/07/24 A 04/07/27</t>
  </si>
  <si>
    <t>1078/24</t>
  </si>
  <si>
    <t>1379/2024</t>
  </si>
  <si>
    <t>INEX 08/24</t>
  </si>
  <si>
    <t>CONTRATOS COM VENCIMENTO: SETEMBRO 2027</t>
  </si>
  <si>
    <t>38/24</t>
  </si>
  <si>
    <t>COOPERATIVA DOS RECICLADORES DO BRASIL - RECIBRAS
CNPJ - 13.439.287/0001-00</t>
  </si>
  <si>
    <t>COOPERATIVA OU ASSOCIAÇÃO DE CATADORES DE MATERIAIS RECICLÁVEIS APTA A TRIAR, BENEFICIAR E COMERCIALIZAR RESÍDUOS POTENCIALMENTE RECICLÁVEIS PROVENIENTES DO MUNICÍPIO DE RIO GRANDE DA SERRA, BEM COMO GESTÃO DOS PONTOS DE ENTREGA VOLUNTÁRIA (PEV'S), ECOPONTOS E ESTRUTURAS DE APOIO (UNIDADE DE TRIAGEM), ATRAVÉS DA ASSINATURA DE TERMO DE COLABORAÇÃO PRÓPRIO</t>
  </si>
  <si>
    <t>37 MESES</t>
  </si>
  <si>
    <t>16/09/24 a 16/09/27</t>
  </si>
  <si>
    <t>999/23</t>
  </si>
  <si>
    <t>1768/2024</t>
  </si>
  <si>
    <t>CHAMAMENTO 35/24</t>
  </si>
  <si>
    <t>CONTRATOS COM VENCIMENTO: OUTUBRO 2027</t>
  </si>
  <si>
    <t>43/24</t>
  </si>
  <si>
    <t>MÁRIO HIROSHI ISHIHARA
CPF - 155.330.198-63</t>
  </si>
  <si>
    <t>YURI KALED</t>
  </si>
  <si>
    <t>ADEMIR APARECIDO DE SOUZA</t>
  </si>
  <si>
    <t>ALAN JULIEZ DE SOUZA</t>
  </si>
  <si>
    <t>LOCAÇÃO DO IMÓVEL SITUADO NO MUNÍCIPIO DE RIO GRANDE DA SERRA, NA RUA AGOSTINHO CARDOSO, Nº 176, VILA FIGUEIREDO, RIO GRANDE DA SERRA, PARA SEDIAR AS INSTALAÇÕES DA GUARDA CIVIL MUNICIPAL</t>
  </si>
  <si>
    <t>07/10/24 a 07/10/27</t>
  </si>
  <si>
    <t>1585/24</t>
  </si>
  <si>
    <t>1991/2024</t>
  </si>
  <si>
    <t>INEX 14/24</t>
  </si>
  <si>
    <t>CONTRATOS COM VENCIMENTO: AGOSTO 2028</t>
  </si>
  <si>
    <t>24/23</t>
  </si>
  <si>
    <t>GLOBALNET SERVIÇOS E INFORMÁTICA LTDA
CNPJ  19.421.083/0001-10</t>
  </si>
  <si>
    <t>Daniela Brandão</t>
  </si>
  <si>
    <t>Leandro da Silva</t>
  </si>
  <si>
    <t>AQUISIÇÃO DE LINHA TELEFÔNICA MÓVEL DESTINADA A ATENDER DENÚNCIAS DE VIOLÊNCIA DOMÉSTICA, ORIUNDAS DO PROJETO GUARDIÃ MARIA DA PENHA</t>
  </si>
  <si>
    <t>18/08/23 a 18/08/24</t>
  </si>
  <si>
    <t>794/23</t>
  </si>
  <si>
    <t>1836/23</t>
  </si>
  <si>
    <t>CD 144/23</t>
  </si>
  <si>
    <t>FALTA ORDEM DE INÍCIO</t>
  </si>
  <si>
    <t>CONTRATOS COM VENCIMENTO: OUTUBRO 2028</t>
  </si>
  <si>
    <t>43/23</t>
  </si>
  <si>
    <t>CONTRATANTE, e  COMPANHIA DE PROCESSAMENTO DE DADOS DO ESTADO DE SÃO PAULO – PRODESP
CNPJ - 62.577.929/0001-35</t>
  </si>
  <si>
    <t>Alexsandra</t>
  </si>
  <si>
    <t>Daniela Aparecida Ferreira Magalhães Terra</t>
  </si>
  <si>
    <t>PRESTAÇÃO DE SERVIÇOS DE PUBLICIDADE LEGAL DE TODOS OS ATOS DE INTERESSE DA CONTRATANTE, PELO SISTEMA ON-LINE, NOS RESPECTIVOS CADERNOS DO “DIÁRIO OFICIAL DO ESTADO DE SÃO PAULO”.</t>
  </si>
  <si>
    <t>60 MESES</t>
  </si>
  <si>
    <t>04/10/23A 04/10/28</t>
  </si>
  <si>
    <t>2535/23</t>
  </si>
  <si>
    <t>56/2024</t>
  </si>
  <si>
    <t>DP 19/23</t>
  </si>
  <si>
    <t>CONTRATOS COM VENCIMENTO: NOVEMBRO/2028</t>
  </si>
  <si>
    <t>44/25</t>
  </si>
  <si>
    <t>TYKINV ADMINISTRAÇÃO E PARTICIPAÇÕES S.A CNPJ de nº 12.859.355/0001-10</t>
  </si>
  <si>
    <t>Elias de Lima Meneses CPF: 304.013.528
70</t>
  </si>
  <si>
    <t>Gilmar Herculano 091.984.648 33</t>
  </si>
  <si>
    <t>Cesar Eduardo Leite Theodoro CPF: 028.643.118 10</t>
  </si>
  <si>
    <t>LOCAÇÃO DE IMÓVEL PARA INSTALAÇÃO DE LOCAÇÃO DE IMÓVEL
PARA SEDIAR A SECRETARIA DE SEGURANÇA URBANA, TRÂNSITO E DEFESA
CIVIL DE RIO GRANDE DA SERRA.</t>
  </si>
  <si>
    <t>03/11/2025 A 03/11/2028</t>
  </si>
  <si>
    <t>56/2025</t>
  </si>
  <si>
    <t>2142/2025</t>
  </si>
  <si>
    <t>LICITAÇÃO 	2025000000203</t>
  </si>
  <si>
    <t>AJUSTE 2025000000723</t>
  </si>
  <si>
    <t>INEX 18/25</t>
  </si>
  <si>
    <t>VALOR REFERENTE AO 1 ANO DA LOCAÇÃO</t>
  </si>
  <si>
    <t>CONTRATOS COM VENCIMENTO: FEVEREIRO/2029</t>
  </si>
  <si>
    <r>
      <rPr>
        <rFont val="Calibri"/>
        <color theme="1"/>
        <sz val="11.0"/>
      </rPr>
      <t xml:space="preserve">1º Período 01/03/25 A 28/02/27
</t>
    </r>
    <r>
      <rPr>
        <rFont val="Calibri"/>
        <b/>
        <color theme="1"/>
        <sz val="11.0"/>
      </rPr>
      <t>2º Período 01/03/27 a 28/02/29</t>
    </r>
  </si>
  <si>
    <t>CONTRATOS COM VENCIMENTO: MAIO/2029</t>
  </si>
  <si>
    <t>16/26</t>
  </si>
  <si>
    <t>AUTOMEC CONCORDE COMÉRCIO DE VEÍCULOS NOVOS E USADOS LTDA CNPJ/MF sob o nº 27.221.841/0001-85</t>
  </si>
  <si>
    <t>Silvana Moraes Branco Conceição CPF: 140.431.098-30</t>
  </si>
  <si>
    <t>Alexandre Petrokas Meskele CPF: 285.077.288-71</t>
  </si>
  <si>
    <t xml:space="preserve">AQUISIÇÃO DE VEÍCULOS PARA ATENDER AS NECESSIDADES DA SECRETARIA DE SAÚDE </t>
  </si>
  <si>
    <t>20/05/2026 A 19/05/2029</t>
  </si>
  <si>
    <t>1765/25</t>
  </si>
  <si>
    <t>SERÁ UTILIZADO O PROCESSO ADMNISTRATIVO 1765/25</t>
  </si>
  <si>
    <t>PE 19/26</t>
  </si>
  <si>
    <t>CONTRATOS COM VENCIMENTO: SETEMBRO 2029</t>
  </si>
  <si>
    <t>Aditivo</t>
  </si>
  <si>
    <t>OSC APAE - ASSOCIAÇÃO DE PAIS E AMIGOS DOS EXCEPCIONAIS DE RIO GRANDE DA SERRA CPNJ: 50.169.515/0001-98</t>
  </si>
  <si>
    <t>Luís Fernando Pinotti Silva</t>
  </si>
  <si>
    <t>Termo de colaboração o atendimento de pacientes encaminhados pela Secretaria Municipal de Saúde à Organização Social, bem como demanda espontânea, para atendimento e tratamento de reabilitação/habilitação física e intelectual à pessoa com deficiência atendidas pelo Sistema Único de Saúde, encaminhamentos para as especialidades médicas de neurologia, psiquiatria bem como tratamentos de fisioterapia, fonoaudiologia, psicologia e outros para reabilitação e habilitação, com repasse efetuado pelo município em decorrência de incentivo repassado pelo Ministério da Saúde à municipalidade, nos moldes da Portaria GM/MS n° 835 de 25/04/2012.</t>
  </si>
  <si>
    <t>31/01/2024 à 31/01/2029</t>
  </si>
  <si>
    <t>2575/2018</t>
  </si>
  <si>
    <t>NÃO CADASTRADO</t>
  </si>
  <si>
    <t>Inexigibilidade nº 1/2018</t>
  </si>
  <si>
    <t>CONTRATOS COM VENCIMENTO: DEZEMBRO 2030</t>
  </si>
  <si>
    <t>12/25</t>
  </si>
  <si>
    <t>INSTITUTO BRASILEIRO DE ADMINISTRAÇÃO MUNICIPAL IBAM 
CNPJ Nº: 33.645.482/0001-96</t>
  </si>
  <si>
    <t>Milton De Souza Martins</t>
  </si>
  <si>
    <t xml:space="preserve">Natalia Virginia Calefe </t>
  </si>
  <si>
    <t>CONTRATAÇÃO DE INSTITUIÇÃO PARA PRESTAÇÃO DE SERVIÇOS TÉCNICOS ESPECIALIZADOS PARA ORGANIZAÇÃO E REALIZAÇÃO DE CONCURSOS PÚBLICOS E PROCESSOS SELETIVOS, COMPREENDENDO A ELABORAÇÃO, DIAGRAMAÇÃO, IMPRESSÃO, LOGÍSTICA, SUPERVISÃO, APLICAÇÃO DE PROVAS, ANÁLISE DE PROVAS DE TÍTULOS, JULGAMENTO DE RECURSOS, PROCESSAMENTO E DIVULGAÇÃO DE RESULTADOS</t>
  </si>
  <si>
    <t>25/04/25 a 25/04/30</t>
  </si>
  <si>
    <t>305/2025</t>
  </si>
  <si>
    <t>780/2025</t>
  </si>
  <si>
    <t>NÃO CADASTRADO POIS A DISPENSA NÃO FOI ENVIADA</t>
  </si>
  <si>
    <t xml:space="preserve">DISPENSA Nº 06/2025 </t>
  </si>
  <si>
    <t xml:space="preserve">RECEITA 
Fundamental  R$ 54,30
Médio/Técnico  R$ 67,80
Superior  R$ 92,00
</t>
  </si>
  <si>
    <t xml:space="preserve">10 ANOS CONTADOS DA ASSINATURA </t>
  </si>
  <si>
    <t>17/20</t>
  </si>
  <si>
    <t>GUERNICA SERVIÇOS LTDA
CNPJ - 21.609.429/0001-50</t>
  </si>
  <si>
    <t>CONCESSÃO ONEROSA PARA PRESTAÇÃO DE SERVIÇOS PÚBLICOS PARA REMOÇÃO E GUARDA DE VEÍCULOS INFRATORES</t>
  </si>
  <si>
    <t>08/12/20 a 08/12/30</t>
  </si>
  <si>
    <t>1013/20</t>
  </si>
  <si>
    <t>93/21</t>
  </si>
  <si>
    <t>2022000000024 - AJUSTE 2022000000101</t>
  </si>
  <si>
    <t>CO 02/20</t>
  </si>
  <si>
    <t>RECEITA DE 45% DA RECEITA LÍQUIDA</t>
  </si>
  <si>
    <t>CONTRATOS COM VENCIMENTO: NOVEMBRO 2033</t>
  </si>
  <si>
    <t>27/23</t>
  </si>
  <si>
    <t>EASY PARKING ESTACIONAMENTO ROTATIVO
CNPJ - 20.515.202/0001-83</t>
  </si>
  <si>
    <t>Charles David Faustino Fumagalli</t>
  </si>
  <si>
    <t>Izaias Fernandes</t>
  </si>
  <si>
    <t>Paulo Roberto do Prado</t>
  </si>
  <si>
    <t>CONCESSÃO VISANDO A PRESTAÇÃO DE SERVIÇO DE IMPLANTAÇÃO, ADMINISTRAÇÃO, MANUTENÇÃO, OPERAÇÃO E GERENCIAMENTO DAS ÁREAS DESTINADAS AO ESTACIONAMENTO ROTATIVO PAGO DE VEÍCULOS AUTOMOTORES, BEM COMO A IMPLANTAÇÃO E MANUTENÇÃO DA SINALIZAÇÃO HORIZONTAL E VERTICAL NAS VIAS E LOGRADOUROS PÚBLICOS DESTINADOS AO ESTACIONAMENTO ROTATIVO</t>
  </si>
  <si>
    <t>10 anos</t>
  </si>
  <si>
    <t>24/07/23 A 24/07/33</t>
  </si>
  <si>
    <t>1674/22</t>
  </si>
  <si>
    <t>1367/23</t>
  </si>
  <si>
    <t>Auste 2023000000334</t>
  </si>
  <si>
    <t>CO 02/23</t>
  </si>
  <si>
    <t>RECEITA DE 28,99% DA RECEITA LÍQUIDA</t>
  </si>
  <si>
    <t xml:space="preserve">Aditivo SUSPENSÃO </t>
  </si>
  <si>
    <t>Elias de Lima Meneses
CPF: 304.013.528-70</t>
  </si>
  <si>
    <t>Carlos Roberto do Prado CPF: 179.069.598-84</t>
  </si>
  <si>
    <t xml:space="preserve">10 anos </t>
  </si>
  <si>
    <t>24/07/23 a 24/11/33</t>
  </si>
  <si>
    <t>Aditivo  2025000000039</t>
  </si>
  <si>
    <t>10 ANOS CONTADOS DA ASSINATURA, CONTRTO FOI SUSPENSO POR 120 DIAS - 4 MESES, ALTERADO O PRAZO DE VIGÊNCIA COM TÉRMINO EM 24/11/2033</t>
  </si>
  <si>
    <t>CONTRATOS COM VENCIMENTO: MAIO 2034</t>
  </si>
  <si>
    <t>14/24</t>
  </si>
  <si>
    <t>SERRA LUZ SPE LTDA 
CNPJ - 54.788.172/0001-09</t>
  </si>
  <si>
    <t>Leandro Dias Florêncio</t>
  </si>
  <si>
    <t>João Victor Silva</t>
  </si>
  <si>
    <t>CONTRATAÇÃO DE PESSOA JURÍDICA ESPECIALIZADA PARA REORDENAÇÃO/SUBSTITUIÇÃO DA REDE DE ILUMINAÇÃO PÚBLICA; LOCAÇÃO DE ATIVOS DE EQUIPAMENTOS DE ILUMINAÇÃO E GESTÃO INTELIGENTE E MANUTENÇÃO PREVENTIVA	QUE DEVERÃO SER INSTALADOS COM REVERSÃO AO PATRIMÔNIO DA ADMINISTRAÇÃO PÚBLICA AO TÉRMINO DO CONTRATO</t>
  </si>
  <si>
    <t>120 MESES</t>
  </si>
  <si>
    <t>29/05/24 A 29/05/34</t>
  </si>
  <si>
    <t>60/24</t>
  </si>
  <si>
    <t>988/24</t>
  </si>
  <si>
    <t>PP 04/24</t>
  </si>
  <si>
    <t>CONTRATOS COM VENCIMENTO: NOVEMBRO 2040</t>
  </si>
  <si>
    <t>1° ADITIVO</t>
  </si>
  <si>
    <t>ELIAS DE LIMA MENESES CPF 304.013.528-70</t>
  </si>
  <si>
    <t xml:space="preserve">MAURO MUNHOZ MARTINS FERNANDES CPF 343.796.018-03 </t>
  </si>
  <si>
    <t>ALEXANDRE DE LIMA CAMPOS CPF: 182.863.398-43</t>
  </si>
  <si>
    <t>CONCESSÃO ONEROSA PARA EXPLORAÇÃO E EXECUÇÃO DOS SERVIÇOS DO TRANSPORTE PÚBLICO COLETIVO URBANO DE PASSAGEIROS DE RIO GRANDE DA SERRA</t>
  </si>
  <si>
    <t>15 ANOS</t>
  </si>
  <si>
    <t>05/11/2010 A 05/11/2025
05/11/2025 A 05/11/2040</t>
  </si>
  <si>
    <t>VIGÊNCIA MESES</t>
  </si>
  <si>
    <t>ASSINATURA ATUAL</t>
  </si>
  <si>
    <t>14/25</t>
  </si>
  <si>
    <t xml:space="preserve">ATN CAMPOS COMÉRCIO, PRESTAÇÃO DE SERVIÇOS, IMPORTAÇÃO E EXPORTAÇÃO LTDA
CNPJ/MF sob o nº 54.682.221/0001-16
</t>
  </si>
  <si>
    <t>Elza dos Anjos Iwasaki</t>
  </si>
  <si>
    <t>CONTRATAÇÃO DE EMPRESA PARA CONFECÇÃO DE 03 (TRÊS) UNIDADES DE PLACAS DE IDENTIFICAÇÃO, INCLUINDO O DESENVOLVIMENTO DE ARTE E INSTALAÇÃO, PARA ATENDER ÀS NECESSIDADES DA SECRETARIA DA FAMÍLIA E DESENVOLVIMENTO SOCIAL</t>
  </si>
  <si>
    <t>19/05/25 A 19/05/26</t>
  </si>
  <si>
    <t>547/25</t>
  </si>
  <si>
    <t>DP 08/25</t>
  </si>
  <si>
    <t>02/2026</t>
  </si>
  <si>
    <t>SIMONI INDUSTRIA GRAFICA LTDA
CNPJ/MF Sob o nº 37.652.289/0001-33</t>
  </si>
  <si>
    <t>FAMÍLIA</t>
  </si>
  <si>
    <t>KÁTIA NÉRIS DA SILVA</t>
  </si>
  <si>
    <t>Rodrigo do Carmo Santos</t>
  </si>
  <si>
    <t>AQUISIÇÃO DE PLACAS DE IDENTIFICAÇÃO, BANNER, FOLDERS E DEMAIS MATERIAIS, COM A FINALIDADE DE ESTRUTURAR OS AMBIENTES DA SECRETARIA E SEUS EQUIPAMENTOS INCLUINDO O NOVO ESPAÇO DO CENTRO DE REFERÊNCIA DE ASSISTÊNCIA SOCIAL (CRAS) E FACILITAR O ACESSO DA POPULAÇÃO AOS SERVIÇOS OFERECIDOS</t>
  </si>
  <si>
    <t>30 DIAS</t>
  </si>
  <si>
    <t>14/04/2026 A 13/05/2026</t>
  </si>
  <si>
    <t>1901/2025</t>
  </si>
  <si>
    <t>PE 39/2025</t>
  </si>
  <si>
    <t>R$ 15.000,00</t>
  </si>
  <si>
    <t>15/25</t>
  </si>
  <si>
    <t>ATN CAMPOS COMÉRCIO, PRESTAÇÃO DE SERVIÇOS, IMPORTAÇÃO E EXPORTAÇÃO LTDA</t>
  </si>
  <si>
    <t>DESENVOLVIMENTO</t>
  </si>
  <si>
    <t>André Martins Caparroz CPF 292.921.258-69</t>
  </si>
  <si>
    <t>Cristopher Ferraz Araujo CPF 228.469.558-24</t>
  </si>
  <si>
    <t>Isabella Favero Fazani CPF 450.711.818-27</t>
  </si>
  <si>
    <t>AQUISIÇÃO DE 02 (DOIS) TOTENS DE INFORMAÇÃO TURÍSTICA, A SEREM ALOCADOS EM ESPAÇOS ESTRATÉGICOS E DE GRANDE CIRCULAÇÃO NO MUNICÍPIO DE RIO GRANDE DA SERRA</t>
  </si>
  <si>
    <t>28/05/25 a 28/05/25</t>
  </si>
  <si>
    <t>386/25</t>
  </si>
  <si>
    <t>1164/2025</t>
  </si>
  <si>
    <t>DP 14/25</t>
  </si>
  <si>
    <t>DESINTERESSE  MANIFESTO POR E-MAIL EM 22/04/2026, ÀS 10:43 - QUARTA-FEIRA</t>
  </si>
  <si>
    <t>09/24</t>
  </si>
  <si>
    <t xml:space="preserve">ZENITE PROJETOS E CONSTRUÇÕES LTDA
CNPJ: 46.294.771/0001-30 </t>
  </si>
  <si>
    <t>KLEBER AVELINO DE OLIVEIRA CPF: 373.855.598-67</t>
  </si>
  <si>
    <t>JOÃO VICTOR SILVA CPF: 484.664.358-16</t>
  </si>
  <si>
    <t xml:space="preserve">CONTRATAÇÃO DE EMPRESA PARA PRESTAÇÃO DE SERVIÇOS DE ELABORAÇÃO DE ESTUDO PRELIMINAR, PROJETOS BÁSICOS/EXECUTIVOS MULTIDISCIPLINARES PARA IMPLANTAÇÃO DO CONJUNTO HABITACIONAL E URBANIZAÇÃO, BEM COMO A ELABORAÇÃO DA DOCUMENTAÇÃO LEGAL E SERVIÇOS DE APROVAÇÃO EM TODOS OS ÓRGÃOS PÚBLICOS COMPETENTES PARA IMPLANTAÇÃO DO EMPREENDIMENTO RIO GRANDE DA SERRA </t>
  </si>
  <si>
    <t>11 MESES</t>
  </si>
  <si>
    <t>13/05/2024 A 13/04/2025</t>
  </si>
  <si>
    <t>1708/2023</t>
  </si>
  <si>
    <t>622/24</t>
  </si>
  <si>
    <t>CO 16/23</t>
  </si>
  <si>
    <t>LEANDRO DIAS FLORÊNCIO CPF: 335.659.528-81</t>
  </si>
  <si>
    <t>LEILA ANDREASSI DE CASTRO CPF: 235.681.298-92</t>
  </si>
  <si>
    <t>GUILHERME TADEU APARECIDO DE OLIVEIRA DIAS DO PRADO CPF: 414.046.498-40</t>
  </si>
  <si>
    <t>13/04/2025 A 13/03/2026</t>
  </si>
  <si>
    <t>PRORROCAÇÃO SOMENTE DE PRAZO</t>
  </si>
  <si>
    <t>48/25</t>
  </si>
  <si>
    <t>PROJESOL ENGENHARIA LTDA CNPJ/MF sob o nº 38.517.835/0001 96</t>
  </si>
  <si>
    <t>GOVERNO</t>
  </si>
  <si>
    <t>Maciel Manoel de Oliveira CPF: 131.613.048 70</t>
  </si>
  <si>
    <t>Aline Macruz CPF: 379.914.218 56</t>
  </si>
  <si>
    <t>Karine Roque Nascimento CPF: 389.766.778 97</t>
  </si>
  <si>
    <t>CONTRATAÇÃO DE EMPRESA(S) ESPECIALIZADA(S) NA PRESTAÇÃO DE SERVIÇOS DE TOPOGRAFIA E SONDAGEM PARA IMPLANTAÇÃO DE UNIDADES HABITACIONAIS MINHA CASA, MINHA VIDA FHNIS SUB 50</t>
  </si>
  <si>
    <t>03 MESES</t>
  </si>
  <si>
    <t>01/12/2025 A 01/03/2025</t>
  </si>
  <si>
    <t>2241/2025</t>
  </si>
  <si>
    <t>2212/2025</t>
  </si>
  <si>
    <t>AJUSTE 2025000000809</t>
  </si>
  <si>
    <t>DP Nº 41/25</t>
  </si>
  <si>
    <t>33/23</t>
  </si>
  <si>
    <t>CONTRATAÇÃO DE EMPRESA PARA EXECUÇÃO DE PAVIMENTAÇÃO, DRENAGEM E SINALIZAÇÃO DE VIA URBANA – CHÁCARA SÃO PAULO</t>
  </si>
  <si>
    <t>26/05/25 A 20/02/26</t>
  </si>
  <si>
    <t>1864/22</t>
  </si>
  <si>
    <t>1552/23</t>
  </si>
  <si>
    <t>AJUSTE
2023000000344
1º ADITIVO
2024000000032
2º ADITIVO
2025000000055</t>
  </si>
  <si>
    <t>CO 9/23</t>
  </si>
  <si>
    <t>ATIVA HEALTH SERVIÇOS MÉDICOS LTDA
 CNPJ: 35.697.111/0001-83</t>
  </si>
  <si>
    <t xml:space="preserve">Felipe Vieira de Sá dos Santos
CPF: 361.930.868-38
</t>
  </si>
  <si>
    <t xml:space="preserve">Alessandro dos Santos Possidônio Silva
CPF: 192.252.648-79
</t>
  </si>
  <si>
    <t xml:space="preserve">Telma Moraes Pires
CPF: 263.971.178-47
</t>
  </si>
  <si>
    <t>CONTRATAÇÃO EMERGENCIAL DE EMPRESA PARA PRESTAÇÃO DE SERVIÇOS DE ASSISTÊNCIA À SAÚDE, COMPOSTOS POR ATIVIDADES MÉDICAS ASSISTENCIAIS, SERVIÇOS DE DIAGNÓSTICOS: RAIO-X, ULTRASSONOGRAFIA, MAMOGRAFIA E EXAMES LABORATORIAIS, COM FORNECIMENTO DE EQUIPAMENTOS E MÃO DE OBRA, EXCETO APARELHO DE USG E MAMÓGRAFO QUE PERTENCEM A PREFEITURA MUNICIPAL DE RIO GRANDE DA SERRA, DESTINADOS À COMPLEMENTAR E ATENDER ÀS NECESSIDADES DAS UNIDADES BÁSICA DE SAÚDE, UPA – UNIDADE DE PRONTO ATENDIMENTO E CEME – CENTRO DE ESPECIALIDADES MÉDICAS DA SECRETARIA MUNICIPAL DE SAÚDE DE RIO GRANDE DA SERRA</t>
  </si>
  <si>
    <t>06 meses</t>
  </si>
  <si>
    <t>13/08/25 a 13/02/26</t>
  </si>
  <si>
    <t>212/2025</t>
  </si>
  <si>
    <t>346/2025</t>
  </si>
  <si>
    <t>DP 02/25</t>
  </si>
  <si>
    <t>32/24</t>
  </si>
  <si>
    <t>LMM ENGENHARIA E SERVIÇOS LTDA
CNPJ - 44.626.011/0001-57</t>
  </si>
  <si>
    <t>Adriano de Sousa Pereira</t>
  </si>
  <si>
    <t>CONTRATAÇÃO DE EMPRESA ESPECIALIZADA EM ENGENHARIA OU ARQUITETURA PARA A ADAPTAÇÃO DE IMÓVEL DESTINADO AO CENTRO DE ESPECIALIDADES MÉDICAS (CEME)</t>
  </si>
  <si>
    <t>360 DIAS</t>
  </si>
  <si>
    <t>15/08/25 A 11/02/26</t>
  </si>
  <si>
    <t>531/24</t>
  </si>
  <si>
    <t>1602/24</t>
  </si>
  <si>
    <t>2024000000461
1º aditivo
2025000000081</t>
  </si>
  <si>
    <t>CO 05/24</t>
  </si>
  <si>
    <t>19/22</t>
  </si>
  <si>
    <t>TULIO CASSAROTTI JUNIOR
CPF - 155.335.868-65</t>
  </si>
  <si>
    <t>ELZA DOS ANJOS IWASAKI</t>
  </si>
  <si>
    <t>LOCAÇÃO DE IMÓVEL LOCALIZADO NA RUA SANTA BRANCA, Nº 24, JARDIM SANTA TEREZA, RIO GRANDE DA SERRA/SP, ONDE ESTÁ INSTALADO O CENTRO DE REFERENCIA DE ASSISTÊNCIA SOCIAL - CRAS, PARA ATENDER A SECRETARIA DE CIDADANIA E INCLUSÃO SOCIAL</t>
  </si>
  <si>
    <t>CLÁUSULA RESOLUTIVA
CONTRATO ENCERRADO</t>
  </si>
  <si>
    <t>07/09/25 À 07/09/26</t>
  </si>
  <si>
    <t>1034/2022</t>
  </si>
  <si>
    <t>1675/2022</t>
  </si>
  <si>
    <t>ADITIVO 3
2025000000084</t>
  </si>
  <si>
    <t>DP 15/22</t>
  </si>
  <si>
    <t>CLÁUSULA RESOLUTIVA</t>
  </si>
  <si>
    <t>45/24</t>
  </si>
  <si>
    <t>VITÓRIA SERVIÇOS OPERACIONAIS LTDA
CNPJ - 10.354.733/0001-88</t>
  </si>
  <si>
    <t>João Victor Silva CPF: 484.664.358-16</t>
  </si>
  <si>
    <t>CONTRATAÇÃO DE EMPRESA ESPECIALIZADA EM ENGENHARIA PARA CONSTRUÇÃO DO TERMINAL RODOVIÁRIO MUNICIPAL NO MUNICÍPIO DE RIO GRANDE DA SERRA – ETAPA 07</t>
  </si>
  <si>
    <t>30/09/2024 A 30/12/2025</t>
  </si>
  <si>
    <t>343/24</t>
  </si>
  <si>
    <t>1867/2024</t>
  </si>
  <si>
    <t>CO 03/24</t>
  </si>
  <si>
    <t>39/25</t>
  </si>
  <si>
    <t>CONTRATO
sem renovação</t>
  </si>
  <si>
    <t>BIOLIFE MANUTENÇÃO DE EQUIPAMENTOS HOSPITALARES
CNPJ:57.367.453/0001-78</t>
  </si>
  <si>
    <t xml:space="preserve">Felipe Vieira de Sá dos Santos
CPF: 361.930.868-38 </t>
  </si>
  <si>
    <t xml:space="preserve">Alessandro dos Santos Possidônio Silva 
CPF: 192.252.648-79
</t>
  </si>
  <si>
    <t>CONTRATAÇÃO DE EMPRESA ESPECIALIZADA PARA A PRESTAÇÃO DE SERVIÇOS DE MANUTENÇÃO PREVENTIVA E CORRETIVA DOS VENTILADORES PULMONARES DA UNIDADE DE PRONTO ATENDIMENTO (UPA) DE RIO GRANDE DA SERRA</t>
  </si>
  <si>
    <t>90 DIAS</t>
  </si>
  <si>
    <t>03/10/2025 A 01/01/2026</t>
  </si>
  <si>
    <t>1246/25</t>
  </si>
  <si>
    <t>2018/2025</t>
  </si>
  <si>
    <t>AJUSTE
2025000000684</t>
  </si>
  <si>
    <t>INEX 17/25</t>
  </si>
  <si>
    <t>VIGÊNCIA A PARTIR DA PUBLICAÇÃO</t>
  </si>
  <si>
    <t>34/2022</t>
  </si>
  <si>
    <t>2º ADITIVO</t>
  </si>
  <si>
    <t>IGEVE - INSTITUTO DE GESTÃO EDUCACIONAL E VALORIZAÇÃO DO ENSINO 
CNPJ: 28.413.401/0001-92</t>
  </si>
  <si>
    <t>ALESSANDRA AMORA BARCHINI</t>
  </si>
  <si>
    <t>LAMARTINE DOURADO CAVALCANTE</t>
  </si>
  <si>
    <t>COMISSÃO DE AVALIAÇÃO E MONITORAMENTO - PORTARIA 717/22</t>
  </si>
  <si>
    <t xml:space="preserve">TERMO DE COLABORAÇÃO PARA O ATENDIMENTO DOS ALUNOS MATRICULADOS NA EDUCAÇÃO INFANTIL, BEM COMO A GESTÃO OPERACIONAL (NÃO PEDAGÓGICA) DAS UNIDADES ESCOLARES DE EJA (EDUCAÇÃO DE JOVENS E ADULTOS) E AEE (ATENDIMENTO EDUCACIONAL ESPECIALIZADO) E DE ENSINO FUNDAMENTAL 1. </t>
  </si>
  <si>
    <t>20/12/2024 A 20/12/2025</t>
  </si>
  <si>
    <t>1881/2022</t>
  </si>
  <si>
    <t>2479/2022</t>
  </si>
  <si>
    <t>NÃO SE TRATA DE PROCESSO LICITATÓRIO</t>
  </si>
  <si>
    <t>CHAMAMENTO PÚBLICO N° 02/22 - SEC</t>
  </si>
  <si>
    <t>53/24</t>
  </si>
  <si>
    <t>KONICA MINOLTA HEALTHCARE DO BRASIL INDÚSTRIA DE EQUIPAMENTOS MÉDICOS LTDA</t>
  </si>
  <si>
    <t>VALQUIRIA HELENA DOS SANTOS GONÇALVES</t>
  </si>
  <si>
    <t>NADJA MARIA SANTOS SILVA</t>
  </si>
  <si>
    <t xml:space="preserve">AQUISIÇÃO DE MAMÓGRAFO VISANDO ATENDER A SECRETARIA MUNICIPAL DE SAÚDE </t>
  </si>
  <si>
    <t>18/12/2024 A 18/12/2025</t>
  </si>
  <si>
    <t>487/2024</t>
  </si>
  <si>
    <t>PE 33/24</t>
  </si>
  <si>
    <t>46/24</t>
  </si>
  <si>
    <t>EDUARDO NELSON CANIL LTDA</t>
  </si>
  <si>
    <t>ADMINISTRAÇÃO/FINANÇAS</t>
  </si>
  <si>
    <t>Alex Sandro barroso Alves  e Cassio Roberto de Souza Pegoraro</t>
  </si>
  <si>
    <t>Gilmar Santana dos Santos</t>
  </si>
  <si>
    <t xml:space="preserve">José Uiliam Loiola da Silva </t>
  </si>
  <si>
    <t>CONTRATAÇÃO DE ESCRITÓRIO DE ADVOCACIA ESPECIALIZADO NA PRESTAÇÃO DE ASSESSORIA E CONSULTORIA JURÍDICA A SECRETARIA ADMINISTRATIVA E DE FINANÇAS, COM O FIM ESPECÍFICO DE IMPOSTO DE RENDA, O QUAL FOI REPASSADO INDEVIDAMENTE E RECEITA FEDERAL</t>
  </si>
  <si>
    <t>22/11/2024 A 22/11/2025</t>
  </si>
  <si>
    <t>1993/2024</t>
  </si>
  <si>
    <t>2243/2024</t>
  </si>
  <si>
    <t xml:space="preserve"> - - -</t>
  </si>
  <si>
    <t>INEX N° 16/24</t>
  </si>
  <si>
    <t>O valor equivalente a 20% (vinte por cento) do valor restituído.</t>
  </si>
  <si>
    <t>25/22</t>
  </si>
  <si>
    <t>FUNDAÇÃO DE APOIO À UNIVERSIDADE MUNICIPAL DE SÃO CAETANO DO SUL
CNPJ - 13.166.456/0001-78</t>
  </si>
  <si>
    <t>Alexsandra Silva Aguiar - CPF: 180.290.728-99</t>
  </si>
  <si>
    <t>Suzana Lopes Quintão Silva - CPF: 277.740.328-78</t>
  </si>
  <si>
    <t>Iasmin Maria da Silva - CPF: 390.280.658-30</t>
  </si>
  <si>
    <t>CONTRATAÇÃO DE EMPRESA ESPECIALIZADA PARA PRESTAÇÃO DE SERVIÇOS DE REVISÃO DA ESTRUTURA ADMINISTRATIVA ORGANIZACIONAL DA PREFEITURA DE RIO GRANDE DA SERRA</t>
  </si>
  <si>
    <t>12 Meses</t>
  </si>
  <si>
    <t>17/11/22 a 17/11/23</t>
  </si>
  <si>
    <t>1660/22</t>
  </si>
  <si>
    <t>2358/22</t>
  </si>
  <si>
    <t xml:space="preserve">LICITAÇÃO 2022000000118 </t>
  </si>
  <si>
    <t>DP 30/22</t>
  </si>
  <si>
    <t>Marcela Barbosa Porto - CPF: 365.896.138-42</t>
  </si>
  <si>
    <t>17/11/23 a 17/11/24</t>
  </si>
  <si>
    <t>PRORROGAÇÃO DE VIGÊNCIA</t>
  </si>
  <si>
    <t>Alex Barroso Alves - CPF: 140.234.958-08</t>
  </si>
  <si>
    <t>Gilmar Santana dos Santos - CPF: 381.836.618-74</t>
  </si>
  <si>
    <t>17/11/24 A 17/11/25</t>
  </si>
  <si>
    <t>47/24</t>
  </si>
  <si>
    <t>RESCISÃO</t>
  </si>
  <si>
    <t>WANDERLEI</t>
  </si>
  <si>
    <t>CONTRATAÇÃO DE EMPRESA ESPECIALIZADA PARA EXECUÇÃO DE RECAPEAMENTO E PAVIMENTAÇÃO ASFÁLTICA COM SINALIZAÇÃO VIÁRIA HORIZONTAL – ÁREA CENTRAL LOCALIZADA NA AVENIDA DOM PEDRO I – CENTRO – RIO GRANDE DA SERRA/SP</t>
  </si>
  <si>
    <t>300 DIAS</t>
  </si>
  <si>
    <t>FALTA OS</t>
  </si>
  <si>
    <t>1155/2024</t>
  </si>
  <si>
    <t>2253/2024</t>
  </si>
  <si>
    <t>CO 07/24</t>
  </si>
  <si>
    <t>40/23</t>
  </si>
  <si>
    <t>PRODESP - COMPANHIA DE PROCESSAMENTO DE DADOS DO ESTADO DE SÃO PAULO - CNPJ: 62.577.929/0001-35</t>
  </si>
  <si>
    <t>Mauro Munhoz Martins Fernandes</t>
  </si>
  <si>
    <t>PRESTAÇÃO DE SERVIÇOS TECNICOS DE INFORMATICA REALTIVO A CESSÃO DE INFORMAÇÕES DO BANCO DE DADOS DO DETRAN PARA O PROCESSAMENTO DE MULTAS DE TRÂNSITO</t>
  </si>
  <si>
    <t>OS 09/10/2023</t>
  </si>
  <si>
    <t>09/10/2025 A 09/10/2026</t>
  </si>
  <si>
    <t>1566/2023</t>
  </si>
  <si>
    <t>2534/2023</t>
  </si>
  <si>
    <t>ADITIVO
2023000000126</t>
  </si>
  <si>
    <t>DP 15/23</t>
  </si>
  <si>
    <t>PRORROGÁVEL NO LIMITE DE 60 MESES - LEI 8.666/93</t>
  </si>
  <si>
    <t>41/24</t>
  </si>
  <si>
    <t>ALESSANDRA</t>
  </si>
  <si>
    <t>Lamartine Dourado Cavalcante</t>
  </si>
  <si>
    <t>Ari Inácio de Souza</t>
  </si>
  <si>
    <t>30/09/24 À 30/09/25</t>
  </si>
  <si>
    <t>1908/2024</t>
  </si>
  <si>
    <t>AJUSTE 2024000000570</t>
  </si>
  <si>
    <t>PP 54/23</t>
  </si>
  <si>
    <t>39/24</t>
  </si>
  <si>
    <t>COMPANHIA BRASILEIRA DE CARTUCHOS
CNPJ - 57.494.031/0001-63</t>
  </si>
  <si>
    <t>Yuri Laled Lobato El Malat</t>
  </si>
  <si>
    <t>Ariane Fajoli de Souza</t>
  </si>
  <si>
    <t>AQUISIÇÃO DE MUNIÇÕES CBC 9MM LUGER ETOG 124GR E CBC 9MM LUGER+P EXPO 124GR BONDED A</t>
  </si>
  <si>
    <t>16/10/2024 A 16/10/2025</t>
  </si>
  <si>
    <t>1360/2024</t>
  </si>
  <si>
    <t>2001/2024</t>
  </si>
  <si>
    <t>AJUSTE 2024000000594</t>
  </si>
  <si>
    <t>INEX 12/2024</t>
  </si>
  <si>
    <t>18/25</t>
  </si>
  <si>
    <t>FL CONTROLE DE PRAGAS E SERVIÇO GERAIS LTDA</t>
  </si>
  <si>
    <t>CIBELY APARECIDA MIRANDA DOS SANTOS CPF: 462.455.488-45</t>
  </si>
  <si>
    <t>CONTRATAÇÃO DE EMPRESA PARA PRESTAÇÃO DE SERVIÇOS DE LIMPEZA DE CAIXA D’AGUA DAS UNIDADES: CRAS, CREAS, SAICA, CONSELHO TUTELAR E DA SECRETARIA DA FAMÍLIA E DESENVOLVIMENTO SOCIAL</t>
  </si>
  <si>
    <t>23/06/2025 A 23/09/2025</t>
  </si>
  <si>
    <t>145/2025</t>
  </si>
  <si>
    <t>1217/2025</t>
  </si>
  <si>
    <t>NÃO SE APLICA DEVIDO O VALOR</t>
  </si>
  <si>
    <t>DP 17/25</t>
  </si>
  <si>
    <t>36/24</t>
  </si>
  <si>
    <t>NP TECNOLOGIA E GESTÃO DE DADOS LTDA 
CNPJ: 07.797.967/0001-95</t>
  </si>
  <si>
    <t>Alex Sandro Barroso Alves</t>
  </si>
  <si>
    <t>Conceição Aparecida Trajano da Silva</t>
  </si>
  <si>
    <t>CONTRATAÇÃO DE EMPRESA ESPECIALIZADA NO FORNECIMENTO DE ASSINATURA DE FERRAMENTA DE PESQUISA E COMPARAÇÃO DE PREÇOS PRATICADOS PELA ADMINISTRAÇÃO PÚBLICA</t>
  </si>
  <si>
    <t>13/09/24 À 13/09/2025</t>
  </si>
  <si>
    <t>890/2024</t>
  </si>
  <si>
    <t>1733/2024</t>
  </si>
  <si>
    <t>INX 10/24</t>
  </si>
  <si>
    <t>24/24</t>
  </si>
  <si>
    <t>FC GERADORES LTDA
CNPJ - 27.117.171/0001-51</t>
  </si>
  <si>
    <t>Milton Luiz Rodrigues dos Santos</t>
  </si>
  <si>
    <t>CONTRATAÇÃO DE EMPRESA ESPECIALIZADA EM PRESTAÇÃO DE SERVIÇO DE MANUTENÇÃO PREVENTIVA E CORRETIVA PARA GRUPO DE GERADORES DA SECRETARIA MUNICIPAL DE SAÚDE – UNIDADE DE PRONTO ATENDIMENTO – UPA</t>
  </si>
  <si>
    <t>28/08/24 A 28/08/25</t>
  </si>
  <si>
    <t>74/24</t>
  </si>
  <si>
    <t>1711/24</t>
  </si>
  <si>
    <t>CD 25/24</t>
  </si>
  <si>
    <t>33/24</t>
  </si>
  <si>
    <t>CAIXA ECONÔMICA FEDERAL
CNPJ - 00.360.305/0001-04</t>
  </si>
  <si>
    <t>LEANDRO</t>
  </si>
  <si>
    <t>Gislene Stephanelli</t>
  </si>
  <si>
    <t>CONTRATAÇÃO DE EMPRESA ESPECIALIZADA PARA CAPACITAÇÃO DE SERVIÇOS TÉCNICOS NA MOBILIDADE OFICINA DE CAPACITAÇÃO COM OS TEMAS: ENGENHARIA DE CUSTOS – MOBILIDADE À DISTÂNCIA</t>
  </si>
  <si>
    <t>22/08/2024 A 22/08/2025</t>
  </si>
  <si>
    <t>1454/2024</t>
  </si>
  <si>
    <t>INEXIGIBILIDADE  Nº 09/24</t>
  </si>
  <si>
    <t>31/24</t>
  </si>
  <si>
    <t>TBRT AUDITORES INDEPENDENTES S/S
CNPJ - 03.566.241/0001-90</t>
  </si>
  <si>
    <t xml:space="preserve">MILTON DE SOUZA MARTINS - CPF/MF sob o nº. 107.599.858-12
</t>
  </si>
  <si>
    <t>ERIKA TIEMI SEKITANI - CPF: 127.071.258-65</t>
  </si>
  <si>
    <t>BRUNA GABRIELLE RIBEIRO DE PAULA - CPF: 433.593.348-76</t>
  </si>
  <si>
    <t>CONTRATAÇÃO DE EMPRESA ESPECIALIZADA NA CAPACITAÇÃO TÉCNICA COMPLETA DOS SERVIDORES PÚBLICOS NA ÁREA DE RECURSOS HUMANOS (DEPARTAMENTO PESSOAL) E NA EXECUÇÃO DO E-SOCIAL E DCTFWEB JUNTO AO DEPARTAMENTO DE PESSOAL, VISANDO CORRIGIR TODAS AS DEFICIÊNCIAS E REGULARIZAR OS LANÇAMENTOS, CUMPRINDO OS PRAZOS LEGAIS PREVISTOS.</t>
  </si>
  <si>
    <t>05/02/24 A 05/08/25</t>
  </si>
  <si>
    <t>410/24</t>
  </si>
  <si>
    <t>1556/24</t>
  </si>
  <si>
    <t>PE 19/2024</t>
  </si>
  <si>
    <t>DIMINUIÇÃO DE 10% DO VALOR INICIAL DO CONTRATO</t>
  </si>
  <si>
    <t>06/21</t>
  </si>
  <si>
    <t>PEDRO LUIS DE OLIVEIRA
CPF - 379.169.808-78 
GILDETE PEREIRA DE OLIVEIRA
CPF - 839.070.418-87</t>
  </si>
  <si>
    <t xml:space="preserve">Izaias Fernandes
CPF: 155.257.828-39
</t>
  </si>
  <si>
    <t>Fabiano Gomes Duarte
CPF: 365.558.428-81</t>
  </si>
  <si>
    <t>LOCAÇÃO DE IMÓVEL LOCALIZADO NA AV. JEAN LIEUTAUD, 309 -TÉRREO, 1º E 2º PAVIMENTO - JD. SANTA TEREZA - RGS/SP, ONDE SERÁ INSTALADO A SECRETARIA DE SEGURANÇA URBANA, TRANSITO E DEFESA CIVIL E A GUARDA MUNICIPAL</t>
  </si>
  <si>
    <t>6 MESES</t>
  </si>
  <si>
    <t>30/01/25 à 30/07/25</t>
  </si>
  <si>
    <t>197/2021</t>
  </si>
  <si>
    <t>698/2021</t>
  </si>
  <si>
    <t xml:space="preserve"> AJUSTE 2022000000056                      4 ADITIVO 2025000000003
5 ADITIVO 2025000000012</t>
  </si>
  <si>
    <t>DP 06/21</t>
  </si>
  <si>
    <t>29/23</t>
  </si>
  <si>
    <t>ROCHA E MACHADO SOCIEDADE DE ADVOGADOS
CNPJ - 19.851.544/0001-95</t>
  </si>
  <si>
    <t>CONTRATAÇÃO DE EMPRESA ESPECIALIZADA PARA PRESTAÇÃO DE SERVIÇOS ADVOCATÍCIOS DESTINADOS À ASSESSORIA JURÍDICA, BEM COMO DEFESA TÉCNICA DA PREFEITURA DO MUNICÍPIO DE RIO GRANDE DA SERRA NOS PROCESSOS E PROCEDIMENTOS EM TRÂMITE NO EGRÉGIO TRIBUNAL DE CONTAS DO ESTADO DE SÃO PAULO, INCLUINDO O ACOMPANHAMENTO DOS PROCEDIMENTOS ATÉ SEU TRÂNSITO EM JULGADO</t>
  </si>
  <si>
    <t>26/07/24 a 26/07/25</t>
  </si>
  <si>
    <t>493/23</t>
  </si>
  <si>
    <t>1514/23</t>
  </si>
  <si>
    <t>1º ADITIVO 2024000000029  AJUSTE 2023000000338</t>
  </si>
  <si>
    <t>CV 06/23</t>
  </si>
  <si>
    <t>28/23</t>
  </si>
  <si>
    <t>1º Termo Aditivo</t>
  </si>
  <si>
    <t>PRESCON INFORMÁTICA E ASSESSORIA LTDA
CNPJ - 01.221.551/0001-48</t>
  </si>
  <si>
    <t>ADMINISTRAÇÃO E FINANÇAS</t>
  </si>
  <si>
    <t>ALEXSANDRA SILVA AGUIAR E CÁSSIO ROBERTO DE SOUZA PEGORARO</t>
  </si>
  <si>
    <t>ISRAEL DA SILVA JUNIOR</t>
  </si>
  <si>
    <r>
      <rPr>
        <rFont val="Calibri"/>
        <b val="0"/>
        <color theme="1"/>
        <sz val="11.0"/>
      </rPr>
      <t>Sistema de Contabilidade, Orçamento Público e Tesouraria:</t>
    </r>
    <r>
      <rPr>
        <rFont val="Calibri"/>
        <b/>
        <color theme="1"/>
        <sz val="11.0"/>
      </rPr>
      <t xml:space="preserve"> WILLIAN</t>
    </r>
  </si>
  <si>
    <t>CONTRATAÇÃO DE EMPRESA ESPECIALIZADA NA PRESTAÇÃO DE SERVIÇOS DE INFORMÁTICA, PARA O FORNECIMENTO DE LICENÇA DE SOLUÇÃO TECNOLOGICA DE GESTÃO, CONTEMPLANDO OS SERVIÇOS DE IMPLANTAÇÃO (MIGRAÇÃO DE DADOS, CUSTOMIZAÇÃO, TREINAMENTO E CAPACITAÇÃO DE USUARIOS), MANUTENÇÃO (PREVENTIVA, CORRETIVA E DE ORDEM LEGAL) E SUPORTE TÉCNICO.</t>
  </si>
  <si>
    <t>19/07/23 a 19/07/25</t>
  </si>
  <si>
    <t>1364/22</t>
  </si>
  <si>
    <t>1601/23</t>
  </si>
  <si>
    <t>PP 04/23</t>
  </si>
  <si>
    <t>VIGENCIA A PARTIR DA ORDEM DE SERVIÇO OCORRIDA EM 22/08/2023</t>
  </si>
  <si>
    <r>
      <rPr>
        <rFont val="Calibri"/>
        <b val="0"/>
        <color theme="1"/>
        <sz val="11.0"/>
      </rPr>
      <t>Sistema de Gestão de Pessoal – RH
Sistema de Medicina do Trabalho
Sistema de Segurança no Trabalho
Sistema de Ponto Eletrônico:</t>
    </r>
    <r>
      <rPr>
        <rFont val="Calibri"/>
        <b/>
        <color theme="1"/>
        <sz val="11.0"/>
      </rPr>
      <t xml:space="preserve"> IASMIN
</t>
    </r>
  </si>
  <si>
    <t>1602/23</t>
  </si>
  <si>
    <r>
      <rPr>
        <rFont val="Calibri"/>
        <b val="0"/>
        <color theme="1"/>
        <sz val="11.0"/>
      </rPr>
      <t xml:space="preserve">Sistema de Administração do Patrimônio
Sistema de Administração de Almoxarifados
Sistema de Controle de Frota: </t>
    </r>
    <r>
      <rPr>
        <rFont val="Calibri"/>
        <b/>
        <color theme="1"/>
        <sz val="11.0"/>
      </rPr>
      <t>EDUARDO</t>
    </r>
  </si>
  <si>
    <t>1603/23</t>
  </si>
  <si>
    <r>
      <rPr>
        <rFont val="Calibri"/>
        <b val="0"/>
        <color theme="1"/>
        <sz val="11.0"/>
      </rPr>
      <t xml:space="preserve">Sistema de Administração de Compras, Licitações e Contratos: </t>
    </r>
    <r>
      <rPr>
        <rFont val="Calibri"/>
        <b/>
        <color theme="1"/>
        <sz val="11.0"/>
      </rPr>
      <t>ISRAEL DA SILVA JUNIOR</t>
    </r>
  </si>
  <si>
    <t>1604/23</t>
  </si>
  <si>
    <r>
      <rPr>
        <rFont val="Calibri"/>
        <b val="0"/>
        <color theme="1"/>
        <sz val="11.0"/>
      </rPr>
      <t xml:space="preserve">Sistema de Administração de Cemitério: </t>
    </r>
    <r>
      <rPr>
        <rFont val="Calibri"/>
        <b/>
        <color theme="1"/>
        <sz val="11.0"/>
      </rPr>
      <t>Adriana Barbosa da Silva</t>
    </r>
  </si>
  <si>
    <t>1608/23</t>
  </si>
  <si>
    <r>
      <rPr>
        <rFont val="Calibri"/>
        <b val="0"/>
        <color theme="1"/>
        <sz val="11.0"/>
      </rPr>
      <t>Sistema de Protocolo e Controle de Processos Administrativos:</t>
    </r>
    <r>
      <rPr>
        <rFont val="Calibri"/>
        <b/>
        <color theme="1"/>
        <sz val="11.0"/>
      </rPr>
      <t xml:space="preserve"> CARLOS</t>
    </r>
  </si>
  <si>
    <t>1609/23</t>
  </si>
  <si>
    <r>
      <rPr>
        <rFont val="Calibri"/>
        <b val="0"/>
        <color theme="1"/>
        <sz val="11.0"/>
      </rPr>
      <t>Sistema Controle de Obras:</t>
    </r>
    <r>
      <rPr>
        <rFont val="Calibri"/>
        <b/>
        <color theme="1"/>
        <sz val="11.0"/>
      </rPr>
      <t xml:space="preserve"> LEILA</t>
    </r>
  </si>
  <si>
    <t>1582/23</t>
  </si>
  <si>
    <r>
      <rPr>
        <rFont val="Calibri"/>
        <b val="0"/>
        <color theme="1"/>
        <sz val="11.0"/>
      </rPr>
      <t>Jurídico Web</t>
    </r>
    <r>
      <rPr>
        <rFont val="Calibri"/>
        <b/>
        <color theme="1"/>
        <sz val="11.0"/>
      </rPr>
      <t>: Rodrigo Limettre Moreno</t>
    </r>
  </si>
  <si>
    <t>1266/24</t>
  </si>
  <si>
    <r>
      <rPr>
        <rFont val="Calibri"/>
        <b val="0"/>
        <color theme="1"/>
        <sz val="11.0"/>
      </rPr>
      <t xml:space="preserve">Sistema de Controle Interno Portal da Transparência Lei de Acesso a Informação 
Sistema de Tratamento de Informações Gerenciais (Business Intelligence): </t>
    </r>
    <r>
      <rPr>
        <rFont val="Calibri"/>
        <b/>
        <color theme="1"/>
        <sz val="11.0"/>
      </rPr>
      <t xml:space="preserve">EMILY CAMILA DA SILVA SANTOS
</t>
    </r>
  </si>
  <si>
    <t>1599/23</t>
  </si>
  <si>
    <t>23/25</t>
  </si>
  <si>
    <t xml:space="preserve">NEXT PRODUÇÃO E EVENTOS LTDA
CNPJ/MF sob o nº 54.536.761/0001-91
</t>
  </si>
  <si>
    <t>DESENVOLVIMENTO  ECONÔMICO</t>
  </si>
  <si>
    <t>ANDRÉ MARTINS CAPARROZ</t>
  </si>
  <si>
    <t>Suzana Lopes Quintão Silva</t>
  </si>
  <si>
    <t>Cristopher Ferraz de Araújo</t>
  </si>
  <si>
    <t>CONTRATAÇÃO DE ARTISTAS PARA SE APRESENTAREM NO 17º FESTIVAL DO CAMBUCI 2025</t>
  </si>
  <si>
    <t>13/06/2025 A 13/07/2025</t>
  </si>
  <si>
    <t>1124/2025</t>
  </si>
  <si>
    <t>INEX 14/25</t>
  </si>
  <si>
    <t>21/25</t>
  </si>
  <si>
    <t>EDNA LEITE ALVES FEITOSA 27231460810</t>
  </si>
  <si>
    <t>22/25</t>
  </si>
  <si>
    <t>JULIANA APARECIDA ROSA DA SILVA 35113360821</t>
  </si>
  <si>
    <t>24/25</t>
  </si>
  <si>
    <t>PULSAR X LTDA</t>
  </si>
  <si>
    <t>25.182.192 GIVALDO LOURENCO DAVIO FILHO</t>
  </si>
  <si>
    <t>26/25</t>
  </si>
  <si>
    <t>33.818.222 FAGNER OLIVEIRA SILVA</t>
  </si>
  <si>
    <t>27/25</t>
  </si>
  <si>
    <t>52.767.739 ELIEZER GONCALVES</t>
  </si>
  <si>
    <t>28/25</t>
  </si>
  <si>
    <t>55.415.394 WESLEY BARBOSA QUEIROZ</t>
  </si>
  <si>
    <t>13/22</t>
  </si>
  <si>
    <t>GRIFON DIGITAL SERVIÇOS LTDA
CNPJ - 21.129.497/0001-12</t>
  </si>
  <si>
    <t>CONTRATAÇÃO DE EMPRESA ESPECIALIZADA EM RECORTES ELETRÔNICOS DOS CADERNOS DO PODER EXECUTIVO E LEGISLATIVO.</t>
  </si>
  <si>
    <t>20/06/24 A 20/06/25</t>
  </si>
  <si>
    <t>277/22</t>
  </si>
  <si>
    <t>1358/22</t>
  </si>
  <si>
    <t xml:space="preserve">LICITAÇÃO 202200000074
</t>
  </si>
  <si>
    <t>AJUSTE 2022000000206
2º ADITIVO 2023000000024</t>
  </si>
  <si>
    <t>DP 04/22</t>
  </si>
  <si>
    <t>16/23</t>
  </si>
  <si>
    <t>SAGS FACILITIES SERVIÇOS EMPRESARIAIS LTDA
CNPJ - 18.465.479/0001-05</t>
  </si>
  <si>
    <t xml:space="preserve">ALEXSANDRA SILVA AGUIAR </t>
  </si>
  <si>
    <t>Debiran</t>
  </si>
  <si>
    <t>João Carlos</t>
  </si>
  <si>
    <t>CONTRATAÇÃO DE EMPRESA ESPECIALIZADA NA PRESTAÇÃO DE SERVIÇOS DE GUARDA E CUSTÓDIA SEGURA PARA O ACERVO DOCUMENTAL DA PREFEITURA DE RIO GRANDE DA SERRA</t>
  </si>
  <si>
    <t>05/06/24 A 05/06/25</t>
  </si>
  <si>
    <t>2072/22</t>
  </si>
  <si>
    <t>1097/23</t>
  </si>
  <si>
    <t>CV 02/23</t>
  </si>
  <si>
    <t>26/24</t>
  </si>
  <si>
    <t>AAHBRANT ENGENHARIA E CONSTRUÇÕES LTDA 
CNPJ: 23.837.456/0001-06</t>
  </si>
  <si>
    <t>CONTRATAÇÃO DE EMPRESA ESPECIALIZADA PARA EXECUÇÃO DE OBRAS DE CONTENÇÃO DO TALUDE SITUADO NA AVENIDA JOSÉ BELLO NO MUNICÍPIO DE RIO GRANDE DA SERRA</t>
  </si>
  <si>
    <t>300 dias</t>
  </si>
  <si>
    <t>31/07/2024 A 27/05/2025</t>
  </si>
  <si>
    <t>1980/23</t>
  </si>
  <si>
    <t>1378/24</t>
  </si>
  <si>
    <t>AJUSTE
2024000000419</t>
  </si>
  <si>
    <t>CO 17/23</t>
  </si>
  <si>
    <t>16/24</t>
  </si>
  <si>
    <t>LLIÈGE SERVIÇOS E SISTEMAS ESPECIALIZADOS LTDA
CNPJ - 01.058.305/0001-17</t>
  </si>
  <si>
    <t>Ricardo Tadeu Caires Silva</t>
  </si>
  <si>
    <t xml:space="preserve">Eliza Aparecida Camine Almeida </t>
  </si>
  <si>
    <t>CONTRATAÇÃO DE SERVIÇOS E SOLUÇÃO TECNOLÓGICA, POR MEIO DE PLATAFORMA (SOFTWARE) PARA ATENDIMENTO AOS PROGRAMAS SOCIAIS DO MUNICÍPIO DE RIO GRANDE DA SERRA, INCLUINDO O LICENCIAMENTO DA SOLUÇÃO, UNIFICAÇÃO DE CADASTROS DE PROGRAMAS MUNICIPAIS, APONTAMENTO GEOGRÁFICO DE PROGRAMAS E FAMÍLIAS CONTEMPLANDO A ENTREGA FINAL EM PORTAL CORPORATIVO DE GESTÃO SOCIAL, CONTEMPLANDO TODA A IMPLANTAÇÃO, MIGRAÇÃO DE DADOS, PARAMETRIZAÇÃO, TREINAMENTO, ATUALIZAÇÕES LEGAIS, SUPORTE TÉCNICO E POSSÍVEIS INTEGRAÇÕES DE DADOS ORIUNDOS DOS DEMAIS SISTEMAS EXISTENTES NO MUNICÍPIO</t>
  </si>
  <si>
    <t>12 meses a partir da OS</t>
  </si>
  <si>
    <t>25/04/24 a 25/04/25</t>
  </si>
  <si>
    <t>1358/23</t>
  </si>
  <si>
    <t>893/24</t>
  </si>
  <si>
    <t>PP 61/23</t>
  </si>
  <si>
    <t>ASSOCIAÇÃO VIVA BEM A IDADE QUE TEM CNPJ - 03.289.502/0001-72</t>
  </si>
  <si>
    <t>ELZA DOS ANJOS IWASAKI CPF: 124.538.988-25</t>
  </si>
  <si>
    <t>EMILY CAMILA DA SILVA SANTOS CPF: 401.799.849-88</t>
  </si>
  <si>
    <t>FERNANDA STACHOWSKI CPF: 336.725.538-67</t>
  </si>
  <si>
    <t>CONTRATAÇÃO DE 01(UMA) VAGA DE INSTITUIÇÃO DE LONGA PERMANÊNCIA PARA IDOSOS (ILPI), CONFORME OFÍCIO Nº 19/2025, REFERENTE À NOTÍCIA DE FATO Nº 2/2025 DO MINISTÉRIO PÚBLICO DO ESTADO DE SÃO PAULO, PELO PERÍODO DE 12 (DOZE) MESES OU ENQUANTO PERDURAR A NECESSIDADE, CONFORME CONDIÇÕES EXIGIDAS ESTABELECIDAS NO TERMO DE REFERÊNCIA</t>
  </si>
  <si>
    <t>06/03/25 A 06/03/26</t>
  </si>
  <si>
    <t>179/25</t>
  </si>
  <si>
    <t>409/25</t>
  </si>
  <si>
    <t>AJUSTE/EXECUÇÃO (RESCINDIDO) 2025000000239</t>
  </si>
  <si>
    <t>DP 01/25</t>
  </si>
  <si>
    <t>R$ 39.600,00</t>
  </si>
  <si>
    <t>IDOSO FALECEU 26/02/2025. CONTRATO RESCINDIDO 15/04/2025</t>
  </si>
  <si>
    <t>04/23</t>
  </si>
  <si>
    <t>INSTITUTO MAIS DE GESTÃO E DESENVOLVIMENTO SOCIAL - IMAIS
CNPJ - 08.179.183/0001-66</t>
  </si>
  <si>
    <t>Alexsandra Silva Aguiar</t>
  </si>
  <si>
    <t>Suzana Lopes Quintão Silva CPF: 277.740.328-78</t>
  </si>
  <si>
    <t>COMISSÃO FISCALIZADORA DO CONCURSO PÚBLICO E/OU PROCESSO SELETIVO - PORTARIA</t>
  </si>
  <si>
    <t>PRESTAÇÃO DE SERVIÇOS TÉCNICOS ESPECIALIZADOS DE PLANEJAMENTO, ORGANIZAÇÃO E EXECUÇÃO DE CONCURSOS PÚBLICOS E/OU PROCESSOS SELETIVOS, DESTINADO AO PROVIMENTO DE VAGAS EM SEU QUADRO DE PESSOAL DA PREFEITURA MUNICIPAL DE RIO GRANDE DA SERRA</t>
  </si>
  <si>
    <t>03/02/23 A 03/02/24</t>
  </si>
  <si>
    <t>2438/22</t>
  </si>
  <si>
    <t>284/23</t>
  </si>
  <si>
    <t xml:space="preserve">NÃO OBRIGATÓRIO </t>
  </si>
  <si>
    <t>NÃO OBRIGATÓRIO</t>
  </si>
  <si>
    <t>DP 7/23</t>
  </si>
  <si>
    <t>03/02/24 A 03/02/25</t>
  </si>
  <si>
    <t>13/23</t>
  </si>
  <si>
    <t>INTERTEC SOLUÇÕES EM SOFTWARE LDTA EPP
CNPJ - 18.351.823/0001-27</t>
  </si>
  <si>
    <t>JULIANA CARLA RODRIGUES MENDES CPF: 316.472.928-67</t>
  </si>
  <si>
    <t>Juciane da Penha Silva CPF: 408.737.788-12</t>
  </si>
  <si>
    <t>Ualisson Henrique de Oliveira Monteiro CPF: 425.454.448-92</t>
  </si>
  <si>
    <t>CONTRATAÇÃO DE PESSOA JURÍDICA ESPECIALIZADA NA PRESTAÇÃO DE SERVIÇOS DE INFORMÁTICA, QUE REALIZE A ATUALIZAÇÃO, CUSTOMIZAÇÃO E MANUTENÇÃO DO SITE DA PREFEITURA MUNICIPAL DE RIO GRANDE DA SERRA COM HOSPEDAGEM E SUPORTE TÉCNICO DA PÁGINA E DOS E-MAILS VINCULADOS AO SITE PELO PERÍODO DE 06 MESES, SENDO PAGOS MENSALMENTE</t>
  </si>
  <si>
    <t>24/07/24 a 24/01/25</t>
  </si>
  <si>
    <t>86/2023</t>
  </si>
  <si>
    <t>335/2024</t>
  </si>
  <si>
    <t>2023000000335
2º ADITIVO
2024000000030</t>
  </si>
  <si>
    <t>DP 11/23</t>
  </si>
  <si>
    <t>40/24</t>
  </si>
  <si>
    <t>EXPRESSO AUTO BUS TRANSPORTES LTDA
CNPJ - 13.240.751/0001-27</t>
  </si>
  <si>
    <t>RODRIGO FERNANDES OLIVARES</t>
  </si>
  <si>
    <t>ENIO DA FRAGA PIRES</t>
  </si>
  <si>
    <t>CONTRATAÇÃO DE EMPRESA ESPECIALIZADA EM PRESTAÇÃO DE SERVIÇO DE LOCAÇÃO DE ONIBUS E VAN, EM CARATER EMERGENCIAL, PARA ATENDER AS NECESSIDADES DA SECRETARIA MUNICIPAL DA JUVENTUDE, ESPORTE E LAZER, COM FORNECIMENTO DE COMBUSTÍVEL, PNEUS, MANUTENÇÕES, MOTORISTAS E TRIPULANTES</t>
  </si>
  <si>
    <t>04 MESES</t>
  </si>
  <si>
    <t>19/09/2024 A 19/01/2025</t>
  </si>
  <si>
    <t>1706/2024</t>
  </si>
  <si>
    <t>DP 47/24</t>
  </si>
  <si>
    <t>25/24</t>
  </si>
  <si>
    <t>VENTISOL NORDESTE INDUSTRIA E COMERCIO DE VENTILADORES LTDA 
CNPJ: 08.934.225/0001-27</t>
  </si>
  <si>
    <t>Alessandra Amora Barchini</t>
  </si>
  <si>
    <t>PROCESSO ADMINISTRATIVO N° 979/2024 - AQUISIÇÃO DE VENTILADORES PARA ATENDER A SECRETARIA DE EDUCAÇÃO E CULTURA, ATRAVÉS DE ADESÃO DA ATA DE REGISTRO DE PREÇOS N° 1/2024 FNDE/MEC - PREGÃO ELETRÔNICO N° 14/2023 - PROCESSO ADMINISTRATIVO N° 23034.018062/2023-81 - PROCESSO N° 23034.012537/2024-14 - ORGÃO PARTICIPANTE SIGARP N° 99127</t>
  </si>
  <si>
    <t>180 DIAS</t>
  </si>
  <si>
    <t>04/07/2024 A 04/01/2025</t>
  </si>
  <si>
    <t>979/2024</t>
  </si>
  <si>
    <t>PE 14/2023 - FNDE</t>
  </si>
  <si>
    <t>44/24</t>
  </si>
  <si>
    <t>CAM COMÉRCIO E INDÚSTRIA LTDA
CNPJ - 34.301.930/0001-05</t>
  </si>
  <si>
    <t>Rodrigo Fernandes Olivares</t>
  </si>
  <si>
    <t>Enio da Fraga Pires</t>
  </si>
  <si>
    <t>CONTRATAÇÃO DE EMPRESA ESPECIALIZADA PARA O FORNECIMENTO E INSTALAÇÃO DE REDE DE PROTEÇÃO PARA QUADRA POLIESPORTIVA DO GINÁSIO MUNICIPAL, DESTINADOS A SECRETARIA DA JUVENTUDE, ESPORTE E LAZER, NO MUNICIPIO DE RIO GRANDE DA SERRA</t>
  </si>
  <si>
    <t>3 MESES</t>
  </si>
  <si>
    <t>20/09/2024 A 31/12/2024</t>
  </si>
  <si>
    <t>1525/2024</t>
  </si>
  <si>
    <t>AJUSTE 2024000000577</t>
  </si>
  <si>
    <t>DP 26/24</t>
  </si>
  <si>
    <t>04/21</t>
  </si>
  <si>
    <t xml:space="preserve">DOM PEDRITO PARTICIPAÇÕES E EMPREENDIMENTOS IMOBILIARIOS LTDA ME
CNPJ - 20.591.702/0001-02 </t>
  </si>
  <si>
    <t>Luana</t>
  </si>
  <si>
    <t>LOCAÇÃO DE IMÓVEL SITO A AV. DOM PEDRO I, 487 - CENTRO - RIO GRANDE DA SERRA/SP, ONDE ESTÁ INSTALADO A SECRETARIA DE EDUCAÇÃO, BIBLIOTECA E O PROJETO ROBÓTICA</t>
  </si>
  <si>
    <t>21 MESES</t>
  </si>
  <si>
    <t>12/03/23 À 31/12/24</t>
  </si>
  <si>
    <t>406/19</t>
  </si>
  <si>
    <t>DP 04/21</t>
  </si>
  <si>
    <t>35/24</t>
  </si>
  <si>
    <t>SCS ENGENHARIA REFRIGERAÇÃO E CLIMATIZAÇÃO LTDA
CNPJ - 24.306.420/0001-69</t>
  </si>
  <si>
    <t xml:space="preserve">Cássio Roberto de Souza Pegoraro </t>
  </si>
  <si>
    <t>Edmir Francisco da Silva</t>
  </si>
  <si>
    <t xml:space="preserve">Rosiclei de Lima Meneses </t>
  </si>
  <si>
    <t>Contratação de empresa especializada em fornecimento e instalação de aparelhos de ar condicionado</t>
  </si>
  <si>
    <t>60 dias</t>
  </si>
  <si>
    <t>902/24</t>
  </si>
  <si>
    <t>AJUSTE 2024000000554   AJUSTE 2024000000597</t>
  </si>
  <si>
    <t>DP 43/24</t>
  </si>
  <si>
    <t>27/22</t>
  </si>
  <si>
    <t>MARIA CAPARROZ SANTINELLI
CPF - 069.120.308-31</t>
  </si>
  <si>
    <t>GLAUCIR DA COSTA PEREIRA</t>
  </si>
  <si>
    <t>LOCAÇÃO DE IMÓVEL LOCALIZADO NA RUA JOSÉ MARIA FIGUEIREDO, 53, CENTRO, RIO GRANDE DA SERRA/SP, PARA INSTALAÇÃO DO PROJETO DE ARTES MARCIAIS FAZER VALER</t>
  </si>
  <si>
    <t>22/11/2023 A 22/11/2024</t>
  </si>
  <si>
    <t>1968/22</t>
  </si>
  <si>
    <t>2410/22</t>
  </si>
  <si>
    <t xml:space="preserve">LICITACAO 2022000000119 </t>
  </si>
  <si>
    <t>AJUSTE 2022000000395
ADITIVO 2023000000025</t>
  </si>
  <si>
    <t>DISPENSA 31/22</t>
  </si>
  <si>
    <t>34/23</t>
  </si>
  <si>
    <t>RENOV PAVIMENTAÇÃO E CONSTRUÇÕES LTDA - EPP 
CNPJ - 10.277.133/0001-63</t>
  </si>
  <si>
    <t>Leandro</t>
  </si>
  <si>
    <t>CONTRATAÇÃO DE EMPRESA PARA EXECUÇÃO DE PAVIMENTAÇÃO ASFÁLTICA, DRENAGEM E SINALIZAÇÃO VIÁRIA: JARDIM SANTA TEREZA NO MUNICÍPIO DE RIO GRANDE DA SERRA</t>
  </si>
  <si>
    <t>21/08/23 a 13/11/24</t>
  </si>
  <si>
    <t>1169/22</t>
  </si>
  <si>
    <t>1679/23</t>
  </si>
  <si>
    <t>2023000000342  2º ADITIVO 2024000000034</t>
  </si>
  <si>
    <t>CO 10/23</t>
  </si>
  <si>
    <t>37/24</t>
  </si>
  <si>
    <t>EVIRTUAL COMPUTACAO LTDA
CNPJ - 10.530.398/0001-21</t>
  </si>
  <si>
    <t>LUIS</t>
  </si>
  <si>
    <t>ERIKA</t>
  </si>
  <si>
    <t>CONTRATAÇÃO DE CONSULTORIA ESPECIALIZADA PARA A ELABORAÇÃO DOS ESTUDOS TECNICOS NECESSÁRIOS PARA A INSTITUIÇÃO E DELEGAÇÃO DO SERVIÇO PÚBLICO LOTÉRICO MUNICIPAL</t>
  </si>
  <si>
    <t>45 DIAS APÓS PUBLICAÇÃO</t>
  </si>
  <si>
    <t>26/09/24 A 10/11/24</t>
  </si>
  <si>
    <t>1268/24</t>
  </si>
  <si>
    <t>CD 44/24</t>
  </si>
  <si>
    <t>REISCON CONSTRUTORA E TERRAPLANAGEM EIRELI
CNPJ - 16.804.449/0001-42</t>
  </si>
  <si>
    <t>Priscila Ulian de Oliveira</t>
  </si>
  <si>
    <t>Wilson de Souza</t>
  </si>
  <si>
    <t>CONTRATAÇÃO DE EMPRESA ESPECIALIZADA PARA EXECUÇÃO DE OBRAS DE PAVIMENTAÇÃO E DRENAGEM NO CEMITÉRIO SÃO SEBASTIÃO – BAIRRO JARDIM SANTA TEREZA</t>
  </si>
  <si>
    <t>455 DIAS DA ORDEM DE SERVIÇO</t>
  </si>
  <si>
    <t>OS 08/08/2023</t>
  </si>
  <si>
    <t>08/08/2023 À 05/11/2024</t>
  </si>
  <si>
    <t>2091/22</t>
  </si>
  <si>
    <t>1207/23</t>
  </si>
  <si>
    <t>CO 03/23</t>
  </si>
  <si>
    <t>Kléber Avelino de Oliveira</t>
  </si>
  <si>
    <t>44/23</t>
  </si>
  <si>
    <t>BYE INSECT CONTROLADORA DE PRAGAS S/S LTDA
CNPJ - 02.936.838/0001-17</t>
  </si>
  <si>
    <t>SANDRO</t>
  </si>
  <si>
    <t xml:space="preserve">Fernanda </t>
  </si>
  <si>
    <t>CONTRATAÇÃO DE EMPRESA PARA PRESTAÇÃO DE SERVIÇOS DE DEDETIZAÇÃO E DESRATIZAÇÃO, SENDO 02 (DUAS) APLICAÇÕES COM INTERVALO DE 06 (SEIS) MESES, COM O EFETIVO CONTROLE DE PRAGAS, DAS ÁREAS INTERNAS E EXTERNAS DAS UNIDADES: CRAS, CREAS, ACOLHIMENTO INSTITUCIONAL, CONSELHO TUTELAR E DA SEDE DA SECRETARIA DE CIDADANIA</t>
  </si>
  <si>
    <t>30/10/23 A 30/10/24</t>
  </si>
  <si>
    <t>1790/23</t>
  </si>
  <si>
    <t>2197/23</t>
  </si>
  <si>
    <t>DP N° 20/23</t>
  </si>
  <si>
    <t>SEM ORDEM DE INÍCIO</t>
  </si>
  <si>
    <t>27/24</t>
  </si>
  <si>
    <t>GIOVANNI ALVES BORGES E SILVA 87059142134
PILULAS DO ECA
CNPJ - 29.735.562-0001-65</t>
  </si>
  <si>
    <t>Ricardo</t>
  </si>
  <si>
    <t>Laucimar Pereira da Silva</t>
  </si>
  <si>
    <t>Lilian Carvalho Pezzo</t>
  </si>
  <si>
    <t>CONTRATAÇÃO DE EMPRESA PARA REALIZAÇÃO DE CAPACITAÇÃO PROFISSIONAIS NA MODALIDADE PRESENCIAL PARA FUNCIONÁRIOS DO SAICA E TÉCNICOS DE REDE SOCIOASSITENCIAL COM OBJETIVO DE APRIMORAMENTO NO ATENDIMENTO</t>
  </si>
  <si>
    <t>30 dias</t>
  </si>
  <si>
    <t>18/08/24 A 18/09/24</t>
  </si>
  <si>
    <t>2467/23</t>
  </si>
  <si>
    <t>2024000000402         1º ADITIVO 2024000000036</t>
  </si>
  <si>
    <t>DP 22/24</t>
  </si>
  <si>
    <t>21/23</t>
  </si>
  <si>
    <t>Lourdes de Campos</t>
  </si>
  <si>
    <t>CONTRATAÇÃO DE EMPRESA ESPECIALIZADA NA ÁREA DE ENGENHARIA E ARQUITETURA PARA CONTINUAÇÃO DA CONSTRUÇÃO DO TERMINAL RODOVIÁRIO DO MUNICÍPIO DE RIO GRANDE DA SERRA</t>
  </si>
  <si>
    <t>24/01/2024 À 21/08/2024</t>
  </si>
  <si>
    <t>2183/22</t>
  </si>
  <si>
    <t>1216/23</t>
  </si>
  <si>
    <t>CO 07/23</t>
  </si>
  <si>
    <t>02/21</t>
  </si>
  <si>
    <t>MARIO HIROSHI ISHIHARA
CPF - 155.330.198-63</t>
  </si>
  <si>
    <t>Richard</t>
  </si>
  <si>
    <t>LOCAÇÃO DE IMÓVEL SITO A RUA AGOSTINHO CARDOSO, 176 - VILA FIGUEIREDO - RIO GRANDE DA SERRA/SP, ONDE ESTÁ INSTALADO FORO DISTRITAL DE RIO GRANDE DA SERRA</t>
  </si>
  <si>
    <t>01/03/23 À 01/03/24</t>
  </si>
  <si>
    <t>588/17</t>
  </si>
  <si>
    <t>231/24</t>
  </si>
  <si>
    <t>DP 02/21</t>
  </si>
  <si>
    <t>JONATHAN</t>
  </si>
  <si>
    <t>SANDRA REGINA</t>
  </si>
  <si>
    <t>RAFAELLA</t>
  </si>
  <si>
    <t>01/03/24 a 01/03/25</t>
  </si>
  <si>
    <t>20/24</t>
  </si>
  <si>
    <t>METALURGICA COMERCIAL NAVBAN – COMÉRCIO E PRESTAÇÃO DE SERVIÇOS LTDA
CNPJ - 43.540.241/0001-36</t>
  </si>
  <si>
    <t xml:space="preserve"> OBRAS 
</t>
  </si>
  <si>
    <t>LEANDRO DIAS FLORENCIO</t>
  </si>
  <si>
    <t>CONTRATAÇÃO DE EMPRESA ESPECIALIZADA EM SERVIÇOS DE ESTRUTURA PRÉ-MOLDADAS DE CONCRETO E COM COBERTURA EM TELHA EM AÇO GALVANIZADO COMPREENDENDO O FORNECIMENTO DE MATERIAL E MÃO DE OBRA, DESTINADAS PARA A CONSTRUÇÃO DO TERMINAL RODOVIÁRIO MUNICIPAL DE RIO GRANDE DA SERRA</t>
  </si>
  <si>
    <t xml:space="preserve">04/07/24 A 04/08/24 </t>
  </si>
  <si>
    <t>386/24</t>
  </si>
  <si>
    <t>975/24</t>
  </si>
  <si>
    <t>2024000000376
1º ADITIVO 2024000000027</t>
  </si>
  <si>
    <t>CO 01/24</t>
  </si>
  <si>
    <t>22/23</t>
  </si>
  <si>
    <t>Luis Fernando Pinotti Silva</t>
  </si>
  <si>
    <t>CONTRATAÇÃO DE EMPRESA ESPECIALIZADA PARA REFORMA DA UNIDADE BÁSICA DE SAÚDE DO PARQUE AMÉRICA NO MUNICÍPIO DE RIO GRANDE DA SERRA</t>
  </si>
  <si>
    <t>60 DIAS</t>
  </si>
  <si>
    <t>05/01/24 A 05/03/24</t>
  </si>
  <si>
    <t>1643/21</t>
  </si>
  <si>
    <t>1402/23</t>
  </si>
  <si>
    <t>CO 05/23</t>
  </si>
  <si>
    <t>ORDEM DE INÍCIO 08/08/23</t>
  </si>
  <si>
    <t>KEBER AVELINO DE OLIVEIRA</t>
  </si>
  <si>
    <t>150 DIAS</t>
  </si>
  <si>
    <t>05/03/24 A 02/08/24</t>
  </si>
  <si>
    <t>2023000000312
2º ADITIVO 2024000000019</t>
  </si>
  <si>
    <t>07/24</t>
  </si>
  <si>
    <t>LDL COMERCIAL EIRELI
CNPJ - 23.284.551/0001-20</t>
  </si>
  <si>
    <t>Willian Santos Faria</t>
  </si>
  <si>
    <t>CONTRATAÇÃO DE EMPRESA PARA SERVIÇOS DE ADEQUAÇÃO DO ESPAÇO PARA MUDANÇA DE USO – SALA DE AUDIOVISUAL NA EMEB PROFª RAQUEL SILVEIRA MONTEIRO – RUA JOSÉ MARIA DE FIGUEIREDO, CENTRO – RIO GRANDE DA SERRA-SP</t>
  </si>
  <si>
    <t xml:space="preserve">90 DIAS </t>
  </si>
  <si>
    <t>15/04/24 A 14/07/24</t>
  </si>
  <si>
    <t>1744/23</t>
  </si>
  <si>
    <t>623/24</t>
  </si>
  <si>
    <t>CV 09/23</t>
  </si>
  <si>
    <t>08/24</t>
  </si>
  <si>
    <t xml:space="preserve">GRASIL ENGENHARIA &amp; ARQUITETURA LTDA
CNPJ -  50.158.486/0001-69 </t>
  </si>
  <si>
    <t>Kleber Avelino de Oliveira</t>
  </si>
  <si>
    <t>CONTRATAÇÃO DE EMPRESA PARA SERVIÇOS DE INSPEÇÃO PREDIAL E ELABORAÇÃO DO “LAUDO TÉCNICO DE ESTABILIDADE E SEGURANÇA – LTES”, AS BUILT E PROJETO PARA REFORÇO ESTRUTURAL NA ESCOLA MUNICIPAL DE ENSINO BÁSICO – EMEB PRIMEIRA DAMA ZULMIRA JARDIM TEIXEIRA</t>
  </si>
  <si>
    <t>11/04/24 A 10/07/24</t>
  </si>
  <si>
    <t>1177/23</t>
  </si>
  <si>
    <t>624/24</t>
  </si>
  <si>
    <t>CV 10/23</t>
  </si>
  <si>
    <t>19/23</t>
  </si>
  <si>
    <t>Priscila Ulian de Oliveira CPF: 434.008.938-97</t>
  </si>
  <si>
    <t>Luis Fernando Pinotti Silva CPF: 291.822.538-03</t>
  </si>
  <si>
    <t>CONTRATAÇÃO DE EMPRESA PARA EXECUÇÃO DE AMPLIAÇÃO DE UNIDADE BÁSICA DE SAÚDE DO CENTRO – UBS VEREADOR AVELINO VALÉRIO SOBRINHO NO MUNICÍPIO DE RIO GRANDE DA SERRA</t>
  </si>
  <si>
    <t>05/07/23 À 01/01/24</t>
  </si>
  <si>
    <t>1642/21</t>
  </si>
  <si>
    <t>1098/23</t>
  </si>
  <si>
    <t>CO 04/23</t>
  </si>
  <si>
    <t>FOI PARA A EMPRESA ASSINAR E POSTERIOR PUBLICAÇÃO</t>
  </si>
  <si>
    <t>01/01/24 À 01/03/24</t>
  </si>
  <si>
    <t>18/20</t>
  </si>
  <si>
    <t>MAGSI COMERCIO E PRESTAÇÃO DE SERVIÇOS DE LIMPEZA E CONSERVAÇÃO LTDA
CNPJ - 19.630.021/0001-19</t>
  </si>
  <si>
    <t>CONTRATAÇÃO DE EMPRESA ESPECIALIZADA PARA PRESTAÇÃO DE SERVIÇOS DE OPERAÇÃO, MANUTENÇÃO CORRETIVA E PREVENTIVA, AMPLIAÇÃO E EFICIENTIZAÇÃO DO SISTEMA DE ILUMINAÇÃO PÚBLICA E SERVIÇOS DE GESTÃO INFORMATIZADA, TELEGESTÃO INTEGRADA NAS VIAS E AREAS PÚBLICAS URBANAS NO MUNICÍPO DE RGS</t>
  </si>
  <si>
    <t>15/12/23 à 15/12/24</t>
  </si>
  <si>
    <t>2454/19</t>
  </si>
  <si>
    <t>1773/20</t>
  </si>
  <si>
    <t>NÃO FOI LANÇADO NA AUDESP</t>
  </si>
  <si>
    <t>TP 03/20</t>
  </si>
  <si>
    <t>ORDEM DE INÍCIO 15/12
RESCISÃO 10/05/24</t>
  </si>
  <si>
    <t>08/21</t>
  </si>
  <si>
    <t>HISAE KURASHIMA IDEHIRA (ADMINISTRADORA C&amp;M INTERMEDIAÇÃO DE NEGÓCIOS LTDA)
CNPJ nº 13.191.483/0001-09</t>
  </si>
  <si>
    <t>KARINA</t>
  </si>
  <si>
    <t>LOCAÇÃO DE IMÓVEL SITO A RUA CARLOS JOSÉ CARLSON, 280 - CENTRO - RIO GRANDE DA SERRA/SP, ONDE ESTA INSTALADO A SECRETARIA DE DESENVOLVIMENTO ECONÔMICO E TURÍSTICO</t>
  </si>
  <si>
    <t>12/05/23 A 12/05/24</t>
  </si>
  <si>
    <t>314/21</t>
  </si>
  <si>
    <t>758/21</t>
  </si>
  <si>
    <t>DP 08/21</t>
  </si>
  <si>
    <t>02/23</t>
  </si>
  <si>
    <t>OMASA SERVIÇOS INTELIGENTES LTDA
CNPJ - 27.701.958/0001-66</t>
  </si>
  <si>
    <t>LAMARTINE</t>
  </si>
  <si>
    <t>Paula Neves Bernardo Garcia</t>
  </si>
  <si>
    <t>CONTRATAÇÃO EMERGENCIAL DE EMPRESA ESPECIALIZADA NA PRESTAÇÃO DE SERVIÇOS DE LIMPEZA, CONSERVAÇÃO E HIGIENIZAÇÃO NAS UNIDADES ESCOLARES MUNICIPAIS, COM O FORNECIMENTO DE SANEANTES DOMISSANITÁRIOS, MATERIAIS, EQUIPAMENTOS E MÃO DE OBRA</t>
  </si>
  <si>
    <t>02/02/24 a 02/05/24</t>
  </si>
  <si>
    <t>2355/22</t>
  </si>
  <si>
    <t>DP 06/23</t>
  </si>
  <si>
    <t>ORDEM DE INICIO</t>
  </si>
  <si>
    <t>26/17</t>
  </si>
  <si>
    <t>7º Aditivo</t>
  </si>
  <si>
    <t>ARI INACIO DE SOUZA 308.320.978-96</t>
  </si>
  <si>
    <t>PAULA NEVES BERNARDO GARCIA 163.539.478-36</t>
  </si>
  <si>
    <t xml:space="preserve">CONTRATAÇÃO DE EMPRESA ESPECIALIZADA PARA PRESTAÇÃO DE SERVIÇOS DE LOCAÇÃO DE VEICULOS, COM MOTORISTA E FORNECIMENTO DE COMBUSTIVEL PARA TRANSPORTE ESCOLAR - SECRETARIA DE EDUCAÇÃO E CULTURA </t>
  </si>
  <si>
    <t>24/04/23 À 24/04/24</t>
  </si>
  <si>
    <t>741/17</t>
  </si>
  <si>
    <t>2239/17</t>
  </si>
  <si>
    <t>NÃO LANÇADO NO SISTEMA AUDESP</t>
  </si>
  <si>
    <t>PP 17/17</t>
  </si>
  <si>
    <t>LIMITE CONTRATUAL ATINGIU O 60 MESES</t>
  </si>
  <si>
    <t>03/23</t>
  </si>
  <si>
    <t>CONTRATAÇÃO DE EMPRESA PARA EXECUÇÃO DE PASSEIO PÚBLICO – PROGRAMA CALÇADA ACESSÍVEL NO MUNICÍPIO DE RIO GRANDE DA SERRA</t>
  </si>
  <si>
    <t>15/02/2023 a 15/09/2023</t>
  </si>
  <si>
    <t>1144/22</t>
  </si>
  <si>
    <t>330/23</t>
  </si>
  <si>
    <t>CO 04/22</t>
  </si>
  <si>
    <t>ORDEM DE INICIO 15/02/2023</t>
  </si>
  <si>
    <t>15/09/2023 a 15/04/2024</t>
  </si>
  <si>
    <t>02/20</t>
  </si>
  <si>
    <t>JOÃO GILBERTO ORLANDO
CPF - 007.112.518-35</t>
  </si>
  <si>
    <t>LOCAÇÃO DE IMÓVEL SITO A RUA DOS SÁBIAS, 60 - VILA NIWA, ONDE ESTA INSTALADA A UNIDADE BASICA DE SAÚDE</t>
  </si>
  <si>
    <t>09/03/23 a 09/03/24</t>
  </si>
  <si>
    <t>1517/19</t>
  </si>
  <si>
    <t>DP 01/20</t>
  </si>
  <si>
    <t>02/18</t>
  </si>
  <si>
    <t>8º Aditivo</t>
  </si>
  <si>
    <t>LARA CENTRAL DE TRATAMENTO DE RESÍDUOS LTDA
CNPJ - 57.543.001/0001-08</t>
  </si>
  <si>
    <t>Noely Mendes</t>
  </si>
  <si>
    <t>CONTRATAÇÃO DE EMPRESA ESPECIALIZADA EM SERVIÇOS DE COLETA E TRANSPORTE DE RESIDUOS DOMICILIARES, COMERCIAIS, SAUDE E LIMPEZA DE FEIRAS LIVRES</t>
  </si>
  <si>
    <t>4 MESES</t>
  </si>
  <si>
    <t>01/10/23 à 01/02/24</t>
  </si>
  <si>
    <t>1892/17</t>
  </si>
  <si>
    <t>383/18</t>
  </si>
  <si>
    <t>CO 03/17</t>
  </si>
  <si>
    <t>PRORROGAÇÃO JÁ NA EXCEPCIONALIDADE</t>
  </si>
  <si>
    <t>PERALTA AMBIENTAL IMPORTAÇÃO E EXPORTAÇÃO LTDA
CNPJ - 05.960.053/0001-78</t>
  </si>
  <si>
    <t>01/24</t>
  </si>
  <si>
    <t>ALCÂNTARA MASSONI – SOCIEDADE DE ADVOGADOS
CNPJ - 41.090.148/0001-41</t>
  </si>
  <si>
    <t>CONTRATAÇÃO DE EMPRESA ESPECIALIZADA PARA PRESTAÇÃO DE SERVIÇOS DE CAPACITAÇÃO, ATUALIZAÇÃO, TREINAMENTO TEÓRICO E PRÁTICO DOS SERVIDORES DA PREFEITURA MUNICIPAL DE RIO GRANDE DA SERRA NA NOVA LEI DE LICITAÇÕES (LEI FEDERAL N° 14.133/2021)</t>
  </si>
  <si>
    <t>40 HORAS</t>
  </si>
  <si>
    <t>01/02/24 A 29/02/2024</t>
  </si>
  <si>
    <t>2027/23</t>
  </si>
  <si>
    <t xml:space="preserve">LICITAÇÃO 2024000000121
</t>
  </si>
  <si>
    <t>AJUSTE 2024000000090</t>
  </si>
  <si>
    <t xml:space="preserve">CONVITE Nº 11/2023 </t>
  </si>
  <si>
    <t>48/23</t>
  </si>
  <si>
    <t>VIVERCON SERVIÇOS DE CONSTRUÇÃO CIVIL LTDA
CNPJ - 11.076.813/0001-81</t>
  </si>
  <si>
    <t>CONTRATAÇÃO DE EMPRESA ESPECIALIZADA EM SERVIÇOS DE ENGENHARIA PARA CONSULTORIA, ELABORAÇÃO DE ESTUDOS E PROJETOS LUMINOTÉCNICOS, ESTUDO TÉCNICO COM DIAGNÓSTICO E EFICIENTIZAÇÃO ENERGÉTICA, ELABORAÇÃO DE PROJETO BÁSICO, CADERNO TÉCNICO, ORÇAMENTOS PARA MUDANÇA DO PARQUE DE ILUMINAÇÃO PÚBLICA PARA LED</t>
  </si>
  <si>
    <t>29/11/23 A 27/02/2024</t>
  </si>
  <si>
    <t>2013/23</t>
  </si>
  <si>
    <t xml:space="preserve">LICITAÇÃO 2023000000133
</t>
  </si>
  <si>
    <t>AJUSTE 202300000523</t>
  </si>
  <si>
    <t>DP  - COMPRA DIRETA - 224/2023</t>
  </si>
  <si>
    <t>49/23</t>
  </si>
  <si>
    <t>ILUMICON LTDA
CNPJ - 36.175.118/0001-06</t>
  </si>
  <si>
    <t>CONTRATAÇÃO DE EMPRESA DE ENGENHARIA PARA LOCAÇÃO DE DECORAÇÃO NATALINA, INSTALAÇÃO, REMOÇÃO E ACONDICIONAMENTO COM FORNECIMENTO DE MATERIAIS NO MUNICÍPIO DE RIO GRANDE DA SERRA</t>
  </si>
  <si>
    <t>2 MESES</t>
  </si>
  <si>
    <t>07/12/23 A 07/02/24</t>
  </si>
  <si>
    <t>2272/23</t>
  </si>
  <si>
    <t xml:space="preserve">LICITAÇÃO 2023000000141 </t>
  </si>
  <si>
    <t>AJUSTE 2023000000418</t>
  </si>
  <si>
    <t>DP  - COMPRA DIRETA - 235/2023</t>
  </si>
  <si>
    <t>30/23</t>
  </si>
  <si>
    <t>3ALLTECH – SERVIÇOS DE INFORMAÇÃO LTDA
CNPJ - 18.367.014/0001-03</t>
  </si>
  <si>
    <t>Ana Lúcia Capitanio Teles Schiavone</t>
  </si>
  <si>
    <t>LOCAÇÃO (DISPONIBILIZAÇÃO/INSTALAÇÃO) DE SOFTWARE ESPECIALIZADO EM GESTÃO E REGISTRO DE INFRAÇÕES DE TRÂNSITO (TALONÁRIO) E DE OCORRÊNCIAS DE ACIDENTES DE TRÂNSITO, CONTEMPLANDO TODOS OS RECURSOS NECESSÁRIOS PARA A FINALIDADE DO OBJETO</t>
  </si>
  <si>
    <t>02/08/23 a 02/02/24</t>
  </si>
  <si>
    <t>435/23</t>
  </si>
  <si>
    <t>1632/23</t>
  </si>
  <si>
    <t xml:space="preserve">CV 05/23 </t>
  </si>
  <si>
    <t>18/21</t>
  </si>
  <si>
    <t>B TUNEL METODO NAO DESTRUTIVO ENGENHARIA EIRELI
CNPJ - 34.169.504/0001-51</t>
  </si>
  <si>
    <t>CONTRATAÇÃO DE EMPRESA PARA EXECUÇÃO DE SERVIÇOS CIVIS E REPAROS NO VELÓRIO MUNICIPAL DE RIO GRANDE DA SERRA</t>
  </si>
  <si>
    <t>397/21</t>
  </si>
  <si>
    <t>DP 14/21</t>
  </si>
  <si>
    <t>3 MESES APÓS A ORDEM DE INÍCIO</t>
  </si>
  <si>
    <t>CLARO S.A - CNPJ: 40.432.544/0001-47</t>
  </si>
  <si>
    <t xml:space="preserve">ADMINISTRAÇÃO </t>
  </si>
  <si>
    <t>CONTRATAÇÃO DE SERVIÇO RENPAC - SERVIÇO DE COMUNICAÇÃO DE DADOS POR COMUTAÇÃO DE PACOTES, QUE PROPICIA A INTERLIGAÇÃO ENTRE TERMINAIS DE DADOS, MICROCOMPUTADORES E COMPUTADORES DO CIRETRAN DE RIO GRANDE DA SERRA ATRAVÉS DE CONVÊNIO.</t>
  </si>
  <si>
    <t>01/01/22 A 31/12/22</t>
  </si>
  <si>
    <t>1067/22</t>
  </si>
  <si>
    <t>1067/2022</t>
  </si>
  <si>
    <t>NÃO LANÇADO NA AUDESP</t>
  </si>
  <si>
    <t>DISPENSA DE LICITAÇÃO</t>
  </si>
  <si>
    <t>SERVIÇO CUSTEADO PELA SECRETARIA DE ADMINISTRAÇÃO DEVIDO CONVÊNIO COM O CIRETRAN</t>
  </si>
  <si>
    <t>26/23</t>
  </si>
  <si>
    <t>FÁBIO LEMOS NAKAMURA
CPF - 321.017.798-89</t>
  </si>
  <si>
    <t>Adriana Alves da Silva Carvalho</t>
  </si>
  <si>
    <t>LOCAÇÃO DO IMÓVEL SITUADO NO MUNÍCIPIO DE RIO GRANDE DA SERRA, NA RUA MESSIAS DA SILVA RAMOS, Nº 220, VILA FIGUEIREDO, RIO GRANDE DA SERRA, PARA O FIM EXCLUSIVO DE INSTALAÇÃO DA CASA DE ACOLHIMENTO TEMPORÁRIA PARA PESSOAS EM SITUAÇÃO DE RUA</t>
  </si>
  <si>
    <t>14/11/23 A 29/12/23</t>
  </si>
  <si>
    <t>720/23</t>
  </si>
  <si>
    <t>1366/23</t>
  </si>
  <si>
    <t>35/23</t>
  </si>
  <si>
    <t>S LIMA ENGENHARIA E PROJETOS LTDA
CNPJ - 42.195.425/0001-43</t>
  </si>
  <si>
    <t>Nicolas Augusto Vacca</t>
  </si>
  <si>
    <t>CONTRATAÇÃO DE EMPRESA ESPECIALIZADA PARA EXECUÇÃO DE LEVANTAMENTO TOPOGRÁFICO E PROJETOS PARA IMPLANTAÇÃO DE OBRAS DE CONTENÇÃO, ESTABILIZAÇÃO DE ENCOSTA E DRENAGEM, LOCALIZADA NA AV. JOSÉ BELLO, NO MUNICÍPIO DE RIO GRANDE DA SERRA</t>
  </si>
  <si>
    <t>13/09/23 A 12/12/23</t>
  </si>
  <si>
    <t>2184/22</t>
  </si>
  <si>
    <t>1911/23</t>
  </si>
  <si>
    <t>CD 187/23</t>
  </si>
  <si>
    <t>25/23</t>
  </si>
  <si>
    <t>THREE WAY ENGENHARIA LTDA
CNPJ - 33.453.318/0001-87</t>
  </si>
  <si>
    <t>GABINETE/GOVERNO</t>
  </si>
  <si>
    <t>ERIKA LUCY DE SOUZA</t>
  </si>
  <si>
    <t>PRISCILA ULIAN DE OLIVEIRA</t>
  </si>
  <si>
    <t>CONTRATAÇÃO DE EMPRESA ESPECIALIZADA PARA PRESTAÇÃO DE SERVIÇOS DE REFORMA PARCIAL NO PAÇO MUNICIPAL NO MUNICÍPIO DE RIO GRANDE DA SERRA</t>
  </si>
  <si>
    <t>06/07/23 A 06/12/23</t>
  </si>
  <si>
    <t>867/23</t>
  </si>
  <si>
    <t>1335/23</t>
  </si>
  <si>
    <t>CD 141/23</t>
  </si>
  <si>
    <t xml:space="preserve"> ORDEM DE INÍCIO 06/07/23 </t>
  </si>
  <si>
    <t>04/22</t>
  </si>
  <si>
    <t>EMPARSANCO ENGENHARIA S/A
CNPJ - 21.617.548/0001-55</t>
  </si>
  <si>
    <t>ALESSANDRA MARA GONÇALVES DOS SANTOS</t>
  </si>
  <si>
    <t>CONTRATAÇÃO DE EMPRESA PARA EXECUÇÃO DE PAVIMENTAÇÃO, DRENAGEM E SINALIZAÇÃO DAS RUAS JUNDIAÍ E OLÍMPIA NO PARQUE AMÉRICA NO MUNICÍPIO DE RIO GRANDE DA SERRA</t>
  </si>
  <si>
    <t>20/08/23 à 18/11/23</t>
  </si>
  <si>
    <t>1004/21</t>
  </si>
  <si>
    <t>480/22</t>
  </si>
  <si>
    <t xml:space="preserve">Audesp Cadastro 2022000000006  Termo Aditivo 06/2022 202200000006  Termo Aditivo 02/2022 202200000015  </t>
  </si>
  <si>
    <t>TP 03/21</t>
  </si>
  <si>
    <t>39/23</t>
  </si>
  <si>
    <t>MAGSI COMÉRCIO E PRESTAÇÃO DE SERVIÇOS DE LIMPEZA E CONSERVAÇÃO LTDA EPP
CNPJ -  19.630.021/0001-19</t>
  </si>
  <si>
    <t xml:space="preserve">Priscila </t>
  </si>
  <si>
    <t>Priscila</t>
  </si>
  <si>
    <t>CONTRATAÇÃO EMERGENCIAL DE EMPRESA PARA O FORNECIMENTO E INSTALAÇÃO DE PONTOS DE ILUMINAÇÃO PÚBLICA, EM PONTOS ESSENCIAIS DO MUNICÍPIO DE RIO GRANDE DA SERRA</t>
  </si>
  <si>
    <t>12/09/23 A 11/11/23</t>
  </si>
  <si>
    <t>1148/23</t>
  </si>
  <si>
    <t>1851/23</t>
  </si>
  <si>
    <t>DP 17/23</t>
  </si>
  <si>
    <t>09/22</t>
  </si>
  <si>
    <t>HIDROPAV CONSTRUTORA E PARTICIPAÇÕES LTDA
CNPJ/MF sob o nº. 31.258.472/0001-72</t>
  </si>
  <si>
    <t>CONTRATAÇÃO DE EMPRESA ESPECIALIZADA NA ÁREA DE ENGENHARIA E ARQUITETURA PARA CONTINUAÇÃO DA CONSTRUÇÃO DO TERMINAL RODOVIÁRIO DO MUNICIPIO DE RIO GRANDE DA SERRA</t>
  </si>
  <si>
    <t>30/12/22 A 10/09/23</t>
  </si>
  <si>
    <t>123/2022</t>
  </si>
  <si>
    <t>565/2022</t>
  </si>
  <si>
    <t>LICITAÇÃO 2022000000020 E AJUSTE 2022000000098</t>
  </si>
  <si>
    <t>TP 01/22</t>
  </si>
  <si>
    <t>ORDEM DE INICIO 30/03/2022</t>
  </si>
  <si>
    <t>24/22</t>
  </si>
  <si>
    <t>UNIVERSIDADE MUNICIPAL DE SÃO CAETANO DO SUL
CNPJ/MF sob o nº. 44.392.215/0001-70</t>
  </si>
  <si>
    <t xml:space="preserve">Adrielle </t>
  </si>
  <si>
    <t xml:space="preserve">Hellen </t>
  </si>
  <si>
    <t>CONTRATAÇÃO DE EMPRESA PARA PRESTAÇÃO DE SERVIÇOS ESPECIALIZADOS DE PLANEJAMENTO, ORGANIZAÇÃO DE PROCESSO SELETIVO PÚBLICO PARA SELEÇÃO DE CANDIDATOS PARA PREENCHIMENTO DE VAGAS DE NÍVEL MÉDIO, PARA AS FUNÇÕES DE AGENTE COMUNITÁRIO DE SAÚDE DO MUNICÍPIO DE RIO GRANDE DA SERRA</t>
  </si>
  <si>
    <t>24/10/22 a 24/10/23</t>
  </si>
  <si>
    <t>1231/22</t>
  </si>
  <si>
    <t>DP 26/22</t>
  </si>
  <si>
    <t>20/23</t>
  </si>
  <si>
    <t xml:space="preserve"> VIAPRECISA TERRAPLANAGEM E
PAVIMENTAÇÃO LTDA
CNPJ - 31.133.672/0001-07 </t>
  </si>
  <si>
    <t>VALDIR</t>
  </si>
  <si>
    <t>FERNANDO</t>
  </si>
  <si>
    <t>CONTRATAÇÃO DE EMPRESA ESPECIALIZADA
PARA PRESTAÇÃO DE SERVIÇOS DE OPERAÇÃO DA
MANUTENÇÃO CORRETIVA, COM FORNECIMENTO DE
MATERIAIS E MÃO DE OBRA, BEM COMO REALIZAÇÃO DE
SERVIÇOS EVENTUAIS DIVERSOS, PARA CONSERVAÇÃO DE
PAVIMENTO VIÁRIOS DE RIO GRANDE DA SERRA -
CONSERVAÇÃO DE PAVIMENTOS VIÁRIOS – “TAPABURACOS”</t>
  </si>
  <si>
    <t>21/06/23 A 21/10/23</t>
  </si>
  <si>
    <t>500/23</t>
  </si>
  <si>
    <t>DP 12/23</t>
  </si>
  <si>
    <t>10/23</t>
  </si>
  <si>
    <t>Patrícia Aparecida Santiago</t>
  </si>
  <si>
    <t>CONTRATAÇÃO EMERGENCIAL PARA PRESTAÇÃO DE SERVIÇOS DE LIMPEZA TÉCNICA E CONSERVAÇÃO PREDIAL, COM FORNECIMENTO DE MÃO DE OBRA, EQUIPAMENTOS TÉCNICOS E MATERIAIS SANITÁRIOS E DOMISSANITÁRIOS PARA AS UNIDADES DE SAÚDE DO MUNICÍPIO DE RIO GRANDE DA SERRA</t>
  </si>
  <si>
    <t>13/04/23 a 13/10/23</t>
  </si>
  <si>
    <t>98/23</t>
  </si>
  <si>
    <t>20/22</t>
  </si>
  <si>
    <t>Gilmar</t>
  </si>
  <si>
    <t>Conceição</t>
  </si>
  <si>
    <t>FORNECIMENTO PARCELADO DE COMBUSTÍVEL DO TIPO GASOLINA COMUM E ÓLEO DIESEL BS10, COM MAIOR PERCENTUAL DE DESCONTO SOBRE O PREÇO MÉDIO MENSAL DIVULGADO PELA ANP (AGÊNCIA NACIONAL DO PETRÓLEO) PRATICADOS NO ESTADO DE SÃO PAULO, TENDO COMO REFERÊNCIA O PREÇO MÉDIO DA REGIÃO DO ABC OS MUNICÍPIOS DE RIBEIRÃO PIRES, MAUÁ E SANTO ANDRÉ PARA ABASTECIMENTO NO TANQUE DE COMBUSTÍVEL INSTALADO NA GARAGEM MUNICIPAL DA PREFEITURA MUNICIPAL DE RIO GRANDE DA SERRA</t>
  </si>
  <si>
    <t>05/10/22 a 05/10/23</t>
  </si>
  <si>
    <t>1430/22</t>
  </si>
  <si>
    <t>1997/22</t>
  </si>
  <si>
    <t>PP 28/22</t>
  </si>
  <si>
    <t xml:space="preserve">% DE DESCONTO 0,30 </t>
  </si>
  <si>
    <t>09/23</t>
  </si>
  <si>
    <t>SAGS FACILITIES SERVIÇOS EMPRESARIAIS LTDA
CNPJ/MF sob o nº. 18.465.479/0001-05</t>
  </si>
  <si>
    <t>Wilson</t>
  </si>
  <si>
    <t>Valderez</t>
  </si>
  <si>
    <t>CONTRATAÇÃO EMERGENCIAL DE EMPRESA PARA EXECUÇÃO DE SERVIÇOS DE ROÇAGEM MECANIZADA, CAPINA MANUAL DE VIAS, VARRIÇÃO MANUAL DE VIAS PÚBLICAS, COM FORNECIMENTO DE EQUIPE PADRÃO E EQUIPE PARA LIMPEZA E MANUTENÇÃO DE BUEIROS, A COLETA E TRANSPORTE DOS RESÍDUOS RESULTANTES DESSAS ATIVIDADES</t>
  </si>
  <si>
    <t>06/04/23 a 06/10/23</t>
  </si>
  <si>
    <t>403/23</t>
  </si>
  <si>
    <t>DP 10/23</t>
  </si>
  <si>
    <t>20/18</t>
  </si>
  <si>
    <t>IMESP - IMPRENSA OFICIAL DO ESTADO S/A
CNPJ sob o n.º 48.066.047/0001-84</t>
  </si>
  <si>
    <t>PRESTAÇÃO DE SERVIÇOS DE PUBLICIDADE LEGAL DE TODOS OS ATOS PELO SISTEMA ON-LINE, NO RESPECTIVO CADERNO "DIÁRIO OFICIAL DO ESTADO DE SÃO PAULO"</t>
  </si>
  <si>
    <t>04/10/18 A 04/10/23</t>
  </si>
  <si>
    <t>2171/18</t>
  </si>
  <si>
    <t>DP 03/18</t>
  </si>
  <si>
    <t>ABRIR NOVO PROCESSO - LIMITE DE 60 (SESSENTA) MESES</t>
  </si>
  <si>
    <t>14/23</t>
  </si>
  <si>
    <t>INOVAÇÃOGOV PLANEJAMENTO E GESTÃO EMPRESARIAL LTDA
CNPJ/MF sob o nº.33.211.785/0001-09</t>
  </si>
  <si>
    <t>Iasmin</t>
  </si>
  <si>
    <t>Suzana</t>
  </si>
  <si>
    <t>CONTRATAÇÃO DE PESSOA JURÍDICA ESPECIALIZADA NA PRESTAÇÃO DE SERVIÇOS DE ATIVIDADES TÉCNICAS EM ADMINISTRAÇÃO DE PESSOAL PARA A MENSURAÇÃO DE REGISTROS DE DOCUMENTAÇÃO DOS PRONTUÁRIOS FUNCIONAIS DOS SERVIDORES E PARA CORREÇÃO DE EVENTOS DE FOLHA DE PAGAMENTO COM BASE NA LEGISLAÇÃO MUNICIPAL COM CAPACITAÇÃO PARA TRANSFERÊNCIA DE CONHECIMENTO AOS SERVIDORES DO DEPARTAMENTO DE PESSOAL</t>
  </si>
  <si>
    <t>04/08/23 A 03/10/23</t>
  </si>
  <si>
    <t>2353/22</t>
  </si>
  <si>
    <t>PP 17/23</t>
  </si>
  <si>
    <t>17/18</t>
  </si>
  <si>
    <t>Finanças (60%)</t>
  </si>
  <si>
    <t xml:space="preserve"> Cristina Mayumi Fukumoto</t>
  </si>
  <si>
    <t>José Coelho Juniot</t>
  </si>
  <si>
    <t xml:space="preserve">CONTRATAÇÃO DE EMPRESA ESPECIALIZADA NA PRESTAÇÃO DE SERVIÇOS DE INFORMÁTICA, PARA O FORNECIMENTO DE LICENÇA DE SOLUÇÃO TECNOLOGICA DE GESTÃO, CONTEMPLANDO OS SERVIÇOS DE IMPLANTAÇÃO (MIGRAÇÃO DE DADOS, CUSTOMIZAÇÃO, TREINAMENTO E CAPACITAÇÃO DE USUARIOS), MANUTENÇÃO (PREVENTIVA, CORRETIVA E DE ORDEM LEGAL) E SUPORTE TÉCNICO. </t>
  </si>
  <si>
    <t>03/09/22 a 03/09/23</t>
  </si>
  <si>
    <t>1237/18</t>
  </si>
  <si>
    <t>2129/18</t>
  </si>
  <si>
    <t>NÃO FOI LNÇADO NA AUDESP</t>
  </si>
  <si>
    <t>PP 44/18</t>
  </si>
  <si>
    <t>Administração (40%)</t>
  </si>
  <si>
    <t>33/22</t>
  </si>
  <si>
    <t>Obras</t>
  </si>
  <si>
    <t>CONTRATAÇÃO DE EMPRESA PARA EXECUÇÃO DE PAVIMENTAÇÃO, DRENAGEM E SINALIZAÇÃO VIÁRIA DA RUA ILHA BELA – BAIRRO PARQUE AMÉRICA NO MUNICÍPIO DE RIO GRANDE DA SERRA</t>
  </si>
  <si>
    <t>25/01/23 a 25/08/23</t>
  </si>
  <si>
    <t>1200/2020</t>
  </si>
  <si>
    <t>CO 02/22</t>
  </si>
  <si>
    <t>18/22</t>
  </si>
  <si>
    <t>JOÃO ANTÔNIO DE ARAÚJO
CPF/MF sob o nº. 294.205.478-68</t>
  </si>
  <si>
    <t>Eliza</t>
  </si>
  <si>
    <t>Fernanda</t>
  </si>
  <si>
    <t>LOCAÇÃO DE IMÓVEL LOCALIZADO NA DR. ANGELO GAETA, Nº 84, PARQUE INDAIÁ, RIO GRANDE DA SERRA/SP, PARA ATENDER A SECRETARIA DE CIDADANIA E INCLUSÃO SOCIAL</t>
  </si>
  <si>
    <t>24/08/22 À 24/08/23</t>
  </si>
  <si>
    <t>1024/2022</t>
  </si>
  <si>
    <t>DP 12/22</t>
  </si>
  <si>
    <t>15/23</t>
  </si>
  <si>
    <t>DAVI ALVES DE OLIVEIRA LTDA
CNPJ sob o nº. 00.700.428/0001-47</t>
  </si>
  <si>
    <t>Serviços Urbanos</t>
  </si>
  <si>
    <t>Valdir</t>
  </si>
  <si>
    <t>CONTRATAÇÃO DE EMPRESA ESPECIALIZADA PARA PRESTAÇÃO DE SERVIÇO DE LOCAÇÃO DE MÁQUINAS E VEÍCULOS, INCLUINDO O FORNECIMENTO DE MÃO DE OBRA, MATERIAIS DE CONSUMO, MANUTENÇÃO PREVENTIVA, CORRETIVA E DEMAIS MATERIAIS QUE FOREM NECESSÁRIOS AO COMPLETO DESEMPENHO DOS TRABALHOS</t>
  </si>
  <si>
    <t>16/05/23 a 16/07/23</t>
  </si>
  <si>
    <t>415/2023</t>
  </si>
  <si>
    <t>CV 04/23</t>
  </si>
  <si>
    <t>15/22</t>
  </si>
  <si>
    <t>Comunicação</t>
  </si>
  <si>
    <t>15/07/22 a 15/07/23</t>
  </si>
  <si>
    <t>979/22</t>
  </si>
  <si>
    <t>1407/22</t>
  </si>
  <si>
    <t>DP 07/22</t>
  </si>
  <si>
    <t>09/20</t>
  </si>
  <si>
    <t>Saúde</t>
  </si>
  <si>
    <t>01/07/22 A 01/07/23</t>
  </si>
  <si>
    <t>969/20</t>
  </si>
  <si>
    <t>DP 08/20</t>
  </si>
  <si>
    <t>10/18</t>
  </si>
  <si>
    <t>TATIANA PAULA ZANI DE SOUSA
CPF/MF sob o nº. 262.678.818-06</t>
  </si>
  <si>
    <t>Administração</t>
  </si>
  <si>
    <t>CONTRATAÇÃO DE LEILOEIRO OFICIAL PARA PREPARAÇÃO, ASSESSORIA, LOTEAMENTO, ORGANIZAÇÃO, CONDUÇÃO E DIVULGAÇÃO DOS LEILÕES PÚBLICOS DE BENS MÓVEIS E EM GERAL, IMÓVEIS INSERVÍVEIS DE PROPRIEDADE DA PREFEITURA DO MUNICÍPIO DE RIO GRANDE DA SERRA E OS BENS ORIUNDOS DAS EXECUÇÕES FISCAIS AJUIZADA PELA MUNICIPALIDADE NA FORMA DA LEGISLAÇÃO VIGENTE.</t>
  </si>
  <si>
    <t>15/06/22 A 15/06/23</t>
  </si>
  <si>
    <t>1029/18</t>
  </si>
  <si>
    <t>PP 22/18</t>
  </si>
  <si>
    <t>5% sobre arremate</t>
  </si>
  <si>
    <t>12/23</t>
  </si>
  <si>
    <t>CLÍNICA VETERINÁRIA BUENO LTDA
CNPJ/MF sob o nº. 10.766.072/0001-06</t>
  </si>
  <si>
    <t>Meio Ambiente</t>
  </si>
  <si>
    <t>Vinícius</t>
  </si>
  <si>
    <t>Juliana</t>
  </si>
  <si>
    <t>CONTRATAÇÃO DE EMPRESA ESPECIALIZADA (CLINICAS VETERINÁRIAS), INTERESSADAS EM PRESTAR SERVIÇOS DE CASTRAÇÃO DE 340 (TREZENTOS E QUARENTA) ANIMAIS DA ESPÉCIE CANINA E FELINA DE AMBOS OS SEXOS, LEGALMENTE CONSTITUÍDAS NA FORMA DA LEI, VISANDO À PRESTAÇÃO DE SERVIÇOS PARA REALIZAÇÃO DE CIRURGIAS PARA ESTERILIZAÇÃO DE CÃES E GATOS, MACHOS (ORQUIECTOMIA) E FÊMEAS (OVÁRIO SALPINGO HISTERECTOMIA), EM VEÍCULO “CASTRAMÓVEL” DE ACORDO COM AS CONDIÇÕES ESTABELECIDAS NESTE TERMO DE REFERÊNCIA PARA ATENDER A SECRETARIA DE VERDE E MEIO AMBIENTE COM SUPORTE TÉCNICO DA SECRETARIA DE SAÚDE NO MUNICÍPIO DE RIO GRANDE DA SERRA.</t>
  </si>
  <si>
    <t>26/04/23 A 10/06/23</t>
  </si>
  <si>
    <t>1727/23</t>
  </si>
  <si>
    <t>PP 16/23</t>
  </si>
  <si>
    <t>32/22</t>
  </si>
  <si>
    <t>CONTRATAÇÃO DE EMPRESA PARA EXECUÇÃO DE PAVIMENTAÇÃO E SINALIZAÇÃO VIA URBANA: RUA AVARÉ - BAIRRO PARQUE AMÉRICA NO MUNICÍPIO DE RIO GRANDE DA SERRA</t>
  </si>
  <si>
    <t>09/01/23 a 09/06/23</t>
  </si>
  <si>
    <t>1540/21</t>
  </si>
  <si>
    <t>31/2023</t>
  </si>
  <si>
    <t>LICITAÇÃO 2023000000003 AJUSTE 2023000000007</t>
  </si>
  <si>
    <t>TP 03/22</t>
  </si>
  <si>
    <t>29/22</t>
  </si>
  <si>
    <t>REISCON CONSTRUTORA E TERRAPLAGEM EIRELI 
CNPJ - 16.804.449/0001-42</t>
  </si>
  <si>
    <t>CONTRATAÇÃO DE EMPRESA PARA EXECUÇÃO DE SERVIÇOS CIVIS E REPAROS NO VELÓRIO MUNICIPAL DE RIO GRANDE DA SERRA LOCALIZADO NA AVENIDA JEAN LIEUTAUD - BAIRRO SANTA TEREZA</t>
  </si>
  <si>
    <t>14/12/22 A 14/05/23</t>
  </si>
  <si>
    <t>397/2021-4</t>
  </si>
  <si>
    <t>2427/2022-5</t>
  </si>
  <si>
    <t>LICITAÇÃO 2022000000124 AJUSTE 2022000000400</t>
  </si>
  <si>
    <t>DP 28/22</t>
  </si>
  <si>
    <t>28/22</t>
  </si>
  <si>
    <t>SMPV SERVIÇOS MÉDICOS E DIAGNÓSTICOS POR IMAGEM LTDA - CNPJ: 26.794.955/0001-51</t>
  </si>
  <si>
    <t xml:space="preserve">TELMA MORAES </t>
  </si>
  <si>
    <t>HELLEN CRISTIANE ROMANINI PESSOA</t>
  </si>
  <si>
    <t>CONTRATAÇÃO EMERGENCIAL DE EMPRESA JURÍDICA PARA PRESTAÇÃO DE SERVIÇOS DE SAÚDE PARA ATENDER A UPA - UNIDADE DE PRONTO ATENDIMENTO NO MUNICIPIO DE RIO GRANDE DA SERRA</t>
  </si>
  <si>
    <t>06/03/23 A 04/06/23</t>
  </si>
  <si>
    <t>1717/22</t>
  </si>
  <si>
    <t>LICITACÃO 2022000000123 AJUSTE 2022000000407 2023000000009</t>
  </si>
  <si>
    <t>DP 32/22</t>
  </si>
  <si>
    <t>07/18</t>
  </si>
  <si>
    <t xml:space="preserve">SUPRIMIX COMÉRCIO E SERVIÇOS LTDA ME
CNPJ/MF sob o nº. 17.252.363/0001-17 </t>
  </si>
  <si>
    <t>CONTRATAÇÃO DE EMPRESA ESPECIALIZADA PARA MANUTENÇÃO PREVENTIVA E CORRETIVA DE EQUIPAMENTOS HOSPITALARES LOCALIZADOS NA UNIDADE DE PRONTO ATENDIMENTO - UPA PORTE I.</t>
  </si>
  <si>
    <t>30/05/22 à 30/05/23</t>
  </si>
  <si>
    <t>2356/17</t>
  </si>
  <si>
    <t>1007/18</t>
  </si>
  <si>
    <t>PP 13/18</t>
  </si>
  <si>
    <t>07/23</t>
  </si>
  <si>
    <t>José Coelho Junior</t>
  </si>
  <si>
    <t>CONTRATAÇÃO DE EMPRESA ESPECIALIZADA PARA PRESTAÇÃO DE SERVIÇO DE SOLUÇÃO DE IMPRESSÃO E CÓPIA CORPORATIVA, POR MEIO DE DISPONIBILIDADE DE EQUIPAMENTOS (MULTIFUNCIONAIS), DESTINADOS À IMPRESSÃO, REPROGRAFIA E DIGITALIZAÇÃO DE DOCUMENTOS NAS DEPENDÊNCIAS DA CONTRATANTE, COMPREENDENDO: CESSÃO DE DIREITO DE USO DE EQUIPAMENTOS; SERVIÇO DE SUPORTE; INSTALAÇÃO E DESINSTALAÇÃO DOS EQUIPAMENTOS; SERVIÇOS DE MANUTENÇÃO PREVENTIVA E CORRETIVA; FORNECIMENTO DE PEÇAS E SUPRIMENTOS NECESSÁRIOS PARA OPERACIONALIZAÇÃO DA SOLUÇÃO, PARA ATENDER DIVERSAS SECRETARIAS</t>
  </si>
  <si>
    <t>17/02/23 a 17/05/23</t>
  </si>
  <si>
    <t>2463/22</t>
  </si>
  <si>
    <t>DP 28/23</t>
  </si>
  <si>
    <t>11/20</t>
  </si>
  <si>
    <t>RR CONSTRUÇÕES E SERVIÇOS LTDA
CNPJ/MF sob o nº. 18.530.654/0001-92</t>
  </si>
  <si>
    <t>Alessandra (Adjunta)</t>
  </si>
  <si>
    <t>CONTRATAÇÃO DE EMPRESA PARA CONSTRUÇÃO DO PARQUE LINEAR - 3ª ETAPA, LOCALIZADO NA AVENIDA JOSÉ BELLO, ENTRE A ESTRADA DO CARACU E RUA 31 DE MARÇO NO MUNICÍPIO DE RIO GRANDE DA SERRA</t>
  </si>
  <si>
    <t>18/11/22 A 18/05/2023</t>
  </si>
  <si>
    <t>531/2020</t>
  </si>
  <si>
    <t>1153/2020</t>
  </si>
  <si>
    <t>LICITACÃO 202200000063 AJUSTE 2022000000005</t>
  </si>
  <si>
    <t>TP 01/20</t>
  </si>
  <si>
    <t>05/23</t>
  </si>
  <si>
    <t>GOMES E FARIA RADIOLOGIA LTDA
CNPJ/MF sob o nº. 36.265.456/0001-20</t>
  </si>
  <si>
    <t>Maria do Rosário Gonçalves loredo</t>
  </si>
  <si>
    <t>Ariane Helena Machado Conceição</t>
  </si>
  <si>
    <t>CONTRATAÇÃO DE EMPRESA ESPECIALIZADA PARA LOCAÇÃO DE MAMÓGRAFO, CONTEMPLANDO MANUTENÇÃO PREVENTIVA E CORRETIVA, INSUMOS E MÃO DE OBRA, NECESSÁRIAS PARA A REALIZAÇÃO DE EXAMES PARA ATENDER A SECRETARIA DE SAÚDE DO MUNICÍPIO DE RIO DE GRANDE DA SERRA</t>
  </si>
  <si>
    <t>08/02/23 a 08/05/23</t>
  </si>
  <si>
    <t>2239/2022</t>
  </si>
  <si>
    <t>326/23</t>
  </si>
  <si>
    <t>CV 01/23</t>
  </si>
  <si>
    <t>06/23</t>
  </si>
  <si>
    <t>JML 3 SOLUÇÕES E TRANSPORTES LTDA
CNPJ/MF sob o nº. 05.411.610/0001-00</t>
  </si>
  <si>
    <t>Educação</t>
  </si>
  <si>
    <t xml:space="preserve">Ari </t>
  </si>
  <si>
    <t>CONTRATAÇÃO EMERGENCIAL DE SERVIÇOS DE TRANSPORTE ESCOLAR DE ALUNOS DA EDUCAÇÃO BÁSICA DE ENSINO FUNDAMENTALDA EMEB DEPUTADA IVETE VARGAS</t>
  </si>
  <si>
    <t>06/02/23 a 06/05/23</t>
  </si>
  <si>
    <t>237/23</t>
  </si>
  <si>
    <t xml:space="preserve">AUDESP 2023000000025 AJUSTE 2023000000127 </t>
  </si>
  <si>
    <t>DP 08/23</t>
  </si>
  <si>
    <t>26/22</t>
  </si>
  <si>
    <t>MV PLAN PLANEJAMENTO E GESTÃO LTDA
CNPJ/MF sob o nº. 10.768.977/0001-07</t>
  </si>
  <si>
    <t>CONTRATAÇÃO DE EMPRESA ESPECIALIZADA PARA PRESTAÇÃO DE SERVIÇOS DE SUPORTE TÉCNICO METODOLÓGICO PARA PLANEJAMENTO DE GOVERNO, SISTEMATIZAÇÃO DOS PROGRAMAS E POLÍTICAS PÚBLICAS, DEFINIÇÃO DE PROJETOS E RESULTADOS PROPOSTOS PELA ADMINISTRAÇÃO PÚBLICA DO MUNICÍPIO DE RIO GRANDE DA SERRA PARA O PERÍODO DE 2022-2024</t>
  </si>
  <si>
    <t>25/10/22 à 25/04/23</t>
  </si>
  <si>
    <t>1466/2022</t>
  </si>
  <si>
    <t>CV 02/22</t>
  </si>
  <si>
    <t>02/22</t>
  </si>
  <si>
    <t>FXR AR CONDICIONADO SOLUÇÕES EM REFRIGERAÇÃO COMÉRCIO E SERVIÇOS EIRELI
CNPJ/MF sob o nº. 19.978.084/0001-60</t>
  </si>
  <si>
    <t>CONTRATAÇÃO DE EMPRESA ESPECIALIZADA PARA PRESTAÇÃO DE SERVIÇO DE MANUTENÇÃO CORRETIVA E PREVENTIVA DE APARELHOS DE AR-CONDICIONADO COM EVENTUAL FORNECIMENTO E REPOSIÇÃO DE PEÇAS</t>
  </si>
  <si>
    <t>27/01/22 à 26/01/23</t>
  </si>
  <si>
    <t>911/2021</t>
  </si>
  <si>
    <t>246/22</t>
  </si>
  <si>
    <t>PP 19/21</t>
  </si>
  <si>
    <t>23/21</t>
  </si>
  <si>
    <t>COOPERATIVA DE PRODUÇÃO E CONSUMO FAMILIAR NOSSA TERRA LTDA
CNPJ - 05.047.086/0001-21</t>
  </si>
  <si>
    <t>CONTRATO PARA AQUISIÇÃO DE GENEROS ALIMENTÍCIOS DA AGRICULTURA FAMILIAR PARA A ALIMENTAÇÃO ESCOLAR / PNAE</t>
  </si>
  <si>
    <t>27/10/21 A 26/10/22</t>
  </si>
  <si>
    <t>1175/21</t>
  </si>
  <si>
    <t>DP 15/21</t>
  </si>
  <si>
    <t>28/14</t>
  </si>
  <si>
    <t>COSTA LESTE CONSTRUTORA E SERVIÇOS LTDA EPP</t>
  </si>
  <si>
    <t>Contratação de empresa para execução e fornecimento de material para construção da Unidade Básica de Saúde - Sítio Maria Joana - Convênio Portaria nº 1380 de 09/07/13</t>
  </si>
  <si>
    <t>25/05/17 à 24/06/17</t>
  </si>
  <si>
    <t>2199/13</t>
  </si>
  <si>
    <t>TP 02/14</t>
  </si>
  <si>
    <t>18/17</t>
  </si>
  <si>
    <t>CONIN TOPOGRAFIA E CONSTRUÇÃO LTDA EPP</t>
  </si>
  <si>
    <t>Contratação de empresa especializada para levantamento planialtimétrico cadastral de diversas vielas</t>
  </si>
  <si>
    <t>12/07/17 à 12/08/17</t>
  </si>
  <si>
    <t>1430/16</t>
  </si>
  <si>
    <t>02/13</t>
  </si>
  <si>
    <t>HISAE KURASHIMA IDERIHA</t>
  </si>
  <si>
    <t>Jurídico</t>
  </si>
  <si>
    <t>Locação de Imóvel sito à Rua Carlos José Carlson, 280 - Centro, onde está instalado o 4º Pelotão da 2ª Companhia PM do 30ºBPM</t>
  </si>
  <si>
    <t>19/02/17 à 19/02/18</t>
  </si>
  <si>
    <t>2371/12</t>
  </si>
  <si>
    <t>DP 01/13</t>
  </si>
  <si>
    <t>38/12</t>
  </si>
  <si>
    <t>NUTRICIONALE</t>
  </si>
  <si>
    <t>Fornecimento de 50 Cesta Básica para atender as famílias nos programas desenvolvidos pela Secretaria</t>
  </si>
  <si>
    <t>24/10/12 à 24/10/17</t>
  </si>
  <si>
    <t>1175/12</t>
  </si>
  <si>
    <t>01/14</t>
  </si>
  <si>
    <t>APRAESPI</t>
  </si>
  <si>
    <t>Contratação de empresa especializada para realização de exames de emissão otoacústica</t>
  </si>
  <si>
    <t>02/01/17 à 02/01/18</t>
  </si>
  <si>
    <t>1027/13</t>
  </si>
  <si>
    <t>10/17</t>
  </si>
  <si>
    <r>
      <rPr>
        <rFont val="Arimo"/>
        <b/>
        <color rgb="FF0000FF"/>
        <sz val="10.0"/>
        <u/>
      </rPr>
      <t xml:space="preserve">GEMECE EMPRESA JORNALÍSTICA 
</t>
    </r>
    <r>
      <rPr>
        <rFont val="Arimo"/>
        <b/>
        <color rgb="FF0000FF"/>
        <sz val="10.0"/>
        <u/>
      </rPr>
      <t>CNPJ/MF sob o nº. 61.999.637/0001-28</t>
    </r>
  </si>
  <si>
    <t>Contratação de empresa jornalística para publicaçao do atos municipais</t>
  </si>
  <si>
    <t>20/04/17 à 20/04/18</t>
  </si>
  <si>
    <t>1752/16</t>
  </si>
  <si>
    <t>1345/17</t>
  </si>
  <si>
    <t>PP 01/17</t>
  </si>
  <si>
    <t>17/13</t>
  </si>
  <si>
    <t>JUVENILDO SANTOS PACHECO</t>
  </si>
  <si>
    <t xml:space="preserve"> Saúde</t>
  </si>
  <si>
    <t>Adriana</t>
  </si>
  <si>
    <t>Locação de imóvel sito à Rua Terezinha Arnoni Castelucci, 200 - Sítio Maria Joana, onde está instalado a Unidade Básica de Saúde</t>
  </si>
  <si>
    <t>13/05/17 à 13/05/18</t>
  </si>
  <si>
    <t>646/13</t>
  </si>
  <si>
    <t>DP 04/13</t>
  </si>
  <si>
    <t>21/16</t>
  </si>
  <si>
    <r>
      <rPr>
        <rFont val="Arimo"/>
        <b/>
        <color rgb="FF0000FF"/>
        <sz val="10.0"/>
        <u/>
      </rPr>
      <t xml:space="preserve">CEP CONSTRUÇÕES E PROJETOS LTDA EPP
</t>
    </r>
    <r>
      <rPr>
        <rFont val="Arimo"/>
        <b/>
        <color rgb="FF0000FF"/>
        <sz val="10.0"/>
        <u/>
      </rPr>
      <t>CNPJ/MF sob o nº. 54.438.007/0001-19</t>
    </r>
  </si>
  <si>
    <t>Contratação de empresa para execução e fornecimento de material para construção da Unidade Educacional, sito à Rua Espirito Santo, Quadra VI, Lote II - Vila São Joâo</t>
  </si>
  <si>
    <t>18/05/18 à 30/06/18</t>
  </si>
  <si>
    <t>226/16</t>
  </si>
  <si>
    <t>CP 04/16</t>
  </si>
  <si>
    <t>27/13</t>
  </si>
  <si>
    <t>LE GARÇON ALIMENTAÇÃO E SERVIÇOS LTDA</t>
  </si>
  <si>
    <t>Contratação de empresa para execução e fornecimento de merenda escolar e refeição para a Casa de Acolhimento</t>
  </si>
  <si>
    <t>31/07/17 à 31/07/18</t>
  </si>
  <si>
    <t>1650/12</t>
  </si>
  <si>
    <t>PP 04/13</t>
  </si>
  <si>
    <t>29/13</t>
  </si>
  <si>
    <r>
      <rPr>
        <rFont val="Arimo"/>
        <b/>
        <color rgb="FF0000FF"/>
        <sz val="10.0"/>
        <u/>
      </rPr>
      <t xml:space="preserve">PRESCON INFORMÁTICA ASSESSORIA LTDA
</t>
    </r>
    <r>
      <rPr>
        <rFont val="Arimo"/>
        <b/>
        <color rgb="FF0000FF"/>
        <sz val="10.0"/>
        <u/>
      </rPr>
      <t>CNPJ - 01.221.551/0001-48</t>
    </r>
  </si>
  <si>
    <t>Contratação de empresa para prestação de serviços de sistema de informática para Gestão Pública</t>
  </si>
  <si>
    <t>01/09/17 à 31/08/18</t>
  </si>
  <si>
    <t>582/12</t>
  </si>
  <si>
    <t>31/13</t>
  </si>
  <si>
    <r>
      <rPr>
        <rFont val="Arimo"/>
        <b/>
        <color rgb="FF0000FF"/>
        <sz val="10.0"/>
        <u/>
      </rPr>
      <t xml:space="preserve">SUPRIMIX COMÉRCIO E SERVIÇOS LTDA ME
</t>
    </r>
    <r>
      <rPr>
        <rFont val="Arimo"/>
        <b/>
        <color rgb="FF0000FF"/>
        <sz val="10.0"/>
        <u/>
      </rPr>
      <t xml:space="preserve">CNPJ/MF sob o nº. 17.252.363/0001-17 </t>
    </r>
  </si>
  <si>
    <t>Contratação de empresa para manutenção preventiva e corretiva dos equipamentos médicos e odontológicos instalados nas Unidades Bàsica de Saúde</t>
  </si>
  <si>
    <t>09/09/17 à 09/09/18</t>
  </si>
  <si>
    <t>1148/13</t>
  </si>
  <si>
    <t>21/17</t>
  </si>
  <si>
    <r>
      <rPr>
        <rFont val="Arimo"/>
        <b/>
        <color rgb="FF0000FF"/>
        <sz val="10.0"/>
        <u/>
      </rPr>
      <t xml:space="preserve">ALEX SANDRO ALBERTO GONZAGA ROSA DE OLIVEIRA
</t>
    </r>
    <r>
      <rPr>
        <rFont val="Arimo"/>
        <b/>
        <color rgb="FF0000FF"/>
        <sz val="10.0"/>
        <u/>
      </rPr>
      <t>CNPJ - 16.998.498/0001/0001-63</t>
    </r>
  </si>
  <si>
    <t>Contratação de empresa para produção de 04 vídeos institucionais</t>
  </si>
  <si>
    <t>26/09/2017 à 26/09/2018</t>
  </si>
  <si>
    <t>879/17</t>
  </si>
  <si>
    <t>2097/17</t>
  </si>
  <si>
    <t>19/18</t>
  </si>
  <si>
    <r>
      <rPr>
        <rFont val="Arimo"/>
        <b/>
        <color rgb="FF0000FF"/>
        <sz val="10.0"/>
        <u/>
      </rPr>
      <t xml:space="preserve">CEP - CONSTRUÇÃO E PROJETOS LTDA EPP
</t>
    </r>
    <r>
      <rPr>
        <rFont val="Arimo"/>
        <b/>
        <color rgb="FF0000FF"/>
        <sz val="10.0"/>
        <u/>
      </rPr>
      <t>CNPJ/MF sob o nº. 54.438.007/0001-19</t>
    </r>
  </si>
  <si>
    <t>Contratação de empresa para construção do parque linear - 3ª Fase, localizado na Av. José Bello - entre a estrada do caracu e rua 31 de março</t>
  </si>
  <si>
    <t>389/18</t>
  </si>
  <si>
    <t>2284/18</t>
  </si>
  <si>
    <t>CO 04/18</t>
  </si>
  <si>
    <t>22/17</t>
  </si>
  <si>
    <r>
      <rPr>
        <rFont val="Arimo"/>
        <b/>
        <color rgb="FF0000FF"/>
        <sz val="10.0"/>
        <u/>
      </rPr>
      <t xml:space="preserve">IMESP - IMPRENSA OFICIAL DO ESTADO
</t>
    </r>
    <r>
      <rPr>
        <rFont val="Arimo"/>
        <b/>
        <color rgb="FF0000FF"/>
        <sz val="10.0"/>
        <u/>
      </rPr>
      <t>CNPJ sob o n.º 48.066.047/0001-84</t>
    </r>
  </si>
  <si>
    <t>Licitações</t>
  </si>
  <si>
    <t>Publicação sistema Pubnet</t>
  </si>
  <si>
    <t>04/10/17 à 04/10/18</t>
  </si>
  <si>
    <t>1566/17</t>
  </si>
  <si>
    <t>2168/17</t>
  </si>
  <si>
    <t>DP 20/17</t>
  </si>
  <si>
    <t>09/18</t>
  </si>
  <si>
    <r>
      <rPr>
        <rFont val="Arimo"/>
        <b/>
        <color rgb="FF0000FF"/>
        <sz val="10.0"/>
        <u/>
      </rPr>
      <t xml:space="preserve">TERRA MIX PAVIMENTAÇÃO E CONSTRUÇÃO LTDA ME
</t>
    </r>
    <r>
      <rPr>
        <rFont val="Arimo"/>
        <b/>
        <color rgb="FF0000FF"/>
        <sz val="10.0"/>
        <u/>
      </rPr>
      <t>CNPJ/MF sob o nº. 01.363.021/0001-34</t>
    </r>
  </si>
  <si>
    <t>Contratação de empresa para reforma da pista de skate</t>
  </si>
  <si>
    <t>12/06/18 - vigência 02 meses da Ordem de Serviço (OS EM 24/08/18)</t>
  </si>
  <si>
    <t>705/18</t>
  </si>
  <si>
    <t>1334/18</t>
  </si>
  <si>
    <t>CV 02/18</t>
  </si>
  <si>
    <t>40/12</t>
  </si>
  <si>
    <r>
      <rPr>
        <rFont val="Arimo"/>
        <b/>
        <color rgb="FF0000FF"/>
        <sz val="10.0"/>
        <u/>
      </rPr>
      <t xml:space="preserve">LARA CENTRAL
</t>
    </r>
    <r>
      <rPr>
        <rFont val="Arimo"/>
        <b/>
        <color rgb="FF0000FF"/>
        <sz val="10.0"/>
        <u/>
      </rPr>
      <t>CNPJ - 57.543.001/0001-08</t>
    </r>
  </si>
  <si>
    <t>S. Urbanos</t>
  </si>
  <si>
    <t>Prestação de serviços de coleta e transporte de resíduos sólidos originários de residências, comércio, feiras livres e resíduos das unidades da Saúde</t>
  </si>
  <si>
    <t>10/12/17 à 09/12/18</t>
  </si>
  <si>
    <t>1441/12</t>
  </si>
  <si>
    <t>24/18</t>
  </si>
  <si>
    <r>
      <rPr>
        <rFont val="Arimo"/>
        <b/>
        <color rgb="FF0000FF"/>
        <sz val="10.0"/>
        <u/>
      </rPr>
      <t xml:space="preserve">MARIA SANTOS SILVA
</t>
    </r>
    <r>
      <rPr>
        <rFont val="Arimo"/>
        <b/>
        <color rgb="FF0000FF"/>
        <sz val="10.0"/>
        <u/>
      </rPr>
      <t>CPF - 097.374.208-96</t>
    </r>
  </si>
  <si>
    <t>Locação de imóvel sito à Rua José Maria de Figueiredo, 575, onde está instalado o CREAS - Centro de Referência Especializado da Assistência Social</t>
  </si>
  <si>
    <t>10/12/18 á 10/12/19</t>
  </si>
  <si>
    <t>2641/2018</t>
  </si>
  <si>
    <t>Dispensa</t>
  </si>
  <si>
    <t>04/18</t>
  </si>
  <si>
    <r>
      <rPr>
        <rFont val="Arimo"/>
        <b/>
        <color rgb="FF0000FF"/>
        <sz val="10.0"/>
        <u/>
      </rPr>
      <t xml:space="preserve">JOTERRA PAVIMENTAÇÃO E TERRAPLENAGEM EIRELLI
</t>
    </r>
    <r>
      <rPr>
        <rFont val="Arimo"/>
        <b/>
        <color rgb="FF0000FF"/>
        <sz val="10.0"/>
        <u/>
      </rPr>
      <t>CNPJ - 60.034.006/0001-01</t>
    </r>
  </si>
  <si>
    <t>Empresa para construção do Parque Ecológico - 2º Etapa, situado na Av. Jean Lieutaud</t>
  </si>
  <si>
    <t>09/02/18 á 09/02/19</t>
  </si>
  <si>
    <t>304/2017</t>
  </si>
  <si>
    <t>511/18</t>
  </si>
  <si>
    <t>Tomada de Preço 02/17</t>
  </si>
  <si>
    <t>14/18</t>
  </si>
  <si>
    <t>NUTRICOL COMÉRCIO DE PRODUTOS ALIMENTÍCIOS EIRELI
CNPJ - 05.142.508/0001-48</t>
  </si>
  <si>
    <t>PC Nº 1604/18 - DISPENSA Nº 02/18 - CONTRATO Nº 14/18 - VIGÊNCIA: 180 DIAS - CONTRATAÇÃO EMERGENCIAL DE PRESTAÇÃO DE SERVIÇOS DE ALIMENTAÇÃO E NUTRIÇÃO, COMPREENDENDO O PREPARO E DISTRIBUIÇÃO DAS REFEIÇÕES PARA ATENDER AS UNIDADES ESCOLARES.</t>
  </si>
  <si>
    <t>01/08/18 À 29/01/19</t>
  </si>
  <si>
    <t>1604/18</t>
  </si>
  <si>
    <t>1652/18</t>
  </si>
  <si>
    <t>DP - 02/18</t>
  </si>
  <si>
    <t>15/18</t>
  </si>
  <si>
    <r>
      <rPr>
        <rFont val="Arimo"/>
        <b/>
        <color rgb="FF0000FF"/>
        <sz val="10.0"/>
        <u/>
      </rPr>
      <t xml:space="preserve">NUTRICOL COMÉRCIO DE PRODUTOS ALIMENTÍCIOS EIRELI
</t>
    </r>
    <r>
      <rPr>
        <rFont val="Arimo"/>
        <b/>
        <color rgb="FF0000FF"/>
        <sz val="10.0"/>
        <u/>
      </rPr>
      <t>CNPJ - 05.142.508/0001-48</t>
    </r>
  </si>
  <si>
    <t>PC Nº 1604/18 - DISPENSA Nº 02/18 - CONTRATO Nº 15/18 - VIGÊNCIA: 180 DIAS - CONTRATAÇÃO EMERGENCIAL DE PRESTAÇÃO DE SERVIÇOS DE ALIMENTAÇÃO E NUTRIÇÃO, COMPREENDENDO O PREPARO E DISTRIBUIÇÃO DAS REFEIÇÕES PARA ATENDER A CASA DE ACOLHIMENTO - CASA ABRIGO</t>
  </si>
  <si>
    <t>1653/18</t>
  </si>
  <si>
    <t>03/14</t>
  </si>
  <si>
    <r>
      <rPr>
        <rFont val="Arimo"/>
        <b/>
        <color rgb="FF0000FF"/>
        <sz val="10.0"/>
        <u/>
      </rPr>
      <t xml:space="preserve">EMERSON CORDEIRO SARTORI E FERNANDA PERILO DE OLIVEIRA SARTORI
</t>
    </r>
    <r>
      <rPr>
        <rFont val="Arimo"/>
        <b/>
        <color rgb="FF0000FF"/>
        <sz val="10.0"/>
        <u/>
      </rPr>
      <t>CPF/MF sob nº 250.964.528-59</t>
    </r>
  </si>
  <si>
    <t>Locação de imóvel sito à Av. Dom Pedro I, Lote 1E, Quadra A - Centro para atender o Programa Mais Médicos (02 Apartamentos)</t>
  </si>
  <si>
    <t>06/02/18 à 06/02/19</t>
  </si>
  <si>
    <t>190/14</t>
  </si>
  <si>
    <t>DP 11/14</t>
  </si>
  <si>
    <t>16/18</t>
  </si>
  <si>
    <r>
      <rPr>
        <rFont val="Arimo"/>
        <b/>
        <color rgb="FF0000FF"/>
        <sz val="10.0"/>
        <u/>
      </rPr>
      <t xml:space="preserve">KVM APOIO EM GESTÃO EIRELI
</t>
    </r>
    <r>
      <rPr>
        <rFont val="Arimo"/>
        <b/>
        <color rgb="FF0000FF"/>
        <sz val="10.0"/>
        <u/>
      </rPr>
      <t>CNPJ/MF sob o nº. 27.831.474/0001-31</t>
    </r>
  </si>
  <si>
    <t>CONTRATAÇÃO DE EMPRESA ESPECIALIZADA NA PRESTAÇÃO DE SERVIÇOS DE CONSULTAS MÉDICAS, NA ESPECIALIDADE DE GINECOLOGIA PARA ATENDIMENTO POR DEMANDA REFERENCIADA OU ESPONTÂNEA PARA ATENDER A SECRETARIA DE SAÚDE</t>
  </si>
  <si>
    <t>09/08/18 À 09/02/19</t>
  </si>
  <si>
    <t>531/18</t>
  </si>
  <si>
    <t>1747/18</t>
  </si>
  <si>
    <t>CV 07/18</t>
  </si>
  <si>
    <t>07/15</t>
  </si>
  <si>
    <r>
      <rPr>
        <rFont val="Arimo"/>
        <b/>
        <color rgb="FF0000FF"/>
        <sz val="10.0"/>
        <u/>
      </rPr>
      <t xml:space="preserve">IMOBILIÁRIA SÃO VICENTE S/S LTDA (MARIA CAPARROZ SANTINELLI)
</t>
    </r>
    <r>
      <rPr>
        <rFont val="Arimo"/>
        <b/>
        <color rgb="FF0000FF"/>
        <sz val="10.0"/>
        <u/>
      </rPr>
      <t xml:space="preserve">CPF/MF sob nº 069.120.308-31 </t>
    </r>
  </si>
  <si>
    <t>Esporte</t>
  </si>
  <si>
    <t>Locação de imóvel sito à Rua José Maria de Figueiredo, 53, onde está instalado o Projeto Fazer Valer</t>
  </si>
  <si>
    <t>29/03/18 à 29/03/19</t>
  </si>
  <si>
    <t>1849/14</t>
  </si>
  <si>
    <t>DP 07/15</t>
  </si>
  <si>
    <t>27/14</t>
  </si>
  <si>
    <t>9º Aditivo</t>
  </si>
  <si>
    <t>ETC EMPREENDIMENTOS E TECNOLOGIA EM CONSTRUÇÕES LTDA</t>
  </si>
  <si>
    <t>Contratação de empreitada para execução e fornecimento de material para serviços de infra-estrutura conforme plano de trabalho para atender a mobilidade urbana - PAC2 - Convênio proc nº 2577.0440.356.00/2014 - Ministério das Cidades</t>
  </si>
  <si>
    <t>1083/14</t>
  </si>
  <si>
    <t>CP 02/14</t>
  </si>
  <si>
    <t>22/18</t>
  </si>
  <si>
    <r>
      <rPr>
        <rFont val="Arimo"/>
        <b/>
        <color rgb="FF0000FF"/>
        <sz val="10.0"/>
        <u/>
      </rPr>
      <t xml:space="preserve">TETO CONSTRUTORA S/A
</t>
    </r>
    <r>
      <rPr>
        <rFont val="Arimo"/>
        <b/>
        <color rgb="FF0000FF"/>
        <sz val="10.0"/>
        <u/>
      </rPr>
      <t>CNPJ (MF) n.º 13.034.156/0001-35</t>
    </r>
  </si>
  <si>
    <t>Contratação de empresa para execução com fornecimento de material para construção da 1ª Fase do Parque Ecológico - Convênio FUMEFI 2015 e 2016</t>
  </si>
  <si>
    <t>31/12/18 À 30/06/19</t>
  </si>
  <si>
    <t>171/16</t>
  </si>
  <si>
    <t>9912354042</t>
  </si>
  <si>
    <r>
      <rPr>
        <rFont val="Arimo"/>
        <b/>
        <color rgb="FF0000FF"/>
        <sz val="10.0"/>
        <u/>
      </rPr>
      <t xml:space="preserve">CORREIOS
</t>
    </r>
    <r>
      <rPr>
        <rFont val="Arimo"/>
        <b/>
        <color rgb="FF0000FF"/>
        <sz val="10.0"/>
        <u/>
      </rPr>
      <t>CNPJ: 34.028.316/0031-29</t>
    </r>
  </si>
  <si>
    <t>Contratação de empresa para as despesas com postagem de documentos administrativos e oficias da Prefeitura</t>
  </si>
  <si>
    <t>30/06/18 à 30/06/19</t>
  </si>
  <si>
    <t>331/14</t>
  </si>
  <si>
    <t>INX 03/14</t>
  </si>
  <si>
    <t>17/15</t>
  </si>
  <si>
    <r>
      <rPr>
        <rFont val="Arimo"/>
        <b/>
        <color rgb="FF0000FF"/>
        <sz val="10.0"/>
        <u/>
      </rPr>
      <t xml:space="preserve">E.CAM CÂMERAS E ALARMES LTDA
</t>
    </r>
    <r>
      <rPr>
        <rFont val="Arimo"/>
        <b/>
        <color rgb="FF0000FF"/>
        <sz val="10.0"/>
        <u/>
      </rPr>
      <t>CNPJ nº 15.016.166/0001-73</t>
    </r>
  </si>
  <si>
    <t>Contratação de empresa para monitoramento 24 horas das unidades pertencentes à Secretaria de Educação e Cultura</t>
  </si>
  <si>
    <t>01/07/18 À 01/07/19</t>
  </si>
  <si>
    <t>1591/14</t>
  </si>
  <si>
    <t>TP 04/15</t>
  </si>
  <si>
    <t>12/17</t>
  </si>
  <si>
    <r>
      <rPr>
        <rFont val="Arimo"/>
        <b/>
        <color rgb="FF0000FF"/>
        <sz val="10.0"/>
        <u/>
      </rPr>
      <t xml:space="preserve">PEDRO LUIS DE OLIVEIRA
</t>
    </r>
    <r>
      <rPr>
        <rFont val="Arimo"/>
        <b/>
        <color rgb="FF0000FF"/>
        <sz val="10.0"/>
        <u/>
      </rPr>
      <t xml:space="preserve">CPF - 379.169.808-78 </t>
    </r>
  </si>
  <si>
    <t>Locação de imóvel sito à Av. Jean Lieutaud, 309 - Jd. Sta. Tereza, onde está instalado a Secretaria de Educação, EJA e Acessa São Paulo</t>
  </si>
  <si>
    <t>09/02/19 à 08/08/19</t>
  </si>
  <si>
    <t>106/17</t>
  </si>
  <si>
    <t>DP 10/17</t>
  </si>
  <si>
    <t>Dessenvolvimento</t>
  </si>
  <si>
    <t>09/19</t>
  </si>
  <si>
    <r>
      <rPr>
        <rFont val="Arimo"/>
        <b/>
        <color rgb="FF0000FF"/>
        <sz val="10.0"/>
        <u/>
      </rPr>
      <t xml:space="preserve">TERRA MIX PAVIMENTAÇÃO E CONSTRUÇÃO LTDA ME
</t>
    </r>
    <r>
      <rPr>
        <rFont val="Arimo"/>
        <b/>
        <color rgb="FF0000FF"/>
        <sz val="10.0"/>
        <u/>
      </rPr>
      <t>CNPJ/MF sob o nº. 01.363.021/0001-34</t>
    </r>
  </si>
  <si>
    <t>CONTRATAÇÃO DE EMPRESA PARA REFORMA E AMPLIAÇÃO DA UNIDADE EDUCACIONAL - EMEB CASA ENCANTADA GILDETE DE SOUZA MARQUES</t>
  </si>
  <si>
    <t>243/19</t>
  </si>
  <si>
    <t>1326/19</t>
  </si>
  <si>
    <t>CV 01/19</t>
  </si>
  <si>
    <t>FONTE 01 - TESOURO</t>
  </si>
  <si>
    <t>14/19</t>
  </si>
  <si>
    <r>
      <rPr>
        <rFont val="Arimo"/>
        <b/>
        <color rgb="FF0000FF"/>
        <sz val="10.0"/>
        <u/>
      </rPr>
      <t xml:space="preserve">UNYDUY COMERCIAL LOCAÇÕES EIRELI
</t>
    </r>
    <r>
      <rPr>
        <rFont val="Arimo"/>
        <b/>
        <color rgb="FF0000FF"/>
        <sz val="10.0"/>
        <u/>
      </rPr>
      <t>CNPJ/MF sob o nº. 12.335.414/0001-50</t>
    </r>
  </si>
  <si>
    <t>PC Nº 1155/19 - CONTRATAÇÃO DE EMPRESA ESPECIALIZADA PARA PRESTAÇÃO DE SERVIÇO DE LOCAÇÃO: CAMINHÃO TRUCADO BASCULANTE, CONJUNTO DE CAMINHÃO TOCO COM PLATAFORMA, CONJUNTO DE CAMINHÃO TOCO COM CARROCEIRA, RETROESCAVADEIRA, ESCAVADEIRA E UM ROLO COMPACTADRO PARA ATENDER A SEC. DE SERVIÇOS URBANOS</t>
  </si>
  <si>
    <t>1155/19</t>
  </si>
  <si>
    <t>1749/19</t>
  </si>
  <si>
    <t>PP - 32/19</t>
  </si>
  <si>
    <t>21/14</t>
  </si>
  <si>
    <r>
      <rPr>
        <rFont val="Arimo"/>
        <b/>
        <color rgb="FF0000FF"/>
        <sz val="10.0"/>
        <u/>
      </rPr>
      <t xml:space="preserve">ANA MARA RAMALHO RUFINO RODRIGUES
</t>
    </r>
    <r>
      <rPr>
        <rFont val="Arimo"/>
        <b/>
        <color rgb="FF0000FF"/>
        <sz val="10.0"/>
        <u/>
      </rPr>
      <t xml:space="preserve">CPF - 308.985.248-90 </t>
    </r>
  </si>
  <si>
    <t>1101/14</t>
  </si>
  <si>
    <t>08/15</t>
  </si>
  <si>
    <r>
      <rPr>
        <rFont val="Arimo"/>
        <b/>
        <color rgb="FF0000FF"/>
        <sz val="10.0"/>
        <u/>
      </rPr>
      <t xml:space="preserve">AUTO ELÉTRICA NAGAIASSU LTDA
</t>
    </r>
    <r>
      <rPr>
        <rFont val="Arimo"/>
        <b/>
        <color rgb="FF0000FF"/>
        <sz val="10.0"/>
        <u/>
      </rPr>
      <t>CNPJ (MF) n.º 57.517.393/0001-22</t>
    </r>
  </si>
  <si>
    <t>Secretarias</t>
  </si>
  <si>
    <t>Contratação de empresa especializada em serviços de auto elétrica para manutenção nos veículos pertencentes à Prefeitura Municiapl</t>
  </si>
  <si>
    <t>13/04/19 À 13/04/20</t>
  </si>
  <si>
    <t>1934/14</t>
  </si>
  <si>
    <t>CV 04/15</t>
  </si>
  <si>
    <t>13/17</t>
  </si>
  <si>
    <t>SANTOS &amp; SILVA SERVIÇOS DE MANUTENÇÃO EM ELEVADORES LTDA
CNPJ nº 25.208.284/0001-37</t>
  </si>
  <si>
    <t>Educação - Creche</t>
  </si>
  <si>
    <t>Contratação de empresa especializada em engenharia para prestação de serviços de manutenção preventiva e corretiva nos elevadores instalados nas EMEB'S: Dama Zulmira e Carlos Arruda</t>
  </si>
  <si>
    <t>16/05/19 à 16/05/20</t>
  </si>
  <si>
    <t>972/16</t>
  </si>
  <si>
    <t>1276/17</t>
  </si>
  <si>
    <t>CV 01/17</t>
  </si>
  <si>
    <t>Educação - Pré</t>
  </si>
  <si>
    <t>10/19</t>
  </si>
  <si>
    <r>
      <rPr>
        <rFont val="Arimo"/>
        <b/>
        <color rgb="FF0000FF"/>
        <sz val="10.0"/>
        <u/>
      </rPr>
      <t xml:space="preserve">VIA NOVA PAVIMENTAÇÃO E  CONSTRUÇÕES LTDA
</t>
    </r>
    <r>
      <rPr>
        <rFont val="Arimo"/>
        <b/>
        <color rgb="FF0000FF"/>
        <sz val="10.0"/>
        <u/>
      </rPr>
      <t>CNPJ/MF sob o nº. 01.966.083/0001-30</t>
    </r>
  </si>
  <si>
    <t>Prestação de serviços especializados de manutenção de pavimento asfaltico e paralelepipedos em vias urbanas, execução, manutenção e reparo em guias, sarjetas, passeios, sistema de drenagem e remanejamento de interferencias; e execução de terraplanagem, abertura de caixa, reforço do subleito, sub-base e base, arranchamento, reassentamento, assentamento e rejuntamento de paralelepipedos, serviços de pavimentação asflatica e tapa-buracos e a execução de obras de pavimentação no municipio - convenio fumefi bb/fumefi nº 1103/2018</t>
  </si>
  <si>
    <t>07/06/19 À 07/06/20</t>
  </si>
  <si>
    <t>1298/18</t>
  </si>
  <si>
    <t>1509/19</t>
  </si>
  <si>
    <t>CO 01/18 - ATA RP 33/18</t>
  </si>
  <si>
    <t>20/15</t>
  </si>
  <si>
    <r>
      <rPr>
        <rFont val="Arimo"/>
        <b/>
        <color rgb="FF0000FF"/>
        <sz val="10.0"/>
        <u/>
      </rPr>
      <t xml:space="preserve">FLAVIO FIGUEIREDO FILHO 
</t>
    </r>
    <r>
      <rPr>
        <rFont val="Arimo"/>
        <b/>
        <color rgb="FF0000FF"/>
        <sz val="10.0"/>
        <u/>
      </rPr>
      <t xml:space="preserve">CPF/MF sob nº 648.745.678-00 </t>
    </r>
  </si>
  <si>
    <t>Locação de imóvel sito à Rua José Maria de Figueiredo, 47 - Centro, onde está instalado o CAPS - Centro de Atenção Psicossocial</t>
  </si>
  <si>
    <t>01/07/19 à 01/07/20</t>
  </si>
  <si>
    <t>877/15</t>
  </si>
  <si>
    <t>DP 09/15</t>
  </si>
  <si>
    <t>11/18</t>
  </si>
  <si>
    <t>TEC SYSTEM CONSULTORIA E INFORMÁTICA S/S LTDA ME
CNPJ/MF sob o nº. 04.185.123/0001-03</t>
  </si>
  <si>
    <t>Finanças</t>
  </si>
  <si>
    <t>CONTRATAÇÃO DE EMPRESA ESPECIALIZADA PARA FORNECIMENTO DE LICENÇA DE USO DE SISTEMA INTEGRADO DE GESTÃO FISCAL, PARA APURAÇÃO E CONFERÊNCIA DOS VALORES ECONOMICOS-FISCAIS DECLARADOS PELOS CONTRIBUINTES DA INDUSTRIA E COMERCIO SEDIADOS NO MUNICIPIO, EM AMBIENTE WEB, INCLUINDO ATUALIZAÇÃO E SUPORTE TECNICO</t>
  </si>
  <si>
    <t>04/07/19 À 04/07/20</t>
  </si>
  <si>
    <t>805/18</t>
  </si>
  <si>
    <t>1498/18</t>
  </si>
  <si>
    <t>PP 23/18</t>
  </si>
  <si>
    <t>16/17</t>
  </si>
  <si>
    <r>
      <rPr>
        <rFont val="Arimo"/>
        <b/>
        <color rgb="FF0000FF"/>
        <sz val="10.0"/>
        <u/>
      </rPr>
      <t xml:space="preserve">SUEHIRO ISHIHARA
</t>
    </r>
    <r>
      <rPr>
        <rFont val="Arimo"/>
        <b/>
        <color rgb="FF0000FF"/>
        <sz val="10.0"/>
        <u/>
      </rPr>
      <t>CPF/MF sob nº 093.687.448-15</t>
    </r>
  </si>
  <si>
    <t>LOCAÇÃO DE IMOVEL SITO A RUA AGOSTINHO CARDOSO, 176 - VILA FIGUEIREDO - RGS/SP, ONDE ESTA INSTALADO O FORO DISTRITAL DE RIO GRANDE DA SERRA</t>
  </si>
  <si>
    <t>02/09/19 À 01/09/20</t>
  </si>
  <si>
    <t>DP 14/17</t>
  </si>
  <si>
    <t>18/18</t>
  </si>
  <si>
    <r>
      <rPr>
        <rFont val="Arimo"/>
        <b/>
        <color rgb="FF0000FF"/>
        <sz val="10.0"/>
        <u/>
      </rPr>
      <t xml:space="preserve">TERRA MIX PAVIMENTAÇÃO E CONSTRUÇÃO LTDA ME
</t>
    </r>
    <r>
      <rPr>
        <rFont val="Arimo"/>
        <b/>
        <color rgb="FF0000FF"/>
        <sz val="10.0"/>
        <u/>
      </rPr>
      <t>CNPJ/MF sob o nº. 01.363.021/0001-34</t>
    </r>
  </si>
  <si>
    <t>CONTRATAÇÃO DE EMPRESA PARA PRESTAÇÃO DE SERVIÇOS DE MANUTENÇÃO, CONSERVAÇÃO E LIMPEZA DE ÁREAS PÚBLICAS NO MUNICIPIO, COMPRENDENDO OS SERVIÇOS DE CAPINA MANUAL, ROÇADA MANUAL E MECANIZADA E PINTURA DE MEIO-FIO E AFINS, COM FORNECIMENTO DE MÃO DE OBRA, INSUMOS, FERRAMENTAS E EQUIPAMENTOS</t>
  </si>
  <si>
    <t>14/09/19 À 14/09/20</t>
  </si>
  <si>
    <t>282/18</t>
  </si>
  <si>
    <t>2128/18</t>
  </si>
  <si>
    <t>TP 01/18</t>
  </si>
  <si>
    <t>23/15</t>
  </si>
  <si>
    <r>
      <rPr>
        <rFont val="Arimo"/>
        <b/>
        <color rgb="FF0000FF"/>
        <sz val="10.0"/>
        <u/>
      </rPr>
      <t xml:space="preserve">NORMA MARIA RIBEIRO REIS
</t>
    </r>
    <r>
      <rPr>
        <rFont val="Arimo"/>
        <b/>
        <color rgb="FF0000FF"/>
        <sz val="10.0"/>
        <u/>
      </rPr>
      <t>CPF/MF sob nº 060.935.848-01</t>
    </r>
  </si>
  <si>
    <t>LOCAÇÃO DE IMÓVEL SITO À RUA DA GAMA, 68 - JD. MARIA PAULA, ONDE ESTÁ INSTALADO A EMEB PETER PAN (CRECHE)</t>
  </si>
  <si>
    <t>18/09/19 à 17/09/20</t>
  </si>
  <si>
    <t>1160/15</t>
  </si>
  <si>
    <t>DP 19/15</t>
  </si>
  <si>
    <t>21/18</t>
  </si>
  <si>
    <r>
      <rPr>
        <rFont val="Arimo"/>
        <b/>
        <color rgb="FF0000FF"/>
        <sz val="10.0"/>
        <u/>
      </rPr>
      <t xml:space="preserve">SUPRIMIX COMÉRCIO E SERVIÇOS LTDA ME
</t>
    </r>
    <r>
      <rPr>
        <rFont val="Arimo"/>
        <b/>
        <color rgb="FF0000FF"/>
        <sz val="10.0"/>
        <u/>
      </rPr>
      <t xml:space="preserve">CNPJ/MF sob o nº. 17.252.363/0001-17 </t>
    </r>
  </si>
  <si>
    <t>CONTRATAÇÃO DE EMPRESA ESPECIALIZADA PARA MANUTENÇÃO PREVENTIVA E CORRETIVA DE EQUIPAMENTOS HOSPITALARES, ODONTOLÓGICOS E DE FISIOTERAPIA LOCALIZADOS NAS UNIDADES BÁSICAS DE SAÚDE</t>
  </si>
  <si>
    <t>04/10/19 à 04/10/20</t>
  </si>
  <si>
    <t>1444/18</t>
  </si>
  <si>
    <t>2321/18</t>
  </si>
  <si>
    <t>PP 58/18</t>
  </si>
  <si>
    <t>12/19</t>
  </si>
  <si>
    <r>
      <rPr>
        <rFont val="Arimo"/>
        <b/>
        <color rgb="FF0000FF"/>
        <sz val="10.0"/>
        <u/>
      </rPr>
      <t xml:space="preserve">TERRA MIX PAVIMENTAÇÃO E CONSTRUÇÃO LTDA ME
</t>
    </r>
    <r>
      <rPr>
        <rFont val="Arimo"/>
        <b/>
        <color rgb="FF0000FF"/>
        <sz val="10.0"/>
        <u/>
      </rPr>
      <t>CNPJ/MF sob o nº. 01.363.021/0001-34</t>
    </r>
  </si>
  <si>
    <t>CONTRATAÇÃO DE EMPRESA PARA REFORMA DO GINÁSIO POLIESPORTIVO - 1ª ETAPA - ACESSIBILIDADE: LOCAL: PREFEITO CIDO FRANCO, S/N - VILA ARNOUD - QUADRA MUNICIPAL</t>
  </si>
  <si>
    <t>09/07/20 À 09/10/20</t>
  </si>
  <si>
    <t>795/19</t>
  </si>
  <si>
    <t>1570/19</t>
  </si>
  <si>
    <t>CV 02/19</t>
  </si>
  <si>
    <t>24/17</t>
  </si>
  <si>
    <t>ARISP - ASSOCIAÇÃO DOS REGISTRADORES IMOBILIÁRIOS DE SÃO PAULO - ARISP</t>
  </si>
  <si>
    <t>CONVÊNIO DE COOPERAÇÃO PARA INTERCÂMBIO DE INFORMAÇÕES POR MEIO ELETRÔNICO PARA SOLICITAÇÃO E DISPONIBILIZAÇÃO DAS CERTIDÕES DE MATRÍCULAS DE IMÓVEIS JUNTO AOS REGISTROS DE IMÓVEIS DO ESTADO DE SÃO PAULO</t>
  </si>
  <si>
    <t>18/10/19 À 18/10/20</t>
  </si>
  <si>
    <t>2004/14</t>
  </si>
  <si>
    <t>2305/17</t>
  </si>
  <si>
    <t>DP 18/17</t>
  </si>
  <si>
    <t>04/20</t>
  </si>
  <si>
    <r>
      <rPr>
        <rFont val="Arimo"/>
        <b/>
        <color rgb="FF0000FF"/>
        <sz val="10.0"/>
        <u/>
      </rPr>
      <t xml:space="preserve">RR CONSTRUÇÕES E SERVIÇOS LTDA
</t>
    </r>
    <r>
      <rPr>
        <rFont val="Arimo"/>
        <b/>
        <color rgb="FF0000FF"/>
        <sz val="10.0"/>
        <u/>
      </rPr>
      <t>CNPJ/MF sob o nº. 18.530.654/0001-92</t>
    </r>
  </si>
  <si>
    <t>CONTRATAÇÃO EMERGENCIAL PARA PRESTAÇÃO DE SERVIÇOS DE LAVAGEM E HIGIENIZAÇÃO DAS VIAS E LOGRADOUROS PÚBLICOS DO MUNICIPIO DE RIO GRANDE DA SERRA EM COMBATE A PANDEMIA - CORONAVIRUS</t>
  </si>
  <si>
    <t>01/05/20 À 31/10/20</t>
  </si>
  <si>
    <t>582/20</t>
  </si>
  <si>
    <t>DP 02/20</t>
  </si>
  <si>
    <t>05/20</t>
  </si>
  <si>
    <t>FUNDAÇÃO DO ABC - FACULDADE DE MEDICINA DO ABC - CNPJ: 57.571.275/0007-98</t>
  </si>
  <si>
    <t>PRESTAÇÃO DE SERVIÇOS DE DIAGNOSE PARA DETECÇÃO DO SARS-COV-2 (COVID-19), VISANDO ATENDER A SECRETARIA DE SAÚDE</t>
  </si>
  <si>
    <t>01/06/20 À 27/11/20</t>
  </si>
  <si>
    <t>653/20</t>
  </si>
  <si>
    <t>DP 05/20</t>
  </si>
  <si>
    <t>06/19</t>
  </si>
  <si>
    <r>
      <rPr>
        <rFont val="Arimo"/>
        <b/>
        <color rgb="FF0000FF"/>
        <sz val="10.0"/>
        <u/>
      </rPr>
      <t xml:space="preserve">CEP - CONSTRUÇÃO E PROJETOS LTDA EPP
</t>
    </r>
    <r>
      <rPr>
        <rFont val="Arimo"/>
        <b/>
        <color rgb="FF0000FF"/>
        <sz val="10.0"/>
        <u/>
      </rPr>
      <t>CNPJ/MF sob o nº. 54.438.007/0001-19</t>
    </r>
  </si>
  <si>
    <t>CONTRATAÇÃO REMANESCENTE DE EMPRESA PARA CONSTRUÇÃO DO PARQUE ECOLÓGICO - 2ª ETAPA</t>
  </si>
  <si>
    <t>02/09/20 à 01/12/20</t>
  </si>
  <si>
    <t>1974/18</t>
  </si>
  <si>
    <t>839/19</t>
  </si>
  <si>
    <t>DP 01/19</t>
  </si>
  <si>
    <t>13/19</t>
  </si>
  <si>
    <r>
      <rPr>
        <rFont val="Arimo"/>
        <b/>
        <color rgb="FF0000FF"/>
        <sz val="10.0"/>
        <u/>
      </rPr>
      <t xml:space="preserve">CEP - CONSTRUÇÃO E PROJETOS LTDA EPP
</t>
    </r>
    <r>
      <rPr>
        <rFont val="Arimo"/>
        <b/>
        <color rgb="FF0000FF"/>
        <sz val="10.0"/>
        <u/>
      </rPr>
      <t>CNPJ/MF sob o nº. 54.438.007/0001-19</t>
    </r>
  </si>
  <si>
    <t>CONTRATAÇÃO DE EMPRESA PARA EXECUÇÃO DE SERVIÇOS ESPECIALIZADOS DE PAVIMENTAÇÃO DE DIVERSAS VIELAS NO MUNICÍPIO DE RIO GRANDE DA SERRA - REPROGRAMAÇÃO</t>
  </si>
  <si>
    <t>16/09/2019 à 15/12/20</t>
  </si>
  <si>
    <t>121/19</t>
  </si>
  <si>
    <t>1619/19</t>
  </si>
  <si>
    <t>CO 02/19</t>
  </si>
  <si>
    <t>06/20</t>
  </si>
  <si>
    <r>
      <rPr>
        <rFont val="Arimo"/>
        <b/>
        <color rgb="FF0000FF"/>
        <sz val="10.0"/>
        <u/>
      </rPr>
      <t xml:space="preserve">TICKET S/A
</t>
    </r>
    <r>
      <rPr>
        <rFont val="Arimo"/>
        <b/>
        <color rgb="FF0000FF"/>
        <sz val="10.0"/>
        <u/>
      </rPr>
      <t>CNPJ/MF sob o nº. 47.866.934/0001-74</t>
    </r>
  </si>
  <si>
    <t>CONTRATAÇÃO DE EMPRESA ESPECIALIZADA EM GERENCIAMENTO, IMPLEMENTAÇÃO, ADMINISTRAÇÃO E FORNECIMENTO DE VALE ALIMENTAÇÃO PARA ALUNOS DA REDE DE ENSINO MUNICIAPL</t>
  </si>
  <si>
    <t>26/08/20 A 26/12/20</t>
  </si>
  <si>
    <t>694/20</t>
  </si>
  <si>
    <t>CD - 97/20</t>
  </si>
  <si>
    <t>10/20</t>
  </si>
  <si>
    <r>
      <rPr>
        <rFont val="Arimo"/>
        <b/>
        <color rgb="FF0000FF"/>
        <sz val="10.0"/>
        <u/>
      </rPr>
      <t xml:space="preserve">SAN MARINO ONIBUS LTDA
</t>
    </r>
    <r>
      <rPr>
        <rFont val="Arimo"/>
        <b/>
        <color rgb="FF0000FF"/>
        <sz val="10.0"/>
        <u/>
      </rPr>
      <t>CNPJ sob o n.º 93.785.822/0001-06</t>
    </r>
  </si>
  <si>
    <t>AQUISIÇÃO DE 01 (UM) ÔNIBUS URBANO ESCOLAR ACESSÍVEL PISO BAIXO - ONUREA PISO BAIXO, PARA ATENDER O TERMO DE COMPROMISSO DO PAR Nº 201803539-4</t>
  </si>
  <si>
    <t>29/06/20 A 29/06/21</t>
  </si>
  <si>
    <t>143/19</t>
  </si>
  <si>
    <t>PE 11/19 FNDE</t>
  </si>
  <si>
    <t>08/19</t>
  </si>
  <si>
    <r>
      <rPr>
        <rFont val="Arimo"/>
        <b/>
        <color rgb="FF0000FF"/>
        <sz val="10.0"/>
        <u/>
      </rPr>
      <t xml:space="preserve">PEDRO LUIZ DE OLIVEIRA
</t>
    </r>
    <r>
      <rPr>
        <rFont val="Arimo"/>
        <b/>
        <color rgb="FF0000FF"/>
        <sz val="10.0"/>
        <u/>
      </rPr>
      <t xml:space="preserve">CPF - 379.169.808-78 </t>
    </r>
  </si>
  <si>
    <t>Desenvolvimento</t>
  </si>
  <si>
    <t>LOCAÇÃO DO IMÓVEL DA AV. JEAN LIEUTAUD, 309 JARDIM SANTA TEREZA - ACESSA SÃO PAULO E BANCO DO POVO</t>
  </si>
  <si>
    <t>09/04/19 à 31/12/20</t>
  </si>
  <si>
    <t>663/19</t>
  </si>
  <si>
    <t>07/19</t>
  </si>
  <si>
    <r>
      <rPr>
        <rFont val="Arimo"/>
        <b/>
        <color rgb="FF0000FF"/>
        <sz val="10.0"/>
        <u/>
      </rPr>
      <t xml:space="preserve">DOM PEDRITO PARTICIPAÇÕES E EMPREENDIMENTOS IMOBILIÁRIOS LTDA
</t>
    </r>
    <r>
      <rPr>
        <rFont val="Arimo"/>
        <b/>
        <color rgb="FF0000FF"/>
        <sz val="10.0"/>
        <u/>
      </rPr>
      <t xml:space="preserve">CNPJ - 20.591.702/0001-02 </t>
    </r>
  </si>
  <si>
    <t>Educação - Secretaria</t>
  </si>
  <si>
    <t>LOCAÇÃO DO IMÓVEL DA RUA DOM PEDRO I, 487 VILA FIGUEIREDO - INSTALAÇÃO DA SECRETARIA DE EDUCAÇÃO, BIBLIOTECA E PROJETO ROBÓTICA</t>
  </si>
  <si>
    <t>08/04/19 á 31/12/20</t>
  </si>
  <si>
    <t>DP 02/19</t>
  </si>
  <si>
    <t>Educação - Cultura</t>
  </si>
  <si>
    <t>Empenho</t>
  </si>
  <si>
    <t>JORNAL GAZETA SP LTDA EPP</t>
  </si>
  <si>
    <t>CONTRATAÇÃO DE EMPRESA ESPECIALIZADA EM PUBLICAÇÃO DE ATOS OFICIAIS EMANADOS DO PODER EXECUTIVO EM JORNAL DE GRANDE CIRCULAÇÃO NO ESTADO DE SÃO PAULO</t>
  </si>
  <si>
    <t>02/01/20 À 31/12/20</t>
  </si>
  <si>
    <t>527/19</t>
  </si>
  <si>
    <t>PRESTAÇÃO DE SERVIÇOS DE PUBLICIDADE LEGAL DE TODOS OS ATOS NOS RESPECTIVOS CADERNOS DO DIÁRIO OFICIAL DO ESTADO DE SÃO PAULO</t>
  </si>
  <si>
    <t>02/01/20 A 31/12/20</t>
  </si>
  <si>
    <t>2489/18</t>
  </si>
  <si>
    <t>01/18</t>
  </si>
  <si>
    <r>
      <rPr>
        <rFont val="Arimo"/>
        <b/>
        <color rgb="FF0000FF"/>
        <sz val="10.0"/>
        <u/>
      </rPr>
      <t xml:space="preserve">GÊMECE EMPRESA JORNALÍSTICA LTDA ME
</t>
    </r>
    <r>
      <rPr>
        <rFont val="Arimo"/>
        <b/>
        <color rgb="FF0000FF"/>
        <sz val="10.0"/>
        <u/>
      </rPr>
      <t>CNPJ/MF sob o nº. 61.999.637/0001-28</t>
    </r>
  </si>
  <si>
    <t>CONTRATAÇÃO DE EMPRESA JORNALÍSTICA PARA PUBLICAÇAO DO ATOS MUNICIPAIS</t>
  </si>
  <si>
    <t>02/01/20 à 02/01/21</t>
  </si>
  <si>
    <t>1769/17</t>
  </si>
  <si>
    <t>358/18</t>
  </si>
  <si>
    <t>PP 30/17</t>
  </si>
  <si>
    <r>
      <rPr>
        <rFont val="Arimo"/>
        <b/>
        <color rgb="FF0000FF"/>
        <sz val="10.0"/>
        <u/>
      </rPr>
      <t xml:space="preserve">MARIA SANTOS SILVA
</t>
    </r>
    <r>
      <rPr>
        <rFont val="Arimo"/>
        <b/>
        <color rgb="FF0000FF"/>
        <sz val="10.0"/>
        <u/>
      </rPr>
      <t>CPF - 097.374.208-96</t>
    </r>
  </si>
  <si>
    <t>LOCAÇÃO DE IMOVEL PARA FUNCIONAMENTO DO CREAS - CENTRO DE REFERENCIA ESPECIALIZADO D ASSISTENCIA SOCIAL, SITO A RUA JOSE MARIA DE FIGUEIREDO, 575 - VILA FIGUEIREDO - RIO GRANDE DA SERRA - SP</t>
  </si>
  <si>
    <t>10/12/20 À 10/01/21</t>
  </si>
  <si>
    <t>2641/18</t>
  </si>
  <si>
    <t>DP 04/18</t>
  </si>
  <si>
    <t>13/20</t>
  </si>
  <si>
    <r>
      <rPr>
        <rFont val="Arimo"/>
        <b/>
        <color rgb="FF0000FF"/>
        <sz val="10.0"/>
        <u/>
      </rPr>
      <t xml:space="preserve">INFRAURB ENGENHARIA , CONSTRUÇÕES E SERVIÇOS LTDA
</t>
    </r>
    <r>
      <rPr>
        <rFont val="Arimo"/>
        <b/>
        <color rgb="FF0000FF"/>
        <sz val="10.0"/>
        <u/>
      </rPr>
      <t>CNPJ/MF sob o nº. 25.005.571/0001-40</t>
    </r>
  </si>
  <si>
    <t>Administração / Obras</t>
  </si>
  <si>
    <t>CONTRATAÇÃO DE EMPRESA PARA CONSTRUÇÃO DO VELÓRIO MUNICIPAL LOCALIZADO NA AV. JEAN LIEUTAUD - JD. STA TEREZA</t>
  </si>
  <si>
    <t>13/11/20 À 12/01/2021</t>
  </si>
  <si>
    <t>884/20</t>
  </si>
  <si>
    <t>1282/20</t>
  </si>
  <si>
    <t>CV 01/20</t>
  </si>
  <si>
    <t>01/19</t>
  </si>
  <si>
    <r>
      <rPr>
        <rFont val="Arimo"/>
        <b/>
        <color rgb="FF0000FF"/>
        <sz val="10.0"/>
        <u/>
      </rPr>
      <t xml:space="preserve">INTER - TEC SOLUÇÕES EM SOFTWARE LTDA
</t>
    </r>
    <r>
      <rPr>
        <rFont val="Arimo"/>
        <b/>
        <color rgb="FF0000FF"/>
        <sz val="10.0"/>
        <u/>
      </rPr>
      <t>CNPJ - 18.351.823/0001-27</t>
    </r>
  </si>
  <si>
    <t>CONTRATAÇÃO DE PESSOA JURIDICA ESPECIALIZADA NA PRESTAÇÃO DE SERVIÇOS DE INFORMÁTICA, PARA LICENCIAMENTO DE UMA SOLUÇÃO TECNOLÓGICA DE GESTÃO EDUCACIONAL - WEB</t>
  </si>
  <si>
    <t>15/01/20 À 15/01/21</t>
  </si>
  <si>
    <t>2212/18</t>
  </si>
  <si>
    <t>273/19</t>
  </si>
  <si>
    <t>PP 74/18</t>
  </si>
  <si>
    <t>19/20</t>
  </si>
  <si>
    <r>
      <rPr>
        <rFont val="Arimo"/>
        <b/>
        <color rgb="FF0000FF"/>
        <sz val="10.0"/>
        <u/>
      </rPr>
      <t xml:space="preserve">INFRAURB ENGENHARIA , CONSTRUÇÕES E SERVIÇOS LTDA
</t>
    </r>
    <r>
      <rPr>
        <rFont val="Arimo"/>
        <b/>
        <color rgb="FF0000FF"/>
        <sz val="10.0"/>
        <u/>
      </rPr>
      <t>CNPJ/MF sob o nº. 25.005.571/0001-40</t>
    </r>
  </si>
  <si>
    <t>CONTRATAÇÃO DE EMPRESA PARA REFORMA E MANUTENÇÃO DAS ESCOLAS MUNICIPAIS: PEQUENO PRÍNCIPE E PEQUENO POLEGAR</t>
  </si>
  <si>
    <t>23/11/20 à 22/01/21</t>
  </si>
  <si>
    <t>1556/20</t>
  </si>
  <si>
    <t>CV 02/20</t>
  </si>
  <si>
    <t>02/17</t>
  </si>
  <si>
    <t>Governo</t>
  </si>
  <si>
    <t>CONTRATAÇÃO DE EMPRESA PARA FORNECIMENTO DE COMBUSTÍVEL (GASOLINA COMUM E DIESEL BS10) DE FORMA PARCELADA PARA ATENDER A FROTA DE VEÍCULOS DE DIVERSAS SECRETARIAS</t>
  </si>
  <si>
    <t>23/01/20 à 23/01/21</t>
  </si>
  <si>
    <t>729/16</t>
  </si>
  <si>
    <t>1312/17</t>
  </si>
  <si>
    <t>PP 15/16</t>
  </si>
  <si>
    <t>Gabinete</t>
  </si>
  <si>
    <t>Segurança</t>
  </si>
  <si>
    <t>Segurança - Trânsito</t>
  </si>
  <si>
    <t>Segurança - G. Civil</t>
  </si>
  <si>
    <t>Cidadania - Cons. Tutelar</t>
  </si>
  <si>
    <t>Cidadania - Casa Abrigo</t>
  </si>
  <si>
    <t>Cidadania - CRAS</t>
  </si>
  <si>
    <t>Cidadania - CREAS</t>
  </si>
  <si>
    <t>Saúde - Secretaria</t>
  </si>
  <si>
    <t>Saúde - UBS</t>
  </si>
  <si>
    <t>Saúde - UPA</t>
  </si>
  <si>
    <t>Saúde - Vigilância</t>
  </si>
  <si>
    <t>14/20</t>
  </si>
  <si>
    <r>
      <rPr>
        <rFont val="Arimo"/>
        <b/>
        <color rgb="FF0000FF"/>
        <sz val="10.0"/>
        <u/>
      </rPr>
      <t xml:space="preserve">POUSADA E RESTAURANTE RECANTOS DOS AMIGOS
</t>
    </r>
    <r>
      <rPr>
        <rFont val="Arimo"/>
        <b/>
        <color rgb="FF0000FF"/>
        <sz val="10.0"/>
        <u/>
      </rPr>
      <t>CNPJ/MF sob o nº. 65.960.676/0001-72</t>
    </r>
  </si>
  <si>
    <t>CONTRATAÇÃO DE EMPRESA PARA FORNECIMENTO DE REFEIÇÕES TIPO MARMITEX, PARA DISTRIBUIÇÃO DIÁRIA A PESSOAS EM SITUAÇÃO DE RUA, REFERENCIADAS E ACOMPANHADAS PELA EQUIPE DO CREAS - C/C 16.475-5 - AÇÕES/SERVIÇOS SOCIOASSISTÊNCIAIS DO COVID NO SUAS - PORTARIA 369 - RECURSO FEDERAL</t>
  </si>
  <si>
    <t>30/09/20 À 29/01/21</t>
  </si>
  <si>
    <t>1149/20</t>
  </si>
  <si>
    <t>DP 10/20</t>
  </si>
  <si>
    <t>02/19</t>
  </si>
  <si>
    <r>
      <rPr>
        <rFont val="Arimo"/>
        <b/>
        <color rgb="FF0000FF"/>
        <sz val="10.0"/>
        <u/>
      </rPr>
      <t xml:space="preserve">NUTRICOL COM. DE PRODS. ALIMENTICIOS EIRELI
</t>
    </r>
    <r>
      <rPr>
        <rFont val="Arimo"/>
        <b/>
        <color rgb="FF0000FF"/>
        <sz val="10.0"/>
        <u/>
      </rPr>
      <t>CNPJ - 05.142.508/0001-48</t>
    </r>
  </si>
  <si>
    <t>PRESTAÇÃO DE SERVIÇO DE ALIMENTAÇÃO E NUTRIÇÃO, COMPREENDENDO O PREPARO E DISTRIBUIÇÃO DE REFEIÇÕES ÀS CRIANÇAS E ADOLESCENTES ABRIGADAS NA UNIDADE DE ACOLHIMENTO INSTITUCIONAL (CASA ABRIGO)</t>
  </si>
  <si>
    <t>01/02/20 À 01/02/21</t>
  </si>
  <si>
    <t>2490/18</t>
  </si>
  <si>
    <t>625/19</t>
  </si>
  <si>
    <t>PP 72/18</t>
  </si>
  <si>
    <t>03/19</t>
  </si>
  <si>
    <t>PRESTAÇÃO DE SERVIÇO DE ALIMENTAÇÃO ESCOLAR E NUTRIÇÃO, COMPREENDENDO O PREPARO E DISTRIBUIÇÃO DE REFEIÇÕES AOS ALUNOS DAS UNIDADES ESCOLARES DA SECRETARIA MUNICIPAL DE EDUCAÇÃO E CULTURA</t>
  </si>
  <si>
    <t>05/19</t>
  </si>
  <si>
    <r>
      <rPr>
        <rFont val="Arimo"/>
        <b/>
        <color rgb="FF0000FF"/>
        <sz val="10.0"/>
        <u/>
      </rPr>
      <t xml:space="preserve">EMERSON CORDEIRO SARTORI E FERNANDA PERILO DE OLIVEIRA SARTORI
</t>
    </r>
    <r>
      <rPr>
        <rFont val="Arimo"/>
        <b/>
        <color rgb="FF0000FF"/>
        <sz val="10.0"/>
        <u/>
      </rPr>
      <t>CPF/MF sob nº 250.964.528-59</t>
    </r>
  </si>
  <si>
    <t>LOCAÇÃO DE IMOVEL LOCALIZADO A AV. DOM PEDRO I, 599 - VILA FIGUEIREDO PARA ATENDER AO PROGAMA MAIS MÉDICOS PARA O BRASIL - MORADOR PEDRO PAZ MONTEIRO</t>
  </si>
  <si>
    <t>22/02/20 À 22/02/21</t>
  </si>
  <si>
    <t>2835/18</t>
  </si>
  <si>
    <t>04/19</t>
  </si>
  <si>
    <r>
      <rPr>
        <rFont val="Arimo"/>
        <b/>
        <color rgb="FF0000FF"/>
        <sz val="10.0"/>
        <u/>
      </rPr>
      <t xml:space="preserve">GEPAM - GESTÃO PÚBLICA, AUDITORIA CONTÁBIL, ASSES. E CONS. EM ADM. MUNICIPAL S/S LTDA - EPP
</t>
    </r>
    <r>
      <rPr>
        <rFont val="Arimo"/>
        <b/>
        <color rgb="FF0000FF"/>
        <sz val="10.0"/>
        <u/>
      </rPr>
      <t>CNPJ/MF sob o nº. 07.164.951/0001-45</t>
    </r>
  </si>
  <si>
    <t>PRESTAÇÃO DE SERVIÇOS MULTIPROFISSIONAIS DE ORIENTAÇÃO (ASSESSORIA E CONSULTORIA) Á GESTÃO GORVANAMENTAL</t>
  </si>
  <si>
    <t>22/02/20 á 22/02/21</t>
  </si>
  <si>
    <t>96/18</t>
  </si>
  <si>
    <t>356/19</t>
  </si>
  <si>
    <t>TP 02/18</t>
  </si>
  <si>
    <t>24/16</t>
  </si>
  <si>
    <r>
      <rPr>
        <rFont val="Arimo"/>
        <b/>
        <color rgb="FF0000FF"/>
        <sz val="10.0"/>
        <u/>
      </rPr>
      <t xml:space="preserve">TERWAN SOLUCOES EM ELETRICIDADE INDUSTRIA E COMERCIO LTDA
</t>
    </r>
    <r>
      <rPr>
        <rFont val="Arimo"/>
        <b/>
        <color rgb="FF0000FF"/>
        <sz val="10.0"/>
        <u/>
      </rPr>
      <t xml:space="preserve">CNPJ (MF) n.º 45.209.863/0001-01
</t>
    </r>
  </si>
  <si>
    <t>CONTRATAÇÃO DE EMPRESA PARA SERVIÇOS DE MANUTENÇÃO CORRETIVA E PREVENTIVA, EFICIENTIZAÇÃO E AMPLIAÇÃO DO SISTEMA DE ILUMINAÇÃO PUBLICA NAS VIAS E AREAS PUBLICAS URBANAS NO MUNICIPIO DE RIO GRANDE</t>
  </si>
  <si>
    <t>22/08/20 À 21/08/21</t>
  </si>
  <si>
    <t>1663/15</t>
  </si>
  <si>
    <t>CO 07/15</t>
  </si>
  <si>
    <t>01/20</t>
  </si>
  <si>
    <r>
      <rPr>
        <rFont val="Arimo"/>
        <b/>
        <color rgb="FF0000FF"/>
        <sz val="10.0"/>
        <u/>
      </rPr>
      <t xml:space="preserve">R.R. CONSTRUÇÕES E SERVIÇOS LTDA
</t>
    </r>
    <r>
      <rPr>
        <rFont val="Arimo"/>
        <b/>
        <color rgb="FF0000FF"/>
        <sz val="10.0"/>
        <u/>
      </rPr>
      <t>CNPJ/MF sob o nº. 18.530.654/0001-92</t>
    </r>
  </si>
  <si>
    <t>CONTRATAÇÃO DE EMPRESA PARA CONSTRUÇÃO DO TERMINAL RODOVIÁRIO MUNICIPAL DE RIO GRANDE DA SERRA E INFRAESTRUTURA</t>
  </si>
  <si>
    <t>02/03/20 à 02/10/20</t>
  </si>
  <si>
    <t>2171/19</t>
  </si>
  <si>
    <t>320/20</t>
  </si>
  <si>
    <t>TP 02/19</t>
  </si>
  <si>
    <t>03/20</t>
  </si>
  <si>
    <r>
      <rPr>
        <rFont val="Arimo"/>
        <b/>
        <color rgb="FF0000FF"/>
        <sz val="10.0"/>
        <u/>
      </rPr>
      <t xml:space="preserve">PEDRO LUIS DE OLIVEIRA
</t>
    </r>
    <r>
      <rPr>
        <rFont val="Arimo"/>
        <b/>
        <color rgb="FF0000FF"/>
        <sz val="10.0"/>
        <u/>
      </rPr>
      <t xml:space="preserve">CPF - 379.169.808-78 </t>
    </r>
  </si>
  <si>
    <t>LOCAÇÃO DE IMÓVEL LOCALIZADO NA AV. JEAN LIEUTAUD, 309 - 1º E 2º PAVIMENTO - JD. SANTA TEREZA - RGS/SP, ONDE SERÁ INSTALADO A SECRETARIA DE SEGURANÇA URBANA, TRANSITO E DEFESA CIVIL E A GUARDA MUNICIPAL</t>
  </si>
  <si>
    <t>01/05/20 À 01/05/21</t>
  </si>
  <si>
    <t>513/20</t>
  </si>
  <si>
    <t>DP 03/20</t>
  </si>
  <si>
    <t>08 E 08A/20</t>
  </si>
  <si>
    <r>
      <rPr>
        <rFont val="Arimo"/>
        <b/>
        <color rgb="FF0000FF"/>
        <sz val="10.0"/>
        <u/>
      </rPr>
      <t xml:space="preserve">NATÁLIA CARDOSO FRANCO
</t>
    </r>
    <r>
      <rPr>
        <rFont val="Arimo"/>
        <b/>
        <color rgb="FF0000FF"/>
        <sz val="10.0"/>
        <u/>
      </rPr>
      <t>CPF nº 432.642.798/19</t>
    </r>
  </si>
  <si>
    <t>LOCAÇÃO DE IMÓVEL SITO À AV. DOM PEDRO I, 590 - CENTRO, ONDE ESTÁ INSTALADO O CEME - CENTRO DE ESPECIALIDADES MÉDICAS</t>
  </si>
  <si>
    <t>29/06/20 à 29/06/21</t>
  </si>
  <si>
    <t>750/20</t>
  </si>
  <si>
    <t>968/20</t>
  </si>
  <si>
    <t>DP 07/20</t>
  </si>
  <si>
    <r>
      <rPr>
        <rFont val="Arimo"/>
        <b/>
        <color rgb="FF0000FF"/>
        <sz val="10.0"/>
        <u/>
      </rPr>
      <t xml:space="preserve">NAYARA CARDOSO FRANCO
</t>
    </r>
    <r>
      <rPr>
        <rFont val="Arimo"/>
        <b/>
        <color rgb="FF0000FF"/>
        <sz val="10.0"/>
        <u/>
      </rPr>
      <t>CPF nº 432.642.818/05</t>
    </r>
  </si>
  <si>
    <t>16/20</t>
  </si>
  <si>
    <r>
      <rPr>
        <rFont val="Arimo"/>
        <b/>
        <color rgb="FF0000FF"/>
        <sz val="10.0"/>
        <u/>
      </rPr>
      <t xml:space="preserve">UBUNTU TECNOLOGIA LTDA
</t>
    </r>
    <r>
      <rPr>
        <rFont val="Arimo"/>
        <b/>
        <color rgb="FF0000FF"/>
        <sz val="10.0"/>
        <u/>
      </rPr>
      <t>CNPJ/MF sob  o nº. 13.500.348/0001-90</t>
    </r>
  </si>
  <si>
    <t xml:space="preserve">Segurança </t>
  </si>
  <si>
    <r>
      <rPr>
        <rFont val="Arial Unicode MS"/>
        <color theme="1"/>
        <sz val="11.0"/>
      </rPr>
      <t>CONTRATAÇÃO DE EMPRESA SOB O REGIME DE OUTORGA DE CONCESSÃO</t>
    </r>
    <r>
      <rPr>
        <rFont val="Arial Unicode MS"/>
        <color theme="1"/>
        <sz val="11.0"/>
      </rPr>
      <t xml:space="preserve"> ONEROSA PARA GESTÃO E EXPLORAÇÃO DO SISTEMA DE ESTACIONAMENTO ROTATIVO DE VEÍCULOS NAS VIAS E LOGRADOUROS PÚBLICOS NO MUNICÍPIO DE RIO GRANDE DA SERRA, DENOMINADO “ESTACIONAMENTO ROTATIVO RIO GRANDE DA SERRA”, </t>
    </r>
  </si>
  <si>
    <t>05/10/20 à 04/10/30</t>
  </si>
  <si>
    <t>88/19</t>
  </si>
  <si>
    <t>1555/20</t>
  </si>
  <si>
    <t>CO 01/19</t>
  </si>
  <si>
    <t>06/18</t>
  </si>
  <si>
    <t>APRAESPI - ASSOCIAÇÃO DE PREVENÇÃO, ATENDIMENTO ESPECIALIZADO E INCLUSÃO DA PESSOA COM DEFICIÊNCIA DE RIBEIRÃO PIRES - CNPJ: 57.621.377/0001-85</t>
  </si>
  <si>
    <t>CONTRATAÇÃO DE EMPRESA ESPECIALIZADA PARA REALIZAÇÃO DE EXAMES DE EMISSÃO OTOACÚSTICA, PARA ATENDER A SECRETARIA DE SAÚDE, SENDO 30 (TRINTA) EXAMES MENSAIS EM BÊBES DE 0 A 3 MESES</t>
  </si>
  <si>
    <t>02/04/20 À 02/04/21</t>
  </si>
  <si>
    <t>87/18</t>
  </si>
  <si>
    <t>866/18</t>
  </si>
  <si>
    <t>DP 01/18</t>
  </si>
  <si>
    <t>05/18</t>
  </si>
  <si>
    <r>
      <rPr>
        <rFont val="Arimo"/>
        <b/>
        <color rgb="FF0000FF"/>
        <sz val="10.0"/>
        <u/>
      </rPr>
      <t xml:space="preserve">UNIVERSIDADE MUNICIPAL DE SÃO CAETANO DO SUL
</t>
    </r>
    <r>
      <rPr>
        <rFont val="Arimo"/>
        <b/>
        <color rgb="FF0000FF"/>
        <sz val="10.0"/>
        <u/>
      </rPr>
      <t>CNPJ/MF sob o n.44.392.215/0001-70</t>
    </r>
  </si>
  <si>
    <t>CONTRATAÇÃO DE EMPRESA PARA PLANEJAMENTO, ORGANIZAÇÃO, DIVULGAÇÃO E REALIZAÇÃO DE CONCURSO PÚBLICO, PARA PROVIMENTO DE CARGOS PÚBLICOS PARA A PREFEITURA MUNICIPAL DE RIO GRANDE DA SERRA</t>
  </si>
  <si>
    <t>2417/17</t>
  </si>
  <si>
    <t>DP 02/18</t>
  </si>
  <si>
    <t>09/15</t>
  </si>
  <si>
    <r>
      <rPr>
        <rFont val="Arimo"/>
        <b/>
        <color rgb="FF0000FF"/>
        <sz val="10.0"/>
        <u/>
      </rPr>
      <t xml:space="preserve">TELEFÔNICA BRASIL S.A.
</t>
    </r>
    <r>
      <rPr>
        <rFont val="Arimo"/>
        <b/>
        <color rgb="FF0000FF"/>
        <sz val="10.0"/>
        <u/>
      </rPr>
      <t>CNPJ (MF) n.º 02.558.157/0001-62</t>
    </r>
  </si>
  <si>
    <t>CONTRATAÇÃO DE EMPRESA PARA PRESTAÇÃO DE SERVIÇOS DE TELEFONIA FIXA, IP - INTERNET DEDICADA E BANDA LARGA PARA ATENDER AS UNIDADES PERTENCENTES À PREFEITURA MUNICIPAL DE RIO GRANDE DA SERRA</t>
  </si>
  <si>
    <t>12/05/20 à 12/05/21</t>
  </si>
  <si>
    <t>759/14</t>
  </si>
  <si>
    <t>TP 01/15</t>
  </si>
  <si>
    <t>15/20</t>
  </si>
  <si>
    <r>
      <rPr>
        <rFont val="Arimo"/>
        <b/>
        <color rgb="FF0000FF"/>
        <sz val="10.0"/>
        <u/>
      </rPr>
      <t xml:space="preserve">RENOV PAVIMENTAÇÃO E CONSTRUÇÕES LTDA - EPP
</t>
    </r>
    <r>
      <rPr>
        <rFont val="Arimo"/>
        <b/>
        <color rgb="FF0000FF"/>
        <sz val="10.0"/>
        <u/>
      </rPr>
      <t>CNPJ - 10.277.133/0001-63</t>
    </r>
  </si>
  <si>
    <t>CONTRATAÇÃO DE EMPRESA PARA EXECUÇÃO DE PAVIMENTAÇÃO, DRENAGEM E SINALIZAÇÃO DE VIA URBANA: RUA ROSEIRA - PARQUE AMÉRICA.</t>
  </si>
  <si>
    <t>02/06/21 à 02/07/21</t>
  </si>
  <si>
    <t>863/20</t>
  </si>
  <si>
    <t>1416/20</t>
  </si>
  <si>
    <t>TP 02/20</t>
  </si>
  <si>
    <t>07/20</t>
  </si>
  <si>
    <t>BANCO DO BRASIL S.A.
00.000.000/0001-91</t>
  </si>
  <si>
    <t>ACORDO DE COOPERAÇÃO TÉCNICA PARA UTILIZAÇÃO DE SISTEMA ELETRÔNICO DE LICITAÇÕES - PREGÃO ELETRÔNICO</t>
  </si>
  <si>
    <t>11/07/20 À 10/07/21</t>
  </si>
  <si>
    <t>2422/19</t>
  </si>
  <si>
    <t>1372/20</t>
  </si>
  <si>
    <t>DP 06/20</t>
  </si>
  <si>
    <t>01/21</t>
  </si>
  <si>
    <t>TICKET SERVIÇOS S/A
CNPJ/MF sob o nº. 47.866.934/0001-74</t>
  </si>
  <si>
    <t>CONTRATAÇÃO EMERGENCIAL DE EMPRESA ESPECIALIZADA EM GERENCIAMENTO, IMPLEMENTAÇÃO, ADMINISTRAÇÃO E FORNECIMENTO DE VALE ALIMENTAÇÃO NO VALOR DE R$ 60,00 DESTIANDOS AOS ALUNOS MATRICULADOS NAS ESCOLAS MUNICIPAIS: CRECHE, PRÉ-ESCOLA E EJA</t>
  </si>
  <si>
    <t>26/02/21 à 25/07/21</t>
  </si>
  <si>
    <t>123/21</t>
  </si>
  <si>
    <t>DP 01/21</t>
  </si>
  <si>
    <t>Educação - Pré-escola</t>
  </si>
  <si>
    <t>Educação - Eja</t>
  </si>
  <si>
    <t>ASSOCIAÇÃO DESPORTIVA DE RIBEIRÃO PIRES
CNPJ/MF sob o nº. 09.244.006/0001-89</t>
  </si>
  <si>
    <t>TERMO DE COLABORAÇÃO PARA EXECUÇÃO DE PROJETO DE ARTES MARCIAIS NO MUNICIPIO - PROJETO FAZER VALER - CHAMAMENTO PÚBLICO Nº 01/18</t>
  </si>
  <si>
    <t>30/08/20 À 29/08/21</t>
  </si>
  <si>
    <t>1300/18</t>
  </si>
  <si>
    <t>1655/18</t>
  </si>
  <si>
    <t>CHAMAMENTO Nº 01/18</t>
  </si>
  <si>
    <t>03/21</t>
  </si>
  <si>
    <t>HARPIA ALIMENTAÇÃO E SERVIÇOS DE LIMPEZA EIRELI
CNPJ/MF sob o nº. 04.443.656/0001-30</t>
  </si>
  <si>
    <t>PC Nº 161/21 - CONTRATAÇÃO DE EMPRESA ESPECIALIZADA EM SERVIÇOS DE ALIMENTAÇÃO E NUTRIÇÃO COMPREENDENDO PREPARO E DISTRIBUIÇÃO PARA ATENDER A CASA DE ACOLHIMENTO INSTITUCIONAL - RECURSO MUNICIPAL E ESTADUAL</t>
  </si>
  <si>
    <t>10/03/21 À 09/09/21</t>
  </si>
  <si>
    <t>161/21</t>
  </si>
  <si>
    <t>DP 03/21</t>
  </si>
  <si>
    <t>23/17</t>
  </si>
  <si>
    <t>TELEFÔNICA BRASIL S.A.
CNPJ (MF) n.º 02.558.157/0001-62</t>
  </si>
  <si>
    <t>CONTRATAÇÃO DE EMPRESA PARA PRESTAÇÃO DE SERVIÇOS DE TELEFONIA MÓVEL PARA O PREFEITO E VICE-PREFEITA</t>
  </si>
  <si>
    <t>18/10/20 à 17/10/21</t>
  </si>
  <si>
    <t>195/17</t>
  </si>
  <si>
    <t>2240/17</t>
  </si>
  <si>
    <t>DP 21/17</t>
  </si>
  <si>
    <t>16/21</t>
  </si>
  <si>
    <t>RODRIGUES E ORTIZ PAVIMENTAÇÃO E CONSTRUÇÃO
CNPJ/MF sob o nº. 29.604.968/0001-09</t>
  </si>
  <si>
    <t>CONTRATAÇÃO DE EMPRESA ESPECIALIZADA EM SERVIÇOS DE ENGENHARIA PARA EXECUÇÃO DE DEMOLIÇÃO DE PISO E EXECUÇÃO DE PISO ESTRUTURAL EM CONCRETO ARMADO PARA DE SUSTENTAÇÃO DE TRANSFORMADOR E CABINE PRIMÁRIA E CAPTAÇÃO DE ÁGUAS PLUVIAIS PARA UNIDADE DE PRONTO ATENDIMENTO  – UPA</t>
  </si>
  <si>
    <t xml:space="preserve">08/11/21 A 28/11/21 </t>
  </si>
  <si>
    <t>496/21</t>
  </si>
  <si>
    <t>PP 12/21</t>
  </si>
  <si>
    <t>10/21</t>
  </si>
  <si>
    <t>LABORATÓRIO DE ANÁLISES SÃO VICENTE LTDA
CNPJ/MF sob o nº. 43.486.034/0001-40</t>
  </si>
  <si>
    <t>CONTRATAÇÃO DE EMPRESA ESPECIALIZADA PARA PRESTAÇÃO DE SERVIÇOS LABORATORIAIS E ANÁLISES CLÍNICAS PARA ATENDER AS UNIDADES DE SAÚDE DA SECRETARIA MUNICIPAL DE SAÚDE</t>
  </si>
  <si>
    <t>21/06/21 à 21/12/21</t>
  </si>
  <si>
    <t>834/21</t>
  </si>
  <si>
    <t>1018/21</t>
  </si>
  <si>
    <t>DP 09/21</t>
  </si>
  <si>
    <t>29/16</t>
  </si>
  <si>
    <t>CAIXA ECONÔMICA FEDERAL</t>
  </si>
  <si>
    <t>CONTRATAÇÃO DE INSTITUIÇÃO FINANCEIRA PARA PRESTAÇÃO DE DIVERSOS SERVIÇOS FINANCEIROS PARA ATENDER A ADMINISTRAÇÃO DA PREFEITURA MUNICIPAL DE RIO GRANDE DA SERRA</t>
  </si>
  <si>
    <t>03/01/17 À 02/01/22</t>
  </si>
  <si>
    <t>1792/16</t>
  </si>
  <si>
    <t>PP - 16/16</t>
  </si>
  <si>
    <t>09/21</t>
  </si>
  <si>
    <t>ACETEC CONSTRUTORA LTDA
CNPJ/MF sob o nº. 56.696.024/0001-81</t>
  </si>
  <si>
    <t>CONTRATAÇÃO DE EMPRESA PARA EXECUÇÃO DE SERVIÇOS TÉCNICOS DE ENGENHARIA, COMPREENDENDO: MANUTENÇÃO, CONSERVAÇÃO, ADEQUAÇÃO E REFORMA DAS ESCOLAS MUNICIPAIS DE EDUCAÇÃO BÁSICA: RECANTO INFANTIL MADRE MARIA DE JESUS E DAVID BARBOSA</t>
  </si>
  <si>
    <t>07/11/21 à 06/01/22</t>
  </si>
  <si>
    <t>278/21</t>
  </si>
  <si>
    <t>997/21</t>
  </si>
  <si>
    <t>TP 01/21</t>
  </si>
  <si>
    <t>17/21</t>
  </si>
  <si>
    <t>A CASSIA ALIMENTOS EIRELI
CNPJ/MF sob o nº. 14.037.573/0001-02</t>
  </si>
  <si>
    <t>CONTRATAÇÃO DE EMPRESA PARA FORNECIMENTO DE KIT LANCHES PARA ALIMENTAÇÃO ESCOLAR EM ATENDIMENTO A REDE DE ENSINO INFANTIL NO RETORNO AS AULAS PRESENCIAIS PELA SECRETARIA MUNICIPAL DE EDUCAÇÃO E CULTURA NO MUNICÍPIO DE RIO GRANDE DA SERRA</t>
  </si>
  <si>
    <t>01/10/21 A 01/02/21</t>
  </si>
  <si>
    <t>1428/21</t>
  </si>
  <si>
    <t>PP 16/21</t>
  </si>
  <si>
    <t>27/17</t>
  </si>
  <si>
    <t>ELETROPAULO METROPOLITANA ELETRICIDADE DE SÃO PAULO S/A</t>
  </si>
  <si>
    <t>CONTRATO DE FORNECIMENTO DE ENERGIA ELÉTRICA PARA O SISTEMA DE ILUMINAÇÃO PÚBLICA - RUAS, PRAÇAS, AVENIDAS E OUTROS.</t>
  </si>
  <si>
    <t>03/02/17 à 03/02/22</t>
  </si>
  <si>
    <t>963/16 e 1566/21</t>
  </si>
  <si>
    <t>963/16</t>
  </si>
  <si>
    <t>DP 01/17</t>
  </si>
  <si>
    <t>15/21</t>
  </si>
  <si>
    <t>ALINE PEREIRA DA NEIVA ROCHA 40819270814
CNPJ/MF sob o nº. 28.276.009/0001-49</t>
  </si>
  <si>
    <t>CONTRATAÇÃO EMERGENCIAL DE EMPRESA ESPECIALIZADA PARA PRESTAÇÃO DE SERVIÇOS DE ENTREGA DE EXAMES LABORATORIAIS POR MOTOCICLISTAS PARA ATENDER A SECRETARIA MUNICIPAL DE SAÚDE</t>
  </si>
  <si>
    <t>13/09/21 à 13/03/22</t>
  </si>
  <si>
    <t>1142/21</t>
  </si>
  <si>
    <t>1600/21</t>
  </si>
  <si>
    <t>DP 13/21</t>
  </si>
  <si>
    <t>14/21</t>
  </si>
  <si>
    <t>RENOV PAVIMENTAÇÃO E CONSTRUÇÕES LTDA - EPP
CNPJ - 10.277.133/0001-63</t>
  </si>
  <si>
    <t>PAVIMENTAÇÃO, DRENAGEM E SINALIZAÇÃO DAS RUAS REGISTRO E PACAEMBU (ESTACA 23 A ESTACA 28+8, 15 E EMBOCADURA) E MURO DE GABIÃO NA TRAVESSA JOÃO AMÉRICO E EXECUÇÃO DE PAVIMENTAÇÃO, PASSEIO PÚBLICO E DRENAGEM DA TRAVESSA JOÃO AMÉRICO</t>
  </si>
  <si>
    <t>24/08/21 a 24/04/22</t>
  </si>
  <si>
    <t>478/21</t>
  </si>
  <si>
    <t>1437/21</t>
  </si>
  <si>
    <t>TP 02/21</t>
  </si>
  <si>
    <t>05/21</t>
  </si>
  <si>
    <t xml:space="preserve">Cidadania </t>
  </si>
  <si>
    <t>24/04/21 A 23/04/22</t>
  </si>
  <si>
    <t>103/21</t>
  </si>
  <si>
    <t>DP 05/21</t>
  </si>
  <si>
    <t>07/21</t>
  </si>
  <si>
    <t xml:space="preserve"> CONCHETA ALBANO SIQUEIRA CPF - 080.178.428-05 (MARCIA APARECIDA ALBANO CPF - 560.567.298-34)</t>
  </si>
  <si>
    <t>30/04/21 A 29/04/22</t>
  </si>
  <si>
    <t>779/15</t>
  </si>
  <si>
    <t>DP 7/21</t>
  </si>
  <si>
    <t>11/17</t>
  </si>
  <si>
    <t>GRIFON BRASIL ASSESSORIA LTDA EPP
CNPJ - 21.129.497/0001-12</t>
  </si>
  <si>
    <t>04/05/21 A 04/05/22</t>
  </si>
  <si>
    <t>227/17</t>
  </si>
  <si>
    <t>1374/17</t>
  </si>
  <si>
    <t>DP 11/17</t>
  </si>
  <si>
    <t>19/21</t>
  </si>
  <si>
    <t>Distrato</t>
  </si>
  <si>
    <t>VIPCON IMPORTAÇÃO E EXPORTAÇÃO ASSESSORIA EMPRESARIAL COBRANÇA COMÉRCIO E DISTRIBUIDORA DE ALIMENTOS LTDA
CNPJ/MF sob o nº. 24.544.891/0001-05</t>
  </si>
  <si>
    <t>PRESTAÇÃO DE SERVIÇO DE	ALIMENTAÇÃO	E	NUTRIÇÃO, COMPREENDENDO O PREPARO E DISTRIBUIÇÃO DE REFEIÇÕES ÀS CRIANÇAS E ADOLESCENTES ABRIGADAS NA UNIDADE DE ACOLHIMENTO INSTITUCIONAL (CASA ABRIGO) DA SECRETARIA MUNICIPAL     DE     CIDADANIA     E     INCLUSÃO
SOCIAL.</t>
  </si>
  <si>
    <t>18/10/21 a 17/10/22</t>
  </si>
  <si>
    <t>233/21</t>
  </si>
  <si>
    <t>1866/21</t>
  </si>
  <si>
    <t>PP 17/21</t>
  </si>
  <si>
    <t>11/21</t>
  </si>
  <si>
    <t>GEMECÊ EMPRESA JORNALISTICA LTDA ME
CNPJ/MF sob o nº. 61.999.637/0001-28</t>
  </si>
  <si>
    <t>CONTRATAÇÃO DE EMPRESA ESPECIALIZADA PARA PRESTAÇÃO DE SERVIÇOS DE PUBLICAÇÃO DE ATOS OFICIAIS, PARA ATENDER A PREFEITURA DE RIO GRANDE DA SERRA</t>
  </si>
  <si>
    <t>25/06/21 à 25/06/22</t>
  </si>
  <si>
    <t>181/21</t>
  </si>
  <si>
    <t>1019/21</t>
  </si>
  <si>
    <t>PP 01/21</t>
  </si>
  <si>
    <t>11/19</t>
  </si>
  <si>
    <t>Educação - Creche (47%)</t>
  </si>
  <si>
    <t>CONTRATAÇÃO DE EMPRESA ESPECIALIZADA NA PRESTAÇÃO DE SERVIÇOS DE LIMPEZA, CONSERVAÇÃO E HIGIENIZAÇÃO NAS UNIDADES ESCOLARES MUNICIPAIS, COM FORNECIMENTO DE SANEANTES DOMISSANITÁRIOS, MATERIAIS, EQUIPAMENTOS E MÃO DE OBRA</t>
  </si>
  <si>
    <t>01/07/21 A 01/07/22</t>
  </si>
  <si>
    <t>892/19</t>
  </si>
  <si>
    <t>1339/19</t>
  </si>
  <si>
    <t>PP 21/19</t>
  </si>
  <si>
    <t>LIBERTAD COMERCIAL E SERVIÇOS EIRELI EPP
CNPJ/MF sob o nº. 60.879.970/0001-30</t>
  </si>
  <si>
    <t>Educação - Pré (53%)</t>
  </si>
  <si>
    <t>28/17</t>
  </si>
  <si>
    <t>6º Aditivo</t>
  </si>
  <si>
    <t xml:space="preserve">PS ENGENHARIA CONSTRUÇÕES E COMÉRCIO LTDA
CNPJ/MF sob o nº. 43.235.050/0001-60 </t>
  </si>
  <si>
    <t>CONSTRUÇÃO DA 1ª E 2ª ETAPA DO MIRANTE NA RUA PREF. CARLOS JOSÉ CARLSON.</t>
  </si>
  <si>
    <t>31/12/21 à 03/07/22</t>
  </si>
  <si>
    <t>1641/17</t>
  </si>
  <si>
    <t>151/18</t>
  </si>
  <si>
    <t>TP 01/17</t>
  </si>
  <si>
    <t>17/17</t>
  </si>
  <si>
    <t>LOCAÇÃO DE IMÓVEL SITO À RUA SANTA BRANCA, 24 - JD. STA TEREZA, ONDE ESTÁ INSTALADO O CRAS</t>
  </si>
  <si>
    <t>07/07/21 à 07/07/22</t>
  </si>
  <si>
    <t>1146/17</t>
  </si>
  <si>
    <t>DP 15/17</t>
  </si>
  <si>
    <t>13/18</t>
  </si>
  <si>
    <r>
      <rPr>
        <rFont val="Arimo"/>
        <color theme="1"/>
        <sz val="10.0"/>
      </rPr>
      <t xml:space="preserve">CONTRATAÇÃO DE EMPRESA ESPECIALIZADA PARA FORNECIMENTO DE SOLUÇÃO INTEGRADA DE REDE SEM FIO COM AUTENTICAÇÃO EM NUVEM E </t>
    </r>
    <r>
      <rPr>
        <rFont val="Arimo"/>
        <b/>
        <color theme="1"/>
        <sz val="10.0"/>
      </rPr>
      <t>LOCAÇÃO</t>
    </r>
    <r>
      <rPr>
        <rFont val="Arimo"/>
        <color theme="1"/>
        <sz val="10.0"/>
      </rPr>
      <t xml:space="preserve"> DE EQUIPAMENTOS DE PROCESSAMENTO DE DADOS, INCLUINDO SECURITIZAÇÃO E MANUTENÇÃO DOS EQUIPAMENTOS</t>
    </r>
  </si>
  <si>
    <t>13/07/20 a 12/07/21</t>
  </si>
  <si>
    <t>631/18</t>
  </si>
  <si>
    <t>1547/18</t>
  </si>
  <si>
    <t>PP 30/18</t>
  </si>
  <si>
    <t>12/22</t>
  </si>
  <si>
    <t>16/05/22 à 15/07/22</t>
  </si>
  <si>
    <t>721/22</t>
  </si>
  <si>
    <t>DP 03/22</t>
  </si>
  <si>
    <t>10º Aditivo</t>
  </si>
  <si>
    <t>23/01/22 à 22/07/22</t>
  </si>
  <si>
    <t>CIDADANIA E INC. SOCIAL</t>
  </si>
  <si>
    <t>OBRAS E PLANEJAMENTO</t>
  </si>
  <si>
    <t>SERV. URBANOS</t>
  </si>
  <si>
    <t>VERDE E MEIO AMBIENTE</t>
  </si>
  <si>
    <t>ESPORTE E LAZER</t>
  </si>
  <si>
    <t>05/22</t>
  </si>
  <si>
    <t>AZEVEDO &amp; CASTRO TRANSPORTES E LOCAÇÃO DE VEÍCULOS LTDA
CNPJ/MF sob o nº. 05.411.610/0001-00</t>
  </si>
  <si>
    <t>CONTRATAÇÃO EMERGENCIAL DE SERVIÇOS DE TRANSPORTE ESCOLAR DE ALUNOS DA EDUCAÇÃO BÁSICA DE ENSINO FUNDAMENTAL, MATRICULADOS NA REDE MUNICIPAL DE ENSINO PELO PERÍODO DE 180
DIAS (6 MESES)</t>
  </si>
  <si>
    <t>08/02/22 A 07/08/22</t>
  </si>
  <si>
    <t>233/22</t>
  </si>
  <si>
    <t>DP 01/22</t>
  </si>
  <si>
    <t>08/22</t>
  </si>
  <si>
    <t>CONTRATAÇÃO EMERGENCIAL PARA PRESTAÇÃO DE SERVIÇOS MÉDICOS E EXAMES PARA ATENDER A UPA E UBS</t>
  </si>
  <si>
    <t>24/02/22 A 23/08/22</t>
  </si>
  <si>
    <t>356/22</t>
  </si>
  <si>
    <t>DP 02/22</t>
  </si>
  <si>
    <t>CAIO CESAR SIQUEIRA XAVIER 
CPF - 385.859.888.78</t>
  </si>
  <si>
    <t>12/09/21 À 11/09/22</t>
  </si>
  <si>
    <t>1319/17</t>
  </si>
  <si>
    <t>DP 19/17</t>
  </si>
  <si>
    <t>20/17</t>
  </si>
  <si>
    <t>ATÉ DEZEMBRO É 6.503,68, DEPOIS FICA POR 7.207,34</t>
  </si>
  <si>
    <t>JOÃO ANTÔNIO DE ARAÚJO - CPF: 294.205.478-68</t>
  </si>
  <si>
    <t>Fernanda Martins</t>
  </si>
  <si>
    <t>Eliza Almeida</t>
  </si>
  <si>
    <t>24/08/22 A 22/09/22</t>
  </si>
  <si>
    <t>1024/22</t>
  </si>
  <si>
    <t>Saúde - UBS (65%)</t>
  </si>
  <si>
    <t>03/10/21 à 02/10/22</t>
  </si>
  <si>
    <t>35/16</t>
  </si>
  <si>
    <t>425/18</t>
  </si>
  <si>
    <t>PP 13/16</t>
  </si>
  <si>
    <t>26/16</t>
  </si>
  <si>
    <t>WHITE MARTINS GASES INDUSTRIAIS LTDA
CNPJ: 35.820.448/0081-10</t>
  </si>
  <si>
    <t>Saúde - UPA (35%)</t>
  </si>
  <si>
    <t>BIQ BENEFÍCIOS LTDA
CNPJ/MF sob o nº. 07.878.237/0001-19</t>
  </si>
  <si>
    <t>15/10/21 A 14/10/22</t>
  </si>
  <si>
    <t>410/21</t>
  </si>
  <si>
    <t>1781/21</t>
  </si>
  <si>
    <t>PP 18/21</t>
  </si>
  <si>
    <t>21/21</t>
  </si>
  <si>
    <t>Fernanda Cristina Milano</t>
  </si>
  <si>
    <t>24/08/22 A 22/11/22</t>
  </si>
  <si>
    <t>9912464264</t>
  </si>
  <si>
    <t>CORREIOS - EMPRESA BRASILEIRA DE CORREIOS E TELÉGRAFOS
CNPJ: 34.028.316/0031-29</t>
  </si>
  <si>
    <t>PRESTAÇÃO DE SERVIÇOS POSTAIS DA PREFEITURA MUNICIPAL DE RIO GRANDE DA SERRA</t>
  </si>
  <si>
    <t>27/11/21 à 27/11/22</t>
  </si>
  <si>
    <t>920/19</t>
  </si>
  <si>
    <t>1474/19</t>
  </si>
  <si>
    <t>DP 03/19</t>
  </si>
  <si>
    <t>23/18</t>
  </si>
  <si>
    <t>José Coelho</t>
  </si>
  <si>
    <t>Lucas</t>
  </si>
  <si>
    <t>PC Nº 1539/18 - PREGÃO Nº 67/18 - CONTRATO Nº 23/18 - CONTRATAÇÃO DE EMPRESA ESPECIALIZADA PARA PRESTAÇÃO DE SERVIÇO DE SOLUÇÃO DE IMPRESSÃO E CÓPIA CORPORATIVA, POR MEIO DE DISPONIBILIDADE DE EQUIPAMENTOS (MULTIFUNCIONAIS), DESTINADOS À IMPRESSÃO, REPROGRAFIA E DIGITALIZAÇÃO DE DOCUMENTOS NAS DEPENDENCIAS DA CONTRATANTE, COMPREENDENDO: CESSÃO DE DIREITO DE USO DE EQUIPAMENTOS; SERVIÇO DE SUPORTE; INSTALAÇÃO E DESINSTALAÇÃO DOS EQUIPAMENTOS; SERVIÇOS DE MANUTENÇÃO PREVENTIVA E CORRETIVA; FORNECIMENTO DE PEÇAS E SUPRIMENTOS NECESSÁRIOS PARA OPERACIONALIZAÇÃO DA SOLUÇÃO.</t>
  </si>
  <si>
    <t>03/11/21 À 03/12/22</t>
  </si>
  <si>
    <t>1539/18</t>
  </si>
  <si>
    <t>2786/18</t>
  </si>
  <si>
    <t>PP 67/18</t>
  </si>
  <si>
    <t>Educação - Pre</t>
  </si>
  <si>
    <t>Finanças - Div. Ativa</t>
  </si>
  <si>
    <t>06/22</t>
  </si>
  <si>
    <t>MAN LATIN AMÉRICA INDÚSTRIA E COMÉRCIO DE VEÍCULOS
CNPJ sob o n.º 06.020.318/0005-44</t>
  </si>
  <si>
    <t>AQUISIÇÃO DE VEÍCULOS E EQUIPAMENTOS, COM ENTREGA IMEDIATA</t>
  </si>
  <si>
    <t>18/02/22 à 31/12/22</t>
  </si>
  <si>
    <t>1005/21</t>
  </si>
  <si>
    <t>PE 14/21</t>
  </si>
  <si>
    <t>03/18</t>
  </si>
  <si>
    <t>INTER - TEC SOLUÇÕES EM SOFTWARE LTDA
CNPJ - 18.351.823/0001-27</t>
  </si>
  <si>
    <t>CONTRATAÇÃO DE EMPRESA ESPECIALIZADA PARA ATUALIZAÇÃO, CUSTOMIZAÇÃO E MANUTENÇÃO DO SITE OFICIAL, INCLUINDO HOSPEDAGEM E SUPORTE TÉCNICO.</t>
  </si>
  <si>
    <t>01/02/22 À 31/01/23</t>
  </si>
  <si>
    <t>559/17</t>
  </si>
  <si>
    <t>353/18</t>
  </si>
  <si>
    <t>CV 09/17</t>
  </si>
  <si>
    <t>17/22</t>
  </si>
  <si>
    <t>CONTRATAÇÃO EMERGENCIAL DE SERVIÇOS DE TRANSPORTE ESCOLAR DE ALUNOS DA EDUCAÇÃO BÁSICA DE ENSINO FUNDAMENTAL DA EMEB DEPUTADA IVETE VARGAS PELO PERÍODO DE 180 (CENTO E OITENTA) DIAS</t>
  </si>
  <si>
    <t>05/08/22 à 01/02/23</t>
  </si>
  <si>
    <t>1449/22</t>
  </si>
  <si>
    <t>DP 11/21</t>
  </si>
  <si>
    <t>03/22</t>
  </si>
  <si>
    <t>APETECE SISTEMAS DE ALIMENTAÇÃO S.A
CNPJ/MF sob o nº. 60.166.832/0001-04</t>
  </si>
  <si>
    <t>CONTRATAÇÃO DE EMPRESA ESPECIALIZADA PARA PRESTAÇÃO DE SERVIÇOS DE FORNECIMENTO DE ALIMENTAÇÃO E NUTRIÇÃO, COMPREENDENDO PREPARO, DISTRIBUIÇÃO E FORNECIMENTO DE REFEIÇÕES AOS ALUNOS DAS UNIDADES ESCOLARES DA SECRETARIA MUNICIPAL DE EDUCAÇÃO E CULTURA DE RIO GRANDE DA SERRA</t>
  </si>
  <si>
    <t>04/02/22 À 03/02/23</t>
  </si>
  <si>
    <t>549/21</t>
  </si>
  <si>
    <t>299/22</t>
  </si>
  <si>
    <t>PP 22/21</t>
  </si>
  <si>
    <t>ATA</t>
  </si>
  <si>
    <t>Detentor</t>
  </si>
  <si>
    <t>Secretaria</t>
  </si>
  <si>
    <t>Gestor</t>
  </si>
  <si>
    <t>Fiscal</t>
  </si>
  <si>
    <t>Objeto</t>
  </si>
  <si>
    <t>Modalidade</t>
  </si>
  <si>
    <t>Processo Administrativo</t>
  </si>
  <si>
    <t>Processo Execução</t>
  </si>
  <si>
    <t>AUDESP</t>
  </si>
  <si>
    <t>Valor Total Ata</t>
  </si>
  <si>
    <t>Assinatura</t>
  </si>
  <si>
    <t>Data da Publicação</t>
  </si>
  <si>
    <t>Vigência</t>
  </si>
  <si>
    <t>PILAR ECOTEC AMBIENTAL LTDA EPP
CNPJ - 30.667.156/0001-91</t>
  </si>
  <si>
    <t>Tânia Maria de Oliveira Sales</t>
  </si>
  <si>
    <t>Cristopher Ferraz de Araujo</t>
  </si>
  <si>
    <t>REGISTRO DE PREÇOS VISANDO EVENTUAIS LOCAÇÃO DE ESTRUTURAS, EQUIPAMENTOS E SERVIÇOS PARA EVENTOS MUNICIPAIS</t>
  </si>
  <si>
    <t>PE - 08/2024</t>
  </si>
  <si>
    <t>504/2024</t>
  </si>
  <si>
    <t>992/2024</t>
  </si>
  <si>
    <t>2024000000203</t>
  </si>
  <si>
    <t>24/05/2025 A 24/05/2026</t>
  </si>
  <si>
    <t>STAGE 360 EVENTOS LTDA - EPP
CNPJ - 46.429.701/0001-41</t>
  </si>
  <si>
    <t>990/2024</t>
  </si>
  <si>
    <t xml:space="preserve">DC INFINITY COMERCIALIZADORA LTDA </t>
  </si>
  <si>
    <t>Kauê Rafael Lima Di Santi Pires</t>
  </si>
  <si>
    <t>Eduardo da Silva Divino</t>
  </si>
  <si>
    <t>REGISTRO DE PREÇOS PARA FUTURA E EVENTUAL AQUISIÇÃO DE ÁGUA MINERAL NATURAL, VISANDO ATENDER AS NECESSIDADES DAS UNIDADES DA PREFEITURA MUNICIPAL DE RIO GRANDE DA SERRA</t>
  </si>
  <si>
    <t>PE 06/25</t>
  </si>
  <si>
    <t>960/2025</t>
  </si>
  <si>
    <t>2025000000153</t>
  </si>
  <si>
    <t>26/05/2025 A 26/05/2026</t>
  </si>
  <si>
    <t>E.S. ADMINISTRADORA LTDA</t>
  </si>
  <si>
    <t>961/2025</t>
  </si>
  <si>
    <t xml:space="preserve">WINES REIS COMERCIAL LTDA
CNPJ sob o nº 47.282.627/0001-46
</t>
  </si>
  <si>
    <t xml:space="preserve">Israel da Silva Junior
CPF: 131.326.178-57
</t>
  </si>
  <si>
    <t xml:space="preserve">Juventude, Esporte e Lazer
Nome:        José Gilmário Silva Nicolau
Cargo: Chefe de Setor
CPF: 155.261.668-13
Família e Desenvolvimento Social
Nome:        Jorge Aparecido da Silva
Cargo: Motorista
CPF: 061.123.038-09
Segurança Urbana, Trânsito e Defesa Civil
Nome:        Fabiano Gomes Duarte
Cargo: Diretor
CPF: 365.558.428-81
Educação e Cultura
Nome:        Alexandro Calazans Vieira
Cargo: Chefe de Setor
CPF: 293.761.318-78
Saúde 
Nome:        Celso Paes dos Santos
Cargo: Gestor
CPF: 054.536.117-17
Jurídico
Nome:       Ariane Perogini Prestes
Cargo: Agente Administrativo
CPF: 303.403.088-69
Obras
Nome:        Guilherme Tadeu Aparecido de Oliveira Dias do Prado
Cargo: Engenheiro civil
CPF: 414.046.498-40
Clima, Meio ambiente e Bem Estar Animal
Nome:        Cláudio Fernando Pereira
Cargo: Fiscal
CPF: 288.291.138-67
Serviços Urbanos
Nome:        Guilherme Leandro Bernado
Cargo: Chefe de Setor
CPF: 335.305.768-40
Administração
Nome:        Eduardo da Silva Divino
Cargo: Agente Administrativo
CPF: 297.110.268-80
</t>
  </si>
  <si>
    <t>REGISTRO DE PREÇOS PARA CONTRATAÇÃO DE SERVIÇOS DE MANUTENÇÃO PREVENTIVA, CORRETIVA E PERIÓDICA NOS VEÍCULOS (MOTOCICLETAS, VEÍCULOS LEVES, VEÍCULOS PESADOS E MAQUINÁRIOS/ EQUIPAMENTOS PESADOS) QUE COMPÕEM A FROTA DESTE MUNICÍPIO, FORNECIMENTO OU REPOSIÇÃO DE PEÇAS E AFINS, INCLUINDO MECÂNICA EM GERAL, SERVIÇOS DE FUNILARIA, PINTURA, ELÉTRICA, HIDRÁULICA, SUSPENSÃO, CAPOTARIA, VIDRAÇARIA, BORRACHARIA, BALANCEAMENTO E ALINHAMENTO, AR CONDICIONADO, ACESSÓRIOS DE SOM E INSTALAÇÃO DE ACESSÓRIOS EM GERAL</t>
  </si>
  <si>
    <t>PE 05/25</t>
  </si>
  <si>
    <t>1638/2024</t>
  </si>
  <si>
    <t>1211/2025 - ADM
1810/2025 - CIDADANIA
1811/2025 - JURIDICO
1812/2025 - ESPORTE
1813/2025 - SAÚDE
1809/2025 - SEGURANÇA
1814/2025 - SSU
1815/2025 - EDUCAÇÃO
1816/2025 - MEIO AMBIENTE
1979/2025 - OBRAS</t>
  </si>
  <si>
    <t>2025000000156</t>
  </si>
  <si>
    <t xml:space="preserve">LOTE 01 – MOTOCICLETAS - ME/EPP R$ 16.477,50 - 50% de desconto
LOTE 02 – VEÍCULOS DE PASSEIO - ME/EPP R$  30.070,00 - 55% de desconto
LOTE 03 – VEÍCULOS UTILITÁRIOS - AMPLA CONCORRÊNCIA R$ 33.840,00 - 55% de desconto
LOTE 04 – VEÍCULOS PESADOS - AMPLA CONCORRÊNCIA R$ 36.597,50 - 59% de desconto
LOTE 05 – MAQUINÁRIOS E EQUIPAMENTOS PESADOS - AMPLA CONCORRÊNCIA R$ 135.646,00 - 56% de desconto
</t>
  </si>
  <si>
    <t>18/06/2025 A 18/06/2026</t>
  </si>
  <si>
    <t>30/25</t>
  </si>
  <si>
    <t>ASTRA MEDICAL SUPPLY PRODUTOS MEDICOS E HOSPITALARES LTDA
CNPJ sob o nº 44.127.150/0001-36</t>
  </si>
  <si>
    <t>Heloisa Pereira da Silva
CRF: 107757</t>
  </si>
  <si>
    <t>Sara de Melo Silva Fernandes
CPF: 448.006.058-81</t>
  </si>
  <si>
    <t>REGISTRO DE PREÇOS DE DIETAS, ALIMENTAÇÃO ENTERAL PARA ATENDIMENTO DAS DEMANDAS JUDICIAIS DO MUNICÍPIO DE RIO GRANDE DA SERRA</t>
  </si>
  <si>
    <t>PE 02/25</t>
  </si>
  <si>
    <t>1886/2024</t>
  </si>
  <si>
    <t>1259/2025</t>
  </si>
  <si>
    <t>2025000000159</t>
  </si>
  <si>
    <t>04/07/2025 A 04/07/2026</t>
  </si>
  <si>
    <t>FRAGNARI DISTRIBUIDORA DE MEDICAMENTOS LTDA
CNPJ sob o nº 14.271.474/0001-82</t>
  </si>
  <si>
    <t>1260/2025</t>
  </si>
  <si>
    <t>LOGGEN PRODUTOS PARA SAÚDE LTDA
CNPJ sob o nº 24.980.102/0001-89</t>
  </si>
  <si>
    <t>1258/2025</t>
  </si>
  <si>
    <t>33/25</t>
  </si>
  <si>
    <t>RIOMEDICA SAÚDE E NUTRIÇÃO COMÉRCIO DE SUPLEMENTOS LTDA
CNPJ sob o nº 35.578.077/0001-28</t>
  </si>
  <si>
    <t>1257/2025</t>
  </si>
  <si>
    <t>37/25</t>
  </si>
  <si>
    <t xml:space="preserve">TREVO PADARIA RESTAURANTE E PIZZARIA LTDA
CNPJ sob o nº 60.163.707/000-40
</t>
  </si>
  <si>
    <t xml:space="preserve">Fernanda Stachowski
CPF: 336.725.538-67
</t>
  </si>
  <si>
    <t xml:space="preserve">Cibely Aparecida Miranda dos Santos
CPF: 462.455.488-45
</t>
  </si>
  <si>
    <t>REGISTRO DE PREÇOS PARA EVENTUAL FORNECIMENTO DE REFEIÇÕES, SENDO DESJEJUM E JANTAR (MARMITEX), PARA ATENDIMENTO ÀS PESSOAS EM SITUAÇÃO DE RUA, REFERENCIADAS E ACOMPANHADAS PELA EQUIPE DO CREAS</t>
  </si>
  <si>
    <t>DP 13/25</t>
  </si>
  <si>
    <t>2117/2023</t>
  </si>
  <si>
    <t>1460/2025</t>
  </si>
  <si>
    <t>2025000000166</t>
  </si>
  <si>
    <t>23/07/2025 A 23/07/2026</t>
  </si>
  <si>
    <t>38/25</t>
  </si>
  <si>
    <t>COMERCIAL PROMOSTORE CONFECCOES LTDA
CNPJ sob o nº 32.624.131/0001-36</t>
  </si>
  <si>
    <t xml:space="preserve">Mônica Mara Rodrigues
CPF: 257.494.078-45 </t>
  </si>
  <si>
    <t>REGISTRO DE PREÇOS VISANDO ADQUIRIR MATERIAL DE APOIO PEDAGÓGICO PARA ATENDER AS DEMANDAS ESCOLARES E DOS ALUNOS DA REDE MUNICIPAL DE ENSINO NO MUNICÍPIO DE RIO GRANDE DA SERRA</t>
  </si>
  <si>
    <t>PE 01/24</t>
  </si>
  <si>
    <t>1907/2023</t>
  </si>
  <si>
    <t>1408/2025</t>
  </si>
  <si>
    <t>2025000000169</t>
  </si>
  <si>
    <t>01/08/2025 A 01/08/2026</t>
  </si>
  <si>
    <t>ESC COMERCIAL LTDA
CNPJ sob o nº 42.222.413/0001-60</t>
  </si>
  <si>
    <t>1409/2025</t>
  </si>
  <si>
    <t>S A FREITAS ARTIGOS DE ESCRITORIO LTDA
CNPJ sob o nº 48.547.677/0001-70</t>
  </si>
  <si>
    <t>1410/2025</t>
  </si>
  <si>
    <t>SEVEN COMERCIO E SERVIÇOS LTDA
CNPJ sob o nº 07.159.856/0001-53</t>
  </si>
  <si>
    <t>1411/2025</t>
  </si>
  <si>
    <t>28/07/2025 A 28/07/2026</t>
  </si>
  <si>
    <t>42/25</t>
  </si>
  <si>
    <t>ROSICLER CIRURGICA LTDA
CNPJ Nº: nº 57.365.116/0001-41</t>
  </si>
  <si>
    <t xml:space="preserve">Cibely Aparecida Miranda dos Santos
CPF: 462.455.488-45
</t>
  </si>
  <si>
    <t>Ilana Rodrigues Mariano
CPF: 318.605.163-00</t>
  </si>
  <si>
    <t>REGISTRO DE PREÇOS, VISANDO A EVENTUAL FÓRMULA LÁCTEA INFANTIL, PARA ATENDER AS DEMANDAS DO SAICA (SERVIÇO DE ACOLHIMENTO INSTITUCIONAL PARA CRIANÇAS E ADOLESCENTES).</t>
  </si>
  <si>
    <t>PE 20/25</t>
  </si>
  <si>
    <t>162/2025</t>
  </si>
  <si>
    <t>1545/2025</t>
  </si>
  <si>
    <t>2025000000171</t>
  </si>
  <si>
    <t>07/08/2025 A 07/08/2026</t>
  </si>
  <si>
    <t>43/25</t>
  </si>
  <si>
    <t>BERITH COMERCIO DE PRODUTOS ODONTOLOGICOS LTDA
CNPJ sob o nº 57.642.694/0001-88</t>
  </si>
  <si>
    <t>Gerlice Brasil da Silva
CPF: 270.446.548-78</t>
  </si>
  <si>
    <t>Silvana Moraes Branco Conceição
CPF: 140.431.098-30</t>
  </si>
  <si>
    <t>REGISTRO DE PREÇO DE MATERIAIS ODONTOLÓGICOS PARA ATENDER AS NECESSIDADES DAS UNIDADES QUE COMPÕEM A SECRETARIA DE SAÚDE DO MUNICÍPIO DE RIO GRANDE DA SERRA</t>
  </si>
  <si>
    <t>PE 13/25</t>
  </si>
  <si>
    <t>2003/2024</t>
  </si>
  <si>
    <t>1546/2025</t>
  </si>
  <si>
    <t>DENTAL CONCEITO COMERCIO DE PRODUTOS ODONTOLOGICOS MEDICOS E HOSPITALARES LTDA
CNPJ Nº: nº 29.084.363/0001-34</t>
  </si>
  <si>
    <t>1521/2025</t>
  </si>
  <si>
    <t>45/25</t>
  </si>
  <si>
    <t xml:space="preserve">DENTAL BH BRASIL COMERCIO DE PRODUTOS ODONTO-MEDICO-HOSPITALAR LTDA
CNPJ Nº: nº 31.401.798/0001-0
</t>
  </si>
  <si>
    <t>1522/2025</t>
  </si>
  <si>
    <t>BIO LOGICA DISTRIBUIDORA LTDA
CNPJ Nº: nº 06.175.908/0001-12</t>
  </si>
  <si>
    <t>1523/2025</t>
  </si>
  <si>
    <t>ONCO PROD DISTRIBUIDORA DE PRODUTOS HOSPITALRES E ONCOLOGICOS LTDA</t>
  </si>
  <si>
    <t>Sara de Melo Silva Fernandes  CPF: 448.006.058-81</t>
  </si>
  <si>
    <t>Heloisa Pereira da Silva CPF:434.113.338-12</t>
  </si>
  <si>
    <t>REGISTRO DE PREÇOS PARA AQUISIÇÃO DE MEDICAMENTOS FRACASSADOS E DESERTOS PARA ATENDER AS NECESSIDADES DA FARMÁCIA DE DEMANDA JUDICIAL DA SECRETARIA DE SAÚDE DA PREFEITURA MUNICIPAL DE RIO GRANDE DA SERRA</t>
  </si>
  <si>
    <t>PE 22/25</t>
  </si>
  <si>
    <t>932/2025</t>
  </si>
  <si>
    <t>1532/2025</t>
  </si>
  <si>
    <t>2025000000177</t>
  </si>
  <si>
    <t>08/08/2025 A 08/08/2026</t>
  </si>
  <si>
    <t>NOVA OESTE DISTRIBUIDORA DE MEDICAMENTOS LTDA
CNPJ - 34.772.843/0001-28</t>
  </si>
  <si>
    <t>1533/2025</t>
  </si>
  <si>
    <t>49/25</t>
  </si>
  <si>
    <t>FUTURA COMÉRCIO DE PRODUTOS MÉDICO E HOSPITALARES LTDA</t>
  </si>
  <si>
    <t>1534/2025</t>
  </si>
  <si>
    <t>14/08/2025 A 14/08/2026</t>
  </si>
  <si>
    <t>50/25</t>
  </si>
  <si>
    <t>AQ PHARMA LABORATÓRIO DE MANIPULAÇÃO LTDA</t>
  </si>
  <si>
    <t>1535/2025</t>
  </si>
  <si>
    <t>51/25</t>
  </si>
  <si>
    <t>PONTOMEDI DISTRIBUIDORA DE MEDICAMENTOS LTDA</t>
  </si>
  <si>
    <t>1536/2025</t>
  </si>
  <si>
    <t>52/25</t>
  </si>
  <si>
    <t>MMJ INDÚSTRIA E COMÉRCIO DE SUPRIMENTOS DE INFORMÁTICA E SERVIÇOS LTDA
CNPJ sob o nº 35.137.952/0001-36</t>
  </si>
  <si>
    <t xml:space="preserve">Elias Rodrigues do Prado
CPF: 227.197.288-45
</t>
  </si>
  <si>
    <t xml:space="preserve">Fabio Eduardo Garcia
CPF: 466.459.588-38
</t>
  </si>
  <si>
    <t>REGISTRO DE PREÇOS PARA FUTURA E EVENTUAL AQUISIÇÃO DE SUPRIMENTOS PARA IMPRESSORAS: CARTUCHOS DE TINTAS, TONNERS, FOTOCONDUTORES E UNIDADES DE IMAGEM, COM ENTREGA FRACIONADA, PARA ATENDER AS NECESSIDADES DAS SECRETARIAS MUNICIPAIS DA PREFEITURA MUNICIPAL DE RIO GRANDE DA SERRA</t>
  </si>
  <si>
    <t>PE 11/25</t>
  </si>
  <si>
    <t>397/2025</t>
  </si>
  <si>
    <t>1703/2025</t>
  </si>
  <si>
    <t>2025000000179</t>
  </si>
  <si>
    <t>19/08/2025 A 19/08/2026</t>
  </si>
  <si>
    <t>53/25</t>
  </si>
  <si>
    <t>FORT PRINT EQUIPAMENTOS E SUPRIMENTOS DE INFORMÁTICA LTDA ME
CNPJ sob o nº 22.579.314/0001-23</t>
  </si>
  <si>
    <t>1651/2025</t>
  </si>
  <si>
    <t>54/25</t>
  </si>
  <si>
    <t>V. C. DA ROCHA DISTRIBUIDORA
CNPJ sob o nº 05.808.979/0001-42</t>
  </si>
  <si>
    <t>1650/2025</t>
  </si>
  <si>
    <t>28/08/2025 A 28/08/2026</t>
  </si>
  <si>
    <t>55/25</t>
  </si>
  <si>
    <t xml:space="preserve">ALMEIDA FARMACEUTICA LTDA CNPJ sob o nº 40.455.009/0001-01 </t>
  </si>
  <si>
    <t>Heloisa Pereira da Silva CPF: 434.113.338-12</t>
  </si>
  <si>
    <t>Demóstenes Dias de Mendonça CPF: 460.198.395-91</t>
  </si>
  <si>
    <t>REGISTRO DE PREÇOS PARA AQUISIÇÃO DE MEDICAMENTOS FRACASSADOS/DESERTOS EM PREGÕES ANTERIORES PARA ATENDER AS NECESSIDADES DAS UNIDADES QUE COMPÕEM A SECRETARIA DE SAÚDE DA PREFEITURA MUNICIPAL DE RIO GRANDE DA SERRA</t>
  </si>
  <si>
    <t>PE 12/25</t>
  </si>
  <si>
    <t>307/2025</t>
  </si>
  <si>
    <t>1691/2025</t>
  </si>
  <si>
    <t>2025000000184</t>
  </si>
  <si>
    <t>22/08/2025 A 22/08/2026</t>
  </si>
  <si>
    <t>ATMOSFERA GASES ESPECIAIS E EPIS 
CNPJ - 13.134.213/0001-58</t>
  </si>
  <si>
    <t>GERLICE BRASIL DA SILVA</t>
  </si>
  <si>
    <t>REGISTRO DE PREÇO PARA TROCA E FORNECIMENTO CONTÍNUO ININTERRUPTO DE OXIGÊNIO GASOSO, COM SISTEMA DE COMODATO EM CILINDROS, PARA SUPRIR AS NECESSIDADES DA SECRETARIA DE SAÚDE, COM A ENTREGA SOB DEMANDA, PELO PERÍODO  DE 24 (VINTE E QUATRO MESES).</t>
  </si>
  <si>
    <t>PE - 20/24</t>
  </si>
  <si>
    <t>1639/2024</t>
  </si>
  <si>
    <t>2024000000228</t>
  </si>
  <si>
    <t>26/08/2024 A 26/08/2025</t>
  </si>
  <si>
    <t>TELMA MORAES PIRES</t>
  </si>
  <si>
    <t>26/08/2025 a 26/08/2026</t>
  </si>
  <si>
    <t>56/25</t>
  </si>
  <si>
    <t>APOTEK DISTRIBUIDORA DE MEDICAMENTOS E MATERIAIS HOSPITALARES LTDA CNPJ sob o nº 36.099.392/0001-35</t>
  </si>
  <si>
    <t>1692/2025</t>
  </si>
  <si>
    <t>27/08/2025 A 27/08/2026</t>
  </si>
  <si>
    <t>57/25</t>
  </si>
  <si>
    <t>AZULFARMA DISTRIBUIDORA DE MEDICAMENTOS LTDA CNPJ sob o nº 03.634.617/0001-57</t>
  </si>
  <si>
    <t>1828/2025</t>
  </si>
  <si>
    <t>16/09/2025 A 16/09/2026</t>
  </si>
  <si>
    <t>58/25</t>
  </si>
  <si>
    <t>CIRÚRGICA OLÍMPIO LTDA CNPJ sob o nº 01.140.868/0001-50</t>
  </si>
  <si>
    <t>1693/2025</t>
  </si>
  <si>
    <t>04/09/2025 A 04/09/2026</t>
  </si>
  <si>
    <t>59/25</t>
  </si>
  <si>
    <t>CIRÚRGICA ASSIS DISTRIBUIDORA DE PRODUTOS PARA SAÚDE LTDA CNPJ sob o nº 39.610.184/0001-47</t>
  </si>
  <si>
    <t>1694/2025</t>
  </si>
  <si>
    <t>09/09/2025 A 09/09/2026</t>
  </si>
  <si>
    <t>60/25</t>
  </si>
  <si>
    <t>CIRÚRGICA NOSSA SENHORA LTDA CNPJ sob o nº 24.586.988/0001-80</t>
  </si>
  <si>
    <t>1695/2025</t>
  </si>
  <si>
    <t>61/25</t>
  </si>
  <si>
    <t>COMERCIAL CIRÚRGICA RIOCLARENSE LTDA CNPJ sob o nº 67.729.178/0004-91</t>
  </si>
  <si>
    <t>1696/2025</t>
  </si>
  <si>
    <t>62/25</t>
  </si>
  <si>
    <t>DIMEBRAS COMERCIAL HOSPITALAR LTDA 56.081.482/0001-06</t>
  </si>
  <si>
    <t>1697/2025</t>
  </si>
  <si>
    <t>63/25</t>
  </si>
  <si>
    <t>DISTRIBUIDORA DE MEDICAMENTOS BACKES LTDA CNPJ sob o nº 25.279.552/0001-01</t>
  </si>
  <si>
    <t>1699/2025</t>
  </si>
  <si>
    <t>64/25</t>
  </si>
  <si>
    <t>DROGAFONTE LTDA CNPJ sob o nº  08.778.201/0001-26</t>
  </si>
  <si>
    <t>1700/2025</t>
  </si>
  <si>
    <t>65/25</t>
  </si>
  <si>
    <t>FERRARI MED. DISTRIBUIDORA DE MEDICAMENTOS LTDA CNPJ sob o nº 28.004.857/0001-07</t>
  </si>
  <si>
    <t>1701/2025</t>
  </si>
  <si>
    <t>66/25</t>
  </si>
  <si>
    <t>GRAMS &amp; GRAMS LTDA</t>
  </si>
  <si>
    <t>REGISTRO DE PREÇOS PARA AQUISIÇÃO DE MEDICAMENTOS FRACASSADOS/DESERTOS EM PREGÕES ANTERIORES PARA ATENDER AS NECESSIDADES DAS UNIDADES QUE COMPÕEM A SECRETARIA DE SAÚDE DA PREFEITURA MUNICIPAL DE RIO GRANDE DA SERRA,</t>
  </si>
  <si>
    <t>1702/2025</t>
  </si>
  <si>
    <t>05/09/2025 A 05/09/2026</t>
  </si>
  <si>
    <t>67/25</t>
  </si>
  <si>
    <t>INDALABOR INDAIÁ LABORATÓRIO FARMACÊUTICO LTDA CNPJ sob o nº 04.654.861/0001-44</t>
  </si>
  <si>
    <t>1704/2025</t>
  </si>
  <si>
    <t>68/25</t>
  </si>
  <si>
    <t>INOVAMED HOSPITALAR LTDA</t>
  </si>
  <si>
    <t>1698/2025</t>
  </si>
  <si>
    <t>69/25</t>
  </si>
  <si>
    <t>LA DOS SANTOS DISTRIBUIDORA DE MEDICAMENTOS 07.654.936.0001/85</t>
  </si>
  <si>
    <t>70/25</t>
  </si>
  <si>
    <t>MEDILAR IMPORTAÇÃO E DISTRIBUIÇÃO DE PRODUTOS MÉDICO HOSPITALARES S/A CNPJ sob o nº 07.752.236/0001-23</t>
  </si>
  <si>
    <t>1705/2025</t>
  </si>
  <si>
    <t>71/25</t>
  </si>
  <si>
    <t>OCTO FARMACO LTDA CNPJ sob o nº 29.404.097/0001-80</t>
  </si>
  <si>
    <t>1706/2025</t>
  </si>
  <si>
    <t>72/25</t>
  </si>
  <si>
    <t>PONTAMED FARMACÊUTICA LTDA CNPJ sob o nº 02.816.696/0001-54</t>
  </si>
  <si>
    <t>1707/2025</t>
  </si>
  <si>
    <t>73/25</t>
  </si>
  <si>
    <t>XISMED DISTRIBUIDORA LTDA 27.908.285/0001-10</t>
  </si>
  <si>
    <t>1709/2025</t>
  </si>
  <si>
    <t>74/25</t>
  </si>
  <si>
    <t>CROMO COMERCIO E DISTRIBUICAO DE MATERIAIS ODONTO-MEDICO HOSPITALARES LTDA
CNPJ sob o nº 30.584.194/0001-80</t>
  </si>
  <si>
    <t>Silvana Moraes Branco Conceição
CPF: 140.431.098-30</t>
  </si>
  <si>
    <t>REGISTRO DE PREÇOS PARA FUTURA E EVENTUAL AQUISIÇÃO DE TIRAS REAGENTES E LANCETAS PARA AFERIÇÃO DE GLICOSE, DESTINADAS AO REABASTECIMENTO DAS UNIDADES DE SAÚDE DO MUNICÍPIO DE RIO GRANDE DA SERRA</t>
  </si>
  <si>
    <t>PE 19/25</t>
  </si>
  <si>
    <t>332/2025</t>
  </si>
  <si>
    <t>1686/2025</t>
  </si>
  <si>
    <t>2025000000186</t>
  </si>
  <si>
    <t>20/08/2025 A 20/08/2026</t>
  </si>
  <si>
    <t>75/25</t>
  </si>
  <si>
    <t>VYTTRA DIAGNÓSTICOS S.A
CNPJ sob o nº 00.904.728/0015-43</t>
  </si>
  <si>
    <t>1687/2025</t>
  </si>
  <si>
    <t>ADITIVO - TROCA DE CNPJ</t>
  </si>
  <si>
    <t>76/25</t>
  </si>
  <si>
    <t>ALPHA COMERCIAL HOSPITLAR LTDA CNPJ sob o nº 41.073.251/0001-83</t>
  </si>
  <si>
    <t>REGISTRO DE PREÇOS DE MATERIAIS MÉDICOS PARA ATENDIMENTO DE DEMANDA JUDICIAL DO MUNICÍPIO DE RIO GRANDE DA SERRA</t>
  </si>
  <si>
    <t>PE 08/25</t>
  </si>
  <si>
    <t>1888/2024</t>
  </si>
  <si>
    <t>1710/2025</t>
  </si>
  <si>
    <t>2025000000185</t>
  </si>
  <si>
    <t>17/09/2025 A 17/09/2026</t>
  </si>
  <si>
    <t>78/25</t>
  </si>
  <si>
    <t>NEO MEDICAL COMERCIAL HOSPITALAR LTDA CNPJ sob o nº 20.956.481/0001-10</t>
  </si>
  <si>
    <t>1712/2025</t>
  </si>
  <si>
    <t>29/08/2025 A 29/08/2026</t>
  </si>
  <si>
    <t>79/25</t>
  </si>
  <si>
    <t>SPECIAL MED COMERCIAL HOSPITALAR LTDA CNPJ sob o nº 47.292.400/0001-81</t>
  </si>
  <si>
    <t>1713/2025</t>
  </si>
  <si>
    <t>80/25</t>
  </si>
  <si>
    <t>SAMTRONIC INDÚSTRIA E COMÉRCIO LTDA CNPJ sob o nº 58.426.628/0001 33</t>
  </si>
  <si>
    <t>REGISTRO DE PREÇOS PARA AQUISIÇÃO DE EQUIPOS DE BOMBA DE INFUSÃO E BOMBAS DE INFUSÃO EM REGIME DE COMODATO PARA A UTILIZAÇÃO NA UNIDADE DE PRONTO ATENDIMENTO (UPA) DO MUNICÍPIO DE RIO GRANDE DA SERRA</t>
  </si>
  <si>
    <t>PE 23/25</t>
  </si>
  <si>
    <t>826/2025</t>
  </si>
  <si>
    <t>1754/2025</t>
  </si>
  <si>
    <t>2025000000188</t>
  </si>
  <si>
    <t>09/09/25 a 09/09/2026</t>
  </si>
  <si>
    <t>81/25</t>
  </si>
  <si>
    <t>WAF COMÉRCIO E SERVIÇOS LTDA CNPJ sob o nº 15.065.776/0001-67</t>
  </si>
  <si>
    <t>Eduardo da Silva Divino CPF: 297.110.268-80</t>
  </si>
  <si>
    <t xml:space="preserve">Kauê Rafael Lima di Santi Pires CPF: 411.882.018-83	</t>
  </si>
  <si>
    <t>REGISTRO DE PREÇOS PARA FUTURA E EVENTUAL AQUISIÇÃO DE MATERIAIS ELÉTRICOS, DIVIDIDOS EM LOTES, INCLUINDO CABOS E FIOS ELÉTRICOS, DISJUNTORES, TOMADAS E INTERRUPTORES, LÂMPADAS E LUMINÁRIAS, E MATERIAIS DIVERSOS, PARA ATENDER ÀS NECESSIDADES DA PREFEITURA MUNICIPAL DE RIO GRANDE DA SERRA, PELO PERÍODO DE 12 (DOZE) MESES, COM ENTREGA FRACIONADA</t>
  </si>
  <si>
    <t>PE 16/25</t>
  </si>
  <si>
    <t>1017/2025</t>
  </si>
  <si>
    <t>1846/2025</t>
  </si>
  <si>
    <t xml:space="preserve">2025000000190	</t>
  </si>
  <si>
    <t>22/09/2025 A 22/09/2026</t>
  </si>
  <si>
    <t>82/25</t>
  </si>
  <si>
    <t>FERREIRA &amp; KOHLER ILUMINAÇÃO LTDA  CNPJ sob o nº 53.111.090/0001-54</t>
  </si>
  <si>
    <t>1847/2025</t>
  </si>
  <si>
    <t>18/09/2025 A 18/09/2026</t>
  </si>
  <si>
    <t>83/25</t>
  </si>
  <si>
    <t xml:space="preserve">
E.S. ADMINISTRADORA LTDA
CNPJ sob o nº 51.099.516/0001-76</t>
  </si>
  <si>
    <t>REGISTRO DE PREÇO PARA EVENTUAL AQUISIÇÃO DE ALIMENTOS PERECÍVEIS PARA ATENDER AS NECESSIDADES DOS USUÁRIOS DO CRAS (CENTRO DE REFERÊNCIA DE ASSISTÊNCIA SOCIAL), CREAS (CENTRO DE REFERÊNCIA ESPECIALIZADO DE ASSISTÊNCIA SOCIAL), E CONSELHO TUTELAR</t>
  </si>
  <si>
    <t>PE 24/25</t>
  </si>
  <si>
    <t>849/2025</t>
  </si>
  <si>
    <t>1972/2025</t>
  </si>
  <si>
    <t>2025000000191</t>
  </si>
  <si>
    <t>01/10/2025 A 01/10/2026</t>
  </si>
  <si>
    <t>84/25</t>
  </si>
  <si>
    <t>GAMBA CONEXOES COMERCIO ATACADISTA DE ALIMENTOS LTDA
CNPJ sob o nº 40.738.368/0001-76</t>
  </si>
  <si>
    <t>1970/2025</t>
  </si>
  <si>
    <t>85/25</t>
  </si>
  <si>
    <t>1971/2025</t>
  </si>
  <si>
    <t>86/25</t>
  </si>
  <si>
    <t>MR ALIMENTOS SAUDAVEIS LTDA
CNPJ/MF sob o nº. 22.077.561/0001-21</t>
  </si>
  <si>
    <t>1969/2025</t>
  </si>
  <si>
    <t>87/25</t>
  </si>
  <si>
    <t>E. S. ADMINISTRADORA LTDA CNPJ sob o nº 51.099.516/0001-76</t>
  </si>
  <si>
    <t>REGISTRO DE PREÇOS PARA FUTURA E EVENTUAL AQUISIÇÃO DE PÓ DE CAFÉ, AÇÚCAR REFINADO, FILTRO DE PAPEL (COADOR), ADOÇANTE SUCRALOSE E PALHETA MEXEDOR DE CAFÉ, PARA ATENDER AS NECESSIDADES DA PREFEITURA MUNICIPAL DE RIO GRANDE DA SERRA, PELO PERÍODO DE 12 (DOZE) MESES COM ENTREGA FRACIONADA</t>
  </si>
  <si>
    <t>PE 17/25</t>
  </si>
  <si>
    <t>403/2025</t>
  </si>
  <si>
    <t>1906/2025</t>
  </si>
  <si>
    <t>2025000000193</t>
  </si>
  <si>
    <t>29/09/2025 A 29/09/2026</t>
  </si>
  <si>
    <t>88/25</t>
  </si>
  <si>
    <t xml:space="preserve">NOBRE DISTRIBUIDORA LTDA </t>
  </si>
  <si>
    <t>1907/2025</t>
  </si>
  <si>
    <t>89/25</t>
  </si>
  <si>
    <t>NUTRICIONALE COMÉRCIO DE ALIMENTOS LTDA CNPJ sob o nº 08.528.442/0001-17</t>
  </si>
  <si>
    <t>1908/2025</t>
  </si>
  <si>
    <t>90/25</t>
  </si>
  <si>
    <t>1909/2025</t>
  </si>
  <si>
    <t>23/09/2025 A 23/09/2026</t>
  </si>
  <si>
    <t>CIRURGICA OLIMPIO LTDA
CNPJ - 01.140.868/0001-50</t>
  </si>
  <si>
    <t>Heloisa Pereira da Silva</t>
  </si>
  <si>
    <t>Sara de Melo Silva Fernandes</t>
  </si>
  <si>
    <t>REGISTRO DE PREÇO PARA FORNECIMENTO DE MEDICAMENTOS INJETÁVEIS, VISANDO O ABASTECIMENTO DAS UNIDADES BÁSICAS DE SAÚDE E UPA DO MUNICÍPIO DE RIO GRANDE DA SERRA</t>
  </si>
  <si>
    <t xml:space="preserve">PE - 21/24 </t>
  </si>
  <si>
    <t>1028/2024</t>
  </si>
  <si>
    <t>1859/2024</t>
  </si>
  <si>
    <t>2024000000255</t>
  </si>
  <si>
    <t>07/10/2024
10/10/2025</t>
  </si>
  <si>
    <t>10/10/2024
03/11/2025</t>
  </si>
  <si>
    <t>10/10/2024 A 10/10/2025
10/10/2025 A 10/10/2026</t>
  </si>
  <si>
    <t>51/24</t>
  </si>
  <si>
    <t>1865/2024</t>
  </si>
  <si>
    <t>08/10/2024
10/10/2025</t>
  </si>
  <si>
    <t>10/10/2024
29/10/2025</t>
  </si>
  <si>
    <t>52/24</t>
  </si>
  <si>
    <t>PONTAMED FARMACÊUTICA LTDA
CNPJ - 02.816.696/0001-54</t>
  </si>
  <si>
    <t>1847/2024</t>
  </si>
  <si>
    <t>84/24</t>
  </si>
  <si>
    <t>NUTRICIONALE COMÉRCIO DE ALIMENTOS LTDA
CNPJ - 08.528.442/0001-17</t>
  </si>
  <si>
    <t xml:space="preserve">Fernanda Stachowshi Martins </t>
  </si>
  <si>
    <t xml:space="preserve">REGISTRO DE PREÇOS PARA EVENTUAL AQUISIÇÃO DE KITS DE ALIMENTAÇÃO (CESTAS BÁSICAS) PARA ATENDER A DEMANDA DO CRAS </t>
  </si>
  <si>
    <t>PE 27/2024</t>
  </si>
  <si>
    <t>1038/2024</t>
  </si>
  <si>
    <t>2109/2024</t>
  </si>
  <si>
    <t>2024000000266</t>
  </si>
  <si>
    <t>11/10/2025 A 11/10/2026</t>
  </si>
  <si>
    <t>COMERCIAL CIRURGICA RIOCLARENSE LTDA
CNPJ - 67.729.178/0004-91</t>
  </si>
  <si>
    <t>1851/2024</t>
  </si>
  <si>
    <t>09/10/2024
11/10/2025</t>
  </si>
  <si>
    <t>11/10/2024
29/10/2025</t>
  </si>
  <si>
    <t>11/10/2024 A 11/10/2025
11/10/2025 A 11/10/2026</t>
  </si>
  <si>
    <t>DISTRIBUIDORA DE MEDICAMENTOS BACKES LTDA
CNPJ - 25.279.552/0001-01</t>
  </si>
  <si>
    <t>1855/2024</t>
  </si>
  <si>
    <t>BRASIL FARMAON MEDICAMENTOS FARMACÊUTICOS LTDA
CNPJ - 40.254.918/0001-81</t>
  </si>
  <si>
    <t>1857/2024</t>
  </si>
  <si>
    <t>14/10/2024
11/10/2025</t>
  </si>
  <si>
    <t>11/10/2024 A 11/10/2025
11/10/2025 A 11/10/2026</t>
  </si>
  <si>
    <t>DIMEBRAS COMERCIAL HOSPITALAR LTDA
CNPJ - 56.081.482/0001-06</t>
  </si>
  <si>
    <t>1848/2024</t>
  </si>
  <si>
    <t>11/10/2024
03/11/2025</t>
  </si>
  <si>
    <t>INOVAMED HOSPITALAR LTDA
CNPJ - 12.889.035/0001-02</t>
  </si>
  <si>
    <t>1862/2024</t>
  </si>
  <si>
    <t xml:space="preserve">DROGAFONTE LTDA
CNPJ - 08.778.201/0001-26
</t>
  </si>
  <si>
    <t>Demóstenes Dias de Mendonça</t>
  </si>
  <si>
    <t>1858/2024</t>
  </si>
  <si>
    <t>207361,26
168.496,62</t>
  </si>
  <si>
    <t>14/10/2024
18/10/2025</t>
  </si>
  <si>
    <t>18/10/2024 A 18/10/2025
18/10/2025 A 18/10/2026</t>
  </si>
  <si>
    <t>COMERCIAL RIFARMA DE MEDICAMENTOS LTDA CNPJ - 39.906.592/0001-40</t>
  </si>
  <si>
    <t>1850/2024</t>
  </si>
  <si>
    <t xml:space="preserve">	2024000000255</t>
  </si>
  <si>
    <t>18/10/2025 A 18/10/2026</t>
  </si>
  <si>
    <t>CENTERMED COMÉRCIO DE PRODUTOS HOSPITALARES LTDA
CNPJ - 03.652.030/0001-70</t>
  </si>
  <si>
    <t>REGISTRO DE PREÇO PARA FORNECIMENTO DE MEDICAMENTOS NA FORMA FARMACÊUTICA DE COMPRIMIDOS VISANDO O ABASTECIMENTO DAS UNIDADES BÁSICAS DE SAÚDE E UPA DO MUNICÍPIO DE RIO GRANDE DA SERRA</t>
  </si>
  <si>
    <t>PE 23/24</t>
  </si>
  <si>
    <t>1030/2024</t>
  </si>
  <si>
    <t>1926/2024</t>
  </si>
  <si>
    <t>2024000000259</t>
  </si>
  <si>
    <t>08/10/2025 A 08/10/2026</t>
  </si>
  <si>
    <t>1927/2024</t>
  </si>
  <si>
    <t>CIRÚRGICA ASSIS DISTRIBUIDORA DE PRODUTOS PARA SAÚDE LTDA
CNPJ - 39.610.184/0001-47</t>
  </si>
  <si>
    <t>1928/2024</t>
  </si>
  <si>
    <t>10/10/2025 A 10/10/2026</t>
  </si>
  <si>
    <t>DIMASTER COMERCIO DE PRODUTOS HOSPITALARES LTDA
CNPJ - 02.520.829/0004-93</t>
  </si>
  <si>
    <t>1930/2024</t>
  </si>
  <si>
    <t>61/24</t>
  </si>
  <si>
    <t>1933/2024</t>
  </si>
  <si>
    <t>63/24</t>
  </si>
  <si>
    <t>JT MEDICAMENTOS LTDA
CNPJ - 51.892.897/0001-46</t>
  </si>
  <si>
    <t>1935/2024</t>
  </si>
  <si>
    <t>65/24</t>
  </si>
  <si>
    <t>MCW PRODUTOS MEDICOS E HOSPITALARES LTDA
CNPJ - 94.389.400/0001-84</t>
  </si>
  <si>
    <t>1939/2024</t>
  </si>
  <si>
    <t>66/24</t>
  </si>
  <si>
    <t>NATCOFARMA DO BRASIL LTDA
CNPJ - 08.157.293/0001-27</t>
  </si>
  <si>
    <t>1940/2024</t>
  </si>
  <si>
    <t>14/10/2025 A 14/10/2026</t>
  </si>
  <si>
    <t>68/24</t>
  </si>
  <si>
    <t>PROMEFARMA REPRESENTACOES COMERCIAIS LTDA
CNPJ - 14.595.725/0001-84</t>
  </si>
  <si>
    <t>1942/2024</t>
  </si>
  <si>
    <t>72/24</t>
  </si>
  <si>
    <t>DIMEVA DISTRIBUIDORA E IMPORTADORA LTDA
CNPJ - 76.386.283/0001-13</t>
  </si>
  <si>
    <t>Heloisa Pereira da Silva
CPF: 434.113.338 12</t>
  </si>
  <si>
    <t>Sara de Melo Silva Fernandes CPF: 448.006.058 81</t>
  </si>
  <si>
    <t>REGISTRO DE PREÇO PARA FORNECIMENTO DE MEDICAMENTOS PSICOTRÓPICOS DE CONTROLE ESPECIAL LISTADOS NA PORTARIA SVS/MS N° 344/98 POR MEIO DE ATA DE REGISTRO DE PREÇO, VISANDO O ABASTECIMENTO DO CAPS 1 (CENTRO DE ATENÇÃO PSICOSSOCIAL)</t>
  </si>
  <si>
    <t>1029/2025</t>
  </si>
  <si>
    <t>2068/2024</t>
  </si>
  <si>
    <t>2024000000268</t>
  </si>
  <si>
    <t>23/10/2024
29/10/2025</t>
  </si>
  <si>
    <t>29/10/2024
03/11/2025</t>
  </si>
  <si>
    <t xml:space="preserve">29/10/2024 A 29/10/2025
29/10/2025 A 29/10/2026
</t>
  </si>
  <si>
    <t>73/24</t>
  </si>
  <si>
    <t>1029/2026</t>
  </si>
  <si>
    <t>2069/2024</t>
  </si>
  <si>
    <t>2024000000269</t>
  </si>
  <si>
    <t>29/10/2024
10/11/2025</t>
  </si>
  <si>
    <t>29/10/2024 A 29/10/2025
29/10/2025 A 29/10/2026</t>
  </si>
  <si>
    <t>83/24</t>
  </si>
  <si>
    <t>PÉROLA IMPORTADORA E DISTRIBUIDORA HOSPITALAR LTDA
CNPJ - 30.888.187/0001-72</t>
  </si>
  <si>
    <t>1029/2036</t>
  </si>
  <si>
    <t>2079/2024</t>
  </si>
  <si>
    <t>2024000000279</t>
  </si>
  <si>
    <t>29/10/2024
29/10/2025</t>
  </si>
  <si>
    <t>82/24</t>
  </si>
  <si>
    <t>CONQUISTA DISTRIBUIDORA DE MEDICAMENTOS E PRODUTOS HOSPITALARES LTDA
CNPJ - 12.418.191/0001-95</t>
  </si>
  <si>
    <t>José Laércio de Lima</t>
  </si>
  <si>
    <t>1029/2035</t>
  </si>
  <si>
    <t>2078/2024</t>
  </si>
  <si>
    <t>2024000000278</t>
  </si>
  <si>
    <t>29/10/2024
28/11/2025</t>
  </si>
  <si>
    <t>78/24</t>
  </si>
  <si>
    <t>1029/2031</t>
  </si>
  <si>
    <t>2074/2024</t>
  </si>
  <si>
    <t>2024000000274</t>
  </si>
  <si>
    <t>24/10/2024
30/10/2025</t>
  </si>
  <si>
    <t>30/10/2024
10/11/2025</t>
  </si>
  <si>
    <t>30/10/2024 A 30/10/2025
30/10/2025 A 30/10/2026</t>
  </si>
  <si>
    <t>81/24</t>
  </si>
  <si>
    <t>Demóstenes Dias de Mendonça
CPF 460.198.395-91</t>
  </si>
  <si>
    <t>1029/2034</t>
  </si>
  <si>
    <t>2077/2024</t>
  </si>
  <si>
    <t>2024000000277</t>
  </si>
  <si>
    <t>85/24</t>
  </si>
  <si>
    <t xml:space="preserve">FORTALEZA REAL COMERCIAL DE MATERIAIS E MANUTENÇÃO EM GERAL LTDA - ME
CNPJ/MF sob o nº. 20.661.647/0001-71
</t>
  </si>
  <si>
    <t>REGISTRO DE PREÇOS PARA AQUISIÇÃO DE PROTETORES SOLARES COM REPELENTE, PARA UTILIZAÇÃO PELO DEPARTAMENTO DE VIGILÂNCIA E ATENÇÃO PRIMÁRIA</t>
  </si>
  <si>
    <t>PE 32/2024</t>
  </si>
  <si>
    <t>277/2024</t>
  </si>
  <si>
    <t>2080/2024</t>
  </si>
  <si>
    <t>87/24</t>
  </si>
  <si>
    <t>TOP NORTE COMÉRCIO DE MATERIAIS MÉDICOS HOSPITALARES LTDA</t>
  </si>
  <si>
    <t>REGISTRO DE PREÇO PARA FORNECIMENTO DE MEDICAMENTOS PARA ATENDER AS UNIDADES BÁSICAS DE SAÚDE E UPA – UNIDADE DE PRONTO ATENDIMENTO E MEDICAMENTOS PSICOTRÓPICOS, COMPRIMIDOS E INJETÁVEIS DESTINADOS A SECRETARIA DE SAÚDE DE RIO GRANDE DA SERRA</t>
  </si>
  <si>
    <t>PE 18/2024</t>
  </si>
  <si>
    <t>734/2024</t>
  </si>
  <si>
    <t>2136/2024</t>
  </si>
  <si>
    <t>11/11/2025 A 11/11/2026</t>
  </si>
  <si>
    <t>88/24</t>
  </si>
  <si>
    <t>CONQUISTA DISTRIBUIDORA DE MEDICAMENTOS E PRODUTOS HOSPITALARES LTDA</t>
  </si>
  <si>
    <t>2137/2024</t>
  </si>
  <si>
    <t>91/24</t>
  </si>
  <si>
    <t xml:space="preserve">DROGAFONTE LTDA </t>
  </si>
  <si>
    <t>SAUDE</t>
  </si>
  <si>
    <t>2140/2024</t>
  </si>
  <si>
    <t>18/11/2025 A 18/11/2026</t>
  </si>
  <si>
    <t>95/24</t>
  </si>
  <si>
    <t>DIMASTER COMÉRCIO DE PRODUTOS HOSPITALARES LTDA</t>
  </si>
  <si>
    <t>2145/2024</t>
  </si>
  <si>
    <t>96/24</t>
  </si>
  <si>
    <t>SIRIO PHARMA LTDA</t>
  </si>
  <si>
    <t>2146/2024</t>
  </si>
  <si>
    <t>97/24</t>
  </si>
  <si>
    <t>JT MEDICAMENTOS LTDA</t>
  </si>
  <si>
    <t>2148/2024</t>
  </si>
  <si>
    <t>98/24</t>
  </si>
  <si>
    <t>2149/2024</t>
  </si>
  <si>
    <t>99/24</t>
  </si>
  <si>
    <t>PEDRINA MUSTAFA ME
CNPJ sob o nº 20.976.427/0001-37</t>
  </si>
  <si>
    <t xml:space="preserve">Fernanda Stachowski Martins </t>
  </si>
  <si>
    <t>REGISTRO DE PREÇO PARA EVENTUAL AQUISIÇÃO DE UNIDADES DE CARTEIRA DE IDENTIFICAÇÃO PARA TRANSPORTE DOS IDOSOS E CARTEIRA DE IDENTIFICAÇÃO DO AUTISTA – CIPTEA</t>
  </si>
  <si>
    <t>PE 35/24</t>
  </si>
  <si>
    <t>750/2024</t>
  </si>
  <si>
    <t>2163/2024</t>
  </si>
  <si>
    <t>11/11/2025 a 11/11/2026</t>
  </si>
  <si>
    <t>95/25</t>
  </si>
  <si>
    <t>WAF COMERCIO E SERVIÇOS LTDA CNPJ sob o nº 15.065.776/0001-67</t>
  </si>
  <si>
    <t>Kauê Rafael Lima di Santi Pires CPF: 411.882.018 83</t>
  </si>
  <si>
    <t>Eduardo da Silva Divino CPF: 297.110.268 80</t>
  </si>
  <si>
    <t>REGISTRO DE PREÇOS PARA FUTURA E EVENTUAL AQUISIÇÃO DE MATERIAIS DE HIDRÁULICOS, PARA ATENDER ÀS NECESSIDADES DA PREFEITURA MUNICIPAL DE RIO GRANDE DA SERRA</t>
  </si>
  <si>
    <t>PE 18/25</t>
  </si>
  <si>
    <t>1060/2025</t>
  </si>
  <si>
    <t>2321/2025</t>
  </si>
  <si>
    <t>2025000000207</t>
  </si>
  <si>
    <t>104/24</t>
  </si>
  <si>
    <t>FLEX NEGÓCIOS E SERVIÇOS LTDA
CNPJ sob o nº 21.559.378/0001-08</t>
  </si>
  <si>
    <t>REGISTRO DE PREÇOS PARA A REALIZAÇÃO DE SERVIÇOS DE IMPRESSÃO DE MATERIAIS GRÁFICOS PARA USO NAS DIVERSAS SECRETARIAS DO MUNICÍPIO DE RIO GRANDE DA SERRA</t>
  </si>
  <si>
    <t>PE 37/24</t>
  </si>
  <si>
    <t>1153/2024</t>
  </si>
  <si>
    <t>2279/2024</t>
  </si>
  <si>
    <t>2024000000290</t>
  </si>
  <si>
    <t>03/12/2025 a 03/12/2026</t>
  </si>
  <si>
    <t>96/25</t>
  </si>
  <si>
    <t>COMERCIAL VANGUARDEIRA LTDA CNPJ sob o nº 10.942.831/0001 36</t>
  </si>
  <si>
    <t>2322/2025</t>
  </si>
  <si>
    <t>08/12/2025 A 8/12/2026</t>
  </si>
  <si>
    <t>97/25</t>
  </si>
  <si>
    <t>POUSO FARMA HOSPITALAR LTDA
CNPJ sob o nº 18.519.219/0001-67</t>
  </si>
  <si>
    <t>REGISTRO DE PREÇO PARA CONTRATAÇÃO DE EMPRESA PARA O FORNECIMENTO DE INSUMOS PARA O TRANSPORTE DE MEDICAMENTOS TERMOLÁBEIS E VACINAS</t>
  </si>
  <si>
    <t xml:space="preserve">PE - 37/25 </t>
  </si>
  <si>
    <t>1584/2025</t>
  </si>
  <si>
    <t>2468/2025</t>
  </si>
  <si>
    <t>2025000000217</t>
  </si>
  <si>
    <t>12/12/2025 A 12/12/2026</t>
  </si>
  <si>
    <t>98/25</t>
  </si>
  <si>
    <t>FORTALEZA REAL COMERCIO DE MATERIAIS E MANUTENÇÃO EM GERAL LTDA
CNPJ sob o nº 20.661.647/0001-71</t>
  </si>
  <si>
    <t>REGISTRO DE PREÇO PARA FORNECIMENTO DE KIT DE MATERNIDADE PARA AS MULHERES EM SITUAÇÃO DE VULNERABILIDADE, INSCRITAS NO CRAS, NO SISTEMA DE SAÚDE PARA AS GESTANTES E OU OUTROS PROJETOS SOCIAIS DO MUNICÍPIO DE RIO GRANDE DA SERRA</t>
  </si>
  <si>
    <t xml:space="preserve">PE - 33/25 </t>
  </si>
  <si>
    <t>1510/2025</t>
  </si>
  <si>
    <t>13/2026</t>
  </si>
  <si>
    <t>2025000000220</t>
  </si>
  <si>
    <t>06/01/2026 A 06/01/2027</t>
  </si>
  <si>
    <t>13/26</t>
  </si>
  <si>
    <t xml:space="preserve">BELLAMED PRODUTOS HOSPITALARES LTDA
CNPJ sob o nº 31.498.120/0001-94
</t>
  </si>
  <si>
    <t>REGISTRO DE PREÇOS PARA AQUISIÇÃO DE MATERIAIS E INSUMOS MEDICO-HOSPITALARES PARA ATENDER AS NECESSIDADES DA SECRETARIA DE SAÚDE DA PREFEITURA MUNICIPAL DE RIO GRANDE DA SERRA</t>
  </si>
  <si>
    <t>PE 27/25</t>
  </si>
  <si>
    <t>478/2025</t>
  </si>
  <si>
    <t>42/2026</t>
  </si>
  <si>
    <t>2025000000221</t>
  </si>
  <si>
    <t>12/01/2026 a 12/01/2027</t>
  </si>
  <si>
    <t>14/26</t>
  </si>
  <si>
    <t>PLANETA DOS DESCARTÁVEIS LTDA
CNPJ sob o nº 45.645.750/0001-59</t>
  </si>
  <si>
    <t>REGISTRO DE PREÇO PARA FUTURA E EVENTUAL AQUISIÇÃO DE MATERIAL DE LIMPEZA, COM ENTREGA PARCELADA, DESTINADO ÀS SECRETARIAS MUNICIPAIS DA PREFEITURA DE RIO GRANDE DA SERRA</t>
  </si>
  <si>
    <t>PE 30/25</t>
  </si>
  <si>
    <t>664/2025</t>
  </si>
  <si>
    <t>170/2026</t>
  </si>
  <si>
    <t>2026000000002</t>
  </si>
  <si>
    <t>30/01/2026 a 30/01/2027</t>
  </si>
  <si>
    <t>TRIUNFO ILUMINAÇÃO LTDA</t>
  </si>
  <si>
    <t>REGISTO DE PREÇOS PARA AQUISIÇÃO DE LÂMPADAS DE LED PARA USO NAS DIVERSAS SECRETARIAS DO MUNICÍPIO DE RIO GRANDE DA SERRA</t>
  </si>
  <si>
    <t>PE 39/24</t>
  </si>
  <si>
    <t>1236/2024</t>
  </si>
  <si>
    <t>298/2025</t>
  </si>
  <si>
    <t>2024000000302</t>
  </si>
  <si>
    <t>21/02/2026 a 21/02/2027</t>
  </si>
  <si>
    <t>CIRURGICA UNIÃO LTDA
CNPJ sob o nº 04.063.331/0001-21</t>
  </si>
  <si>
    <t>300/2026</t>
  </si>
  <si>
    <t>25/02/2026 a 25/02/2027</t>
  </si>
  <si>
    <t>02/26</t>
  </si>
  <si>
    <t>CIRURGICA OLIMPIO - EIRELI
CNPJ sob o nº 01.140.868/0001-50</t>
  </si>
  <si>
    <t>301/2026</t>
  </si>
  <si>
    <t>03/26</t>
  </si>
  <si>
    <t>QUALITY MEDICAL COMERCIO E DIST. DE MEDICAMENTOS LTDA
CNPJ sob o nº 07.118.264/0001-93</t>
  </si>
  <si>
    <t>321/2026</t>
  </si>
  <si>
    <t>CIRÚRGICA NOSSA SENHORA – LTDA
CNPJ sob o nº 24.586.988/0001-80</t>
  </si>
  <si>
    <t>302/2026</t>
  </si>
  <si>
    <t>05/26</t>
  </si>
  <si>
    <t xml:space="preserve">PEGASUS SOLUÇÕES CORPORATIVAS LTDA
CNPJ sob o nº  51.537.672/0001-71
</t>
  </si>
  <si>
    <t>303/2026</t>
  </si>
  <si>
    <t>06/26</t>
  </si>
  <si>
    <t xml:space="preserve">L A DALLA PORTA JUNIOR LTDA
CNPJ sob o nº  11.145.401/0001-56
</t>
  </si>
  <si>
    <t>304/2026</t>
  </si>
  <si>
    <t xml:space="preserve">INJEX INDUSTRIAS CIRURGICAS LTDA
CNPJ sob o nº  59.309.302/0001-99
</t>
  </si>
  <si>
    <t>305/2026</t>
  </si>
  <si>
    <t>08/26</t>
  </si>
  <si>
    <t xml:space="preserve">CWBCARE PRODUTOS MÉDICO HOSPITALARES LTDA
CNPJ sob o nº  37.778.759/0001-00
</t>
  </si>
  <si>
    <t>306/2026</t>
  </si>
  <si>
    <t xml:space="preserve">DOCTORMED COMERCIAL EIRELI
CNPJ sob o nº  30.322.475/0001-65
</t>
  </si>
  <si>
    <t>307/2026</t>
  </si>
  <si>
    <t>10/26</t>
  </si>
  <si>
    <t xml:space="preserve">PONTUAL COMERCIAL LTDA
CNPJ sob o nº  01.854.654/0001-45
</t>
  </si>
  <si>
    <t>308/2026</t>
  </si>
  <si>
    <t>11/26</t>
  </si>
  <si>
    <t xml:space="preserve">SISPACK MEDICAL LTDA
CNPJ sob o nº  54.565.478/0001-98
</t>
  </si>
  <si>
    <t>309/2026</t>
  </si>
  <si>
    <t>12/26</t>
  </si>
  <si>
    <t>BIOFAC INDUSTRIA COMERCIO REPRESENTAÇÃO LTDA
CNPJ sob o nº  14.112.327/0001-60</t>
  </si>
  <si>
    <t>310/2026</t>
  </si>
  <si>
    <t>BELLAMED PRODUTOS HOSPITALARES LTDA
CNPJ sob o nº 31.498.120/0001-94</t>
  </si>
  <si>
    <t xml:space="preserve">CONSÓRCIO CONSERVA RGS 
CNPJ sob o nº 65.527.275/0001-23
</t>
  </si>
  <si>
    <t xml:space="preserve">OBRAS </t>
  </si>
  <si>
    <t>Karine Roque Nascimento
CPF:
389.766.778-97</t>
  </si>
  <si>
    <t>Samuel Pereira Matos Silva
CPF:
382.138.398-46</t>
  </si>
  <si>
    <t>REGISTRO DE PREÇOS PARA FUTURA E EVENTUAL CONTRATAÇÃO DE EMPRESA PARA EXECUÇÃO DE SERVIÇOS DE MANUTENÇÃO E CONSERVAÇÃO (TAPA BURACO) DO SISTEMA VIÁRIO, EM DIVERSAS VIAS DO MUNICÍPIO</t>
  </si>
  <si>
    <t>PE 32/2025</t>
  </si>
  <si>
    <t>1611/2025</t>
  </si>
  <si>
    <t>684/2026</t>
  </si>
  <si>
    <t>2026000000118</t>
  </si>
  <si>
    <t>R$ 11.196.614,15</t>
  </si>
  <si>
    <t>14/04/2026 a 13/04/2027</t>
  </si>
  <si>
    <t>VIGÊNCIA A
 PARTIR 
PUBLICAÇÃO</t>
  </si>
  <si>
    <t>SEGURO GARANTIA
R. S FERNANDES SERVIÇOS 
E
 CONSTRUÇÃO LTDA</t>
  </si>
  <si>
    <t>IMPACTA MED DISTRIBUIDORA DE MEDICAMENTOS E MATERIAIS HOSPITALARES LTDA
CNPJ sob o nº 46.242.310/0001-13</t>
  </si>
  <si>
    <t>REGISTRO DE PREÇOS PARA AQUISIÇÃO DE FRALDAS INFANTIS E ADULTO/GERIÁTRICAS PARA ATENDER AS DEMANDAS DO MUNICÍPIO DE RIO GRANDE DA SERRA</t>
  </si>
  <si>
    <t>PE 29/25</t>
  </si>
  <si>
    <t>1598/2025</t>
  </si>
  <si>
    <t>429/2026</t>
  </si>
  <si>
    <t>2026000000122</t>
  </si>
  <si>
    <t>03/03/2026 a 02/03/2027</t>
  </si>
  <si>
    <t>VIGÊNCIA A PARTIR ASSINATURA</t>
  </si>
  <si>
    <t>17/26</t>
  </si>
  <si>
    <t>M.N.P. CUSTÓDIO COMÉRCIO DE PRODUTOS HOSPITALARES EIRELI
CNPJ sob o nº 03.402.979/0001-12</t>
  </si>
  <si>
    <t>440/2026</t>
  </si>
  <si>
    <t>02/03/2026 a 01/03/2027</t>
  </si>
  <si>
    <t>18/26</t>
  </si>
  <si>
    <t>CADASTRO DE  ATA DE ADESÃO UNIFORME</t>
  </si>
  <si>
    <t>AMA COMÉRCIO E SERVIÇOS DE INSTALAÇÕES DE GÁS LTDA
CNPJ sob o nº 74.261.652/0001-16</t>
  </si>
  <si>
    <t xml:space="preserve">Fernanda Stachowski </t>
  </si>
  <si>
    <t xml:space="preserve">Rodrigo do Carmo Santos </t>
  </si>
  <si>
    <t>REGISTRO DE PREÇOS PARA FUTURA E EVENTUAL AQUISIÇÃO DE GÁS LIQUEFEITO DE PETRÓLEO – GLP (GÁS DE COZINHA), ACONDICIONADO EM BOTIJÕES DE 13 KG E/OU 45 KG, DESTINADOS A ATENDER AS NECESSIDADES DAS UNIDADES ADMINISTRATIVAS DO ÓRGÃO</t>
  </si>
  <si>
    <t>DE 03/26</t>
  </si>
  <si>
    <t>2348/2025</t>
  </si>
  <si>
    <t>584/2026</t>
  </si>
  <si>
    <t>VALOR ABAIXO</t>
  </si>
  <si>
    <t>31/03/2026 a 31/03/2027</t>
  </si>
  <si>
    <t>VIGÊNCIA A PARTIR PUBLICAÇÃO</t>
  </si>
  <si>
    <t>VZO ENGENHARIA LTDA</t>
  </si>
  <si>
    <t xml:space="preserve">Samuel Pereira Matos Silva </t>
  </si>
  <si>
    <t>CONTRATAÇÃO DE EMPRESA PARA PRESTAÇÃO DE SERVIÇOS DE MANUTENÇÃO PREVENTIVA E CORRETIVA NOS PRÓPRIOS MUNICIPAIS</t>
  </si>
  <si>
    <t>CP 25/25</t>
  </si>
  <si>
    <t>619/2025</t>
  </si>
  <si>
    <t>652/2025</t>
  </si>
  <si>
    <t>2024000000245</t>
  </si>
  <si>
    <t>09/04/2026 A 08/04/2027</t>
  </si>
  <si>
    <t>77/25</t>
  </si>
  <si>
    <t>NEO HOSPITALAR LTDA CNPJ sob o nº 27.313.181/001-62</t>
  </si>
  <si>
    <t>1711/2025</t>
  </si>
  <si>
    <t>22/08/2025
23/04/2025</t>
  </si>
  <si>
    <t>29/8/2025
30/04/2026</t>
  </si>
  <si>
    <t>29/08/2025 A 29/08/2026
23/04/2026 a 23/04/2027</t>
  </si>
  <si>
    <t xml:space="preserve">
ADITIVO COM VIGÊNCIA ANTECIPADA, JUSTIFICATIVA FOL. 598 PROCESSO ADM</t>
  </si>
  <si>
    <t>21/26</t>
  </si>
  <si>
    <t xml:space="preserve">X ROQUE LEO MEZZINA MATERIAIS DE CONSTRUÇÃO LTDA
CNPJ sob o nº 34.295.874/0001-35
</t>
  </si>
  <si>
    <t>Michele Aparecida de Sousa Carneiro
CPF: 457.917.218-38</t>
  </si>
  <si>
    <t>REGISTRO DE PREÇOS PARA FORNECIMENTO DE AREIA, BRITA, RACHÃO E DEMAIS MATERIAIS DE CONSTRUÇÃO</t>
  </si>
  <si>
    <t>PE 05/26</t>
  </si>
  <si>
    <t>2290/2025</t>
  </si>
  <si>
    <t>727/2026</t>
  </si>
  <si>
    <t>2026000000136</t>
  </si>
  <si>
    <t>29/04/2026 a 29/04/2027</t>
  </si>
  <si>
    <t>22/26</t>
  </si>
  <si>
    <t>MAVI COMERCIAL &amp; SERVIÇOS LTDA EPP
CNPJ sob o nº 14.356.238/0001-69</t>
  </si>
  <si>
    <t>REGISTRO DE PREÇOS PARA FUTURA E EVENTUAL AQUISIÇÃO E FORNECIMENTO DE ARTEFATOS DE CONCRETO</t>
  </si>
  <si>
    <t>PE 04/26</t>
  </si>
  <si>
    <t>815/2025</t>
  </si>
  <si>
    <t>728/2026</t>
  </si>
  <si>
    <t>2026000000138</t>
  </si>
  <si>
    <t>28/04/2026 a 28/04/2027</t>
  </si>
  <si>
    <t>23/26</t>
  </si>
  <si>
    <t>R.A COMÉRCIO, PRESTAÇÃO DE SERVIÇOS E LICITAÇÕES LTDA
CNPJ sob o nº 41.485.893/0001-90</t>
  </si>
  <si>
    <t>729/2026</t>
  </si>
  <si>
    <t>12/05/2026 a 11/05/2027</t>
  </si>
  <si>
    <t>24/26</t>
  </si>
  <si>
    <t>PARANÁ LICITACÕES E COMÉRCIO LTDA
CNPJ sob o nº 53.494.246/0001-23</t>
  </si>
  <si>
    <t>Felipe Lucchini de Carvalho
CPF: 298.692.658-47</t>
  </si>
  <si>
    <t>Kauê Rafael Lima di Santi Pires
CPF: 411.882.018-83</t>
  </si>
  <si>
    <t>REGISTRO DE PREÇOS PARA FORNECIMENTO DE MATERIAL DE ESCRITÓRIO/ EXPEDIENTE PARA SUPRIR AS NECESSIDADES EVENTUAIS DAS SECRETARIAS PERTENCENTES À PREFEITURA MUNICIPAL DE RIO GRANDE DA SERRA</t>
  </si>
  <si>
    <t>PE 08/26</t>
  </si>
  <si>
    <t>2388/2025</t>
  </si>
  <si>
    <t>798/2026</t>
  </si>
  <si>
    <t>2026000000141</t>
  </si>
  <si>
    <t>08/05/2026 a 07/05/2027</t>
  </si>
  <si>
    <t>25/26</t>
  </si>
  <si>
    <t>LOTUS DISTRIBUIDORA LTDA
CNPJ sob o nº 07.909.848/0001-87</t>
  </si>
  <si>
    <t>799/2026</t>
  </si>
  <si>
    <t>07/05/2026 a 06/05/2027</t>
  </si>
  <si>
    <t xml:space="preserve">RAM COMERCIO DE RAÇÃO
CNPJ sob o nº 46.018.023/0001-24
</t>
  </si>
  <si>
    <t>Paulo Sérgio Venerando da Silva Ferreira
CPF: 122.163.258-50</t>
  </si>
  <si>
    <t>Maria Aparecida Pina
CPF: 370.858.058-38</t>
  </si>
  <si>
    <t>REGISTRO DE PREÇOS PARA EVENTUAIS E FUTURAS AQUISIÇÕES DE ALIMENTAÇÃO PARA CÃES E GATOS PARA ATENDER AS NECESSIDADES DO CENTRO DE ZOONOSES, CLÍNICA VETERINÁRIA BEM-ESTAR ANIMAL E O CANIL DA GUARDA MUNICIPAL DE RIO GRANDE DA SERRA</t>
  </si>
  <si>
    <t>PE 07/25</t>
  </si>
  <si>
    <t>2257/2024</t>
  </si>
  <si>
    <t>1089/2025</t>
  </si>
  <si>
    <t>2025000000158</t>
  </si>
  <si>
    <t>03/03/2026 a 02/06/2027</t>
  </si>
  <si>
    <t>ATAS ENCERRADAS</t>
  </si>
  <si>
    <t>PC</t>
  </si>
  <si>
    <t>Audesp</t>
  </si>
  <si>
    <t xml:space="preserve">VILA BARCELONA COMERCIO DE SUPRIMENTOS E EQUIPAMENTOS EIRELI
CNPJ sob o nº 22.719.411/0001-74
</t>
  </si>
  <si>
    <t>Lucas Pereira Marques</t>
  </si>
  <si>
    <t>REGISTRO DE PREÇO PARA FORNECIMENTO DE MATERIAL DE LIMPEZA PARA SUPRIR AS NECESSIDADES EVENTUAIS DAS SECRETARIAS PERTENCENTES À PREFEITURA MUNICIPAL DE RIO GRANDE DA SERRA</t>
  </si>
  <si>
    <t>PE 17/24</t>
  </si>
  <si>
    <t>961/2023</t>
  </si>
  <si>
    <t>757/2025</t>
  </si>
  <si>
    <t>2024000000304</t>
  </si>
  <si>
    <t>24/04/2025 a 24/04/2026</t>
  </si>
  <si>
    <t xml:space="preserve">
INTERLAB FARMACÊUTICA LTDA</t>
  </si>
  <si>
    <t>Heloísa Pereira da Silva</t>
  </si>
  <si>
    <t>REGISTRO DE PREÇOS DE MEDICAMENTOS PARA ATENDIMENTO DAS DEMANDAS JUDICIAIS DO MUNICÍPIO DE RIO GRANDE DA SERRA</t>
  </si>
  <si>
    <t>PE 21/25</t>
  </si>
  <si>
    <t>1887/2024</t>
  </si>
  <si>
    <t>624/2025</t>
  </si>
  <si>
    <t>2025000000133</t>
  </si>
  <si>
    <t>R$ 3682,80</t>
  </si>
  <si>
    <t>16/04/2025 a 16/04/2026</t>
  </si>
  <si>
    <t>PHOENIX DISTRIBUIDORA E IMPORTADORA DE PRODUTOS FARMACÊUTICOS E CORRELATOS LTDA</t>
  </si>
  <si>
    <t>625/2025</t>
  </si>
  <si>
    <t>10/04/2025 A 10/04/2026</t>
  </si>
  <si>
    <t>626/2025</t>
  </si>
  <si>
    <t>SULMEDIC COMÉRCIO DE MEDICAMENTOS LTDA</t>
  </si>
  <si>
    <t>627/2025</t>
  </si>
  <si>
    <t>50/24</t>
  </si>
  <si>
    <t>1863/2024</t>
  </si>
  <si>
    <t>18/10/2024 A 18/10/2025</t>
  </si>
  <si>
    <t>08/25</t>
  </si>
  <si>
    <t xml:space="preserve">YNEMED PRODUTOS MEDICOS E HOSPITALARES LTDA
CNPJ sob o nº 51.740.794/0001-60
</t>
  </si>
  <si>
    <t>335/2025</t>
  </si>
  <si>
    <t>06/03/2025 a 06/03/2026</t>
  </si>
  <si>
    <t xml:space="preserve">NILSON DOS SANTOS UTILIDADES DO LAR EIRELLI
CNPJ sob o nº 27.857.822/0001-40
</t>
  </si>
  <si>
    <t>333/2025</t>
  </si>
  <si>
    <t xml:space="preserve">CITRUS INDUSTRIA E COMERCIO DE PRODUTOS DE LIMPEZA LTDA
CNPJ sob o nº 53.279.738/0001-04
</t>
  </si>
  <si>
    <t>415/2025</t>
  </si>
  <si>
    <t>27/02/2025 a 27/02/2026</t>
  </si>
  <si>
    <t>20/25</t>
  </si>
  <si>
    <t>GCM COMERCIAL LTDA</t>
  </si>
  <si>
    <t>300/2025</t>
  </si>
  <si>
    <t>21/02/2025 a 21/02/2026</t>
  </si>
  <si>
    <t>19/25</t>
  </si>
  <si>
    <t>WAF COMÉRCIO E SERVIÇOS LTDA</t>
  </si>
  <si>
    <t>299/2025</t>
  </si>
  <si>
    <t>13/02/2025 a 13/02/2026</t>
  </si>
  <si>
    <t>MORK TELECON PRODUTOS E SERVIÇOS TELECOMUNICAÇÕES LTDA</t>
  </si>
  <si>
    <t>297/2025</t>
  </si>
  <si>
    <t>12/02/2025 a 13/02/2026</t>
  </si>
  <si>
    <t>IVANETE APARECIDA MIRANDA</t>
  </si>
  <si>
    <t>296/2025</t>
  </si>
  <si>
    <t>BA LUZ INDÚSTRIA E COMÉRCIO DE MATERIAIS ELÉTRICOS LTDA</t>
  </si>
  <si>
    <t>295/2025</t>
  </si>
  <si>
    <t>202400000302</t>
  </si>
  <si>
    <t xml:space="preserve">SINSAI COMERCIO DE DESCARTAVEIS EIRELI EPP
CNPJ sob o nº 25.195.487/0001-36
</t>
  </si>
  <si>
    <t>327/2025</t>
  </si>
  <si>
    <t>18/02/2025 a 18/02/2026</t>
  </si>
  <si>
    <t>11/25</t>
  </si>
  <si>
    <t xml:space="preserve">BRILLARE COMERCIO DE PRODUTOS DE HIGIENE E LIMPEZA LTDA
CNPJ sob o nº 25.195.487/0001-36
</t>
  </si>
  <si>
    <t>326/2025</t>
  </si>
  <si>
    <t>10/25</t>
  </si>
  <si>
    <t xml:space="preserve">VF TECH STORE LTDA
CNPJ sob o nº 47.669.521/0001-08
</t>
  </si>
  <si>
    <t>334/2025</t>
  </si>
  <si>
    <t>09/25</t>
  </si>
  <si>
    <t xml:space="preserve">NUTRI FERT INDUSTRIA QUIMICA LTDA
CNPJ sob o nº 06.079.804/0001-04
</t>
  </si>
  <si>
    <t>325/2025</t>
  </si>
  <si>
    <t>07/25</t>
  </si>
  <si>
    <t xml:space="preserve">DMR LICITAÇÕES LTDA
CNPJ sob o nº 53.469.422/0001-77
</t>
  </si>
  <si>
    <t>349/2025</t>
  </si>
  <si>
    <t xml:space="preserve">MUSTANG PLURON QUÍMICA LTDA
CNPJ sob o nº 47.078.704/0001-40
</t>
  </si>
  <si>
    <t>329/2025</t>
  </si>
  <si>
    <t>03/25</t>
  </si>
  <si>
    <t xml:space="preserve">COMERCIAL LUX CLEAN LTDA
CNPJ sob o nº 03.576.719/0001-63
</t>
  </si>
  <si>
    <t>371/2025</t>
  </si>
  <si>
    <t>24/02/2025 a 24/02/2026</t>
  </si>
  <si>
    <t>NICOLE MOREIRA AZEVEDO - ME
CNPJ sob o nº 46.293.794/0001-20</t>
  </si>
  <si>
    <t>324/2025</t>
  </si>
  <si>
    <t>17/02/2025 a 17/02/2026</t>
  </si>
  <si>
    <t xml:space="preserve">TOP MED COMERCIO E REPRESENTAÇÃO SOCIEDADE UNIPESSOAL LTDA
CNPJ sob o nº 09.074.260/0001-86
</t>
  </si>
  <si>
    <t>REGISTRO DE PREÇO PARA FORNECIMENTO DE DIETA ENTERAL LÍQUIDA, VISANDO O ABASTECIMENTO DAS UNIDADES BÁSICAS E UPA DO MUNICÍPIO DE RIO GRANDE DA SERRA</t>
  </si>
  <si>
    <t>PE 36/24</t>
  </si>
  <si>
    <t>548/2024</t>
  </si>
  <si>
    <t>41/2025</t>
  </si>
  <si>
    <t>2025000000001</t>
  </si>
  <si>
    <t>15/01/2025 a 15/01/2026</t>
  </si>
  <si>
    <t>109/24</t>
  </si>
  <si>
    <t>WINES REIS COMERCIAL LTDA
CNPJ sob o nº 47.282.627/0001-46</t>
  </si>
  <si>
    <t>REGISTRO DE PREÇOS PARA FUTURA AQUISIÇÃO DE PNEUS NO MUNICIPIO DE RIO GRANDE DA SERRA</t>
  </si>
  <si>
    <t>PE 38/24</t>
  </si>
  <si>
    <t>363/2024</t>
  </si>
  <si>
    <t xml:space="preserve">2360/2024 </t>
  </si>
  <si>
    <t>2024000000298</t>
  </si>
  <si>
    <t>17/12/2025 a 17/12/2026</t>
  </si>
  <si>
    <t>108/24</t>
  </si>
  <si>
    <t>MAGBA E-COMMERCE LTDA
CNPJ sob o nº 55.695.599/0001-17</t>
  </si>
  <si>
    <t>2359/2024</t>
  </si>
  <si>
    <t>17/12/2024 a 17/12/2025</t>
  </si>
  <si>
    <t>107/24</t>
  </si>
  <si>
    <t xml:space="preserve">BENICIO PNEUS LTDA
CNPJ sob o nº 39.535.062/0001-33
</t>
  </si>
  <si>
    <t>2358/2024</t>
  </si>
  <si>
    <t>20/12/2024 a 20/12/2025</t>
  </si>
  <si>
    <t>106/24</t>
  </si>
  <si>
    <t xml:space="preserve">ESPAÇO 2 TECNOLOGIA E INFORMÁTICA LTDA - EPP
CNPJ sob o nº 09.066.243/0001-05
</t>
  </si>
  <si>
    <t>REGISTRO DE PREÇO PARA FUTURA E EVENTUAL AQUISIÇÃO DE BEBEDOUROS E SUPORTE PARA GALÃO DE ÁGUA DE 20L PARA ATENDER AS DEMANDAS DAS SECRETARIAS MUNICIPAIS DA PREFEITURA MUNICIPAL DE RIO GRANDE DA SERRA</t>
  </si>
  <si>
    <t>PE 40/24</t>
  </si>
  <si>
    <t>1589/2024</t>
  </si>
  <si>
    <t>2281/2024</t>
  </si>
  <si>
    <t>2024000000280</t>
  </si>
  <si>
    <t>03/12/2024 a 03/12/2025</t>
  </si>
  <si>
    <t>105/24</t>
  </si>
  <si>
    <t xml:space="preserve">FERRINI COMERCIO E CONSULTORIA LTDA ME
CNPJ sob o nº 13.642.211/0001-70
</t>
  </si>
  <si>
    <t>2280/2024</t>
  </si>
  <si>
    <t>06/12/2024 a 06/12/2025</t>
  </si>
  <si>
    <t>103/24</t>
  </si>
  <si>
    <t>TM ESTOFADOS LTDA
CNPJ sob o nº 51.322.274/0001-38</t>
  </si>
  <si>
    <t>REGISTRO DE PREÇO PARA FUTURA E EVENTUAL AQUISIÇÃO DE CADEIRAS E MESAS DE ESCRITÓRIO PARA ATENDER AS DEMANDAS DAS SECRETARIAS MUNICIPAIS DA PREFEITURA DE RIO GRANDE DA SERRA</t>
  </si>
  <si>
    <t>PE 34/24</t>
  </si>
  <si>
    <t>1539/2024</t>
  </si>
  <si>
    <t>2247/2024</t>
  </si>
  <si>
    <t>2024000000283</t>
  </si>
  <si>
    <t>25/11/2024 a 25/11/2025</t>
  </si>
  <si>
    <t>102/24</t>
  </si>
  <si>
    <t>SJS COMERCIAL E PINTURA LTDA
CNPJ sob o nº 23.514.452/0001-97</t>
  </si>
  <si>
    <t>2250/2024</t>
  </si>
  <si>
    <t>26/11/2024 a 26/11/2025</t>
  </si>
  <si>
    <t>101/24</t>
  </si>
  <si>
    <t>PREPAVE COMERCIO DE MOVEIS E EQUIPAMENTOS LTDA
CNPJ sob o nº 47.695.345/0001-70</t>
  </si>
  <si>
    <t>2251/2024</t>
  </si>
  <si>
    <t>100/24</t>
  </si>
  <si>
    <t>AMETTAL INDÚSTRIA E COMÉRCIO DE MÓVEIS LTDA
37.059.533/0001-59</t>
  </si>
  <si>
    <t>2252/2024</t>
  </si>
  <si>
    <t>94/24</t>
  </si>
  <si>
    <t>DISTRIBUIDORA DE MEDICAMENTOS BACKES LTDA</t>
  </si>
  <si>
    <t>2144/2024</t>
  </si>
  <si>
    <t>11/11/2024 A 11/11/2025</t>
  </si>
  <si>
    <t>93/24</t>
  </si>
  <si>
    <t>AZULPHARMA DISTRIBUIDORA DE MEDICAMENTOS LTDA</t>
  </si>
  <si>
    <t>2142/2024</t>
  </si>
  <si>
    <t>92/24</t>
  </si>
  <si>
    <t>CLASSMED PRODUTOS HOSPITALARES LTDA</t>
  </si>
  <si>
    <t>2141/2024</t>
  </si>
  <si>
    <t>18/11/2024 A 18/11/2025</t>
  </si>
  <si>
    <t>90/24</t>
  </si>
  <si>
    <t>COMERCIAL CIRURGICA RIOCLARENSE LTDA</t>
  </si>
  <si>
    <t>2139/2024</t>
  </si>
  <si>
    <t>89/24</t>
  </si>
  <si>
    <t>OCIAN COMERCIAL FARMACÊUTICA UNIPESSOAL LTDA</t>
  </si>
  <si>
    <t>2138/2024</t>
  </si>
  <si>
    <t>27/11/2024 A 27/11/2025</t>
  </si>
  <si>
    <t>86/24</t>
  </si>
  <si>
    <t>FRAGNARI DISTRIBUIDORA DE MEDICAMENTOS LTDA</t>
  </si>
  <si>
    <t>2135/2024</t>
  </si>
  <si>
    <t>29/10/2024 A 29/10/2025</t>
  </si>
  <si>
    <t>80/24</t>
  </si>
  <si>
    <t>QUALITY MEDICAL COMÉRCIO E DISTRIBUIDORA DE MEDICAMENTOS LTDA
CNPJ - 07.118.264/0001-63</t>
  </si>
  <si>
    <t>PE 22/33</t>
  </si>
  <si>
    <t>1029/2033</t>
  </si>
  <si>
    <t>2076/2024</t>
  </si>
  <si>
    <t>2024000000276</t>
  </si>
  <si>
    <t>79/24</t>
  </si>
  <si>
    <t>MEDFUTURA DISTRIBUIDORA DE MEDICAMENTOS E PRODUTOS DE SAÚDE LTDA
CNPJ - 17.700.763/0001-48</t>
  </si>
  <si>
    <t>1029/2032</t>
  </si>
  <si>
    <t>2075/2024</t>
  </si>
  <si>
    <t>2024000000275</t>
  </si>
  <si>
    <t>77/24</t>
  </si>
  <si>
    <t>ACÁCIA COMERCIO DE MEDICAMENTOS EIRELI
CNPJ - 03.945.035/0001-91</t>
  </si>
  <si>
    <t>1029/2030</t>
  </si>
  <si>
    <t>2073/2024</t>
  </si>
  <si>
    <t>2024000000273</t>
  </si>
  <si>
    <t>76/24</t>
  </si>
  <si>
    <t>MCW PRODUTOS MÉDICOS E HOSPITALARES LTDA
CNPJ - 94.389.400/0001-84</t>
  </si>
  <si>
    <t>1029/2029</t>
  </si>
  <si>
    <t>2072/2024</t>
  </si>
  <si>
    <t>2024000000272</t>
  </si>
  <si>
    <t>30/10/2024 A 30/10/2025</t>
  </si>
  <si>
    <t>75/24</t>
  </si>
  <si>
    <t>CIAMED DISTRIBUIDORA DE MEDICAMENTOS LTDA
CNPJ - 05.782.733/0002-20</t>
  </si>
  <si>
    <t>1029/2028</t>
  </si>
  <si>
    <t>2071/2024</t>
  </si>
  <si>
    <t>2024000000271</t>
  </si>
  <si>
    <t xml:space="preserve">INOVAMED HOSPITALAR LTDA
CNPJ - 12.889.035/0001-02
</t>
  </si>
  <si>
    <t>1029/2027</t>
  </si>
  <si>
    <t>2070/2024</t>
  </si>
  <si>
    <t>2024000000270</t>
  </si>
  <si>
    <t>05/11/2024 A 05/11/2025</t>
  </si>
  <si>
    <t>71/24</t>
  </si>
  <si>
    <t>CLASSMED PRODUTOS HOSPITALARES LTDA
CNPJ - 01.328.535/0001-59</t>
  </si>
  <si>
    <t>PE 22/24</t>
  </si>
  <si>
    <t>1029/2024</t>
  </si>
  <si>
    <t>2067/2024</t>
  </si>
  <si>
    <t>2024000000267</t>
  </si>
  <si>
    <t>70/24</t>
  </si>
  <si>
    <t>VALE COMERCIAL EIRELI
CNPJ - 71.336.101/0001-86</t>
  </si>
  <si>
    <t>1921/2024</t>
  </si>
  <si>
    <t>17/10/2024 A 17/10/2025</t>
  </si>
  <si>
    <t>69/24</t>
  </si>
  <si>
    <t>TERRA SUL COMÉRCIO DE MEDICAMENTOS LTDA
CNPJ - 32.364.822/0001-48</t>
  </si>
  <si>
    <t>1943/2024</t>
  </si>
  <si>
    <t>08/10/2024 A 08/10/2025</t>
  </si>
  <si>
    <t>67/24</t>
  </si>
  <si>
    <t>NOVASUL COMERCIO DE PRODUTOS HOSPITALARES LTDA
CNPJ - 14.595.725/0001-84</t>
  </si>
  <si>
    <t>1941/2024</t>
  </si>
  <si>
    <t>64/24</t>
  </si>
  <si>
    <t xml:space="preserve">L.A DOS SANTOS DISTRIBUIDORA DE MEDICAMENTOS EPP
CNPJ - </t>
  </si>
  <si>
    <t>1938/2024</t>
  </si>
  <si>
    <t>10/10/2024 A 10/10/2025</t>
  </si>
  <si>
    <t>62/24</t>
  </si>
  <si>
    <t>INTERLAB FARMACEUTICA LTDA
CNPJ - 43.295.831/0001-40</t>
  </si>
  <si>
    <t>1934/2024</t>
  </si>
  <si>
    <t>FRAGNARI DISTRIBUIDORA DE MEDICAMENTOS LTDA
CNPJ - 14.271.474/0001-82</t>
  </si>
  <si>
    <t>1932/2024</t>
  </si>
  <si>
    <t>DROGAFONTE LTDA
CNPJ - 08.778.201/0001-26</t>
  </si>
  <si>
    <t>1931/2024</t>
  </si>
  <si>
    <t>1929/2024</t>
  </si>
  <si>
    <t>1922/2024</t>
  </si>
  <si>
    <t>1849/2024</t>
  </si>
  <si>
    <t>11/10/2024 A 11/10/2025</t>
  </si>
  <si>
    <t>42/24</t>
  </si>
  <si>
    <t>CMH - CENTRAL DE MEDICAMENTOS HOSPITALARES - EIRELI - ME
CNPJ - 23.228.076/0001-74</t>
  </si>
  <si>
    <t>1854/2024</t>
  </si>
  <si>
    <t>CLASSMED PRODUTOS HOSPITALARES
CNPJ - 01.328.535/0001-59</t>
  </si>
  <si>
    <t>1860/2024</t>
  </si>
  <si>
    <t>15/10/2024 A 15/10/2025</t>
  </si>
  <si>
    <t>ACÁCIA COMÉRCIO DE MEDICAMENTOS LTDA
CNPJ - 03.945.035/0001-91</t>
  </si>
  <si>
    <t>1856/2024</t>
  </si>
  <si>
    <t>DV COMÉRCIO E REPRESENTAÇÃO COMERCIAL LTDA
CNPJ - 08.170.178/0001-92</t>
  </si>
  <si>
    <t>Kauê Rafael Lima di Santis Pires</t>
  </si>
  <si>
    <t>REGISTRO DE PREÇOS REGISTRO DE PREÇOS PARA FUTURA AQUISIÇÃO DE PAPEL SULFITE PARA ATENDER AS NECESSIDADES DA PREFEITURA NO MUNICÍPIO DE RIO GRANDE DA SERRA</t>
  </si>
  <si>
    <t>PE - 26/24</t>
  </si>
  <si>
    <t>1269/2024</t>
  </si>
  <si>
    <t>1838/2024</t>
  </si>
  <si>
    <t xml:space="preserve">2024000000253	</t>
  </si>
  <si>
    <t>R$ 3000,00</t>
  </si>
  <si>
    <t>09/10/2024 A 09/10/2025</t>
  </si>
  <si>
    <t>MULTPAPER DISTRIBUIDORA DE PAPÉIS LTDA
CNPJ - 26.976.381/0005-66</t>
  </si>
  <si>
    <t>1837/2024</t>
  </si>
  <si>
    <t>03/10/2024 A 03/10/2025</t>
  </si>
  <si>
    <t>SOMAR INDÚSTRIA E COMÉRCIO LTDA
CNPJ - 32.237.610/0001-08</t>
  </si>
  <si>
    <t>José Laercio de Lima</t>
  </si>
  <si>
    <t>REGISTRO DE PREÇOS PARA FUTURA E EVENTUAL AQUISIÇÃO DE FRALDAS PEDIÁTRICAS E GERIÁTRICAS, COM ENTREGA FRACIONADA, DESTINADAS AO ATENDIMENTO DE PACIENTES CADASTRADOS NAS UNIDADES BÁSICAS DE SAÚDE, PARA ATENDER AS NECESSIDADES DA SECRETARIA MUNICIPAL DE SAÚDE DO MUNICÍPIO DE RIO GRANDE DA SERRA</t>
  </si>
  <si>
    <t>PE - 14/24</t>
  </si>
  <si>
    <t>2412/2023</t>
  </si>
  <si>
    <t>1843/2024</t>
  </si>
  <si>
    <t>2024000000249</t>
  </si>
  <si>
    <t>01/10/2024 A 01/10/2025</t>
  </si>
  <si>
    <t>BELLAMED PRODUTOS HOSPITALARES LTDA
CNPJ - 31.498.120/0001-94</t>
  </si>
  <si>
    <t>1844/2024</t>
  </si>
  <si>
    <t>ARCAPES SERVIÇOS ESPECIALIZADOS LTDA
CNPJ - 14.200.757/0001-33</t>
  </si>
  <si>
    <t>CO - 02/24</t>
  </si>
  <si>
    <t>619/2024</t>
  </si>
  <si>
    <t>1710/2024</t>
  </si>
  <si>
    <t>04/09/2024 A 04/09/2025</t>
  </si>
  <si>
    <t>VRM COMÉRCIO E SERVIÇOS LTDA
CNPJ - 31.868.626/0001-48</t>
  </si>
  <si>
    <t>REGISTRO DE PREÇOS PARA FORNECIMENTO DE MATERIAL DE ESCRITÓRIO/EXPEDIENTE PARA SUPRIR AS NECESSIDADES EVENTUAIS DAS SECRETARIAS PERTENCENTES À PREFEITURA MUNICIPAL DE RIO GRANDE DA SERRA</t>
  </si>
  <si>
    <t>PE - 15/24</t>
  </si>
  <si>
    <t>962/2023</t>
  </si>
  <si>
    <t>1621/2024</t>
  </si>
  <si>
    <t>2024000000226</t>
  </si>
  <si>
    <t>LICITASHOP COMÉRCIO E SERVIÇOS LTDA
CNPJ - 50.958.011/0001-57</t>
  </si>
  <si>
    <t>1620/2024</t>
  </si>
  <si>
    <t>27/08/2024 A 27/08/2025</t>
  </si>
  <si>
    <t>CANAÃ DISTRIBUIDORA E COMÉRCIO EIRELI EPP
CNPJ - 21.278.096/0001-24</t>
  </si>
  <si>
    <t>Lucas Pereira MarqueS</t>
  </si>
  <si>
    <t>1619/2024</t>
  </si>
  <si>
    <t>10/09/2024 A 10/09/2025</t>
  </si>
  <si>
    <t>29/24</t>
  </si>
  <si>
    <t>ANGELIQUE ORLANDINA CORREA
CNPJ - 15.508.827/0001-88</t>
  </si>
  <si>
    <t>1618/2024</t>
  </si>
  <si>
    <t>ALIANÇA COMÉRCIO E DISTRIBUIÇÃO LTDA
CNPJ - 31.486.195/0001-55</t>
  </si>
  <si>
    <t>1623/2024</t>
  </si>
  <si>
    <t>DANIEL LOPES TOLAINE ME
CNPJ - 12.870.090/0001-50</t>
  </si>
  <si>
    <t>REGISTRO DE PREÇO PARA EVENTUAIS AQUISIÇÕES DE MOBILIÁRIO EM GERAL, DESTINADOS AS SECRETARIAS MUNICIPAIS DA PREFEITURA DE RIO GRANDE DA SERRA</t>
  </si>
  <si>
    <t>PE - 6/2024</t>
  </si>
  <si>
    <t>2466/2023</t>
  </si>
  <si>
    <t>1416/2024</t>
  </si>
  <si>
    <t>2024000000221</t>
  </si>
  <si>
    <t>24/07/2024 A 24/07/2025</t>
  </si>
  <si>
    <t>ZIRICO MOVEIS LTDA
CNPJ - 26.656.774/0001-69</t>
  </si>
  <si>
    <t>30/07/2024 A 30/07/2025</t>
  </si>
  <si>
    <t>ORTHOVIDA INDUSTRIA E NEGOCIOS DIGITAIS LTDA
CNPJ - 14.323.297/0001-30</t>
  </si>
  <si>
    <t>1415/2024</t>
  </si>
  <si>
    <t>23/24</t>
  </si>
  <si>
    <t>SOLDDINOX DISTRIBUIDORA DE EQUIPAMENTOS LTDA
CNPJ - 50.125.548/0001-36</t>
  </si>
  <si>
    <t>1412/2024</t>
  </si>
  <si>
    <t>22/24</t>
  </si>
  <si>
    <t>ARICANDUVA COMERCIO DE ARTIGOS DE PLÁSTICO EIRELI
CNPJ - 41.770.193/0001-47</t>
  </si>
  <si>
    <t>1414/2024</t>
  </si>
  <si>
    <t>21/24</t>
  </si>
  <si>
    <t>M&amp;M BOMBONATO MOVEIS LTDA
CNPJ - 36.316.683/0001-38</t>
  </si>
  <si>
    <t>1413/2024</t>
  </si>
  <si>
    <t>WOOD STEEL COMERCIO DE MOVEIS LTDA
CNPJ - 47.863.106/0001-82</t>
  </si>
  <si>
    <t>FOX INDUSTRIA METALURGICA LTDA
CNPJ - 29.178.797/00001-01</t>
  </si>
  <si>
    <t>1411/2024</t>
  </si>
  <si>
    <t>ESPAÇO A MOVEIS PLANEJADOS LTDA
CNPJ - 09.066.243/0001-05</t>
  </si>
  <si>
    <t>1410/2024</t>
  </si>
  <si>
    <t>BEL MICRO TECNOLOGIA S/A
CNPJ - 71.052.559/0001-03</t>
  </si>
  <si>
    <t>REGISTRO DE PREÇOS PARA FUTURA E EVENTUAL AQUISIÇÃO DE VENTILADORES, APARELHOS DE AR CONDICIONADO E AQUECEDORES DE AMBIENTE, COM ENTREGA FRACIONADA, PARA ATENDER AS NECESSIDADES DAS SECRETARIAS MUNICIPAIS DO MUNICÍPIO DE RIO GRANDE DA SERRA</t>
  </si>
  <si>
    <t>PE - 16/2024</t>
  </si>
  <si>
    <t>2228/2023</t>
  </si>
  <si>
    <t>1409/2024</t>
  </si>
  <si>
    <t>2024000000216</t>
  </si>
  <si>
    <t>23/07/2024 A 23/07/2025</t>
  </si>
  <si>
    <t>ESPAÇO 2 TECNOLOGIA E INFORMÁTICA LTDA - EPP
CNPJ - 09.066.243/0001-05</t>
  </si>
  <si>
    <t>1408/2024</t>
  </si>
  <si>
    <t>19/07/2024 A 19/07/2025</t>
  </si>
  <si>
    <t>FERRINI COMERCIO E CONSULTORIA LTDA ME
CNPJ - 13.642.211/0001-70</t>
  </si>
  <si>
    <t>1436/2024</t>
  </si>
  <si>
    <t>19/08/2024 A 19/08/2025</t>
  </si>
  <si>
    <t>RIO PRETO DISTRIBUIÇÃO DE EQUIPAMENTOS DE INFORMÁTICA E TECNOLOGIA LTDA
CNPJ - 33.937.002/0001-60</t>
  </si>
  <si>
    <t>Elias Rodrigues de Prado</t>
  </si>
  <si>
    <t>Guilherme Rodrigues</t>
  </si>
  <si>
    <t>REGISTRO DE PREÇOS PARA FORNECIMENTO DE COMPUTADORES, PARA ATENDER AS NECESSIDADES DAS SECRETARIAS PERTENCENTES À PREFEITURA MUNICIPAL DE RIO GRANDE DA SERRA</t>
  </si>
  <si>
    <t>PP - 49/2023</t>
  </si>
  <si>
    <t>1355/2023</t>
  </si>
  <si>
    <t>883/2024</t>
  </si>
  <si>
    <t>2024000000167</t>
  </si>
  <si>
    <t>09/05/2024 A 09/05/2025</t>
  </si>
  <si>
    <t>SHANX LTDA
CNPJ - 51.014.023/0001-96</t>
  </si>
  <si>
    <t>882/2024</t>
  </si>
  <si>
    <t>881/2024</t>
  </si>
  <si>
    <t>GENESIS NEGÓCIOS E SERVIÇOS LTDA
CNPJ - 53.274.781/0001-79</t>
  </si>
  <si>
    <t>880/2024</t>
  </si>
  <si>
    <t>10/05/2024 A 10/05/2025</t>
  </si>
  <si>
    <t>Josiani Cristina de Araújo Macedo</t>
  </si>
  <si>
    <t>REGISTRO DE PREÇO PARA FORNECIMENTO DE TONNER E CARTUCHO DE TINTAS PARA AS IMPRESSORAS PERTENCENTES A PREFEITURA MUNICIPAL DE RIO GRANDE DA SERRA.</t>
  </si>
  <si>
    <t>PP - 58/2023</t>
  </si>
  <si>
    <t>2137/2023</t>
  </si>
  <si>
    <t>595/2024</t>
  </si>
  <si>
    <t>2024000000124</t>
  </si>
  <si>
    <t>27/03/2024 A 27/03/2025</t>
  </si>
  <si>
    <t>CONTRATAÇÃO DE EMPRESA ESPECIALIZADA PARA TERCEIRIZAÇÃO DE FROTAS MEDIANTE FORNECIMENTO DE VEÍCULOS DO TIPO VAN E MICRO ÔNIBUS PARA TRANSPORTES ESCOLARES DO MUNICÍPIO, COM FORNECIMENTO DE COMBUSTÍVEL, PNEUS, MANUTENÇÕES, MOTORISTAS E TRIPULANTES, PARA ATENDER AS ATIVIDADES DA SECRETARIA DE EDUCAÇÃO E CULTURA DO MUNICÍPIO. REFERIDO TRANSPORTE ESTÁ INCLUÍDO AS ATIVIDADES CULTURAIS E DE LAZER REALIZADAS FORA DA UNIDADE ESCOLAR</t>
  </si>
  <si>
    <t>PP - 54/2023</t>
  </si>
  <si>
    <t>2413/2023</t>
  </si>
  <si>
    <t>596/2024</t>
  </si>
  <si>
    <t>2024000000140</t>
  </si>
  <si>
    <t>DC INFINITY COMERCIALIZADORA E DISTRIBUIDORA LTDA
CNPJ - 32.727.217/0001-94</t>
  </si>
  <si>
    <t>Mariana Aparecida Aricó Donaire</t>
  </si>
  <si>
    <t>REGISTRO DE PREÇOS PARA EVENTUAL FORNECIMENTO DE ÁGUA MINERAL, BEBEDOURO E SUPORTE, PARA ATENDER ÀS NECESSIDADES DAS SECRETARIAS E UNIDADES DA PREFEITURA MUNICIPAL DE RIO GRANDE DA SERRA</t>
  </si>
  <si>
    <t>PP - 55/2023</t>
  </si>
  <si>
    <t>2371/2023</t>
  </si>
  <si>
    <t>540/2024</t>
  </si>
  <si>
    <t>2024000000139</t>
  </si>
  <si>
    <t>21/03/2024 A 21/03/2025</t>
  </si>
  <si>
    <t>RGSE PROJETOS E ENGENHARIA LTDA
CNPJ - 38.880.696/0001-60</t>
  </si>
  <si>
    <t>REGISTRO DE PREÇOS PARA CONTRATAÇÃO DE EMPRESA ESPECIALIZADA PARA A PRESTAÇÃO DE SERVIÇOS DE ASSESSORIA TÉCNICA E APOIO OPERACIONAL PARA IMPLANTAÇÃO, ELABORAÇÃO, ACOMPANHAMENTO TÉCNICO, GERENCIAMENTO E FISCALIZAÇÃO DE PROJETOS E/OU OBRAS DO MUNICÍPIO DE RIO GRANDE DA SERRA – SP</t>
  </si>
  <si>
    <t>CO - 14/2023</t>
  </si>
  <si>
    <t>2028/2022</t>
  </si>
  <si>
    <t>547/2024</t>
  </si>
  <si>
    <t>2024000000137</t>
  </si>
  <si>
    <t>03/24</t>
  </si>
  <si>
    <t>FORTALEZA REAL COMERCIAL DE MATERIAIS E MANUTENÇÃO EM GERAL LTDA ME 
CNPJ: 20.661.647/0001-71</t>
  </si>
  <si>
    <t>Patrícia Aparecida Santiago CPF: 268.187.788-10</t>
  </si>
  <si>
    <t>REGISTRO DE PREÇOS PARA FORNECIMENTO DE MATERIAL DE USO ODONTOLÓGICO NAS UNIDADES DA SECRETARIA DE SAÚDE NO MUNICÍPIO DE RIO GRANDE DA SERRA</t>
  </si>
  <si>
    <t>PP - 57/2023</t>
  </si>
  <si>
    <t>935/2023</t>
  </si>
  <si>
    <t>445/2024</t>
  </si>
  <si>
    <t>2024000000125</t>
  </si>
  <si>
    <t>04/03/2024 A 04/03/2025</t>
  </si>
  <si>
    <t>02/24</t>
  </si>
  <si>
    <t>CIRURGICA UNIÃO LTDA 
CNPJ - 04.063.331/0001-21</t>
  </si>
  <si>
    <t>444/2024</t>
  </si>
  <si>
    <t>SAGS FACILITIES SERVIÇOS EMPRESARIAIS
LTDA
CNPJ - 18.465.479/0001-05</t>
  </si>
  <si>
    <t>Rawany Nathyely Souza Bedia CPF: 438.418.828-47</t>
  </si>
  <si>
    <t>Daniel Soares da Silva CPF: 232.046.348-84</t>
  </si>
  <si>
    <t>REGISTRO DE PREÇOS VISANDO A CONTRATAÇÃO DE EMPRESA ESPECIALIZADA NA PRESTAÇÃO DE SERVIÇOS DE ROÇAGEM E CAPINA, CONTEMPLANDO O FORNECIMENTO DE FERRAMENTAS NECESSÁRIAS E MÃO DE OBRA ADEQUADA PARA A PERFEITA EXECUÇÃO DOS SERVIÇOS, PARA ATENDER A SECRETARIA DE SERVIÇOS URBANOS DA PREFEITURA DO MUNICÍPIO DE RIO GRANDE DA SERRA, PELO PERÍODO DE 12 (DOZE) MESES</t>
  </si>
  <si>
    <t>PP - 52/23</t>
  </si>
  <si>
    <t>402/2023</t>
  </si>
  <si>
    <t>266/2024</t>
  </si>
  <si>
    <t>2024000000120</t>
  </si>
  <si>
    <t>08/02/24 a 08/02/25</t>
  </si>
  <si>
    <t>INTERCITY COMÉRCIO E INDÚSTRIA DE ARTEFATOS DE CIMENTO LTDA 
CNPJ - 05.057.709/0001-47</t>
  </si>
  <si>
    <t>Valderez Camilo CPF: 676.371.838-15</t>
  </si>
  <si>
    <t>REGISTRO DE PREÇOS PARA EVENTUAL FORNECIMENTO DE ARTEFATOS DE CONCRETO PARA ATENDER AS NECESSIDADES DA PREFEITURA MUNICIPAL DE RIO GRANDE DA SERRA</t>
  </si>
  <si>
    <t>PP - 47/23</t>
  </si>
  <si>
    <t>1807/2023</t>
  </si>
  <si>
    <t>2492/2023</t>
  </si>
  <si>
    <t>2023000000134</t>
  </si>
  <si>
    <t>15/12/23 a 15/12/24</t>
  </si>
  <si>
    <t>MAVI COMERCIAL, SERVIÇOS E TRANSPORTE LTDA
CNPJ - 14.356.238/0001-69</t>
  </si>
  <si>
    <t>2436/2023</t>
  </si>
  <si>
    <t>07/12/23 a 07/12/24</t>
  </si>
  <si>
    <t>GLOBAL HOSPITALAR IMPORTAÇÃO E COMÉRCIO SA
CNPJ - 12.047.164/0001-53</t>
  </si>
  <si>
    <t>REGISTRO DE PREÇOS PARA FORNECIMENTO DE MEDICAMENTOS PARA ATENDER AS UNIDADES BÁSICAS DE SAÚDE E UPA – UNIDADE DE PRONTO ATENDIMENTO E MEDICAMENTOS PSICOTRÓPICOS, COMPRIMIDOS E INJETÁVEIS DESTINADOS A SECRETARIA DE SAÚDE DE RIO GRANDE DA SERRA</t>
  </si>
  <si>
    <t>PP - 44/23</t>
  </si>
  <si>
    <t>1391/2023</t>
  </si>
  <si>
    <t>2435/2023</t>
  </si>
  <si>
    <t>2023000000128</t>
  </si>
  <si>
    <t>18/12/23 a 18/12/24</t>
  </si>
  <si>
    <t>2434/2023</t>
  </si>
  <si>
    <t>2433/2023</t>
  </si>
  <si>
    <t>2432/2023</t>
  </si>
  <si>
    <t>CM HOSPITALAR S.A.
CNPJ - 12.420.164/0001-57</t>
  </si>
  <si>
    <t>2431/2023</t>
  </si>
  <si>
    <t>AGLON COMÉRCIO E REPRESENTAÇÕES LTDA
CNPJ - 65.817.900/0001-71</t>
  </si>
  <si>
    <t>2430/2023</t>
  </si>
  <si>
    <t>VILA BARCELONA COMÉRCIO DE SUPRIMENTOS E EQUIPAMENTOS LTDA - 22.719.411/0001-74</t>
  </si>
  <si>
    <t>VERÔNICA RODRIGUES CPF: 385.929.968-99</t>
  </si>
  <si>
    <t>EDUARDO DA SILVA DIVINO CPF: 297.110.268-80</t>
  </si>
  <si>
    <t>REGISTRO DE PREÇOS PARA EVENTUAL FORNECIMENTO DE PÓ DE CAFÉ, AÇÚCAR REFINADO E FILTRO DE PAPEL (COADOR), CONFORME ESPECIFICAÇÕES A SEGUIR, PARA ATENDIMENTO DAS NECESSIDADES DA PREFEITURA DO MUNICÍPIO DE RIO GRANDE DA SERRA, PELO PERÍODO DE 12 (DOZE) MESES</t>
  </si>
  <si>
    <t>PP - 46/23</t>
  </si>
  <si>
    <t>1043/2023</t>
  </si>
  <si>
    <t>2070/2023</t>
  </si>
  <si>
    <t>2023000000119</t>
  </si>
  <si>
    <t>19/10/23 a 19/10/24</t>
  </si>
  <si>
    <t>13A INFORMÁTICA E MATERIAL DE ESCRITÓRIO LTDA
CNPJ sob o nº. 13.328.409/0001-83</t>
  </si>
  <si>
    <t>DANIELA APARECIDA FERREIRA MAGALHÃES TERRA CPF: 146.871.718-93</t>
  </si>
  <si>
    <t>REGISTRO DE PREÇOS PARA FORNECIMENTO DE PAPEL SULFITE PARA ATENDER A DEMANDA DAS SECRETARIAS DA PREFEITURA MUNICIPAL DE RIO GRANDE DA SERRA</t>
  </si>
  <si>
    <t>PP - 45/23</t>
  </si>
  <si>
    <t>1380/2023-5</t>
  </si>
  <si>
    <t>1997/2023</t>
  </si>
  <si>
    <t>2023000000116</t>
  </si>
  <si>
    <t>06/10/23 a 06/10/24</t>
  </si>
  <si>
    <t>23/23</t>
  </si>
  <si>
    <t>RUBECI DA SILVA GOMES MECANICA - 09.094.674/0001-77</t>
  </si>
  <si>
    <t>Conceição Trajano da Silva</t>
  </si>
  <si>
    <t>Celso Paes dos Santos ( SAÚDE)
João Vitor Rocha Amado (SEGURANÇA)
Valderez Camilo ( SSU)
Ari Inácio de Souza (EDUCAÇÃO)
Cristiano Marques Goulart (CIDADANIA)
Eduardo da Silva Divino (ADMINISTRAÇÃO)
Carlos Manimiuski Becerra (OBRAS)
Wellington Fontes (ESPORTE)
Guilherme Breyes dos Santos (JURÍDICO)</t>
  </si>
  <si>
    <t>REGISTRO DE PREÇOS PARA CONTRATAÇÃO DE SERVIÇOS DE MANUTENÇÃO PREVENTIVA, CORRETIVA E PERIÓDICA NOS VEÍCULOS (VEÍCULOS LEVES E EQUIPAMENTOS PESADOS) QUE COMPÕEM A FROTA DESTE MUNICÍPIO, COM FORNECIMENTO OU REPOSIÇÃO DE PEÇAS ORIGINAIS OU DE PRIMEIRA LINHA, INCLUINDO MECÂNICA EM GERAL, SERVIÇOS DE FUNILARIA, PINTURA, ELÉTRICA, HIDRÁULICA, SUSPENSÃO, CAPOTARIA, VIDRAÇARIA, BORRACHARIA, BALANCEAMENTO E ALINHAMENTO, AR CONDICIONADO, ACESSÓRIOS DE SOM, INSTALAÇÃO DE ACESSÓRIOS EM GERAL</t>
  </si>
  <si>
    <t>PP - 37/23</t>
  </si>
  <si>
    <t>313/2023</t>
  </si>
  <si>
    <t>1886/2023</t>
  </si>
  <si>
    <t>2023000000123</t>
  </si>
  <si>
    <t>LOTE 1 - 210,80 MÃO DE OBRA
DESCONTO DE 7% SOBRE A TABELA AUDATEX
LOTE 4 - 310,00 MÃO DE OBRA
DESCONTO DE 7% SOBRE A TABELA AUDATEX</t>
  </si>
  <si>
    <t>22/09/2023 A 22/09/2024</t>
  </si>
  <si>
    <t>PARTS LUB DISTRIBUIDORA E SERVIÇOS LTDA - 19.116.488/0001-45</t>
  </si>
  <si>
    <t>Daniel Soares da Silva ( SSU)
Ari Inácio de Souza (EDUCAÇÃO)
Carlos Aparecido da Silva (CIDADANIA)
Rafaela Vargas de Oliveira (ESPORTE)</t>
  </si>
  <si>
    <t>1918/2023</t>
  </si>
  <si>
    <t>LOTE 2 - 310,00 MÃO DE OBRA
DESCONTO DE 7% SOBRE A TABELA AUDATEX</t>
  </si>
  <si>
    <t>DANILLO ALVES DE SOUZA LTDA - 41.180.914/0001-69</t>
  </si>
  <si>
    <t>Celso Paes dos Santos ( SAÚDE)
João Vitor Rocha Amado (SEGURANÇA)</t>
  </si>
  <si>
    <t>1909/2023</t>
  </si>
  <si>
    <t>LOTE 3 - 210,80 MÃO DE OBRA
DESCONTO DE 7% SOBRE A TABELA AUDATEX</t>
  </si>
  <si>
    <t>NEO-TAGUS INDUSTRIAL LTDA - 61.092.565/0022-65</t>
  </si>
  <si>
    <t>REGISTRO DE PREÇOS PARA EVENTUAL AQUISIÇÃO DE RELÓGIO DE PONTO BIOMÉTRICO, BEM COMO O SOFTWARE PARA A GESTÃO</t>
  </si>
  <si>
    <t>PP - 40/23</t>
  </si>
  <si>
    <t>1201/2023</t>
  </si>
  <si>
    <t>1921/2023</t>
  </si>
  <si>
    <t>25/09/2023 A 25/09/2024</t>
  </si>
  <si>
    <t>ANGELUS COMERCIAL E CONSULTORIA EM TECNOLOGIA EIRELI - 31.260.520/0001-67</t>
  </si>
  <si>
    <t>Sandro Carvalho Ferreira</t>
  </si>
  <si>
    <t>REGISTRO DE PREÇOS PARA EVENTUAL AQUISIÇÃO DE GÊNEROS ALIMENTÍCIOS NÃO PERECÍVEIS PARA PROGRAMAS, PROJETOS E ATIVIDADES SOCIAIS, NO ÂMBITO DA SECRETARIA DE ASSISTÊNCIA SOCIAL, CIDADANIA E INCLUSÃO DO MUNICÍPIO DE RIO GRANDE DA SERRA</t>
  </si>
  <si>
    <t>PP - 38/23</t>
  </si>
  <si>
    <t>967/2023</t>
  </si>
  <si>
    <t>1777/2023</t>
  </si>
  <si>
    <t>2023000000105</t>
  </si>
  <si>
    <t>01/09/2023 A 01/09/2024</t>
  </si>
  <si>
    <t>RR MEDICAL LTDA - 33.202.407/0001-50</t>
  </si>
  <si>
    <t>REGISTRO DE PREÇOS PARA FORNECIMENTO DE MEDICAMENTOS PARA ATENDER AS UNIDADES BÁSICAS DE SAÚDE E UPA – UNIDADE DE PRONTO ATENDIMENTOE MEDICAMENTOS PSICOTRÓPICOS, COMPRIMIDOS E INJETÁVEIS DESTINADOS A SECRETARIA DE SAÚDE DE RIO GRANDE DA SERRA</t>
  </si>
  <si>
    <t>PP - 31/23</t>
  </si>
  <si>
    <t>2398/2022</t>
  </si>
  <si>
    <t>1587/2023</t>
  </si>
  <si>
    <t>2023000000100</t>
  </si>
  <si>
    <t>16/08/2023 A 16/08/2024</t>
  </si>
  <si>
    <t>QUALITY MEDICAL COMÉRCIO E DISTRIBUIDORA DE MEDICAMENTOS LTDA - 07.118.264/0001-63</t>
  </si>
  <si>
    <t>1586/2023</t>
  </si>
  <si>
    <t>INOVA COMERCIAL HOSPITALAR LTDA - 18.872.656/0001-60</t>
  </si>
  <si>
    <t>1585/2023</t>
  </si>
  <si>
    <t>COMERCIAL CIRÚRGICA RIOCLARENSE LTDA - 67.729.178/0004-91</t>
  </si>
  <si>
    <t>1584/2023</t>
  </si>
  <si>
    <t>MARQUINHOS ARTES GRAFICAS LTDA - 02.533.237/0001-63</t>
  </si>
  <si>
    <t xml:space="preserve">REGISTRO DE PREÇOS PARA REALIZAÇÃO DE SERVIÇOS DE IMPRESSÃO DE MATERIAIS GRÁFICOS PARA USO NAS DIVERSAS SECRETARIAS DO MUNICÍPIO DE RIO GRANDE DA SERRA </t>
  </si>
  <si>
    <t>PP - 32/23</t>
  </si>
  <si>
    <t>1522/2022</t>
  </si>
  <si>
    <t>1634/2023</t>
  </si>
  <si>
    <t>2023000000117</t>
  </si>
  <si>
    <t>HELIO MASSAKI TOTIZAWA - 08.767.385/0001-29</t>
  </si>
  <si>
    <t>1633/2023</t>
  </si>
  <si>
    <t>18/08/2023 A 18/08/2024</t>
  </si>
  <si>
    <t>DAVI ALVES DE OLIVEIRA LTDA - 00.700.428/0001-47</t>
  </si>
  <si>
    <t xml:space="preserve"> Noely Mendes</t>
  </si>
  <si>
    <t>REGISTRO DE PREÇOS PARA CONTRATAÇÃO DE EMPRESA QUE PRESTE SERVIÇO DE LOCAÇÃO DE MÁQUINAS E EQUIPAMENTOS PESADOS, ENGLOBANDO O FORNECIMENTO DE MÃO-DE-OBRA E MANUTENÇÃO PREVENTIVA/CORRETIVA, ALÉM DO PROVIMENTO DE MATERIAIS DE CONSUMO NECESSÁRIOS AO COMPLETO DESEMPENHO DOS TRABALHOS DE LIMPEZAS NAS VIAS, FOSSAS, RIOS, CÓRREGOS E LOGRADOUROS PÚBLICOS, DESASSOREAMENTO DE GALERIAS DE ÁGUAS PLUVIAIS, ASSOREAMENTO DE CÓRREGOS, ENTRE OUTROS SERVIÇOS</t>
  </si>
  <si>
    <t>PP - 35/23</t>
  </si>
  <si>
    <t>1583/2023</t>
  </si>
  <si>
    <t>2023000000094</t>
  </si>
  <si>
    <t>10/08/2023 A 10/08/2024</t>
  </si>
  <si>
    <t>11/23</t>
  </si>
  <si>
    <t>CROMO COMÉRCIO E DISTRIBUIÇÃO DE MATERIAIS ODONTO-MÉDICO HOSPITALARES LTDA - 30.584.194/0001-80</t>
  </si>
  <si>
    <t>JOSÉ LAERCIO</t>
  </si>
  <si>
    <t xml:space="preserve"> HELOISA </t>
  </si>
  <si>
    <t>REGISTRO DE PREÇOS PARA FORNECIMENTO DE TIRAS REAGENTES E LANCETAS PARA DETERMINAÇÃO DE GLICOSE NO SANGUE, COM FORNECIMENTO DE APARELHO PARA AUTO MONITORAMENTO EM COMODATO, DESTINADOS A SECRETARIA MUNICIPAL DE SAÚDE DE RIO GRANDE DA SERRA</t>
  </si>
  <si>
    <t>PP - 27/23</t>
  </si>
  <si>
    <t>515/2023</t>
  </si>
  <si>
    <t>1374/2023</t>
  </si>
  <si>
    <t>2023000000081</t>
  </si>
  <si>
    <t>14/07/2023 A 14/07/2024</t>
  </si>
  <si>
    <t>EBS COMERCIAL LTDA - 32.752.257/0001-96</t>
  </si>
  <si>
    <t>Claudete Gomes Rocha Cavalcante</t>
  </si>
  <si>
    <t>Viviane Aparecida dos Santos Almeida</t>
  </si>
  <si>
    <t>REGISTRO DE PREÇOS PARA FUTURA AQUISIÇÃO DE PRODUTOS DE IDENTIFICAÇÃO PARA OS DISCENTES DA REDE ESTUDANTIL DO MUNICÍPIO DE RIO GRANDE DA SERRA, COM ENTREGAS PARCELADAS PELO PERÍODO DE 12 (DOZE) MESES</t>
  </si>
  <si>
    <t>PP - 24/23</t>
  </si>
  <si>
    <t>16/2023</t>
  </si>
  <si>
    <t>1329/23</t>
  </si>
  <si>
    <t>2023000000079</t>
  </si>
  <si>
    <t>10/07/2023 A 10/07/2024</t>
  </si>
  <si>
    <t>DIPROHL COMERCIO E SERVIÇOS LTDA - 04.913.818/0001-56</t>
  </si>
  <si>
    <t>1328/23</t>
  </si>
  <si>
    <t>DOVALLE HOSPITALAR LTDA - 30.861.408/0001-19</t>
  </si>
  <si>
    <t xml:space="preserve">HELOISA </t>
  </si>
  <si>
    <t>REGISTRO DE PREÇOS PARA FORNECIMENTO DE FRALDAS DESCARTÁVEL INFANTIL E ADULTO PARA ATENDER A SECRETARIA MUNICIPAL DE SAÚDE NO MUNICÍPIO DE RIO GRANDE DA SERRA</t>
  </si>
  <si>
    <t>PP - 09/23</t>
  </si>
  <si>
    <t>163/2023</t>
  </si>
  <si>
    <t>937/23</t>
  </si>
  <si>
    <t>2023000000064</t>
  </si>
  <si>
    <t>19/05/2023 A 19/05/2024</t>
  </si>
  <si>
    <t>CIRURGICA UNIÃO LTDA - 04.063.331/0001-21</t>
  </si>
  <si>
    <t>936/23</t>
  </si>
  <si>
    <t>DROGARIA POPULAR MELHOR PREÇO EIRELI - 11.670.466/0001-10</t>
  </si>
  <si>
    <t>REGISTRO DE PREÇO PARA O FORNECIMENTO DE DIETA ENTERAL E LEITES, PARA ATENDIMENTO DE MANDADOS JUDICIAIS DA SECRETARIA MUNICIPAL DE SAÚDE</t>
  </si>
  <si>
    <t>PP - 15/23</t>
  </si>
  <si>
    <t>2397/2022</t>
  </si>
  <si>
    <t>901/23</t>
  </si>
  <si>
    <t>2023000000056</t>
  </si>
  <si>
    <t>18/05/2023 A 18/05/2024</t>
  </si>
  <si>
    <t>VERÔNICA</t>
  </si>
  <si>
    <t>EDUARDO</t>
  </si>
  <si>
    <t>REGISTRO DE PREÇOS PARA AQUISIÇÃO PNEUS, A FIM DE ATENDER ÀS NECESSIDADES DAS SECRETARIAS DA PREFEITURA MUNICIPAL DE RIO GRANDE DA SERRA</t>
  </si>
  <si>
    <t>PP - 21/23</t>
  </si>
  <si>
    <t>474/2022</t>
  </si>
  <si>
    <t>900/23</t>
  </si>
  <si>
    <t>2023000000055</t>
  </si>
  <si>
    <t>AURORA E-COMMERCE LTDA - 44.545.120/0001-40</t>
  </si>
  <si>
    <t>899/23</t>
  </si>
  <si>
    <t>15/05/23 A 15/05/24</t>
  </si>
  <si>
    <t>ADRIANA ALVES DA SILVA CARVALHO</t>
  </si>
  <si>
    <t>REGISTRO DE PREÇOS PARA EVENTUAL AQUISIÇÃO DE KITS DE ALIMENTAÇÃO (KITS LANCHES) PARA ATENDER AS NECESSIDADES DO CRS/SCFV, CREAS E DO PROGRAMA PROSPERA FAMÍLIA DURANTE A EXECUÇÃO DE SUAS ATIVIDADES E OFICINAS</t>
  </si>
  <si>
    <t>PP - 06/23</t>
  </si>
  <si>
    <t>215/2023</t>
  </si>
  <si>
    <t>778/23</t>
  </si>
  <si>
    <t>2023000000042</t>
  </si>
  <si>
    <t>28/04/23 A 28/04/23</t>
  </si>
  <si>
    <t>NUTRICIONALE COMERCIO DE ALIMENTOS LTDA - 08.528.442/0001-17</t>
  </si>
  <si>
    <t>REGISTRO DE PREÇOS PARA EVENTUAL AQUISIÇÃO DE KITS DE ALIMENTAÇÃO PARA ATENDER A DEMANDA DO CRAS, COMO BENEFÍCIO EVENTUAL, EM ATENDIMENTOS A FAMÍLIAS EM SITUAÇÃO DE VULNERABILIDADE SOCIAL</t>
  </si>
  <si>
    <t>PP - 08/23</t>
  </si>
  <si>
    <t>119/2023</t>
  </si>
  <si>
    <t>780/23</t>
  </si>
  <si>
    <t>2023000000037</t>
  </si>
  <si>
    <t>20/04/23 A 20/04/24</t>
  </si>
  <si>
    <t>42.835.572 JUAN ATHOUGUIA STOPA - 42.835.572/0001-30</t>
  </si>
  <si>
    <t>779/23</t>
  </si>
  <si>
    <t>53/22</t>
  </si>
  <si>
    <t>CANAÃ DISTR. E COMÉRCIO DE PRODUTOS - CNPJ: 21.278.096/0001-24</t>
  </si>
  <si>
    <t>SECRETARIAS</t>
  </si>
  <si>
    <t>DEBIRAN</t>
  </si>
  <si>
    <t>DÉBORA</t>
  </si>
  <si>
    <t>REGISTRO DE PREÇOS PARA FORNECIMENTO DE MATERIAL DE LIMPEZA</t>
  </si>
  <si>
    <t>PP - 35/22</t>
  </si>
  <si>
    <t>734/2022</t>
  </si>
  <si>
    <t>2392/22</t>
  </si>
  <si>
    <t>2022000000125</t>
  </si>
  <si>
    <t>11/01/23 A 11/01/24</t>
  </si>
  <si>
    <t>49/22</t>
  </si>
  <si>
    <t>WHITE MARTINS GASES INDUSTRIAIS LTDA - CNPJ: 35.820.448/0081-10</t>
  </si>
  <si>
    <t>HELLEN</t>
  </si>
  <si>
    <t>JOANA</t>
  </si>
  <si>
    <t xml:space="preserve">REGISTRO DE PREÇO PARA FORNECIMENTO DE OXIGÊNIO DOMICILIAR </t>
  </si>
  <si>
    <t>PP - 27/22</t>
  </si>
  <si>
    <t>1476/2022</t>
  </si>
  <si>
    <t>2446/22</t>
  </si>
  <si>
    <t>2023000000001</t>
  </si>
  <si>
    <t>20/12/22 A 20/12/23</t>
  </si>
  <si>
    <t>50/22</t>
  </si>
  <si>
    <t>BLACKOUT COMERCIAL EIRELI - CNPJ: 16.918.565/0001-92</t>
  </si>
  <si>
    <t>2391/22</t>
  </si>
  <si>
    <t>15/12/22 A 15/12/23</t>
  </si>
  <si>
    <t>51/22</t>
  </si>
  <si>
    <t>TROPIC'S COMERCIAL DE UTILIDADES DOMÉSTICAS EIRELI - CNPJ: 64.650.583/0001-89</t>
  </si>
  <si>
    <t>2394/22</t>
  </si>
  <si>
    <t>52/22</t>
  </si>
  <si>
    <t>SINSAI COMÉRCIO DE DESCARTÁVEIS LTDA - CNPJ: 27.257.286/0001-98</t>
  </si>
  <si>
    <t>2393/22</t>
  </si>
  <si>
    <t>48/22</t>
  </si>
  <si>
    <t>VOLPI DISTRIBUIDORA DE DROGAS LTDA - 64.533.797/0001-75</t>
  </si>
  <si>
    <t>LAERCIO</t>
  </si>
  <si>
    <t>REGISTRO DE PREÇOS PARA AQUISIÇÃO DE MATERIAL DE ENFERMAGEM E HOSPITALAR</t>
  </si>
  <si>
    <t>PP - 30/22</t>
  </si>
  <si>
    <t>1186/2022</t>
  </si>
  <si>
    <t>2309/22</t>
  </si>
  <si>
    <t>2022000000117</t>
  </si>
  <si>
    <t>02/12/22 A 02/12/23</t>
  </si>
  <si>
    <t>47/22</t>
  </si>
  <si>
    <t>QUALITY MEDICAL COMERCIO E DISTRIBUIDORA DE MEDICAMENTOS LTDA - 07.118.264/0001-93</t>
  </si>
  <si>
    <t>2308/22</t>
  </si>
  <si>
    <t>46/22</t>
  </si>
  <si>
    <t>MEDIMPORT COM. DE PRODUTOS HOSPITALARES EIRELI - 03.434.334/0001-61</t>
  </si>
  <si>
    <t>2307/22</t>
  </si>
  <si>
    <t>30/11/22 A 30/11/23</t>
  </si>
  <si>
    <t>45/22</t>
  </si>
  <si>
    <t>LOGGEN PRODUTOS PARA SAÚDE EIRELI EPP - 24.980.102/0001-89</t>
  </si>
  <si>
    <t>2306/22</t>
  </si>
  <si>
    <t>28/11/22 a 28/11/23</t>
  </si>
  <si>
    <t>44/22</t>
  </si>
  <si>
    <t>L A DALLA PORTA JUNIOR LTDA - 11.145.401/0001-56</t>
  </si>
  <si>
    <t>2305/22</t>
  </si>
  <si>
    <t>43/22</t>
  </si>
  <si>
    <t>FIVE MED DISTRIBUIDORA DE MEDICAMENTOS LTDA - 30.535.468/0001-41</t>
  </si>
  <si>
    <t>2304/22</t>
  </si>
  <si>
    <t>42/22</t>
  </si>
  <si>
    <t>2303/22</t>
  </si>
  <si>
    <t>41/22</t>
  </si>
  <si>
    <t>T. VERSURI DISTRIBUIDORA DE INSUMOS E SUPRIMENTOS DE INFORMATICA - 07.235.602/0001-77</t>
  </si>
  <si>
    <t>REGISTRO DE PREÇOS PARA AQUISIÇÃO DE CARTUCHOS E TONERS, PARA ATENDER AS NECESSIDADES DAS SECRETARIAS DA PREFEITURA MUNICIPAL DE RIO GRANDE DA SERRA</t>
  </si>
  <si>
    <t>PP - 19/22</t>
  </si>
  <si>
    <t>1769/22</t>
  </si>
  <si>
    <t>2022000000098</t>
  </si>
  <si>
    <t>09/09/22 a 09/09/23</t>
  </si>
  <si>
    <t>40/22</t>
  </si>
  <si>
    <t>LSF COMERCIO E SERVIÇOS LTDA - 29.500.349/0001-74</t>
  </si>
  <si>
    <t>1768/22</t>
  </si>
  <si>
    <t>39/22</t>
  </si>
  <si>
    <t>ESPAÇO 2 TECNOLOGIA E INFORMÁTICA EIRELI-EPP - 09.066.243/0001-05</t>
  </si>
  <si>
    <t>1767/22</t>
  </si>
  <si>
    <t>38/22</t>
  </si>
  <si>
    <t>EFR TECH EIRELI - 38.075.284/0001-58</t>
  </si>
  <si>
    <t>1766/22</t>
  </si>
  <si>
    <t>37/22</t>
  </si>
  <si>
    <t>MAVI COMERCIAL &amp; SERVIÇOS LTDA EPP - 14.356.238/0001-69</t>
  </si>
  <si>
    <t>REGISTRO DE PREÇOS PARA EVENTUAL FORNECIMENTO DE ARTEFATOS DE CIMENTO</t>
  </si>
  <si>
    <t>PP - 22/22</t>
  </si>
  <si>
    <t>315/2022</t>
  </si>
  <si>
    <t>1653/22</t>
  </si>
  <si>
    <t>2022000000095</t>
  </si>
  <si>
    <t>24/08/2022 A 24/08/2023</t>
  </si>
  <si>
    <t>36/22</t>
  </si>
  <si>
    <t>M.A.S - MATERIAIS E ROUPAS PROFISSIONAIS LTDA EPP - 03.869.459/0001-14</t>
  </si>
  <si>
    <t>REGISTRO DE PREÇOS PARA FUTURA E EVENTUAL AQUISIÇÃO DE FARDAMENTO PARA USO DOS GUARDAS CIVIS MUNICIPAIS, AGENTES DE TRÂNSITO E AGENTES DA DEFESA CIVIL, ATENDENDO A DEMANDA DA SECRETARIA DE SEGURANÇA URBANA, TRÂNSITO E DEFESA CIVIL</t>
  </si>
  <si>
    <t>PP - 25/22</t>
  </si>
  <si>
    <t>309/2022</t>
  </si>
  <si>
    <t>1575/22</t>
  </si>
  <si>
    <t>2022000000092</t>
  </si>
  <si>
    <t>15/08/2022 A 15/08/2023</t>
  </si>
  <si>
    <t>35/22</t>
  </si>
  <si>
    <t>REGISTRO DE PREÇOS PARA AQUISIÇÃO DE CAFÉ, AÇÚCAR E FILTRO, PARA ATENDER ÀS NECESSIDADES DAS SECRETARIAS DA PREFEITURA MUNICIPAL DE RIO GRANDE DA SERRA</t>
  </si>
  <si>
    <t>PP - 24/22</t>
  </si>
  <si>
    <t>434/2022</t>
  </si>
  <si>
    <t>1460/22</t>
  </si>
  <si>
    <t>2022000000089</t>
  </si>
  <si>
    <t>04/08/2022 A 04/08/2023</t>
  </si>
  <si>
    <t>34/22</t>
  </si>
  <si>
    <t>X ROQUE &amp; MEZZINA MATERIAIS PARA CONSTRUÇÃO LTDA - 10.192.850/0001-92</t>
  </si>
  <si>
    <t>REGISTRO DE PREÇOS PARA FORNECIMENTO DE AREIA, PEDRA, RACHÃO, BICA CORRIDA, CIMENTO E MASSA ASFÁLTICA</t>
  </si>
  <si>
    <t>PP - 23/22</t>
  </si>
  <si>
    <t>318/2022</t>
  </si>
  <si>
    <t>1435/22</t>
  </si>
  <si>
    <t>2022000000087</t>
  </si>
  <si>
    <t>1434/22</t>
  </si>
  <si>
    <t>COMERCIAL ECOMIX EIRELI - 15.367.263/0001-00</t>
  </si>
  <si>
    <t>1433/22</t>
  </si>
  <si>
    <t>31/22</t>
  </si>
  <si>
    <t>REGISTRO DE PREÇOS PARA EVENTUAL AQUISIÇÃO DE PRODUTOS DE HIGIENE PESSOAL E FRALDAS DESCARTÁVEIS, PARA ATENDER AS NECESSIDADES DOS USUÁRIOS DO ACOLHIMENTO INSTITUCIONAL E DO CREAS</t>
  </si>
  <si>
    <t>PP - 15/22</t>
  </si>
  <si>
    <t>678/2022</t>
  </si>
  <si>
    <t>1459/22</t>
  </si>
  <si>
    <t>2022000000088</t>
  </si>
  <si>
    <t>MARIO AUGUSTO SILVA PEREIRA EPP - 00.452.422/0001-06</t>
  </si>
  <si>
    <t>REGISTRO DE PREÇO PARA FORNECIMENTO DE MOBILIÁRIOS DE USO PARA ATENDER AS SECRETARIAS MUNICIPAIS DA PREFEITURA DE RIO GRANDE DA SERRA-SP</t>
  </si>
  <si>
    <t>PP - 13/22</t>
  </si>
  <si>
    <t>558/2022</t>
  </si>
  <si>
    <t>1432/22</t>
  </si>
  <si>
    <t>2022000000086</t>
  </si>
  <si>
    <t>26/07/2022 A 26/07/2023</t>
  </si>
  <si>
    <t>INNOVA COMERCIAL &amp; NEGÓCIOS EIRELI - EIRELI - 40.580.529/0001-46</t>
  </si>
  <si>
    <t>1431/22</t>
  </si>
  <si>
    <t>REGISTRO DE PREÇOS PARA FORNECIMENTO DE PAPEL SULFITE-A4, PARA ATENDER ÀS UNIDADES ADMINISTRATIVAS DA PREFEITURA MUNICIPAL DE RIO GRANDE DA SERRA</t>
  </si>
  <si>
    <t>PP - 16/22</t>
  </si>
  <si>
    <t>735/2022</t>
  </si>
  <si>
    <t>1336/22</t>
  </si>
  <si>
    <t>2022000000073</t>
  </si>
  <si>
    <t>01/07/2022 A 01/07/2023</t>
  </si>
  <si>
    <t>ATHENA COMERCIO DE PRODUTOS ODONTOLÓGICOS MEDICOS E HOSPITALARES - EIRELI - 34.412.925/0001-61</t>
  </si>
  <si>
    <t xml:space="preserve">REGISTRO DE PREÇO PARA FORNECIMENTO DE MEDICAMENTO E MATERIAIS ODONTOLÓGICOS PARA ATENDER AS UNIDADES DE SAÚDE DA SECRETARIA MUNICIPAL DE SAÚDE DA PREFEITURA DE RIO GRANDE DA SERRA </t>
  </si>
  <si>
    <t>PP - 12/22</t>
  </si>
  <si>
    <t>675/2022</t>
  </si>
  <si>
    <t>1306/22</t>
  </si>
  <si>
    <t>2022000000069</t>
  </si>
  <si>
    <t>AMC SAUDE COMERCIAL HOSPITALAR LTDA - 33.551.382/0001-09</t>
  </si>
  <si>
    <t>PP - 09/22</t>
  </si>
  <si>
    <t>655/2022</t>
  </si>
  <si>
    <t>1199/22</t>
  </si>
  <si>
    <t>2022000000071</t>
  </si>
  <si>
    <t>17/06/2022 A 17/06/2023</t>
  </si>
  <si>
    <t>FORTALEZA REAL COMERCIO DE MATERIAIS E MANUTENCAO EM GERAL LTDA - ME - 20.661.647/0001-71</t>
  </si>
  <si>
    <t>REGISTRO DE PREÇOS PARA FORNECIMENTO DE MATERIAIS ELÉTRICO (CABOS, LÂMPADAS, LUMINÁRIAS, DISJUNTORES E ETC) PARA ATENDER A DEMANDA DAS UNIDADES PERTENCENTES À PREFEITURA MUNICIPAL DE RIO GRANDE DA SERRA.</t>
  </si>
  <si>
    <t>PP - 11/22</t>
  </si>
  <si>
    <t>177/2022</t>
  </si>
  <si>
    <t>1167/22</t>
  </si>
  <si>
    <t>2022000000068</t>
  </si>
  <si>
    <t>03/06/2022 A 03/06/2023</t>
  </si>
  <si>
    <t>1166/22</t>
  </si>
  <si>
    <t>07/06/2022 à 07/06/2023</t>
  </si>
  <si>
    <t>23/22</t>
  </si>
  <si>
    <t>AMB TEC IMUNIZAÇÃO LTDA EPP - 14.476.432/0001-88</t>
  </si>
  <si>
    <t>REGISTRO DE PREÇOS PARA PRESTAÇÃO DE SERVIÇOS DE DEDETIZAÇÃO E DESINSETIZAÇÃO, COM EFETIVO CONTROLE DE PRAGAS E VETORES, COM FORNECIMENTO DE MÃO DE OBRA E MATÉRIA PRIMA, PARA TODOS OS PRÉDIOS PÚBLICOS DO MUNICÍPIO DE RIO GRANDE DA SERRA</t>
  </si>
  <si>
    <t>PP - 08/22</t>
  </si>
  <si>
    <t>310/2022</t>
  </si>
  <si>
    <t>986/2022</t>
  </si>
  <si>
    <t xml:space="preserve">2022000000058
</t>
  </si>
  <si>
    <t>17/05/22 a 17/05/23</t>
  </si>
  <si>
    <t>REGISTRO DE PREÇOS PARA FUTURA E EVENTUAL AQUISIÇÃO DE MATERIAL DE ESCRITÓRIO, PARA ATENDER AS SECRETARIAS DA PREFEITURA DE RIO GRANDE DA SERRA</t>
  </si>
  <si>
    <t>PP - 06/22</t>
  </si>
  <si>
    <t>72/2022</t>
  </si>
  <si>
    <t>876/2022</t>
  </si>
  <si>
    <t>2022000000059</t>
  </si>
  <si>
    <t>10/05/22 a 10/05/23</t>
  </si>
  <si>
    <t>877/2022</t>
  </si>
  <si>
    <t>INJEX INDUSTRIAS CIRURGICAS LTDA - 59.309.302/0001-99</t>
  </si>
  <si>
    <t>REGISTRO DE PREÇOS PARA FORNECIMENTO DE TIRAS REAGENTES E LANCETAS PARA DETERMINAÇÃO DE GLICOSE NO SANGUE, COM FORNECIMENTO DE APARELHO PARA AUTOMONITORAMENTO EM COMODATO, DESTINADOS À SECRETARIA MUNICIPAL DE SAÚDE DE RIO GRANDE DA SERRA, CONFORME CONDIÇÕES DO ANEXO I – TERMO DE REFERÊNCIA E PROPOSTA DA DETENTORA DO REGISTRO DE PREÇO</t>
  </si>
  <si>
    <t>PP - 02/22</t>
  </si>
  <si>
    <t>108/22</t>
  </si>
  <si>
    <t>640/2022</t>
  </si>
  <si>
    <t>2022000000018</t>
  </si>
  <si>
    <t>25/04/22 a 25/04/23</t>
  </si>
  <si>
    <t>NUTRIPORT COMERCIAL LTDA - 03.612.312/0001-44</t>
  </si>
  <si>
    <t>PP - 03/22</t>
  </si>
  <si>
    <t>1994/21</t>
  </si>
  <si>
    <t>642/2022</t>
  </si>
  <si>
    <t>2022000000013</t>
  </si>
  <si>
    <t>15/04/22 a 15/04/23</t>
  </si>
  <si>
    <t>CUBOMED – COMERCIO ATACADISTA DE PRODUTOS PARA SAUDE EIRELI - 32.075.199-0001-03</t>
  </si>
  <si>
    <t>643/2022</t>
  </si>
  <si>
    <t>ACÁCIA COMÉRCIO DE MEDICAMENTOS EIRELI - 03.945.035/0001-91</t>
  </si>
  <si>
    <t>REGISTRO DE PREÇO PARA FORNECIMENTO DE MEDICAMENTOS PARA ATENDER AS UNIDADES BÁSICAS DE SAÚDE, UPA – UNIDADE DE PRONTO ATENDIMENTO E MEDICAMENTOS PSICOTRÓPICOS COMPRIMIDOS E INJETÁVEIS, DESTINADOS À SECRETARIA MUNICIPAL DE SAÚDE</t>
  </si>
  <si>
    <t>PP - 25/21</t>
  </si>
  <si>
    <t>2020/21</t>
  </si>
  <si>
    <t>372/22</t>
  </si>
  <si>
    <t>2022000000003</t>
  </si>
  <si>
    <t>12/04/22 a 12/04/23</t>
  </si>
  <si>
    <t>CROMO COMERCIO E DISTRIBUICAO DE MATERIAIS ODONTO-MEDICO HOSPITALARES LTDA - 30.584.194/0001-80</t>
  </si>
  <si>
    <t>641/2022</t>
  </si>
  <si>
    <t>05/04/22 a 05/04/23</t>
  </si>
  <si>
    <t>ONCO SETTE DISTRIBUIDORA DE MEDICAMENTOS LTDA - 33.608.937/0001-01</t>
  </si>
  <si>
    <t>REGISTRO DE PREÇOS PARA FORNECIMENTO DE MEDICAMENTOS, PARA ATENDIMENTO DE MANDADOS JUDICIAIS DA SECRETARIA MUNICIPAL DE SAÚDE</t>
  </si>
  <si>
    <t>PP - 24/21</t>
  </si>
  <si>
    <t>1504/21</t>
  </si>
  <si>
    <t>2022000000007</t>
  </si>
  <si>
    <t>11/22</t>
  </si>
  <si>
    <t>INTERLAB FARMACEUTICA LTDA - 43.295.831/0001-40</t>
  </si>
  <si>
    <t>378/22</t>
  </si>
  <si>
    <t>11/03/22 a 11/03/23</t>
  </si>
  <si>
    <t>CIAMED DISTRIBUIDORA DE MEDICAMENTOS LTDA - 05.782.733/0001-49</t>
  </si>
  <si>
    <t>373/22</t>
  </si>
  <si>
    <t>18/03/22 a 18/03/23</t>
  </si>
  <si>
    <t>07/22</t>
  </si>
  <si>
    <t>DROGAFONTE MEDICAMENTOS E MATERIAL HOSPITALAR - 08.778.201/0001-26</t>
  </si>
  <si>
    <t>374/22</t>
  </si>
  <si>
    <t>KOA TEXTIL CONFECÇÕES EIRELI - 22.718.427/0001-62</t>
  </si>
  <si>
    <t>REGISTRO DE PREÇOS PARA FORNECIMENTO DE UNIFORME ESCOLAR PARA OS ALUNOS DAS PRÉ-ESCOLAS DA REDE MUNICIPAL DE ENSINO</t>
  </si>
  <si>
    <t>382/22</t>
  </si>
  <si>
    <t>2022000000005</t>
  </si>
  <si>
    <t>380/22</t>
  </si>
  <si>
    <t>04/03/22 a 04/03/23</t>
  </si>
  <si>
    <t>379/22</t>
  </si>
  <si>
    <t>10/22</t>
  </si>
  <si>
    <t>INOVAMED HOSPITALAR LTDA - 12.889.035/0001-02</t>
  </si>
  <si>
    <t>377/22</t>
  </si>
  <si>
    <t>COMERCIAL CIRURGICA RIOCLARENSE LTDA - 67.729.178/0004-91</t>
  </si>
  <si>
    <t>381/22</t>
  </si>
  <si>
    <t>25/02/22 a 25/02/23</t>
  </si>
  <si>
    <t>FRAGNARI DISTRIBUIDORA DE MEDICAMENTOS LTDA - 14.271.474/0001-82</t>
  </si>
  <si>
    <t>375/22</t>
  </si>
  <si>
    <t>FUTURA COMERCIO DE PRODUTOS MEDICOS E HOSPITALARES - 08.231.734/0001-93</t>
  </si>
  <si>
    <t>376/22</t>
  </si>
  <si>
    <t>FORCE MEDICAL DISTRIBUIDORA EIRELLI - 24.067.457/0001-81</t>
  </si>
  <si>
    <t>REGISTRO DE PREÇOS PARA FORNECIMENTO FRALDAS DESCARTÁVEIS INFANTIS E GERIÁTRICAS, A FIM DE ATENDER AS NECESSIDADES DA SECRETARIA MUNICIPAL DE SAÚDE E DEMANDA JUDICIAL</t>
  </si>
  <si>
    <t>PP - 01/22</t>
  </si>
  <si>
    <t>2018/21</t>
  </si>
  <si>
    <t>301/22</t>
  </si>
  <si>
    <t>2022000000052</t>
  </si>
  <si>
    <t>300/22</t>
  </si>
  <si>
    <t>REGISTRO DE PREÇOS PARA FORNECIMENTO DE MATERIAL PARA MANUTENÇÃO E REPAROS, PARA ATENDER AS UNIDADES PERTENCENTES À PREFEITURA MUNICIPAL DE RIO GRANDE DA SERRA</t>
  </si>
  <si>
    <t>PP - 26/21</t>
  </si>
  <si>
    <t>589/21</t>
  </si>
  <si>
    <t>290/22</t>
  </si>
  <si>
    <t>2022000000051</t>
  </si>
  <si>
    <t>15/02/22 a 15/02/23</t>
  </si>
  <si>
    <t>01/22</t>
  </si>
  <si>
    <t xml:space="preserve">NUTRICIONALE COMERCIO DE ALIMENTOS LTDA - 08.528.442/0001-17 </t>
  </si>
  <si>
    <t>REGISTRO DE PREÇOS PARA FORNECIMENTO DE KITS DE ALIMENTAÇÃO PARA ATENDER A DEMANDA DO CRAS – CENTRO DE REFERÊNCIA DE ASSISTÊNCIA SOCIAL, COMO BENEFÍCIO EVENTUAL, EM ATENDIMENTOS A FAMÍLIAS EM SITUAÇÃO DE VULNERABILIDADE SOCIAL NO MUNICÍPIO DE RIO GRANDE DA SERRA</t>
  </si>
  <si>
    <t>PP - 20/21</t>
  </si>
  <si>
    <t>854/21</t>
  </si>
  <si>
    <t>180/22</t>
  </si>
  <si>
    <t>2022000000049</t>
  </si>
  <si>
    <t>01/02/22 a 01/02/23</t>
  </si>
  <si>
    <t>REGISTRO DE PREÇOS PARA EVENTUAL AQUISIÇÃO DE TESTE RÁPIDO DE COVID19, A FIM DE ATENDER OS PACIENTES COM SUSPEITA DE COVID19 NA UNIDADE DE PRONTO ATENDIMENTO DE RIO GRANDE DA SERRA</t>
  </si>
  <si>
    <t>PP - 21/21</t>
  </si>
  <si>
    <t>1585/21</t>
  </si>
  <si>
    <t>11/01/22 a 10/01/23</t>
  </si>
  <si>
    <t>TROPIC’S COMERCIAL DE UTILIDADES DOMESTICAS EIRELI - 64.650.583/0001-89</t>
  </si>
  <si>
    <t>REGISTRO DE PREÇOS PARA FORNECIMENTO DE MATERIAL DE LIMPEZA, PARA ATENDER AS UNIDADES PERTENCENTES À PREFEITURA MUNICIPAL DE RIO GRANDE DA SERRA</t>
  </si>
  <si>
    <t>PP - 04/21</t>
  </si>
  <si>
    <t>241/24</t>
  </si>
  <si>
    <t>1980/21</t>
  </si>
  <si>
    <t>2022000000045</t>
  </si>
  <si>
    <t>21/12/21 a 20/12/22</t>
  </si>
  <si>
    <t>R. F. GORY COMERCIAL LTDA EPP - 10.372.062/0001-88</t>
  </si>
  <si>
    <t>241/23</t>
  </si>
  <si>
    <t>1979/21</t>
  </si>
  <si>
    <t>26/11/21 a 25/11/22</t>
  </si>
  <si>
    <t>13/21</t>
  </si>
  <si>
    <t>LOCAMAIS SERVIÇOS EIRELI EPP - 11.191.505/0001-05</t>
  </si>
  <si>
    <t>241/22</t>
  </si>
  <si>
    <t>1978/21</t>
  </si>
  <si>
    <t>12/21</t>
  </si>
  <si>
    <t>CANAÃ DISTRIBUIDORA E COMERCIO DE PRODUTOS E ACESSORIOS EIRELI - 21.278.096/0001-24</t>
  </si>
  <si>
    <t>241/21</t>
  </si>
  <si>
    <t>1976/21</t>
  </si>
  <si>
    <t>17/12/21 A 16/12/22</t>
  </si>
  <si>
    <t>MGSERV GESTÃO AMBIENTAL EM TECNOLOGIAS SUSTENTÁVEIS LTDA
CNPJ/MF sob o nº. 28.239.961/0001-72</t>
  </si>
  <si>
    <t>REGISTRO DE PREÇOS PARA FORNECIMENTO DE KITS DE MATERIAIS ESCOLARES PARA OS ALUNOS DA REDE MUNICIPAL DE ENSINO: CRECHE, PRE-ESCOLA E EJA, DESTINADOS A SECRETARIA DE EDUCAÇÃO E CULTURA</t>
  </si>
  <si>
    <t>PP - 05/21</t>
  </si>
  <si>
    <t>124/21</t>
  </si>
  <si>
    <t>1655/21</t>
  </si>
  <si>
    <t>01/10/21 A 30/09/22</t>
  </si>
  <si>
    <t>UA GRÁFICA COMÉRCIO E PRESTAÇÃO DE SERVIÇOS GRÁFICOS EIRELLI - 28.508.540/0001-08</t>
  </si>
  <si>
    <t>TODAS SEC</t>
  </si>
  <si>
    <t xml:space="preserve">REGISTRO DE PREÇOS PARA EVENTUAL FORNECIMENTO DE IMPRESSOS GRÁFICOS PARA SUPRIR AS NECESSIDADES DE TODAS AS SECRETARIAS DA PREFEITURA MUNICIPAL DE RIO GRANDE DA SERRA </t>
  </si>
  <si>
    <t>PP - 08/21</t>
  </si>
  <si>
    <t>387/21</t>
  </si>
  <si>
    <t>1601/21</t>
  </si>
  <si>
    <t>24/09/21 A 23/09/22</t>
  </si>
  <si>
    <t>SUCESSO PRINT ARTES GRÁFICAS LTDA - 01.633.039/0001-09</t>
  </si>
  <si>
    <t>1595/21</t>
  </si>
  <si>
    <t>VILA BARCELONA COMÉRCIO DE SUPRIMENTOS E EQUIPAMENTOS EIRELI - 22.719.411/0001-74</t>
  </si>
  <si>
    <t>REGISTRO DE PREÇOS PARA FORNECIMENTO DE LANCHES, DENOMINADO KIT LANCHE, EMBALADO INDIVIDUALMENTE, EM CONDIÇÕES HIGIÊNICO-SANITÁRIAS ADEQUADAS, PARA ATENDER A NECESSIDADES DO CRAS/ SCFV E CREAS.</t>
  </si>
  <si>
    <t>PP - 06/21</t>
  </si>
  <si>
    <t>299/21</t>
  </si>
  <si>
    <t>1249/21</t>
  </si>
  <si>
    <t>30/07/21 A 29/04/22</t>
  </si>
  <si>
    <t>MARIA CRISTINA PERAZZA TAMBORRINO IMPORTAÇÃO E EXPORTAÇÃO - 01.312.680/0001-41</t>
  </si>
  <si>
    <t>REGISTRO DE PREÇO PARA FORNECIMENTO DE ÓLEO E LUBRIFICANTES DESTINADOS A MANUTENÇÃO DE MÁQUINAS, VEÍCULOS LEVES E PESADOS PERTENCENTES À PREFEITURA MUNICIPAL DE RIO GRANDE DA SERRA</t>
  </si>
  <si>
    <t>PP - 42/20</t>
  </si>
  <si>
    <t>790/20</t>
  </si>
  <si>
    <t>643/21</t>
  </si>
  <si>
    <t>PROCOMP PRODUTOS E SERVICOS DE INFORMATICA LTDA. - 51.920.700/0001-35</t>
  </si>
  <si>
    <t>REGISTRO DE PREÇO DE PAPEL SULFITE A4 PARA TODAS AS SECRETARIAS</t>
  </si>
  <si>
    <t>PP - 43/20</t>
  </si>
  <si>
    <t>1580/20</t>
  </si>
  <si>
    <t>627/21</t>
  </si>
  <si>
    <t>27/04/21 A 26/04/22</t>
  </si>
  <si>
    <t>MEDIMPORT COMERCIO DE PRODUTOS HOSPITALARES LTDA - EPP - 03.434.334/0001-61</t>
  </si>
  <si>
    <t>REGISTRO DE PREÇOS PARA FORNECIMENTO DE PRODUTOS DE HIGIENE PESSOAL E FRALDAS DESCARTAVEIS INAFNTIS, PARA ATENDER AS NECESSIDADES DOS USUÁRIOS DO ACOLHIMENTO INSTITUCIONAL E DO CREAS</t>
  </si>
  <si>
    <t>PP - 40/20</t>
  </si>
  <si>
    <t>1049/20</t>
  </si>
  <si>
    <t>568/21</t>
  </si>
  <si>
    <t>20/04/21 A 19/04/22</t>
  </si>
  <si>
    <t>AMERICA SERVE LIMPEZA E SERVIÇOS LTDA - 09.424.115/0001-88</t>
  </si>
  <si>
    <t>REGISTRO DE PREÇOS PARA FORNECIMENTO DE MATERIAS DE LIMPEZA PARA ATENDER AS SECRETARIAS PERTENCENTES A PREFEITURA MUNICIPAL DE RIO GRANDE DA SERRA</t>
  </si>
  <si>
    <t>PP - 38/20</t>
  </si>
  <si>
    <t>1065/20</t>
  </si>
  <si>
    <t>553/21</t>
  </si>
  <si>
    <t>16/04/21 A 15/04/22</t>
  </si>
  <si>
    <t>MS DE ARAUJO ATACADISTA DE PRODUTOS EM GERAL LTDA - 26.300.858/0001-65</t>
  </si>
  <si>
    <t>552/21</t>
  </si>
  <si>
    <t>COMERCIAL LUX CLEAN LTDA - 03.576.719/0001-63</t>
  </si>
  <si>
    <t>551/21</t>
  </si>
  <si>
    <t>88/20</t>
  </si>
  <si>
    <t>FREDERICO CARVALHO MAZOLINI &amp; CIA LTDA - 09.083.327/0001-49</t>
  </si>
  <si>
    <t>REGISTRO DE PREÇOS PARA PRESTAÇÃO DE SERVIÇOS ESPECIALIZADOS DE INSTALAÇÃO E MANUTENÇÃO DE SISTEMAS DE COMBATE A INCÊNDIO E ACESSIBILIDADE PARA ATENDER TODAS AS SECRETARIAS DA PREFEITURA MUNICIPAL DE RIO GRANDE DA SERRA</t>
  </si>
  <si>
    <t>CO - 03/20</t>
  </si>
  <si>
    <t>283/20</t>
  </si>
  <si>
    <t>1939/20</t>
  </si>
  <si>
    <t>22/12/20 À 21/12/21</t>
  </si>
  <si>
    <t>87/20</t>
  </si>
  <si>
    <t>STEPHANI CARVALHO REIS DE CASTILHO INDUSTRIA E COMERCIO - 33.887.039/0001-21</t>
  </si>
  <si>
    <t>REGISTRO DE PREÇOS PARA FORNECIMENTO DE ELETRODOMÉSTICOS PARA ATENDER AS SECRETARIAS DESTA MUNICIPALIDADE</t>
  </si>
  <si>
    <t>PP - 39/20</t>
  </si>
  <si>
    <t>2041/19</t>
  </si>
  <si>
    <t>1846/20</t>
  </si>
  <si>
    <t>22/12/20 À 21/12/23</t>
  </si>
  <si>
    <t>86/20</t>
  </si>
  <si>
    <t>MAB EQUIPAMENTOS EIRELI - 37.658.173/0001-01</t>
  </si>
  <si>
    <t>1845/20</t>
  </si>
  <si>
    <t>22/12/20 À 21/12/22</t>
  </si>
  <si>
    <t>85/20</t>
  </si>
  <si>
    <t>ESPAÇO 2 TECNOLOGIA E INFORMÁTICA LTDA EPP - 09.066.243/0001-05</t>
  </si>
  <si>
    <t>1844/20</t>
  </si>
  <si>
    <t>84/20</t>
  </si>
  <si>
    <t>VILLE SERVICOS E NEGOCIOS LTDA - 04.989.385/0001-12</t>
  </si>
  <si>
    <t>REGISTRO DE PREÇOS PARA FORNECIMENTO DE ENXOVAL HOSPITALAR PARA A UPA - UNIDADE DE PRONTO ATENDIMENTO, PARA ATENDER A SECRETARIA MUNCIPAL DE SAÚDE.</t>
  </si>
  <si>
    <t>PP - 37/20</t>
  </si>
  <si>
    <t>604/20</t>
  </si>
  <si>
    <t>1841/20</t>
  </si>
  <si>
    <t>83/20</t>
  </si>
  <si>
    <t>TROPICS COMERCIAL DE UTILIDADES DOMESTICAS EIRELI - 64.650.583/0001-89</t>
  </si>
  <si>
    <t>1842/20</t>
  </si>
  <si>
    <t>82/20</t>
  </si>
  <si>
    <t>NOVO CAMINHO COMERCIAL EIRELI - 23.613.640/0001-72</t>
  </si>
  <si>
    <t>1843/20</t>
  </si>
  <si>
    <t>81/20</t>
  </si>
  <si>
    <t>SM COMERCIO E SERVICO LTDA - 14.567.322/0001-21</t>
  </si>
  <si>
    <t>PP - 35/20</t>
  </si>
  <si>
    <t>1276/20</t>
  </si>
  <si>
    <t>1772/20</t>
  </si>
  <si>
    <t>30/11/20 À 29/11/21</t>
  </si>
  <si>
    <t>80/20</t>
  </si>
  <si>
    <t>GGV COMERCIAL EIRELI 
CNPJ/MF sob o nº 35.236.131/0001-57</t>
  </si>
  <si>
    <t>1771/20</t>
  </si>
  <si>
    <t>79/20</t>
  </si>
  <si>
    <t>REGISTRO DE PREÇOS PARA FORNECIMENTO DE MATERIAL ELÉTRICO PARA ATENDER AS SECRETARIAS DESSE MUNICIPIO</t>
  </si>
  <si>
    <t>PP - 34/20</t>
  </si>
  <si>
    <t>1004/20</t>
  </si>
  <si>
    <t>1770/20</t>
  </si>
  <si>
    <t>19/11/20 À 18/11/21</t>
  </si>
  <si>
    <t>78/20</t>
  </si>
  <si>
    <t>1769/20</t>
  </si>
  <si>
    <t>77/20</t>
  </si>
  <si>
    <t>RR MEDICAL EIRELI ME - 33.202.407/0001-50</t>
  </si>
  <si>
    <t>REGISTRO DE PREÇO PARA FORNECIMENTO DE MEDICAMENTO PARA ATENDER OS ESTABELECIMENTOS DE SAUDE.</t>
  </si>
  <si>
    <t>PP - 33/20</t>
  </si>
  <si>
    <t>844/20</t>
  </si>
  <si>
    <t>1767/20</t>
  </si>
  <si>
    <t>19/11/20 A 18/11/21</t>
  </si>
  <si>
    <t>76/20</t>
  </si>
  <si>
    <t>FER - MAX FERRAMENTAS LTDA - 22.014.876/0001-20</t>
  </si>
  <si>
    <t>REGISTRO DE PREÇO PARA AQUISIÇÃO DE ROÇADEIRAS</t>
  </si>
  <si>
    <t>PP - 32/20</t>
  </si>
  <si>
    <t>154/20</t>
  </si>
  <si>
    <t>1766/20</t>
  </si>
  <si>
    <t>75/20</t>
  </si>
  <si>
    <t>REGISTRO DE PREÇOS PARA FORNECIMENTO DE DIETA ENTERAL E LEITES, PARA ATENDIMENTO DE MANDADOS JUDICIAIS DA SECRETARIA MUNICIPAL DE SAÚDE</t>
  </si>
  <si>
    <t>PP - 31/20</t>
  </si>
  <si>
    <t>1201/20</t>
  </si>
  <si>
    <t>1761/20</t>
  </si>
  <si>
    <t>74/20</t>
  </si>
  <si>
    <t>STEPHANI CARVALHO REIS DE CASTILHO IND. E COMERCIO
CNPJ/MF sob o nº 33.887.039/0001-21</t>
  </si>
  <si>
    <t>REGISTRO DE PREÇOS PARA FORNECIMENTO DE PERIFÉRICOS E ACESSÓRIOS</t>
  </si>
  <si>
    <t>PP - 30/20</t>
  </si>
  <si>
    <t>1735/19</t>
  </si>
  <si>
    <t>1711/20</t>
  </si>
  <si>
    <t>13/11/20 A 12/11/21</t>
  </si>
  <si>
    <t>73/20</t>
  </si>
  <si>
    <t>HIGH TECH INFORMATICA SÃO CARLOS LTDA EIRELI - 27.703.597/0001-97</t>
  </si>
  <si>
    <t>1710/20</t>
  </si>
  <si>
    <t>72/20</t>
  </si>
  <si>
    <t>1709/20</t>
  </si>
  <si>
    <t>71/20</t>
  </si>
  <si>
    <t>VITAL HOSPITALAR COMERCIAL LTDA - 61.610.283/0001-88</t>
  </si>
  <si>
    <t>REGISTRO DE PREÇOS PARA FORNECIMENTO DE MATERIAL DE ENFERMAGEM E HOSPITALAR, DESTINADOS A SECRETARIA DE SAÚDE DESTE MUNICÍPIO</t>
  </si>
  <si>
    <t>PP - 29/20</t>
  </si>
  <si>
    <t>623/20</t>
  </si>
  <si>
    <t>1610/20</t>
  </si>
  <si>
    <t>30/10/20 a 29/10/21</t>
  </si>
  <si>
    <t>70/20</t>
  </si>
  <si>
    <t>1609/20</t>
  </si>
  <si>
    <t>69/20</t>
  </si>
  <si>
    <t>QUALITY MEDICAL COMERCIO E DIST. DE MEDICAMENTOS LTDA - 07.118.264/0001-93</t>
  </si>
  <si>
    <t>1608/20</t>
  </si>
  <si>
    <t>68/20</t>
  </si>
  <si>
    <t>1607/20</t>
  </si>
  <si>
    <t>67/20</t>
  </si>
  <si>
    <t>1606/20</t>
  </si>
  <si>
    <t>66/20</t>
  </si>
  <si>
    <t>DAKFILM COMERCIAL LTDA - 61.613.881/0001-00</t>
  </si>
  <si>
    <t>1605/20</t>
  </si>
  <si>
    <t>65/20</t>
  </si>
  <si>
    <t>CIRUROMA COMERCIAL LTDA-ME - 05.515.873/0001-50</t>
  </si>
  <si>
    <t>1604/20</t>
  </si>
  <si>
    <t>64/20</t>
  </si>
  <si>
    <t>BIOFAC INDUSTRIA COMERCIO REPRESENTAÇÃO LTDA - 14.112.327/0001-60</t>
  </si>
  <si>
    <t>1603/20</t>
  </si>
  <si>
    <t>63/20</t>
  </si>
  <si>
    <t>LUCINEIDE B DOS SANTOS MÓVEIS EPP - CNPJ: 01.597.132/0001-05</t>
  </si>
  <si>
    <t>REGISTRO DE PREÇOS PARA FORNECIMENTO DE MOBILIÁRIO EM GERAL</t>
  </si>
  <si>
    <t>PP - 28/20</t>
  </si>
  <si>
    <t>974/19</t>
  </si>
  <si>
    <t>1516/20</t>
  </si>
  <si>
    <t>02/10/20 A 01/10/21</t>
  </si>
  <si>
    <t>62/20</t>
  </si>
  <si>
    <t>CPS MOBILIÁRIO E EQUIPAMENTOS EIRELI ME - CNPJ: 26.334.347/0001-64</t>
  </si>
  <si>
    <t>1515/20</t>
  </si>
  <si>
    <t>61/20</t>
  </si>
  <si>
    <t>DISTRIBUIDORA GO BUY EIRELI EPP - CNPJ: 26.865.377/0001-05</t>
  </si>
  <si>
    <t>REGISTRO DE PREÇOS PARA FORNECIMENTO DE EQUIPAMENTOS PARA COPA/COZINHA</t>
  </si>
  <si>
    <t>PP - 27/20</t>
  </si>
  <si>
    <t>2252/19</t>
  </si>
  <si>
    <t>1514/20</t>
  </si>
  <si>
    <t>60/20</t>
  </si>
  <si>
    <t>TR2 COMÉRCIO E SERVIÇOS DE PAPELARIA EIRELI
CNPJ/MF sob o nº. 08.610.916/0001-75</t>
  </si>
  <si>
    <t>REGISTRO DE PREÇOS PARA FORNECIMENTO DE MATERIAL DE ESCRITÓRIO</t>
  </si>
  <si>
    <t>PP - 26/20</t>
  </si>
  <si>
    <t>1918/19</t>
  </si>
  <si>
    <t>1513/20</t>
  </si>
  <si>
    <t>59/20</t>
  </si>
  <si>
    <t>1512/20</t>
  </si>
  <si>
    <t>58/20</t>
  </si>
  <si>
    <t>DROGARIA POPULAR MELHOR PREÇO RGS EIRELI - 31.538.876/0001-10</t>
  </si>
  <si>
    <t>REGISTRO DE PREÇOS PARA FORNECIMENTO DE MEDICAMENTOS, PARA ATENDIMENTO DE MANDADO JUDICIAIS DA SECRETARIA MUNICIPAL DE SAÚDE</t>
  </si>
  <si>
    <t>PP - 24/20</t>
  </si>
  <si>
    <t>514/20</t>
  </si>
  <si>
    <t>1371/20</t>
  </si>
  <si>
    <t>04/09/20 A 03/09/21</t>
  </si>
  <si>
    <t>57/20</t>
  </si>
  <si>
    <t>R. CLEAN COMERCIAL EIRELI ME
CNPJ/MF sob o nº. 26.728.117/0001-80</t>
  </si>
  <si>
    <t>REGISTRO DE PREÇO PARA FORNECIMENTO DE KIT DE MATERIAL - PROJETO MUSICAL - PALAVRA CANTADA</t>
  </si>
  <si>
    <t>PP - 23/20</t>
  </si>
  <si>
    <t>2183/19</t>
  </si>
  <si>
    <t>1273/20</t>
  </si>
  <si>
    <t>14/08/20 A 14/08/21</t>
  </si>
  <si>
    <t>56/20</t>
  </si>
  <si>
    <t>PAMP &amp; VAMD COMÉRCIO VAREJISTA LTDA EPP - 16.622.225/0001-10</t>
  </si>
  <si>
    <t>REGISTRO DE PREÇOS PARA FORNECIMENTO DE FRALDA DESCARTÁVEL GERIÁTRICA</t>
  </si>
  <si>
    <t>PP - 25/20</t>
  </si>
  <si>
    <t>465/20</t>
  </si>
  <si>
    <t>1148/20</t>
  </si>
  <si>
    <t>31/07/20 A 30/07/21</t>
  </si>
  <si>
    <t>55/20</t>
  </si>
  <si>
    <t>FORCE MEDICAL DISTRIBUIDORA EIRELI
CNPJ/MF sob o nº 24.067.457/0001-81</t>
  </si>
  <si>
    <t>REGISTRO DE PREÇOS PARA FORNECIMENTO DE FRALDA DESCARTÁVEL INFANTIL</t>
  </si>
  <si>
    <t>1147/20</t>
  </si>
  <si>
    <t>54/20</t>
  </si>
  <si>
    <t>PROC. Nº 654/2020 - REGISTRO DE PREÇO PARA AQUISIÇÃO DE KITS DE ALIMENTAÇÃO PARA ATENDER A DEMANDA DO CRAS.</t>
  </si>
  <si>
    <t>PP - 22/20</t>
  </si>
  <si>
    <t>654/20</t>
  </si>
  <si>
    <t>1040/20</t>
  </si>
  <si>
    <t>10/07/20 A 10/07/21</t>
  </si>
  <si>
    <t>53/20</t>
  </si>
  <si>
    <t>REGISTRO DE PREÇOS PARA FORNECIMENTO DE ARTEFATOS DE CONCRETO</t>
  </si>
  <si>
    <t>PP - 21/20</t>
  </si>
  <si>
    <t>410/20</t>
  </si>
  <si>
    <t>1021/20</t>
  </si>
  <si>
    <t>52/20</t>
  </si>
  <si>
    <t>GUARANI INDUSTRIA, COMERCIO E SERVIÇOS LTDA - 45.817.467/0001-67</t>
  </si>
  <si>
    <t>1017/20</t>
  </si>
  <si>
    <t>51/20</t>
  </si>
  <si>
    <t>J.C. BARBIERI E CIA LTDA EPP - 00.548.120/0001-28</t>
  </si>
  <si>
    <t>REGISTRO DE PREÇOS PARA FORNECIMENTO DE MOBILIÁRIO PARA ATENDER A SECRETARIA DE EDUCAÇÃO E CULTURA</t>
  </si>
  <si>
    <t>PP - 19/20</t>
  </si>
  <si>
    <t>43/20</t>
  </si>
  <si>
    <t>1022/20</t>
  </si>
  <si>
    <t>50/20</t>
  </si>
  <si>
    <t>GOTT WIRD COMÉRCIO E SEVIÇOS EIRELI - 15.741.819/0001-87</t>
  </si>
  <si>
    <t>1020/20</t>
  </si>
  <si>
    <t>49/20</t>
  </si>
  <si>
    <t>REGISTRO DE PREÇO PARA FORNECIMENTO DE UTENSÍLIOS DE REFEITÓRIO, COPA E COZINHA PARA ATENDER AS UNIDADES ESCOLARES DA REDE MUNICIPAL DE ENSINO: CRECHE E PRÉ-ESCOLA.</t>
  </si>
  <si>
    <t>PP - 18/20</t>
  </si>
  <si>
    <t>2250/19</t>
  </si>
  <si>
    <t>1014/20</t>
  </si>
  <si>
    <t>48/20</t>
  </si>
  <si>
    <t>REGISTRO DE PREÇO PARA FORNECIMENTO DE MATERIAL E EQUIPAMENTO PARA O BERÇÁRIO PARA AS UNIDADES DE EDUCAÇÃO INFANTIL - CRECHE, PARA ATENDER A SECRETARIA DE EDUCAÇÃO E CULTURA</t>
  </si>
  <si>
    <t>PP - 20/20</t>
  </si>
  <si>
    <t>2039/19</t>
  </si>
  <si>
    <t>1018/20</t>
  </si>
  <si>
    <t>47/20</t>
  </si>
  <si>
    <t>LEVIN COMERCIAL LTDA - 09.127.785/0001-32</t>
  </si>
  <si>
    <t>1016/20</t>
  </si>
  <si>
    <t>46/20</t>
  </si>
  <si>
    <t>1015/20</t>
  </si>
  <si>
    <t>45/20</t>
  </si>
  <si>
    <t>1019/20</t>
  </si>
  <si>
    <t>44/20</t>
  </si>
  <si>
    <t>REGISTRO DE PREÇOS PARA FORNECIMENTO DE CIMENTO</t>
  </si>
  <si>
    <t>PP - 16/20</t>
  </si>
  <si>
    <t>622/20</t>
  </si>
  <si>
    <t>898/20</t>
  </si>
  <si>
    <t>19/06/20 A 19/06/21</t>
  </si>
  <si>
    <t xml:space="preserve">REGISTRO DE PREÇOS PARA FORNECIMENTO DE BICA CORRIDA E PEDRA BRITADA </t>
  </si>
  <si>
    <t>PP - 15/20</t>
  </si>
  <si>
    <t>409/20</t>
  </si>
  <si>
    <t>896/20</t>
  </si>
  <si>
    <t>42/20</t>
  </si>
  <si>
    <t xml:space="preserve">REGISTRO DE PREÇOS PARA FORNECIMENTO DE AREIA E RACHÃO. </t>
  </si>
  <si>
    <t>897/20</t>
  </si>
  <si>
    <t>41/20</t>
  </si>
  <si>
    <t>CONSTRUTORA ESTRUTURAL LTDA - 75.154.385/0001-40</t>
  </si>
  <si>
    <t>REGISTRO DE PREÇOS PARA FORNECIMENTO DE PEDRISCO</t>
  </si>
  <si>
    <t>895/20</t>
  </si>
  <si>
    <t>40/20</t>
  </si>
  <si>
    <t>FUTURA COMERCIO DE PRODUTOS MÉDICOS E HOSPITALARES - CNPJ: 08.231.734/0001/93</t>
  </si>
  <si>
    <t>REGISTRO DE PREÇO PARA FORNECIMENTO DE MEDICAMENTOS PARA ATENDER AS UNIDADES BÁSICA DE SAÚDE</t>
  </si>
  <si>
    <t>PP - 12/20</t>
  </si>
  <si>
    <t>2234/19</t>
  </si>
  <si>
    <t>729/20</t>
  </si>
  <si>
    <t>08/05/20 A 08/05/21</t>
  </si>
  <si>
    <t>39/20</t>
  </si>
  <si>
    <t>DROGAFONTE LTDA - CNPJ: 08.778.201/0001-26</t>
  </si>
  <si>
    <t>728/20</t>
  </si>
  <si>
    <t>38/20</t>
  </si>
  <si>
    <t>727/20</t>
  </si>
  <si>
    <t>37/20</t>
  </si>
  <si>
    <t>PARTNER FARMA DISTRIBUIDORA DE MEDICAMENTOS EIRELI
CNPJ/MF  sob  o  nº. 28.123.417/0001-60</t>
  </si>
  <si>
    <t>726/20</t>
  </si>
  <si>
    <t>36/20</t>
  </si>
  <si>
    <t>725/20</t>
  </si>
  <si>
    <t>35/20</t>
  </si>
  <si>
    <t>INOVAMED COMÉRCIO DE MEDICAMENTOS LTDA - CNPJ: 12.889.035/0001-02</t>
  </si>
  <si>
    <t>724/20</t>
  </si>
  <si>
    <t>34/20</t>
  </si>
  <si>
    <t>J. DA S. N. SANTANA LIMPEZA ME
CNPJ/MF sob o nº. 29.588.052/0001-02</t>
  </si>
  <si>
    <t>REGISTRO DE PREÇO PAR FORNECIMENTO DE MATERIAL (PAPELARIA) PARA AS UNIDADES ESCOLARES</t>
  </si>
  <si>
    <t>PP - 14/20</t>
  </si>
  <si>
    <t>2040/19</t>
  </si>
  <si>
    <t>723/20</t>
  </si>
  <si>
    <t>33/20</t>
  </si>
  <si>
    <t>REGISTRO DE PREÇO PARA FORNECIMENTO DE EMERGÊNCIA, COMPRIMIDOS E INJETÁVEIS</t>
  </si>
  <si>
    <t>PP - 11/20</t>
  </si>
  <si>
    <t>2236/19</t>
  </si>
  <si>
    <t>722/20</t>
  </si>
  <si>
    <t>32/20</t>
  </si>
  <si>
    <t>721/20</t>
  </si>
  <si>
    <t>31/20</t>
  </si>
  <si>
    <t>INOVAMED COMÉRCIO DE MEDICAMENTOS LTDA
CNPJ/MF sob o nº. 12.889.035/0001-02</t>
  </si>
  <si>
    <t>720/20</t>
  </si>
  <si>
    <t>30/20</t>
  </si>
  <si>
    <t>716/20</t>
  </si>
  <si>
    <t>29/20</t>
  </si>
  <si>
    <t>715/20</t>
  </si>
  <si>
    <t>28/20</t>
  </si>
  <si>
    <t>REGISTRO DE PREÇO PARA FORNECIMENTO DE EQUIPAMENTOS DE ARMAZENAMENTO DE DADOS</t>
  </si>
  <si>
    <t>PP - 08/20</t>
  </si>
  <si>
    <t>1733/19</t>
  </si>
  <si>
    <t>713/20</t>
  </si>
  <si>
    <t>27/20</t>
  </si>
  <si>
    <t>RD INFORMATICA LTDA - 27.343.163/0001-23</t>
  </si>
  <si>
    <t>REGISTRO DE PREÇO PARA FORNECIMENTO DE EQUIP. DE INFORMÁTICA: ESTABILIZADOR</t>
  </si>
  <si>
    <t>PP - 07/20</t>
  </si>
  <si>
    <t>1736/19</t>
  </si>
  <si>
    <t>712/20</t>
  </si>
  <si>
    <t>26/20</t>
  </si>
  <si>
    <t>REGISTRO DE PREÇO PARA FORNECIMENTO DE EQUIP. DE INFORMÁTICA: HUB 08 PORTAS E SERVIDOR</t>
  </si>
  <si>
    <t>707/20</t>
  </si>
  <si>
    <t>25/20</t>
  </si>
  <si>
    <t>REGISTRO DE PREÇO PARA FORNECIMENTO DE EQUIP. DE INFORMÁTICA: ROTEADOR E TESTADOR</t>
  </si>
  <si>
    <t>719/20</t>
  </si>
  <si>
    <t>24/20</t>
  </si>
  <si>
    <t>REGISTRO DE PREÇO PARA FORNECIMENTO DE EQUIPAMENTOS ELÉTRICOS DE INFORMATICA PARA ATENDER AS UNIDADES ADMINISTRATIVAS</t>
  </si>
  <si>
    <t>PP - 06/20</t>
  </si>
  <si>
    <t>1728/19</t>
  </si>
  <si>
    <t>718/20</t>
  </si>
  <si>
    <t>23/20</t>
  </si>
  <si>
    <t>AVANTI NEGOCIOS E TECNOLOGIA EIRELI - 21.379.456/0001-84</t>
  </si>
  <si>
    <t>REGISTRO DE PREÇO PARA FORNECIMENTO DE NOBREAK</t>
  </si>
  <si>
    <t>714/20</t>
  </si>
  <si>
    <t>22/20</t>
  </si>
  <si>
    <t>REGISTRO DE PREÇO PARA FORNECIMENTO DE MEDICAMENTOS PSICOTROPICOS, COMPRIMIDOS E INJETÁVEIS, DESTINADOS A SECRETARIA DE SAÚDE</t>
  </si>
  <si>
    <t>PP - 10/20</t>
  </si>
  <si>
    <t>2237/19</t>
  </si>
  <si>
    <t>711/20</t>
  </si>
  <si>
    <t>21/20</t>
  </si>
  <si>
    <t>710/20</t>
  </si>
  <si>
    <t>20/20</t>
  </si>
  <si>
    <t>UA GRAFICA COMERCIO E PRESTAÇÃO DE SERVIÇOS GRAFICOS EIRELLI EPP - 28.508.540/0001-08</t>
  </si>
  <si>
    <t>REGISTRO DE PREÇO PARA FORNECIMENTO DE IMPRESSOS GRAFICOS PARA USO DAS SECRETARIAS: SAUDE, FINANÇAS, OBRAS E MEIO AMBIENTE</t>
  </si>
  <si>
    <t>PP - 05/20</t>
  </si>
  <si>
    <t>1420/19</t>
  </si>
  <si>
    <t>708/20</t>
  </si>
  <si>
    <t>TOPDATA PROCESSAMENTO DE DADOS LTDA EPP - 45.876.059/0001-86</t>
  </si>
  <si>
    <t>706/20</t>
  </si>
  <si>
    <t>GRAFICA IGUACU LTDA - 20.949.657/0001-07</t>
  </si>
  <si>
    <t>705/20</t>
  </si>
  <si>
    <t>GALERIA DAS LETRAS - EDITORA, COMERCIO DE LIVROS E MATERIAL DIDATICO EIRELI ME - 10.301.617/0001-09</t>
  </si>
  <si>
    <t>704/20</t>
  </si>
  <si>
    <t>REGISTRO DE PREÇO PARA FORNECIMENTO DE MATERIAL HOSPITALAR: SONDAS</t>
  </si>
  <si>
    <t>PP - 01/20</t>
  </si>
  <si>
    <t>1864/19</t>
  </si>
  <si>
    <t>702/20</t>
  </si>
  <si>
    <t>PONTUAL COMERCIAL EIRELI - 01.854.654/0001-45</t>
  </si>
  <si>
    <t>REGISTRO DE PREÇO PARA FORNECIMENTO DE MATERIAL HOSPITALAR: EQUIPO</t>
  </si>
  <si>
    <t>701/20</t>
  </si>
  <si>
    <t>MEDICAL CHIZZOLINI LTDA - 25.067.657/0001-05</t>
  </si>
  <si>
    <t>REGISTRO DE PREÇO PARA FORNECIMENTO DE MATERIAL HOSPITALAR: KIT DE GRAVIDEZ E FIXADOR CELULAR</t>
  </si>
  <si>
    <t>698/20</t>
  </si>
  <si>
    <t>CUBOMED COMERCIO ATACADISTA DE PRODUTOS PARA SAUDE EIRELI EPP - 32.075.199/0001-03</t>
  </si>
  <si>
    <t>REGISTRO DE PREÇO PARA FORNECIMENTO DE MATERIAL HOSPITALAR: BOTA DE UNNA</t>
  </si>
  <si>
    <t>697/20</t>
  </si>
  <si>
    <t>COMERCIAL 3 ALBE LTDA - 74.400.052/0001-91</t>
  </si>
  <si>
    <t>REGISTRO DE PREÇO PARA FORNECIMENTO DE MATERIAL HOSPITALAR: MATERIAIS DE COLETA, EQUIPOS, SONDAS, KIT DE GRAVIDEZ, BOTA DE UNNA, BOLSA DE COLOSTOMIA E AVENTAL DESCARTAVEL, DESTINADOS A SAUDE</t>
  </si>
  <si>
    <t>693/20</t>
  </si>
  <si>
    <t>WORKMATE COMERCIO E SERVIÇOS EIRELI EPP - 10.353.276/0001-07</t>
  </si>
  <si>
    <t>REGISTRO DE PREÇO PARA FORNECIMENTO DE COMPUTADOR ULTRA COMPACTO</t>
  </si>
  <si>
    <t>PP - 13/20</t>
  </si>
  <si>
    <t>164/20</t>
  </si>
  <si>
    <t>692/20</t>
  </si>
  <si>
    <t>TREND COMERCIAL EIRELI EPP - 23.130.098/0001-05</t>
  </si>
  <si>
    <t>REGISTRO DE PREÇO PARA FORNECIMENTO DE MICROCOMPUTADOR TORRE PADRÃO</t>
  </si>
  <si>
    <t>695/20</t>
  </si>
  <si>
    <t>ESPAÇO 2 TECNOLOGIA E INFORMÁTICA EIRELI EPP
CNPJ/MF sob o nº. 09.066.243/0001-05</t>
  </si>
  <si>
    <t>REGISTRO DE PREÇO PARA FORNECIMENTO DE PEÇAS E EQUIPAMENTOS PARA MANUTENÇÃO DE INFRAESTRUTURA DA REDE FISICA ESTRUTURADA DAS UNIDADES ADMINISTRATIVAS PERTENCENTES A PREFEITURA</t>
  </si>
  <si>
    <t>PP - 02/20</t>
  </si>
  <si>
    <t>2325/19</t>
  </si>
  <si>
    <t>469/20</t>
  </si>
  <si>
    <t>13/03/20 À 13/03/21</t>
  </si>
  <si>
    <t>08/20</t>
  </si>
  <si>
    <t>VENDOR - INFORMATICA, IMPORTACAO, INDUSTRIA, COMERCIO, RECARGA E MANUTENCAO LTDA - 27.193.666/0001-60</t>
  </si>
  <si>
    <t>REGISTRO DE PREÇO PARA FORNECIMENTO DE IMPRESSORA LASER</t>
  </si>
  <si>
    <t>PP - 43/19</t>
  </si>
  <si>
    <t>1727/19</t>
  </si>
  <si>
    <t>212/20</t>
  </si>
  <si>
    <t>07/02/20 A 07/02/21</t>
  </si>
  <si>
    <t>MEGADATA INDUSTRIA E COMERCIO DE PRODUTOS ELETROELETRONICOS EIRELI - 34.929.918/0001-31</t>
  </si>
  <si>
    <t>REGISTRO DE PREÇO PARA FORNECIMENTO DE NOTEBOOK</t>
  </si>
  <si>
    <t>211/20</t>
  </si>
  <si>
    <t>LETTECH INDUSTRIA E COMERCIO DE EQUIPAMENTOS DE INFORMATICA - 13.258.144/0001-94</t>
  </si>
  <si>
    <t>REGISTRO DE PREÇO PARA FORNECIMENTO DE COMPUTADOR COM RESOLUÇÃO DE VÍDEO</t>
  </si>
  <si>
    <t>210/20</t>
  </si>
  <si>
    <t>REGISTRO DE PREÇO PARA FORNECIMENTO DE TIRAS REAGENTES E LANCETAS</t>
  </si>
  <si>
    <t>PP - 44/19</t>
  </si>
  <si>
    <t>2225/19</t>
  </si>
  <si>
    <t>202/20</t>
  </si>
  <si>
    <t>30/01/20 A 30/01/21</t>
  </si>
  <si>
    <t>METODO UNIFORMES EIRELI - 22.723.564/0001-95</t>
  </si>
  <si>
    <t>REGISTRO DE PREÇO PARA FORNECIMENTO DE UNIFORME ESCOLAR PARA ATENDER AS EMEBS</t>
  </si>
  <si>
    <t>PP - 46/19</t>
  </si>
  <si>
    <t>2126/19</t>
  </si>
  <si>
    <t>180/20</t>
  </si>
  <si>
    <t>24/01/20 A 24/01/21</t>
  </si>
  <si>
    <t>85/19</t>
  </si>
  <si>
    <t>FORNECIMENTO DE PAPEL SULFITE A4</t>
  </si>
  <si>
    <t>PP - 45/19</t>
  </si>
  <si>
    <t>1881/19</t>
  </si>
  <si>
    <t>20/12/19 A 20/12/20</t>
  </si>
  <si>
    <t>83/19</t>
  </si>
  <si>
    <t>RBS COMÉRCIO E SERVIÇOS EM GERAL ME - CNPJ: 23.868.700/0001-06</t>
  </si>
  <si>
    <t>FORNECIMENTO DE KIT LANCHE PARA ATENDER O CRAS</t>
  </si>
  <si>
    <t>PP - 42/19</t>
  </si>
  <si>
    <t>1703/19</t>
  </si>
  <si>
    <t>2347/19</t>
  </si>
  <si>
    <t>06/12/19 A 06/12/20</t>
  </si>
  <si>
    <t>78/19</t>
  </si>
  <si>
    <t>FORNECIMENTO DE DIETA ENTERAL E LEITES, PARA ATENDIMENTO DE MANDADO JUDICIAIS DA SECRETARIA DE SAÚDE</t>
  </si>
  <si>
    <t>PP - 34/19</t>
  </si>
  <si>
    <t>653/19</t>
  </si>
  <si>
    <t>2076/19</t>
  </si>
  <si>
    <t>77/19</t>
  </si>
  <si>
    <t>M.A.S - MATERIAIS E ROUPAS PROFISSIONAIS LTDA EPP - CNPJ: 03.869.459/0001-14</t>
  </si>
  <si>
    <t>FORNECIMENTO DE UNIFORMES E CALÇADOS MASCULINOS E FEMININO PARA GUARDA CIVIL E UNIFORME DE GALA PARA O COMANDANTE DA GUARDA</t>
  </si>
  <si>
    <t>PP - 33/19</t>
  </si>
  <si>
    <t>825/19</t>
  </si>
  <si>
    <t>2075/19</t>
  </si>
  <si>
    <t>76/19</t>
  </si>
  <si>
    <t>AGLON COMERCIO E REPRESENTAÇÕES LTDA
CNPJ/MF sob o nº. 65.817.900/0001-71</t>
  </si>
  <si>
    <t>FORNECIMENTO DE MEDICAMENTOS DE ATENÇÃO BÁSICA, PSICOTROPICOS E DE URGENCIA E EMERGENCIA PARA ATENDER A SECRETARIA DE SAÚDE</t>
  </si>
  <si>
    <t>PP - 37/19</t>
  </si>
  <si>
    <t>938/19</t>
  </si>
  <si>
    <t>2074/19</t>
  </si>
  <si>
    <t>75/19</t>
  </si>
  <si>
    <t>2070/19</t>
  </si>
  <si>
    <t>74/19</t>
  </si>
  <si>
    <t>ESPAÇO 2 TECNOLOGIA  E INFORMÁTICA EIRELI EPP
CNPJ/MF sob o nº. 09.066.243/0001-05</t>
  </si>
  <si>
    <t>FORNECIMENTO DE PEÇAS E EQUIPAMENTOS PARA MANUTENÇÃO DE INFRAESTRUTURA DE REDE FISICA ESTRUTURADA DAS UNIDADES ADMINISTRATIVAS PERTENCENTES A PREFEITURA</t>
  </si>
  <si>
    <t>PP - 36/19</t>
  </si>
  <si>
    <t>195/19</t>
  </si>
  <si>
    <t>2069/19</t>
  </si>
  <si>
    <t>73/19</t>
  </si>
  <si>
    <t>TUPIRATINS MATERIAIS ESCOLARES EIRELI - 31.953.767/0001-69</t>
  </si>
  <si>
    <t>FORNECIMENTO DE MATERIAL DE LIMPEZA</t>
  </si>
  <si>
    <t>PP - 29/19</t>
  </si>
  <si>
    <t>550/19</t>
  </si>
  <si>
    <t>1615/19</t>
  </si>
  <si>
    <t>09/08/19 À 09/08/20</t>
  </si>
  <si>
    <t>72/19</t>
  </si>
  <si>
    <t>SINSAI COMERCIO DE DESCARTAVEIS EIRELI EPP - 27.254.286/0001-98</t>
  </si>
  <si>
    <t>1614/19</t>
  </si>
  <si>
    <t>71/19</t>
  </si>
  <si>
    <t>CERTAME COMERCIAL EIRELI ME - 08.070.275/0001-03</t>
  </si>
  <si>
    <t>1613/19</t>
  </si>
  <si>
    <t>70/19</t>
  </si>
  <si>
    <t>CANAA DISTRIBUIDORA E COMERCIO DE PRODUTOS E ACESSORIOS EIRELI - 21.278.096/0001-24</t>
  </si>
  <si>
    <t>1612/19</t>
  </si>
  <si>
    <t>69/19</t>
  </si>
  <si>
    <t>AMERICA SERVE LIMPEZA E SERVIÇOS LTDA</t>
  </si>
  <si>
    <t>1611/19</t>
  </si>
  <si>
    <t>68/19</t>
  </si>
  <si>
    <t>FORNECIMENTO DE MATERIAL DE ENFERMAGEM E HOSPITALAR</t>
  </si>
  <si>
    <t>PP - 31/19</t>
  </si>
  <si>
    <t>793/19</t>
  </si>
  <si>
    <t>1593/19</t>
  </si>
  <si>
    <t>07/08/19 À 07/08/20</t>
  </si>
  <si>
    <t>67/19</t>
  </si>
  <si>
    <t>1592/19</t>
  </si>
  <si>
    <t>66/19</t>
  </si>
  <si>
    <t>1591/19</t>
  </si>
  <si>
    <t>65/19</t>
  </si>
  <si>
    <t>1590/19</t>
  </si>
  <si>
    <t>64/19</t>
  </si>
  <si>
    <t>TR2 COMERCIO E SERVICOS LTDA - EPP - 08.610.916/0001-75</t>
  </si>
  <si>
    <t>AQUISIÇÃO DE FRALDAS DESCARTÁVEIS E PRODUTOS DE HIGIENE PARA O CREAS.</t>
  </si>
  <si>
    <t>PP - 6/19</t>
  </si>
  <si>
    <t>2450/18</t>
  </si>
  <si>
    <t>1524/19</t>
  </si>
  <si>
    <t>23/07/19 À 23/07/20</t>
  </si>
  <si>
    <t>63/19</t>
  </si>
  <si>
    <t>COMERCIAL QUASI TUTTO EIRELI - EPP - 15.461.382/0001-28</t>
  </si>
  <si>
    <t>1525/19</t>
  </si>
  <si>
    <t>62/19</t>
  </si>
  <si>
    <t>REGISTRO DE PREÇO PARA FORNECIMENTO DE FRALDAS DESCARTAVEIS INFANTIS E GERIATRICAS PARA ATENDER A  SECRETARIA MUNICIPAL DE SAÚDE</t>
  </si>
  <si>
    <t>PP - 23/19</t>
  </si>
  <si>
    <t>656/19</t>
  </si>
  <si>
    <t>1490/19</t>
  </si>
  <si>
    <t>61/19</t>
  </si>
  <si>
    <t>1489/19</t>
  </si>
  <si>
    <t>60/19</t>
  </si>
  <si>
    <t>LOCAMAIS SERVICOS EIRELI EPP - 11.191.505/0001-05</t>
  </si>
  <si>
    <t>1488/19</t>
  </si>
  <si>
    <t>59/19</t>
  </si>
  <si>
    <t>RCV DO BRASIL EIRELI - ME - 24.067.457/0001-81</t>
  </si>
  <si>
    <t>1451/19</t>
  </si>
  <si>
    <t>58/19</t>
  </si>
  <si>
    <t>GRÁFICA ABREU LTDA
CNPJ/MF sob o nº. 58.295.429/0001-33</t>
  </si>
  <si>
    <t>FORNECIMENTO DE IMPRESSOS GRÁFICOS PARA SAÚDE</t>
  </si>
  <si>
    <t>PP - 28/19</t>
  </si>
  <si>
    <t>232/19</t>
  </si>
  <si>
    <t>1633/19</t>
  </si>
  <si>
    <t>57/19</t>
  </si>
  <si>
    <t>GRÁFICA IGUAÇU LTDA
CNPJ/MF sob o nº. 20.949.657/000-07</t>
  </si>
  <si>
    <t>FORNECIMENTO DE IMPRESSOS GRAFICOS PARA ADMINISTRAÇÃO</t>
  </si>
  <si>
    <t>1632/19</t>
  </si>
  <si>
    <t>56/19</t>
  </si>
  <si>
    <t>L.F. ABC COMÉRCIO DE MATERIAIS ELÉTRICOS LTDA ME
CNPJ/MF sob o nº. 00.915.359/0001-99</t>
  </si>
  <si>
    <t>FORNECIMENTO DE MATERIAL DE MANUTENÇÃO E REPAROS</t>
  </si>
  <si>
    <t>PP 25/19</t>
  </si>
  <si>
    <t>1102/19</t>
  </si>
  <si>
    <t>1634/19</t>
  </si>
  <si>
    <t>23/07/19 Á 23/07/20</t>
  </si>
  <si>
    <t>55/19</t>
  </si>
  <si>
    <t>FORNECIMENTO DE MATERIAL ELÉTRICO - LAMPADAS</t>
  </si>
  <si>
    <t>PP - 24/19</t>
  </si>
  <si>
    <t>466/19</t>
  </si>
  <si>
    <t>1355/19</t>
  </si>
  <si>
    <t>05/07/19 À 05/07/20</t>
  </si>
  <si>
    <t>54/19</t>
  </si>
  <si>
    <t>FORNECIMENTO DE MATERIAL ELÉTRICO</t>
  </si>
  <si>
    <t>PP - 22/19</t>
  </si>
  <si>
    <t>545/19</t>
  </si>
  <si>
    <t>1354/19</t>
  </si>
  <si>
    <t>05/07/19 A 05/07/20</t>
  </si>
  <si>
    <t>53/19</t>
  </si>
  <si>
    <t>COTA.COM COMERCIO E SERVIÇOS LTDA EPP
CNPJ/MF sob o nº. 10.644.278/0001-55</t>
  </si>
  <si>
    <t>FORNECIMENTO DE CARTUCHOS DE TINTA E TONERS DE DIVERSAS MARCAS E MODELOS DE IMPRESSORAS</t>
  </si>
  <si>
    <t>PP - 18/19</t>
  </si>
  <si>
    <t>773/23</t>
  </si>
  <si>
    <t>1244/19</t>
  </si>
  <si>
    <t>52/19</t>
  </si>
  <si>
    <t>TREMA BRASIL EIRELI
CNPJ/MF sob o nº. 19.577.163/0001-60</t>
  </si>
  <si>
    <t>773/22</t>
  </si>
  <si>
    <t>1243/19</t>
  </si>
  <si>
    <t>51/19</t>
  </si>
  <si>
    <t>LETTECH INDUSTRIA E COMÉRCIO DE EQUIPAMENTOS DE INFORMÁTICA LTDA EPP
CNPJ/MF sob o nº. 13.258.144/0001-94</t>
  </si>
  <si>
    <t>773/21</t>
  </si>
  <si>
    <t>1242/19</t>
  </si>
  <si>
    <t>50/19</t>
  </si>
  <si>
    <t>LEANDRO DE SOUZA FRANCO - MEI
CNPJ/MF sob o nº. 29.500.349/0001-74</t>
  </si>
  <si>
    <t>773/20</t>
  </si>
  <si>
    <t>1241/19</t>
  </si>
  <si>
    <t>49/19</t>
  </si>
  <si>
    <t>PORT DISTRIBUIDORA DE INFORMÁTICA E PAPELARIA LTDA
CNPJ/MF sob o nº. 08.228.010/0001-90</t>
  </si>
  <si>
    <t>773/19</t>
  </si>
  <si>
    <t>1240/19</t>
  </si>
  <si>
    <t>48/19</t>
  </si>
  <si>
    <t>ANGELUS COMERCIAL E CONSULT TECNOLOGIA EIRELI
CNPJ/MF sob o nº. 31.260.520/0001-67</t>
  </si>
  <si>
    <t>FORNECIMENTO DE KITS DE CESTA BÁSICA - ATENDENDO A SECRETARIA DE CIDADANIA</t>
  </si>
  <si>
    <t>PP - 11/19</t>
  </si>
  <si>
    <t>2449/18</t>
  </si>
  <si>
    <t>1146/19</t>
  </si>
  <si>
    <t>28/05/19 A 28/05/20</t>
  </si>
  <si>
    <t>47/19</t>
  </si>
  <si>
    <t>FORNECIMENTO DE MEDICAMENTOS PARA ATENDER DEMANDA JUDICIAL</t>
  </si>
  <si>
    <t>PP - 75/18</t>
  </si>
  <si>
    <t>1842/18</t>
  </si>
  <si>
    <t>1026/19</t>
  </si>
  <si>
    <t>10/05/19 A 10/05/20</t>
  </si>
  <si>
    <t>46/19</t>
  </si>
  <si>
    <t>MARIZETE DE MATOS GOMES ME
CNPJ/MF sob o nº. 31.811.832/0001-11</t>
  </si>
  <si>
    <t>SERVIÇOS DE BORRACHARIA</t>
  </si>
  <si>
    <t>PP - 13/19</t>
  </si>
  <si>
    <t>529/19</t>
  </si>
  <si>
    <t>1025/19</t>
  </si>
  <si>
    <t>45/19</t>
  </si>
  <si>
    <t>EVANDRO FARINE ZELIOLI</t>
  </si>
  <si>
    <t>FORNECIMENTO DE CAMISETAS / CAMISAS</t>
  </si>
  <si>
    <t>PP - 14/19</t>
  </si>
  <si>
    <t>801/19</t>
  </si>
  <si>
    <t>946/19</t>
  </si>
  <si>
    <t>26/04/19 A 26/04/20</t>
  </si>
  <si>
    <t>44/19</t>
  </si>
  <si>
    <t>PILAR ORGANIZAÇÕES E FESTAS EPP</t>
  </si>
  <si>
    <t>PRESTAÇÃO DE SERVIÇOS DE ORGANIZAÇÃO DE EVENTOS, COMPREENDENDO INFRAESTUTURA E LOCAÇÃO DE EQUIPAMENTOS</t>
  </si>
  <si>
    <t>PP - 12/19</t>
  </si>
  <si>
    <t>764/19</t>
  </si>
  <si>
    <t>943/19</t>
  </si>
  <si>
    <t>43/19</t>
  </si>
  <si>
    <t>EXPANSOM PROMOÇÕES E EVENTOS LTDA</t>
  </si>
  <si>
    <t>942/19</t>
  </si>
  <si>
    <t>26/04/19 À 26/04/20</t>
  </si>
  <si>
    <t>42/19</t>
  </si>
  <si>
    <t>LOGGEN PRODUTOS PARA SAÚDE EIRELI ME
CNPJ/MF sob o nº. 24.980.102/0001-89</t>
  </si>
  <si>
    <t>REGISTRO DE PREÇO PARA FORNECIMENTO DE MATERIAL DE CURATIVO</t>
  </si>
  <si>
    <t>PP - 07/19</t>
  </si>
  <si>
    <t>96/19</t>
  </si>
  <si>
    <t>918/19</t>
  </si>
  <si>
    <t>23/04/19 À 23/04/20</t>
  </si>
  <si>
    <t>41/19</t>
  </si>
  <si>
    <t>COMERCIAL QUASI TUTTO EIRELI EPP
CNPJ/MF sob o nº. 15.461.382/0001-28</t>
  </si>
  <si>
    <t>FORNECIMENTO DE ENXOVAL HOSPITALAR</t>
  </si>
  <si>
    <t>PP - 08/19</t>
  </si>
  <si>
    <t>919/19</t>
  </si>
  <si>
    <t>23/04/19 A 23/04/20</t>
  </si>
  <si>
    <t>40/19</t>
  </si>
  <si>
    <t>MEDICALL FARMA DISTRIBUIDORA DE PRODUTOS E SERVIÇOS PARA SAÚDE EIRELI
CNPJ/MF sob o nº. 10.267.695/0001-26</t>
  </si>
  <si>
    <t>FORNECIMENTO DE MEDICAMENTOS E MATERIAIS ODONTOLÓGICOS</t>
  </si>
  <si>
    <t>PP - 80/18</t>
  </si>
  <si>
    <t>2433/18</t>
  </si>
  <si>
    <t>871/19</t>
  </si>
  <si>
    <t>39/19</t>
  </si>
  <si>
    <t>870/19</t>
  </si>
  <si>
    <t>38/19</t>
  </si>
  <si>
    <t>E.C. DOS SANTOS COMERCIAL EIRELI
CNPJ/MF sob o nº. 02.136.854/0001-25</t>
  </si>
  <si>
    <t>869/19</t>
  </si>
  <si>
    <t>36/19</t>
  </si>
  <si>
    <t xml:space="preserve">SOMA/SP PRODUTOS HOSPITALARES LTDA
CNPJ/MF sob o nº. 05.847.630/0001-10 </t>
  </si>
  <si>
    <t>FORNECIMENTO DE MEDICAMENTOS PARA ATENDER AS UNIDADES BÁSICA</t>
  </si>
  <si>
    <t>PP - 01/19</t>
  </si>
  <si>
    <t>2291/18</t>
  </si>
  <si>
    <t>587/19</t>
  </si>
  <si>
    <t>22/03/19 A 21/03/20</t>
  </si>
  <si>
    <t>35/19</t>
  </si>
  <si>
    <t>585/19</t>
  </si>
  <si>
    <t>34/19</t>
  </si>
  <si>
    <t>INOVAMED COMERCIO DE MEDICAMENTOS LTDA
CNPJ/MF sob o nº. 12.889.035/00001-02</t>
  </si>
  <si>
    <t>584/19</t>
  </si>
  <si>
    <t>33/19</t>
  </si>
  <si>
    <t>FRAGNARI DISTRIBUIDORA DE MEDICAMENTOS LTDA
CNPJ/MF sob o nº. 14.271.474/0001-82</t>
  </si>
  <si>
    <t>583/19</t>
  </si>
  <si>
    <t>32/19</t>
  </si>
  <si>
    <t>CRISTALIA PRODUTOS QUIMICOS FARMACEUTICOS LTDA
CNPJ/MF sob o nº. 44.734.671/0001-51</t>
  </si>
  <si>
    <t>582/19</t>
  </si>
  <si>
    <t>31/19</t>
  </si>
  <si>
    <t>CRISMED COMERCIAL HOSPITALAR LTDA
CNPJ/MF sob o nº. 04.192.876/0001-38</t>
  </si>
  <si>
    <t>580/19</t>
  </si>
  <si>
    <t>30/19</t>
  </si>
  <si>
    <t>579/19</t>
  </si>
  <si>
    <t>29/19</t>
  </si>
  <si>
    <t>CIRURGICA ONIX EIRELI-ME
CNPJ/MF sob o nº. 20.419.709/0001-33</t>
  </si>
  <si>
    <t>578/19</t>
  </si>
  <si>
    <t>28/19</t>
  </si>
  <si>
    <t>GALERIA DAS LETRAS - EDITORA, COMERCIO DE LIVROS E MATERIAL DIDATICO EIRELI ME
CNPJ/MF sob o nº. 10.301.617/0001-09</t>
  </si>
  <si>
    <t>FORNECIMENTO DE MATERIAL PEDAGÓGICO (APOSTILA E LIVRO PROFESSOR)</t>
  </si>
  <si>
    <t>PP - 02/19</t>
  </si>
  <si>
    <t>1666/18</t>
  </si>
  <si>
    <t>595/19</t>
  </si>
  <si>
    <t>08/03/19 A 08/03/20</t>
  </si>
  <si>
    <t>27/19</t>
  </si>
  <si>
    <t>FORNECIMENTO DE CARTUCHOS DE TINTA E TONERS</t>
  </si>
  <si>
    <t>PP 79/18</t>
  </si>
  <si>
    <t>1796/18</t>
  </si>
  <si>
    <t>592/19</t>
  </si>
  <si>
    <t>09/03/19 A 08/03/20</t>
  </si>
  <si>
    <t>26/19</t>
  </si>
  <si>
    <t>R.A MANCO SERVIÇOS ME
CNPJ/MF sob o nº. 09.058.347/0001-60</t>
  </si>
  <si>
    <t>591/19</t>
  </si>
  <si>
    <t>25/19</t>
  </si>
  <si>
    <t>PROSPERA COMERCIAL E IMPORTADORA EIRELI EPP
CNPJ/MF sob o nº. 18.386.935/0001-13</t>
  </si>
  <si>
    <t>589/19</t>
  </si>
  <si>
    <t>24/19</t>
  </si>
  <si>
    <t>588/19</t>
  </si>
  <si>
    <t>23/19</t>
  </si>
  <si>
    <t>586/19</t>
  </si>
  <si>
    <t>22/19</t>
  </si>
  <si>
    <t>JC DA SILVA SUPRIMENTO PARA ESCRITÓRIO ME
CNPJ/MF sob o nº. 26.193.511/0001-60</t>
  </si>
  <si>
    <t>581/19</t>
  </si>
  <si>
    <t>21/19</t>
  </si>
  <si>
    <t>FABRICIO DE RAMOS &amp; CIA LTDA
CNPJ/MF sob o nº. 15.725.489/0001-36</t>
  </si>
  <si>
    <t>593/19</t>
  </si>
  <si>
    <t>20/19</t>
  </si>
  <si>
    <t>590/19</t>
  </si>
  <si>
    <t>19/19</t>
  </si>
  <si>
    <t>TERRA MIX PAVIMENTAÇÃO E CONSTRUÇÃO EIRELI
CNPJ/MF sob o nº. 01.363.021/0001-34</t>
  </si>
  <si>
    <t>PRESTAÇÃO DE SERVIÇOS GERAIS DE MANUTENÇÃO PREVENTIVA, CORREÇÕES, REPARAÇÕES, ADAPTAÇÕES E MODIFICAÇÕES EM PRÉDIOS PÚBLICOS MUNICIPAIS, PROPRIOS E LOCADOS PELA PREFEITURA</t>
  </si>
  <si>
    <t>CO 05/18</t>
  </si>
  <si>
    <t>2568/18</t>
  </si>
  <si>
    <t>434/19</t>
  </si>
  <si>
    <t>22/02/19 À 22/02/20</t>
  </si>
  <si>
    <t>18/19</t>
  </si>
  <si>
    <t>FORNECIMENTO DE MEDICAMENTOS DE EMERGÊNCIA, COMPRIMIDOS E INJETÁVEIS.</t>
  </si>
  <si>
    <t>PP - 81/18</t>
  </si>
  <si>
    <t>2290/18</t>
  </si>
  <si>
    <t>432/19</t>
  </si>
  <si>
    <t>17/19</t>
  </si>
  <si>
    <t>431/19</t>
  </si>
  <si>
    <t>16/19</t>
  </si>
  <si>
    <t>430/19</t>
  </si>
  <si>
    <t>15/19</t>
  </si>
  <si>
    <t>429/19</t>
  </si>
  <si>
    <t>PORTAL LTDA
CNPJ/MF sob o nº. 05.005.873/0001-00</t>
  </si>
  <si>
    <t>428/19</t>
  </si>
  <si>
    <t>MEDIMPORT COM. DE PRODS. HOSPITALARES EIRELI EPP
CNPJ/MF sob o nº. 03.434.334/0001-61</t>
  </si>
  <si>
    <t>427/19</t>
  </si>
  <si>
    <t>INTERLAB FARMACEUTICA LTDA
CNPJ/MF sob o nº. 43.295.831/0001-40</t>
  </si>
  <si>
    <t>426/19</t>
  </si>
  <si>
    <t>INOVAMED COMERCIO DE MEDICAMENTOS LTDA
CNPJ/MF sob o nº. 12.889.035/0001-02</t>
  </si>
  <si>
    <t>425/19</t>
  </si>
  <si>
    <t>424/19</t>
  </si>
  <si>
    <t>CIAMED DISTRIBUIDORA DE MEDICAMENTOS LTDA
CNPJ/MF sob o nº. 05.782.733/0001-49</t>
  </si>
  <si>
    <t>AQUISIÇÃO DE MEDICAMENTOS PSICOTRÓPICOS, COMPRIMIDOS E INJETÁVEIS</t>
  </si>
  <si>
    <t>PP - 76/18</t>
  </si>
  <si>
    <t>2273/18</t>
  </si>
  <si>
    <t>423/19</t>
  </si>
  <si>
    <t>422/19</t>
  </si>
  <si>
    <t>419/19</t>
  </si>
  <si>
    <t>415/19</t>
  </si>
  <si>
    <t>FORNECIMENTOS DE AGENDAS ESCOLARES</t>
  </si>
  <si>
    <t>PP - 73/18</t>
  </si>
  <si>
    <t>1667/18</t>
  </si>
  <si>
    <t>357/19</t>
  </si>
  <si>
    <t>05/02/19 À 05/02/2020</t>
  </si>
  <si>
    <t>TR2 COMERCIO E SERVIÇO DE PAPELARIA
CNPJ/MF sob o nº. 08.610.916/0001-75</t>
  </si>
  <si>
    <t>FORNECIMENTO DE KITS DE MATERIAIS ESCOLARES</t>
  </si>
  <si>
    <t>PP - 05/18</t>
  </si>
  <si>
    <t>104/18</t>
  </si>
  <si>
    <t>18/01/19 À 18/01/20</t>
  </si>
  <si>
    <t>67/18</t>
  </si>
  <si>
    <t>MAVI - COMERCIAL E SERVIÇOS LTDA</t>
  </si>
  <si>
    <t>FORNECIMENTO DE AREIA, BICA CORRIDA, CIMENTO, PEDRA, PEDRISCO E RACHÃO</t>
  </si>
  <si>
    <t>PP - 70/18</t>
  </si>
  <si>
    <t>2240/18</t>
  </si>
  <si>
    <t>11/01/19 à 11/01/20</t>
  </si>
  <si>
    <t>66/18</t>
  </si>
  <si>
    <t>TERRA MIX PAVIMENTAÇÃO E CONSTRUÇÃO EIRELI</t>
  </si>
  <si>
    <t>65/18</t>
  </si>
  <si>
    <t>RUBECI DA SILVA GOMES MECÂNICA-ME</t>
  </si>
  <si>
    <t>EVENTUAL AQUISIÇÃO DE PNEUS PARA FROTA DE VEÍCULOS DA PREFEITURA</t>
  </si>
  <si>
    <t>PP - 51/18</t>
  </si>
  <si>
    <t>1087/18</t>
  </si>
  <si>
    <t>64/18</t>
  </si>
  <si>
    <t>INTERCITY COMERCIO E INDUSTRIA DE ARTEFATOS DE CIMENTO LTDA</t>
  </si>
  <si>
    <t>EVENTUAL FORNECIMENTO DE ARTEFATOS DE CIMENTO (TUBO, GUIA, BLOCO, TAMPA, LAJOTA E PAVIMENTO)</t>
  </si>
  <si>
    <t>PP - 69/18</t>
  </si>
  <si>
    <t>2241/18</t>
  </si>
  <si>
    <t>63/18</t>
  </si>
  <si>
    <t>GUARANI INDÚSTRIA, COMÉRCIO E SERVIÇOS E SERVIÇOS LTDA</t>
  </si>
  <si>
    <t>100/19</t>
  </si>
  <si>
    <t>62/18</t>
  </si>
  <si>
    <t>BIMPAVI INDUSTRIA E COMERCIO DE ARTEFATOS DE CIMENTO LTDA</t>
  </si>
  <si>
    <t>61/18</t>
  </si>
  <si>
    <t>REGISTRO DE PREÇO PARA FORNECIMENTO DE TIRAS REAGENTES / LANCETAS PARA DETERMINAÇÃO DE GLICOSE NO SANGUE, COM FORNECIMENTO DE APARELHO PARA AUTOMONITORAMENTO DOMICILIAR EM COMODATO</t>
  </si>
  <si>
    <t>PP - 66/18</t>
  </si>
  <si>
    <t>1609/18</t>
  </si>
  <si>
    <t>60/18</t>
  </si>
  <si>
    <t>AX4B INOVAÇÕES EM TECNOLOGIA LTDA EPP - 29.037.759/0001-20</t>
  </si>
  <si>
    <t>REGISTRO DE PREÇO PARA FORNECIMENTO DE "LICENCIAMENTO DE SOFTWARES PARA ATENDER AS NECESSIDADES DO MUNICIPIO DE RIO GRANDE DA SERRA</t>
  </si>
  <si>
    <t>PP - 63/18</t>
  </si>
  <si>
    <t>2132/18</t>
  </si>
  <si>
    <t>2703/18</t>
  </si>
  <si>
    <t>30/11/18 à 30/11/19</t>
  </si>
  <si>
    <t>59/18</t>
  </si>
  <si>
    <t>SUPRINET - SUPRIMENTOS PARA INFORMATICA LTDA - EPP - 05.663.105/0001-44</t>
  </si>
  <si>
    <t>2702/18</t>
  </si>
  <si>
    <t>58/18</t>
  </si>
  <si>
    <t>ANGELUS COMERCIAL E CONSULT TECNOLOGIA EIRELI</t>
  </si>
  <si>
    <t>FORNECIMENTO DE RAÇÃO DESTINADA PARA CÃES E GATOS DO CENTRO DE CONTROLE DE ZOONOSES</t>
  </si>
  <si>
    <t>PP - 54/18</t>
  </si>
  <si>
    <t>696/18</t>
  </si>
  <si>
    <t>2366/18</t>
  </si>
  <si>
    <t>15/10/18 À 15/10/19</t>
  </si>
  <si>
    <t>57/18</t>
  </si>
  <si>
    <t>NUTRICOL COMERCIO DE PRODUTOS</t>
  </si>
  <si>
    <t>KITS DE ALIMENTAÇÃO - SECRETs. CIDADANIA e SAÚDE</t>
  </si>
  <si>
    <t>PP - 47/18</t>
  </si>
  <si>
    <t>554/18</t>
  </si>
  <si>
    <t>2211/18</t>
  </si>
  <si>
    <t>21/09/18 Á 21/09/19</t>
  </si>
  <si>
    <t>56/18</t>
  </si>
  <si>
    <t>GRANDESC MATERIAIS HOSPITALARES EIRELI</t>
  </si>
  <si>
    <t>FORNECIMENTO DE MATERIAIS DE ENFERMAGEM: TUBOS DE COLETA E SONDA FOLEY - SAÚDE</t>
  </si>
  <si>
    <t>PP - 27/18</t>
  </si>
  <si>
    <t>305/18</t>
  </si>
  <si>
    <t>2117/18</t>
  </si>
  <si>
    <t>55/18</t>
  </si>
  <si>
    <t>C.B.S. MÉDICO CIENTIFICA</t>
  </si>
  <si>
    <t>2118/18</t>
  </si>
  <si>
    <t>54/18</t>
  </si>
  <si>
    <t>PONTUAL COMERCIAL EIRELI</t>
  </si>
  <si>
    <t>2119/18</t>
  </si>
  <si>
    <t>53/18</t>
  </si>
  <si>
    <t>AKITEM COMERCIO E SERVIÇO LTDA - 21.746.614/0001-97</t>
  </si>
  <si>
    <t>2121/18</t>
  </si>
  <si>
    <t>52/18</t>
  </si>
  <si>
    <t>CIRÚRGICA UNIÃO LTDA</t>
  </si>
  <si>
    <t>2122/18</t>
  </si>
  <si>
    <t>21/09/18 À 21/09/19</t>
  </si>
  <si>
    <t>51/18</t>
  </si>
  <si>
    <t>VALE DIAGNOSTICOS LTDA EPP</t>
  </si>
  <si>
    <t>2123/18</t>
  </si>
  <si>
    <t>50/18</t>
  </si>
  <si>
    <t xml:space="preserve">ORIZZON COMERCIAL EIRELI ME </t>
  </si>
  <si>
    <t>2124/18</t>
  </si>
  <si>
    <t>49/18</t>
  </si>
  <si>
    <t xml:space="preserve">FORNECIMENTO DE ACESSÓRIOS E PERIFERICOS PARA EQUIPAMENTOS FR INFORMÁTICA PARA ATENDER AS SECRETARIAS </t>
  </si>
  <si>
    <t>PP - 41/18</t>
  </si>
  <si>
    <t>628/18</t>
  </si>
  <si>
    <t>2125/18</t>
  </si>
  <si>
    <t>04/09/18 Á 04/09/19</t>
  </si>
  <si>
    <t>48/18</t>
  </si>
  <si>
    <t>FORNECIMENTO DE PEÇAS E EQUIPAMENTOS DE MICROINFORMÁTICA PARA ATENDER AS SECRETARIAS</t>
  </si>
  <si>
    <t>PP - 40/18</t>
  </si>
  <si>
    <t>627/18</t>
  </si>
  <si>
    <t>2126/18</t>
  </si>
  <si>
    <t>47/18</t>
  </si>
  <si>
    <t>REGISTRO DE PREÇO PARA FORNECIMENTOS DE EQUIPAMENTOS ELÉTRICOS DE USO DO SETOR DE INFORMÁTICA</t>
  </si>
  <si>
    <t>PP - 39/18</t>
  </si>
  <si>
    <t>630/18</t>
  </si>
  <si>
    <t>1749/18</t>
  </si>
  <si>
    <t>24/08/18 à 24/08/19</t>
  </si>
  <si>
    <t>46/18</t>
  </si>
  <si>
    <t>REGISTRO DE PREÇO PARA FORNECIMENTOS DE EQUIPAMENTOS DE REDE LÓGICA ESTRUTURADA</t>
  </si>
  <si>
    <t>PP - 38/18</t>
  </si>
  <si>
    <t>629/18</t>
  </si>
  <si>
    <t>1748/18</t>
  </si>
  <si>
    <t>45/18</t>
  </si>
  <si>
    <t>REGISTRO DE PREÇO PARA FORNECIMENTO DE IMPRESSORAS</t>
  </si>
  <si>
    <t>PP - 32/18</t>
  </si>
  <si>
    <t>756/18</t>
  </si>
  <si>
    <t>1596/18</t>
  </si>
  <si>
    <t>27/07/18 à 27/07/19</t>
  </si>
  <si>
    <t>44/18</t>
  </si>
  <si>
    <t>REGISTRO DE PREÇO PARA AQUISIÇÃO DE COMPUTADORES, NOTEBOOK E IMPRESSORAS</t>
  </si>
  <si>
    <t>1595/18</t>
  </si>
  <si>
    <t>43/18</t>
  </si>
  <si>
    <t>REGSITRO DE PREÇO PARA FORNECIMENTO DE MATERIAIS GRÁFICOS PARA ATENDER A SECRETARIA DE SAÚDE</t>
  </si>
  <si>
    <t>PP - 36/18</t>
  </si>
  <si>
    <t>1044/18</t>
  </si>
  <si>
    <t>1585/18</t>
  </si>
  <si>
    <t>23/07/18 Á 23/07/19</t>
  </si>
  <si>
    <t>42/18</t>
  </si>
  <si>
    <t>MATERIAL DE ESCRITÓRIO PARA ATENDER AS SECRETARIAS</t>
  </si>
  <si>
    <t>PP - 37/18</t>
  </si>
  <si>
    <t>694/18</t>
  </si>
  <si>
    <t>1577/18</t>
  </si>
  <si>
    <t>41/18</t>
  </si>
  <si>
    <t>1576/18</t>
  </si>
  <si>
    <t>40/18</t>
  </si>
  <si>
    <t>1575/18</t>
  </si>
  <si>
    <t>39/18</t>
  </si>
  <si>
    <t>1574/18</t>
  </si>
  <si>
    <t>38/18</t>
  </si>
  <si>
    <t>FORNECIMENTO DE MEDICAMENTOS, MANDADOS JUDICIAIS</t>
  </si>
  <si>
    <t>PP - 24/18</t>
  </si>
  <si>
    <t>2015/17</t>
  </si>
  <si>
    <t>1550/18</t>
  </si>
  <si>
    <t>20/07/18 À 20/07/19</t>
  </si>
  <si>
    <t>37/18</t>
  </si>
  <si>
    <t>GALERIA DAS LETRAS - EDITORA, COMERCIO DE LIVROS E MATERIAL DIDATICO EIRELI ME</t>
  </si>
  <si>
    <t>FORNECIMENTO DE PAPEL SULFITE</t>
  </si>
  <si>
    <t>PP - 05/19</t>
  </si>
  <si>
    <t>146/19</t>
  </si>
  <si>
    <t>868/19</t>
  </si>
  <si>
    <t>12/04/19 A 12/04/20</t>
  </si>
  <si>
    <t>L.F. ABC COMÉRCIO DE MATERIAIS ELÉTRICOS LTDA ME</t>
  </si>
  <si>
    <t>Registro de Preço para eventual fornecimento de material elétrico</t>
  </si>
  <si>
    <t>PP - 29/18</t>
  </si>
  <si>
    <t>1089/18</t>
  </si>
  <si>
    <t>1548/18</t>
  </si>
  <si>
    <t>36/18</t>
  </si>
  <si>
    <t>Registro de Preço para fornecimento de material de pintura para reparo nas unidades das secretarias</t>
  </si>
  <si>
    <t>PP - 26/18</t>
  </si>
  <si>
    <t>1088/18</t>
  </si>
  <si>
    <t>1516/18</t>
  </si>
  <si>
    <t>35/18</t>
  </si>
  <si>
    <t>Registro de Preço para fornecimento de material hidraúlico para atender as secretarias do município</t>
  </si>
  <si>
    <t>PP - 25/18</t>
  </si>
  <si>
    <t>1090/18</t>
  </si>
  <si>
    <t>1502/18</t>
  </si>
  <si>
    <t>34/18</t>
  </si>
  <si>
    <t>SHOPSIGNS OBRAS E SERVIÇOS LTDA</t>
  </si>
  <si>
    <t>SERVIÇOS ESPECIALIZADO DE INSTALAÇÃO E MANUTENÇÃO DE SISTEMA DE COMBATE A INCÊNDIO</t>
  </si>
  <si>
    <t>CP - 2/18</t>
  </si>
  <si>
    <t>1511/18</t>
  </si>
  <si>
    <t>33/18</t>
  </si>
  <si>
    <t>VIA NOVA PAVIMENTAÇÃO E CONSTRUÇÕES LTDA</t>
  </si>
  <si>
    <r>
      <rPr>
        <rFont val="Arial Unicode MS"/>
        <color theme="1"/>
        <sz val="10.0"/>
      </rPr>
      <t>CONCORRÊNCIA PÚBLICA Nº 01/18</t>
    </r>
    <r>
      <rPr>
        <rFont val="Arial Unicode MS"/>
        <color theme="1"/>
        <sz val="10.0"/>
      </rPr>
      <t xml:space="preserve"> PRESTAÇÃO DE SERVIÇOS ESPECIALIZADOS DE MANUTENÇÃO DE PAVIMENTO ASFÁLTICO E PARALELEPÍPEDOS EM VIAS URBANAS; ...</t>
    </r>
  </si>
  <si>
    <t>CP - 1/18</t>
  </si>
  <si>
    <t>536/18</t>
  </si>
  <si>
    <t>08/06/18 Á 08/06/19</t>
  </si>
  <si>
    <t>32/18</t>
  </si>
  <si>
    <t>MEDICALL FARMA DISTRIBUIDORA DE PRODUTOS E SERVIÇOS PARA SAÚDE EIRELI</t>
  </si>
  <si>
    <t>AQUISIÇÃO DE ALIMENTO ENTERAL E LEITES - MANDADO JUDICIAL</t>
  </si>
  <si>
    <t>PP - 11/18</t>
  </si>
  <si>
    <t>1600/17</t>
  </si>
  <si>
    <t>1269/18</t>
  </si>
  <si>
    <t>06/06/18 Á 06/06/19</t>
  </si>
  <si>
    <t>31/18</t>
  </si>
  <si>
    <t>AQUISIÇÃO DE MOBILIÁRIO PARA CRECHES E PRÉ ESCOLA</t>
  </si>
  <si>
    <t>PP - 18/18</t>
  </si>
  <si>
    <t>674/18</t>
  </si>
  <si>
    <t>1181/18</t>
  </si>
  <si>
    <t>21/05/18 Á 25/05/19</t>
  </si>
  <si>
    <t>30/18</t>
  </si>
  <si>
    <t>REGISTRO DE PREÇO PARA FORNECIMENTO DE MOBILIÁRIO PARA AS UNIDADES DA REDE MUNICIPAL DE ENSINO</t>
  </si>
  <si>
    <t>1180/18</t>
  </si>
  <si>
    <t>22/05/18 Á 22/05/19</t>
  </si>
  <si>
    <t>29/18</t>
  </si>
  <si>
    <t>REGISTRO DE PREÇO PARA FORNECIMENTO DE MEDICAMENTO E MATERIAIS ODONTOLÓGICOS</t>
  </si>
  <si>
    <t>PP - 10/18</t>
  </si>
  <si>
    <t>2266/17</t>
  </si>
  <si>
    <t>1172/18</t>
  </si>
  <si>
    <t>25/05/18 À 25/05/19</t>
  </si>
  <si>
    <t>28/18</t>
  </si>
  <si>
    <t>FORNECIMENTO DE BRINQUEDOS E JOGOS PEDAGÓGICOS PARA SECRETARIA DE EDUCAÇÃO E CULTURA</t>
  </si>
  <si>
    <t>PP - 17/18</t>
  </si>
  <si>
    <t>791/18</t>
  </si>
  <si>
    <t>1008/18</t>
  </si>
  <si>
    <t>14/05/18 a 14/05/19</t>
  </si>
  <si>
    <t>27/18</t>
  </si>
  <si>
    <t>PAMP &amp; VAMD COMÉRCIO VAREJISTA</t>
  </si>
  <si>
    <t>PC Nº 257/18 - PREGÃO Nº 12/18 - ATA RP Nº 27/18 - FRALDAS DESCARTÁVEIS INFANTIS E GERIÁTRICAS PARA ATENDER A SECRETARIA DE SAÚDE</t>
  </si>
  <si>
    <t>PP - 12/18</t>
  </si>
  <si>
    <t>257/18</t>
  </si>
  <si>
    <t>1050/18</t>
  </si>
  <si>
    <t>09/05/18 a 09/05/19</t>
  </si>
  <si>
    <t>26/18</t>
  </si>
  <si>
    <t>CIRURGICA UNIÃO</t>
  </si>
  <si>
    <t>PC Nº 257/18 - PREGÃO Nº 12/18 - ATA RP Nº 26/18 - FRALDAS DESCARTÁVEIS INFANTIS E GERIÁTRICAS PARA ATENDER A SECRETARIA DE SAÚDE</t>
  </si>
  <si>
    <t>1049/18</t>
  </si>
  <si>
    <t>25/18</t>
  </si>
  <si>
    <t>PC Nº 257/18 - PREGÃO Nº 12/18 - ATA RP Nº 25/18 - FRALDAS DESCARTÁVEIS INFANTIS E GERIÁTRICAS PARA ATENDER A SECRETARIA DE SAÚDE</t>
  </si>
  <si>
    <t>1048/18</t>
  </si>
  <si>
    <t>COMERCIAL QUASI TUTTO EIRELI EPP</t>
  </si>
  <si>
    <t>PC Nº 2135/17 - PREGÃO Nº 04/18 - ATA RP Nº 24/18 - DETENTORA: COMERCIA QUASI TUTTO - FORNECIMENTO DE MATERIAIS ESPORTIVOS PARA ATENDER A SECRETARIA DE JUVENTUDE, ESPORTE E LAZER.</t>
  </si>
  <si>
    <t>PP - 4/18</t>
  </si>
  <si>
    <t>2135/17</t>
  </si>
  <si>
    <t>984/18</t>
  </si>
  <si>
    <t>02/05/18 a 02/05/19</t>
  </si>
  <si>
    <t>ADRIANA BATISTA IPOLITO ME</t>
  </si>
  <si>
    <t>PC Nº 348/18 - PREGÃO Nº 14/18 - ATA RP Nº 23/18 - DETENTOTA: ADRIANA BASTISTA IPOLITO ME - REGISTRO DE PREÇO PARA PRESTAÇÃO DE SERVIÇOS EM ORGANIZAÇÃO DE EVENTOS, COMPREENDENDO INFRAESTRUTURA COM INSTALAÇÃO DE PALCOS, TABLADOS, TERLIÇAS, CAMARIM, GRADE DE PROTEÇÃO, PLACAS DE FECHAMENTO, BARRICADA, PISO EASYFLOOR, TENDA, PRATICÁVEIS, SONORIZAÇÃO, ILUMINAÇÃO, GERADOR E BANHEIRO QUIMICO PARA ATENDER A PROGRAMAÇÃO DE EVENTOS</t>
  </si>
  <si>
    <t>PP - 14/18</t>
  </si>
  <si>
    <t>348/18</t>
  </si>
  <si>
    <t>978/18</t>
  </si>
  <si>
    <t>27/04/18 a 27/04/19</t>
  </si>
  <si>
    <t>SP EVENTOS LTDA</t>
  </si>
  <si>
    <t>PC Nº 348/18 - PREGÃO Nº 14/18 - ATA RP Nº 22/18 - DETENTORA: SP EVENTOS LTDA - REGISTRO DE PREÇO PARA PRESTAÇÃO DE SERVIÇOS EM ORGANIZAÇÃO DE EVENTOS, COMPREENDENDO INFRAESTRUTURA COM INSTALAÇÃO DE PALCOS, TABLADOS, TERLIÇAS, CAMARIM, GRADE DE PROTEÇÃO, PLACAS DE FECHAMENTO, BARRICADA, PISO EASYFLOOR, TENDA, PRATICÁVEIS, SONORIZAÇÃO, ILUMINAÇÃO, GERADOR E BANHEIRO QUIMICO PARA ATENDER A PROGRAMAÇÃO DE EVENTOS</t>
  </si>
  <si>
    <t>977/18</t>
  </si>
  <si>
    <t>PC Nº 29/18 - ATA RP Nº 21/18 - PREGÃO Nº 02/18 - DETENTORA: AKITEM COMERCIO E SERVIÇO LTDA - REGISTRO DE PREÇO PARA FORNECIMENTO E TROCA DE PEÇAS DE EQUIPAMENTOS MÉDICOS, HOSPITALARES E ODONTOLÓGICOS</t>
  </si>
  <si>
    <t>PP - 2/18</t>
  </si>
  <si>
    <t>932/18</t>
  </si>
  <si>
    <t>04/05/18 à 04/05/19</t>
  </si>
  <si>
    <t>COMERCIAL QUASE TUTTO EIRELI EPP</t>
  </si>
  <si>
    <t>Registro de Preços para fornecimento de cama e banho para UPA</t>
  </si>
  <si>
    <t>PP - 1/18</t>
  </si>
  <si>
    <t>2460/17</t>
  </si>
  <si>
    <t>895/18</t>
  </si>
  <si>
    <t>11/04/18 Á 11/04/19</t>
  </si>
  <si>
    <t>Registro de Preços para fornecimento de Medalhas e Troféus ...</t>
  </si>
  <si>
    <t>PP - 3/18</t>
  </si>
  <si>
    <t>2167/17</t>
  </si>
  <si>
    <t>813/18</t>
  </si>
  <si>
    <t>13/04/18 à 13/04/19</t>
  </si>
  <si>
    <t>AVANTI NEGOCIOS E TECNOLOGIA EIRELI</t>
  </si>
  <si>
    <t>Registro de Preços para fornecimento de Medalhas de Prata fundida em liga de antimonia (Zamaq) medindo 65mm com espessura de 2,8mm peso aproximado de 55g ...</t>
  </si>
  <si>
    <t>812/18</t>
  </si>
  <si>
    <t>COMERCIAL 3 ALBE LTDA</t>
  </si>
  <si>
    <t>Registro de Preços para fornecimento de material hospitalar: atadura, curativos, luvas, esparadrapo, fio de sutura, lençol descartável ...</t>
  </si>
  <si>
    <t>PP - 27/17</t>
  </si>
  <si>
    <t>1569/17</t>
  </si>
  <si>
    <t>441/18</t>
  </si>
  <si>
    <t>06/02/18 a 06/02/19</t>
  </si>
  <si>
    <t>SOMA/SP PRODUTOS HOSPITALARES LTDA</t>
  </si>
  <si>
    <t>440/18</t>
  </si>
  <si>
    <t>439/18</t>
  </si>
  <si>
    <t>06/02/18 A 06/02/19</t>
  </si>
  <si>
    <t>VITAL HOSPITALAR COMERCIAL LTDA</t>
  </si>
  <si>
    <t>438/18</t>
  </si>
  <si>
    <t>437/18</t>
  </si>
  <si>
    <t>12/18</t>
  </si>
  <si>
    <t>QUALITY MEDICAL COMERCIO E DISTR. DE MEDICAMENTOS LTDA</t>
  </si>
  <si>
    <t>436/18</t>
  </si>
  <si>
    <t xml:space="preserve">MEDIMPORT COMÉRCIO DE PRODUTOS HOSPITALARES EIRELI EPP </t>
  </si>
  <si>
    <t>456/18</t>
  </si>
  <si>
    <t>ESPAÇO 2 TECNOLOGIA E INFORMATICA EIRELI EPP</t>
  </si>
  <si>
    <t>Registro de Preços para fornecimento de toners de impressora Ricoh, Lexmark, HP e Brother, para atender as necessidades das Secretarias</t>
  </si>
  <si>
    <t>PP - 29/17</t>
  </si>
  <si>
    <t>2050/17</t>
  </si>
  <si>
    <t>90/18</t>
  </si>
  <si>
    <t>09/01/18 a 09/01/19</t>
  </si>
  <si>
    <t>PORTAL LTDA</t>
  </si>
  <si>
    <t>Registro de Preços para fornecimento de medicamentos de emergência, comprimidos e injetáveis</t>
  </si>
  <si>
    <t>PP - 28/17</t>
  </si>
  <si>
    <t>1765/17</t>
  </si>
  <si>
    <t>80/18</t>
  </si>
  <si>
    <t>12/01/18 a 12/01/19</t>
  </si>
  <si>
    <t>08/18</t>
  </si>
  <si>
    <t>INTERLAB FARMACEUTICA LTDA</t>
  </si>
  <si>
    <t>84/18</t>
  </si>
  <si>
    <t>83/18</t>
  </si>
  <si>
    <t>CRISTÁLIA PRODUTOS QUIMICOS FARMACÊUTICOS LTDA</t>
  </si>
  <si>
    <t>82/18</t>
  </si>
  <si>
    <t>81/18</t>
  </si>
  <si>
    <t>79/18</t>
  </si>
  <si>
    <t>78/18</t>
  </si>
  <si>
    <t>DROGAFONTE LTDA</t>
  </si>
  <si>
    <t>77/18</t>
  </si>
  <si>
    <t>INOVAMED COMERCIO DE MEDICAMENTOS LTDA</t>
  </si>
  <si>
    <t>76/18</t>
  </si>
  <si>
    <t>45/17</t>
  </si>
  <si>
    <t>ALLIMAC COMÉRCIO DE MATERIAIS EM GERAL LTDA ME</t>
  </si>
  <si>
    <t>Registro de Preços para fornecimento de artefatos de cimento: tubo, guia, bloco, tampa, lajota e pavimento</t>
  </si>
  <si>
    <t>1607/17</t>
  </si>
  <si>
    <t>13/12/17 à 13/12/18</t>
  </si>
  <si>
    <t>44/17</t>
  </si>
  <si>
    <t>BIMPAVI INDÚSTRIA E COMERCIO DE ARTEFATOS DE CIMENTO LTDA</t>
  </si>
  <si>
    <t>43/17</t>
  </si>
  <si>
    <t>QUALITY MEDICAL COMERCIO E DIST. DE MEDICAMENTOS LTDA</t>
  </si>
  <si>
    <t>Registro de Preços para fornecimento de material hospitalar: agulhas, seringas, cateter, intravenoso, dispositivo para infusão, intracath, equipos, torneira 3 vias e tubo de látex</t>
  </si>
  <si>
    <t>1570/17</t>
  </si>
  <si>
    <t>42/17</t>
  </si>
  <si>
    <t>41/17</t>
  </si>
  <si>
    <t>40/17</t>
  </si>
  <si>
    <t>LOGGEN PRODUTOS PARA SAÚDE EIRELI ME</t>
  </si>
  <si>
    <t>39/17</t>
  </si>
  <si>
    <t>CIRURGICA FERNANDES COMERCIO DE MATERIAIS CIRURGICOS E HOSPITALARES SOCIEDADE LTDA</t>
  </si>
  <si>
    <t>38/17</t>
  </si>
  <si>
    <t>CRISMED COMERCIAL HOSPITALAR LTDA</t>
  </si>
  <si>
    <t>PP 25/17</t>
  </si>
  <si>
    <t>37/17</t>
  </si>
  <si>
    <t>PP - 25/17</t>
  </si>
  <si>
    <t>35/17</t>
  </si>
  <si>
    <t>Registro de Preços para fornecimento de material hospitalar: abaixador de lingua, algodão, almotolia, cateter nasal, coletor, kit ginecológico, termômetro digital, umidificadores</t>
  </si>
  <si>
    <t>PP - 24/17</t>
  </si>
  <si>
    <t>1568/17</t>
  </si>
  <si>
    <t>04/12/17 à 04/12/18</t>
  </si>
  <si>
    <t>36/17</t>
  </si>
  <si>
    <t>KIZZI KAMOTO ME</t>
  </si>
  <si>
    <t>Registro de Preços para fornecimento e instalação de extintores de incêndio, para os prédios públicos</t>
  </si>
  <si>
    <t>1575/17</t>
  </si>
  <si>
    <t>2434/17</t>
  </si>
  <si>
    <t>12/12/17 à 12/12/18</t>
  </si>
  <si>
    <t>34/17</t>
  </si>
  <si>
    <t>33/17</t>
  </si>
  <si>
    <t>Registro de preços para fornecimento de material hospitalar: tubos para coleta, sonda de aspiração traquial, foley, sonda nasogástrica e sonda uretral</t>
  </si>
  <si>
    <t>PP - 23/17</t>
  </si>
  <si>
    <t>1567/17</t>
  </si>
  <si>
    <t>2461/17</t>
  </si>
  <si>
    <t>32/17</t>
  </si>
  <si>
    <t>CENTERMED COMÉRCIO DE PRODUTOS HOSPITALARES LTDA</t>
  </si>
  <si>
    <t>Registro de Preços para fornecimento de medicamentos de atenção básica</t>
  </si>
  <si>
    <t>1764/17</t>
  </si>
  <si>
    <t>01/12/17 à 01/12/18</t>
  </si>
  <si>
    <t>31/17</t>
  </si>
  <si>
    <t>30/17</t>
  </si>
  <si>
    <t>FARMA VISION DISTRIBUIDORA DE MEDICAMENTOS</t>
  </si>
  <si>
    <t>29/17</t>
  </si>
  <si>
    <t>25/17</t>
  </si>
  <si>
    <t>PP 22/17</t>
  </si>
  <si>
    <t>9/18</t>
  </si>
  <si>
    <t>8/18</t>
  </si>
  <si>
    <t>7/18</t>
  </si>
  <si>
    <t>Registro de Preços para fornecimento de medicamentos Psicotrópicos, comprimidos e injetáveis</t>
  </si>
  <si>
    <t>1763/17</t>
  </si>
  <si>
    <t>2446/17</t>
  </si>
  <si>
    <t>30/11/17 à 30/11/18</t>
  </si>
  <si>
    <t>PP 21/17</t>
  </si>
  <si>
    <t>2447/17</t>
  </si>
  <si>
    <t>PP - 21/17</t>
  </si>
  <si>
    <t>2448/17</t>
  </si>
  <si>
    <t>19/17</t>
  </si>
  <si>
    <t>2445/17</t>
  </si>
  <si>
    <t>JC DA SILVA SUPRIMENTOS PARA ESCRITÓRIO ME</t>
  </si>
  <si>
    <t>Registro de Preço para fornecimento de material de expediente - segmento papelaria</t>
  </si>
  <si>
    <t>1514/17</t>
  </si>
  <si>
    <t>2286/17</t>
  </si>
  <si>
    <t>24/11/17 à 24/11/18</t>
  </si>
  <si>
    <t>13A INFORMATICA E MATERIAL DE ESCRITÓRIO LTDA</t>
  </si>
  <si>
    <t>2285/17</t>
  </si>
  <si>
    <t>TR2 COMÉRCIO E SERVIÇOS LTDA EPP</t>
  </si>
  <si>
    <t>2284/17</t>
  </si>
  <si>
    <t>15/17</t>
  </si>
  <si>
    <t>L&amp;C COMÉRCIO DE PAPELARIA LTDA</t>
  </si>
  <si>
    <t>2283/17</t>
  </si>
  <si>
    <t>14/17</t>
  </si>
  <si>
    <t>PROCOMP PRODS. E SERVIÇOS DE INFORMATICA LTDA</t>
  </si>
  <si>
    <t>2282/17</t>
  </si>
  <si>
    <t>DAVI DA M. RANGEL PRODUTOS DE LIMPEZA ME</t>
  </si>
  <si>
    <t>Registro de Preço para fornecimento de material de limpeza</t>
  </si>
  <si>
    <t>1460/2017</t>
  </si>
  <si>
    <t>2433/17</t>
  </si>
  <si>
    <t>PAPA LIX PLÁSTICOS E DESCARTÁVEIS LTDA</t>
  </si>
  <si>
    <t>2419/17</t>
  </si>
  <si>
    <t>Registro de preços para fornecimento de 600 (seiscentos) Kits de alimentação no
período de 12 meses, sendo 50 (cinquenta) Kits por mês, de acordo com as especificações
contidas nos anexos, para atender a Secretaria de Cidadania e Ação Social.</t>
  </si>
  <si>
    <t>1620/2017</t>
  </si>
  <si>
    <t>2169/17</t>
  </si>
  <si>
    <t>25/10/17 à 25/10/18</t>
  </si>
  <si>
    <t xml:space="preserve">TERRA MIX PAVIMENTAÇÃO E CONSTRUÇÃO LTDA ME </t>
  </si>
  <si>
    <t>Registro de preços execução de serviços de engenharia, compreendendo a manutenção, conservação, adequação e reformas de pequeno porte em unidades escolares e unidades de apoio da Secretaria de Educação e Cultura da Prefeitura de Rio Grande da Serra</t>
  </si>
  <si>
    <t>1152/2017</t>
  </si>
  <si>
    <t>2134/17</t>
  </si>
  <si>
    <t>09/10/17 a 09/10/18</t>
  </si>
  <si>
    <t>09/17</t>
  </si>
  <si>
    <t>Registro de preços para fornecimento de areia, pedra, pedrisco, rachão e bica corrida, para atender a Secretaria de Serviços Urbanos.</t>
  </si>
  <si>
    <t>1605/2017</t>
  </si>
  <si>
    <t>2072/17</t>
  </si>
  <si>
    <t>08/17</t>
  </si>
  <si>
    <t>DISTRIBUIDORA GO BUY EIRELI - EPP</t>
  </si>
  <si>
    <t>Registro de preços para fornecimento de material de higiene pessoal para a Secretaria de Cidadania e Ação Social, para atender a Casa Abrigo e o CREAS</t>
  </si>
  <si>
    <t>PP - 11/17</t>
  </si>
  <si>
    <t>633/2017</t>
  </si>
  <si>
    <t>2085/17</t>
  </si>
  <si>
    <t>10/10/17 À 10/10/18</t>
  </si>
  <si>
    <t>07/17</t>
  </si>
  <si>
    <r>
      <rPr>
        <rFont val="Arimo"/>
        <b/>
        <color theme="1"/>
        <sz val="10.0"/>
      </rPr>
      <t>KIZZY KAMOTO ME</t>
    </r>
    <r>
      <rPr>
        <rFont val="Arial Unicode MS"/>
        <b val="0"/>
        <color rgb="FF000000"/>
        <sz val="10.0"/>
      </rPr>
      <t xml:space="preserve"> </t>
    </r>
  </si>
  <si>
    <t>2086/17</t>
  </si>
  <si>
    <t>06/17</t>
  </si>
  <si>
    <t>2087/17</t>
  </si>
  <si>
    <t>05/17</t>
  </si>
  <si>
    <t>KIZZY KAMOTO ME</t>
  </si>
  <si>
    <t>REGISTRO DE PREÇOS PARA AQUISIÇÃO DE CARTUCHOS DE TINTA E TONERS ORIGINAIS DE DIVERSAS MARCAS E MODELOS, PARA ATENDER AS NECESSIDADES DAS DIVERSAS SECRETARIAS DA PREFEITURA DE RIO GRANDE DA SERRA.</t>
  </si>
  <si>
    <t>PP - 08/17</t>
  </si>
  <si>
    <t>1273/2017</t>
  </si>
  <si>
    <t>2047/17</t>
  </si>
  <si>
    <t>06/10/17 a 06/10/18</t>
  </si>
  <si>
    <t>04/17</t>
  </si>
  <si>
    <t>2048/17</t>
  </si>
  <si>
    <t>03/17</t>
  </si>
  <si>
    <t>Fornecimento de Agenda Escolar e Material Pedagógico com a histório do Município para atender as Unidades Municipais de Educação Básica</t>
  </si>
  <si>
    <t>PP - 6/17</t>
  </si>
  <si>
    <t>291/2017</t>
  </si>
  <si>
    <t>1558/17</t>
  </si>
  <si>
    <t>28/07/17 a 28/07/18</t>
  </si>
  <si>
    <t>Fornecimento de Tiras de Reagente para determinação de glicemia + 2.000 glicosimetros em comodato para atender a Secretaria Municipal de Saúde</t>
  </si>
  <si>
    <t>PP - 3/17</t>
  </si>
  <si>
    <t>101/2017</t>
  </si>
  <si>
    <t>1461/17</t>
  </si>
  <si>
    <t>18/07/17 a 18/07/18</t>
  </si>
  <si>
    <t>01/17</t>
  </si>
  <si>
    <t>Fornecimentos de utensílios de cozinha e eletrodomésticos para atender a Secretaria de Educação (Emebs) e Secretaria de Cidadania e Ação Social (Casa Abrigo)</t>
  </si>
  <si>
    <t>PP - 2/17</t>
  </si>
  <si>
    <t>295/2017</t>
  </si>
  <si>
    <t>11/07/17 a 11/07/18</t>
  </si>
  <si>
    <t>CONTROLE DE CONTRATOS - DIRETORIA DE PROGRAMAS E PROJETOS</t>
  </si>
  <si>
    <t>data</t>
  </si>
  <si>
    <t>EMPRESA</t>
  </si>
  <si>
    <t xml:space="preserve">OBJETO </t>
  </si>
  <si>
    <t>Processo</t>
  </si>
  <si>
    <r>
      <rPr>
        <rFont val="Arial"/>
        <b/>
        <color rgb="FFFFFFFF"/>
        <sz val="10.0"/>
      </rPr>
      <t xml:space="preserve">Valor Anual
Atual - </t>
    </r>
    <r>
      <rPr>
        <rFont val="Arial"/>
        <b/>
        <color rgb="FFFFFFFF"/>
        <sz val="9.0"/>
      </rPr>
      <t>Contrato</t>
    </r>
  </si>
  <si>
    <t>Valor Mensal</t>
  </si>
  <si>
    <t>Período em vigência</t>
  </si>
  <si>
    <t>Possib.
Prorrog. Final</t>
  </si>
  <si>
    <t>CEEP</t>
  </si>
  <si>
    <t>Serviços educacionais de capacitação e formação destinados às guardas civis municipais dos 07 (sete) municípios que compõem o Consórcio Intermunicipal Grande ABC.</t>
  </si>
  <si>
    <t>021/2015</t>
  </si>
  <si>
    <t>015/2015</t>
  </si>
  <si>
    <t>conforme demanda</t>
  </si>
  <si>
    <t>31/07/15 à 31/07/16
01/08/16 à 01/10/16</t>
  </si>
  <si>
    <r>
      <rPr>
        <rFont val="Arial"/>
        <i/>
        <color theme="1"/>
        <sz val="10.0"/>
      </rPr>
      <t xml:space="preserve">Em andamento formalização do </t>
    </r>
    <r>
      <rPr>
        <rFont val="Arial"/>
        <b/>
        <i/>
        <color theme="1"/>
        <sz val="10.0"/>
      </rPr>
      <t xml:space="preserve">aditamento de prazo e valor.
</t>
    </r>
    <r>
      <rPr>
        <rFont val="Arial"/>
        <i/>
        <color theme="1"/>
        <sz val="10.0"/>
      </rPr>
      <t>Em tratativas para</t>
    </r>
    <r>
      <rPr>
        <rFont val="Arial"/>
        <b/>
        <i/>
        <color theme="1"/>
        <sz val="10.0"/>
      </rPr>
      <t xml:space="preserve">nova contratação
</t>
    </r>
    <r>
      <rPr>
        <rFont val="Arial"/>
        <i/>
        <color theme="1"/>
        <sz val="10.0"/>
      </rPr>
      <t>(Juliana - Hamilton)</t>
    </r>
  </si>
  <si>
    <t>SOTAQUE</t>
  </si>
  <si>
    <t>Agência de Publicidade</t>
  </si>
  <si>
    <t>069/2013</t>
  </si>
  <si>
    <t>005/2014</t>
  </si>
  <si>
    <t>19/11/15 a 18/11/16</t>
  </si>
  <si>
    <r>
      <rPr>
        <rFont val="Arial"/>
        <i/>
        <color theme="1"/>
        <sz val="10.0"/>
      </rPr>
      <t xml:space="preserve">Tratativas de </t>
    </r>
    <r>
      <rPr>
        <rFont val="Arial"/>
        <b/>
        <i/>
        <color theme="1"/>
        <sz val="10.0"/>
      </rPr>
      <t>Prorrogação</t>
    </r>
    <r>
      <rPr>
        <rFont val="Arial"/>
        <i/>
        <color theme="1"/>
        <sz val="10.0"/>
      </rPr>
      <t xml:space="preserve"> em Set/16</t>
    </r>
  </si>
  <si>
    <t>ICLEI BRASIL</t>
  </si>
  <si>
    <t>Consultoria para Elaboração do Inventário Regional de Gases de Efeito Estufa (GEE) para a Região do Grande ABC</t>
  </si>
  <si>
    <t>112/2015</t>
  </si>
  <si>
    <t>004/2016</t>
  </si>
  <si>
    <t>conforme cronograma</t>
  </si>
  <si>
    <t>27/04/16 a 27/12/16</t>
  </si>
  <si>
    <t>UFABC/
FUNDEP</t>
  </si>
  <si>
    <t>Execução de Estudos, Diagnósticos e Planos de Projetos referente ao PPA 2014/2017 do CIGABC</t>
  </si>
  <si>
    <t>063/2015</t>
  </si>
  <si>
    <t>TCTC 16/15</t>
  </si>
  <si>
    <t xml:space="preserve">10/09/15 a 09/05/17 </t>
  </si>
  <si>
    <t>SEADE</t>
  </si>
  <si>
    <t>Contratação de instituição para realização de pesquisa de emprego e desemprego no âmbito do Grande ABC</t>
  </si>
  <si>
    <t>018/2016</t>
  </si>
  <si>
    <t>012/2016</t>
  </si>
  <si>
    <t>01/07/16 a 01/07/17</t>
  </si>
  <si>
    <t>CONSÓRCIO
CORREDORES
GRANDE ABC</t>
  </si>
  <si>
    <t>Elaboração de projetos de engenharia para requalificação de corredores preferenciais para transporte coletivo e outras obras de engenharia a eles associadas</t>
  </si>
  <si>
    <t>044/2014</t>
  </si>
  <si>
    <t>027/2015</t>
  </si>
  <si>
    <t>27/11/15 a 27/05/17</t>
  </si>
  <si>
    <t>TC nº 0440.428-66/2014/ MCIDADES/ CAIXA
O.S emitida em 08/03/16</t>
  </si>
  <si>
    <t>EXXMART</t>
  </si>
  <si>
    <t>Consultoria para estudo de viabilidade de implantação de programa regional de turismo industrial</t>
  </si>
  <si>
    <t>005/2016</t>
  </si>
  <si>
    <t>011/2016</t>
  </si>
  <si>
    <t>06/07/16 a 05/01/17</t>
  </si>
  <si>
    <t>TAMIAZI</t>
  </si>
  <si>
    <t>Locação de Equipamentos, infraestrutura e serviços de apoio operacional para realização dos eventos do Consorcio Intermunicipal Grande ABC</t>
  </si>
  <si>
    <t>036/2016</t>
  </si>
  <si>
    <t>015/2016</t>
  </si>
  <si>
    <t>01/08/16 a 31/07/17</t>
  </si>
  <si>
    <t>CONTROLE DE CONVÊNIOS</t>
  </si>
  <si>
    <t>ENTIDADE</t>
  </si>
  <si>
    <t>Convênio</t>
  </si>
  <si>
    <t>Valor Anual 
Atual</t>
  </si>
  <si>
    <t>Prorrog. Final</t>
  </si>
  <si>
    <t>SAMARITANO</t>
  </si>
  <si>
    <t>EXECUÇÃO DE AÇÕES - PROGRAMA CASA ABRIGO REGIONAL GRANDE ABC</t>
  </si>
  <si>
    <t>018/2013</t>
  </si>
  <si>
    <t>001/2014</t>
  </si>
  <si>
    <t>16/01/16 a 16/01/17</t>
  </si>
  <si>
    <t>Prorrogação com clausula resolutiva Novo chamamento - PC 92/2015 com abertura em 16/05/2016.</t>
  </si>
  <si>
    <t>AGÊNCIA</t>
  </si>
  <si>
    <t>FOMENTAR O DESENVOLVIMENTO ECONÔMICO NA REGIÃO DO GRANDE ABC</t>
  </si>
  <si>
    <t>024/2016</t>
  </si>
  <si>
    <t>FUNCRAF</t>
  </si>
  <si>
    <t>APOIO FINANCEIRO PARA CUSTEIO DE ALUGUEL DO IMÓVEL</t>
  </si>
  <si>
    <t>048/2010</t>
  </si>
  <si>
    <t>001/2011</t>
  </si>
  <si>
    <t>31/12/15 a 01/09/16</t>
  </si>
  <si>
    <t>Em Tratativas para Novo Convênio</t>
  </si>
  <si>
    <t>CONTROLE DE CONTRATOS</t>
  </si>
  <si>
    <r>
      <rPr>
        <rFont val="Arial"/>
        <b/>
        <color rgb="FFFFFFFF"/>
        <sz val="10.0"/>
      </rPr>
      <t xml:space="preserve">Valor Anual
Atual - </t>
    </r>
    <r>
      <rPr>
        <rFont val="Arial"/>
        <b/>
        <color rgb="FFFFFFFF"/>
        <sz val="9.0"/>
      </rPr>
      <t>Contrato</t>
    </r>
  </si>
  <si>
    <t>POSSIBILIDADE ADITAMENTO</t>
  </si>
  <si>
    <t>ESC</t>
  </si>
  <si>
    <t>Vigilância Patrimonial Desarmada e Monitoramento Eletrônico com locação de sistema de CFTV</t>
  </si>
  <si>
    <t>086/2014</t>
  </si>
  <si>
    <t>003/2015</t>
  </si>
  <si>
    <t>15/04/16 a 15/04/17</t>
  </si>
  <si>
    <r>
      <rPr>
        <rFont val="Arial"/>
        <b/>
        <i/>
        <color theme="1"/>
        <sz val="10.0"/>
      </rPr>
      <t>Prorrogação</t>
    </r>
    <r>
      <rPr>
        <rFont val="Arial"/>
        <i/>
        <color theme="1"/>
        <sz val="10.0"/>
      </rPr>
      <t xml:space="preserve"> em Jan/17</t>
    </r>
  </si>
  <si>
    <t>T.B</t>
  </si>
  <si>
    <t>Serviços de Limpeza, Copeiragem, Jardinagem e Motorista - CIGABC e CRFSU</t>
  </si>
  <si>
    <t>088/2015</t>
  </si>
  <si>
    <t>028/2015</t>
  </si>
  <si>
    <t>04/01/16 a 04/01/17</t>
  </si>
  <si>
    <r>
      <rPr>
        <rFont val="Arial"/>
        <i/>
        <color theme="1"/>
        <sz val="10.0"/>
      </rPr>
      <t xml:space="preserve">Tratativas de </t>
    </r>
    <r>
      <rPr>
        <rFont val="Arial"/>
        <b/>
        <i/>
        <color theme="1"/>
        <sz val="10.0"/>
      </rPr>
      <t>Prorrogação</t>
    </r>
    <r>
      <rPr>
        <rFont val="Arial"/>
        <i/>
        <color theme="1"/>
        <sz val="10.0"/>
      </rPr>
      <t xml:space="preserve"> em Nov/16</t>
    </r>
  </si>
  <si>
    <t>Prestação de serviço de Locação de Equipamentos, infraestrutura e serviços de apoio operacional para realização dos eventos do Consorcio Intermunicipal Grande ABC</t>
  </si>
  <si>
    <t>01/08/16 a 31/0717</t>
  </si>
  <si>
    <t>20% - limite modalidade</t>
  </si>
  <si>
    <t>TOMMATE</t>
  </si>
  <si>
    <t>Planejamento, desenvolvimento, configuração e implantação do portal corporativo com prestação de serviço de hospedaem e suporte técnico</t>
  </si>
  <si>
    <t>113/2015</t>
  </si>
  <si>
    <t>001/2016</t>
  </si>
  <si>
    <t>01/02/16 a 01/02/17</t>
  </si>
  <si>
    <t>TELEFÔNICA</t>
  </si>
  <si>
    <t>Serviços de Telefonia Móvel Pessoal (SMP) "Plano Corporativo"</t>
  </si>
  <si>
    <t>007/2015</t>
  </si>
  <si>
    <t>017/2015</t>
  </si>
  <si>
    <t>01/09/15 a 01/09/16</t>
  </si>
  <si>
    <t xml:space="preserve">Aparelhos = R$ 13.680,00
Linhas = R$ 20.901,60
</t>
  </si>
  <si>
    <t>LUIZ GESSIVALDO</t>
  </si>
  <si>
    <t>Manutenção Corretiva e Preventiva de Aparelhos de Ar Condicionado com eventual fornecimento e reposição de peças</t>
  </si>
  <si>
    <t>009/2015</t>
  </si>
  <si>
    <t>11/05/16 a 11/05/17</t>
  </si>
  <si>
    <r>
      <rPr>
        <rFont val="Arial"/>
        <i/>
        <color theme="1"/>
        <sz val="10.0"/>
      </rPr>
      <t xml:space="preserve">Tratativas de </t>
    </r>
    <r>
      <rPr>
        <rFont val="Arial"/>
        <b/>
        <i/>
        <color theme="1"/>
        <sz val="10.0"/>
      </rPr>
      <t>Prorrogação</t>
    </r>
    <r>
      <rPr>
        <rFont val="Arial"/>
        <i/>
        <color theme="1"/>
        <sz val="10.0"/>
      </rPr>
      <t xml:space="preserve"> em Jan/17</t>
    </r>
  </si>
  <si>
    <t>CIEE</t>
  </si>
  <si>
    <t>Serviços de agente de integração para preenchimento de vagas de estágo no âmbito do Consórcio Intermunicipal Grande ABC</t>
  </si>
  <si>
    <t>076/2014</t>
  </si>
  <si>
    <t>006/2015</t>
  </si>
  <si>
    <t>13/04/16 à 12/04/17</t>
  </si>
  <si>
    <r>
      <rPr>
        <rFont val="Arial"/>
        <i/>
        <color theme="1"/>
        <sz val="10.0"/>
      </rPr>
      <t xml:space="preserve">Tratativas de </t>
    </r>
    <r>
      <rPr>
        <rFont val="Arial"/>
        <b/>
        <i/>
        <color theme="1"/>
        <sz val="10.0"/>
      </rPr>
      <t>Prorrogação</t>
    </r>
    <r>
      <rPr>
        <rFont val="Arial"/>
        <i/>
        <color theme="1"/>
        <sz val="10.0"/>
      </rPr>
      <t xml:space="preserve"> em Fev/17</t>
    </r>
  </si>
  <si>
    <t>ALLEN</t>
  </si>
  <si>
    <t>Serviço de acesso à solução integrada de aplicativos microsoft office, colaboração e comunicação corporativa, serviço de antivírus, gestão de ativos baseados em nuvem, serviço de data center na nuvem para replicação e hospedagem de sistemas corporativos.</t>
  </si>
  <si>
    <t>076/2015</t>
  </si>
  <si>
    <t>023/2015</t>
  </si>
  <si>
    <t>03/11/15 a 03/11/16</t>
  </si>
  <si>
    <r>
      <rPr>
        <rFont val="Arial"/>
        <i/>
        <color theme="1"/>
        <sz val="10.0"/>
      </rPr>
      <t xml:space="preserve">Tratativas de </t>
    </r>
    <r>
      <rPr>
        <rFont val="Arial"/>
        <b/>
        <i/>
        <color theme="1"/>
        <sz val="10.0"/>
      </rPr>
      <t>Prorrogação</t>
    </r>
    <r>
      <rPr>
        <rFont val="Arial"/>
        <i/>
        <color theme="1"/>
        <sz val="10.0"/>
      </rPr>
      <t xml:space="preserve"> em Nov/16</t>
    </r>
  </si>
  <si>
    <r>
      <rPr>
        <rFont val="Arial"/>
        <i/>
        <color theme="1"/>
        <sz val="10.0"/>
      </rPr>
      <t xml:space="preserve">Tratativas de </t>
    </r>
    <r>
      <rPr>
        <rFont val="Arial"/>
        <b/>
        <i/>
        <color theme="1"/>
        <sz val="10.0"/>
      </rPr>
      <t>Prorrogação</t>
    </r>
    <r>
      <rPr>
        <rFont val="Arial"/>
        <i/>
        <color theme="1"/>
        <sz val="10.0"/>
      </rPr>
      <t xml:space="preserve"> em Set/16</t>
    </r>
  </si>
  <si>
    <t>NERE AGUA</t>
  </si>
  <si>
    <t>Contrato de fornecimento de galões de 20 litros de água mineral para o CRFSU.</t>
  </si>
  <si>
    <t>029/2016</t>
  </si>
  <si>
    <t>01/07/2016 a 01/07/2017</t>
  </si>
  <si>
    <t>Estoque - OK</t>
  </si>
  <si>
    <r>
      <rPr>
        <rFont val="Arial"/>
        <b/>
        <i/>
        <color theme="1"/>
        <sz val="10.0"/>
      </rPr>
      <t xml:space="preserve">Nova Contratação </t>
    </r>
    <r>
      <rPr>
        <rFont val="Arial"/>
        <i/>
        <color theme="1"/>
        <sz val="10.0"/>
      </rPr>
      <t>em Abril/17</t>
    </r>
  </si>
  <si>
    <t>MEDLIMP</t>
  </si>
  <si>
    <t>Fornecimento de Gêneros alimenticios: açucar, adoçante, café e chá - CIGABC e CRFSU</t>
  </si>
  <si>
    <t>006/2016</t>
  </si>
  <si>
    <t>01/06/2016 a 01/06/2017</t>
  </si>
  <si>
    <r>
      <rPr>
        <rFont val="Arial"/>
        <b/>
        <i/>
        <color theme="1"/>
        <sz val="10.0"/>
      </rPr>
      <t xml:space="preserve">Nova Contratação </t>
    </r>
    <r>
      <rPr>
        <rFont val="Arial"/>
        <i/>
        <color theme="1"/>
        <sz val="10.0"/>
      </rPr>
      <t>em Abril/17</t>
    </r>
  </si>
  <si>
    <t>Fornecimento de Papel higiênico, papel bobina, papel toalha e guardanapo - CIGABC e CRFSU</t>
  </si>
  <si>
    <t>025/2016</t>
  </si>
  <si>
    <t>007/2016</t>
  </si>
  <si>
    <r>
      <rPr>
        <rFont val="Arial"/>
        <b/>
        <i/>
        <color theme="1"/>
        <sz val="10.0"/>
      </rPr>
      <t xml:space="preserve">Nova Contratação </t>
    </r>
    <r>
      <rPr>
        <rFont val="Arial"/>
        <i/>
        <color theme="1"/>
        <sz val="10.0"/>
      </rPr>
      <t>em Abril/17</t>
    </r>
  </si>
  <si>
    <t>IMPAKTO</t>
  </si>
  <si>
    <t>Fornecimento de materiais descartáveis de copa e cozinha. - CIGABC e CRFSU</t>
  </si>
  <si>
    <t>026/2016</t>
  </si>
  <si>
    <t>008/2016</t>
  </si>
  <si>
    <r>
      <rPr>
        <rFont val="Arial"/>
        <b/>
        <i/>
        <color theme="1"/>
        <sz val="10.0"/>
      </rPr>
      <t xml:space="preserve">Nova Contratação </t>
    </r>
    <r>
      <rPr>
        <rFont val="Arial"/>
        <i/>
        <color theme="1"/>
        <sz val="10.0"/>
      </rPr>
      <t>em Abril/17</t>
    </r>
  </si>
  <si>
    <t>ZANATTA</t>
  </si>
  <si>
    <t>Contratação de Empresa para Fornecimento de Gás Liquefeito  de Petróleo GLP, para o CRFSU</t>
  </si>
  <si>
    <t>030/2016</t>
  </si>
  <si>
    <t>009/2016</t>
  </si>
  <si>
    <r>
      <rPr>
        <rFont val="Arial"/>
        <b/>
        <i/>
        <color theme="1"/>
        <sz val="10.0"/>
      </rPr>
      <t xml:space="preserve">Nova Contratação </t>
    </r>
    <r>
      <rPr>
        <rFont val="Arial"/>
        <i/>
        <color theme="1"/>
        <sz val="10.0"/>
      </rPr>
      <t>em Abril/17</t>
    </r>
  </si>
  <si>
    <t>ECOTEC</t>
  </si>
  <si>
    <t>Contratação de Empresa para Locação de banheiro quimico para o CRFSU</t>
  </si>
  <si>
    <t>032/2016</t>
  </si>
  <si>
    <t>010/2016</t>
  </si>
  <si>
    <t>09/06/2016 a 09/06/2017</t>
  </si>
  <si>
    <t>Indisponível</t>
  </si>
  <si>
    <t>Limite Modalidade</t>
  </si>
  <si>
    <t>CORREIOS</t>
  </si>
  <si>
    <r>
      <rPr>
        <rFont val="Arial"/>
        <color theme="1"/>
        <sz val="11.0"/>
      </rPr>
      <t xml:space="preserve">Prestação de Serviços e Aquisição de Produtos ECT - </t>
    </r>
    <r>
      <rPr>
        <rFont val="Arial"/>
        <i/>
        <color theme="1"/>
        <sz val="11.0"/>
      </rPr>
      <t>Serviços Não Exclusivos</t>
    </r>
  </si>
  <si>
    <t>069/2014</t>
  </si>
  <si>
    <t>10/11/15 à 10/11/20</t>
  </si>
  <si>
    <t>Desnecessário</t>
  </si>
  <si>
    <t>Dispensa 24 VIII
Contrato 60 meses</t>
  </si>
  <si>
    <r>
      <rPr>
        <rFont val="Arial"/>
        <color theme="1"/>
        <sz val="11.0"/>
      </rPr>
      <t xml:space="preserve">Prestação de Serviços e Aquisição de Produtos ECT - </t>
    </r>
    <r>
      <rPr>
        <rFont val="Arial"/>
        <i/>
        <color theme="1"/>
        <sz val="11.0"/>
      </rPr>
      <t>Serviços Exclusivos</t>
    </r>
  </si>
  <si>
    <t>Inexigibilidade 25 Caput
Contrato 60 meses</t>
  </si>
  <si>
    <t>IMESP</t>
  </si>
  <si>
    <t>Serviço de Publicidade legal pelo sistema on-line Pubnet no DOE SP.</t>
  </si>
  <si>
    <t>013/2015</t>
  </si>
  <si>
    <t>005/2015</t>
  </si>
  <si>
    <t>27/03/15 a 27/03/20</t>
  </si>
  <si>
    <t>Dispensa 24 XVI
Contrato 60 meses</t>
  </si>
  <si>
    <t>MAC CHIPS INFORMÁTICA LTDA - EPP</t>
  </si>
  <si>
    <t>Implantação de novo sistema de Ponto Eletrônico</t>
  </si>
  <si>
    <t>072/2015</t>
  </si>
  <si>
    <t>019/2015</t>
  </si>
  <si>
    <t xml:space="preserve">10/09/15 a 10/09/16 </t>
  </si>
  <si>
    <t>Implantação = R$ 980,00
Hosp.= R$ 130,00 / mês</t>
  </si>
  <si>
    <t>ALPHAMED</t>
  </si>
  <si>
    <t>Serviços de Medicina e Engenharia de segurança do trabalho</t>
  </si>
  <si>
    <t>075/2014</t>
  </si>
  <si>
    <t>002/2015</t>
  </si>
  <si>
    <t>12/03/16 a 12/03/17</t>
  </si>
  <si>
    <r>
      <rPr>
        <rFont val="Arial"/>
        <b/>
        <i/>
        <color theme="1"/>
        <sz val="10.0"/>
      </rPr>
      <t>Prorrogação</t>
    </r>
    <r>
      <rPr>
        <rFont val="Arial"/>
        <i/>
        <color theme="1"/>
        <sz val="10.0"/>
      </rPr>
      <t xml:space="preserve"> em Jan/17</t>
    </r>
  </si>
  <si>
    <t>PUMJIL</t>
  </si>
  <si>
    <t>Contrataçãode Empresa Especializada na Desinsetização, desratização, limpeza e desinfecção da caixa d'agua do CIGABC e CRFSU.</t>
  </si>
  <si>
    <t>013/2016</t>
  </si>
  <si>
    <t>003/2016</t>
  </si>
  <si>
    <t>13/04/16 a 13/04/17</t>
  </si>
  <si>
    <r>
      <rPr>
        <rFont val="Arial"/>
        <b/>
        <i/>
        <color theme="1"/>
        <sz val="10.0"/>
      </rPr>
      <t xml:space="preserve">Nova Contratação </t>
    </r>
    <r>
      <rPr>
        <rFont val="Arial"/>
        <i/>
        <color theme="1"/>
        <sz val="10.0"/>
      </rPr>
      <t>em Fevereiro/17</t>
    </r>
  </si>
  <si>
    <t>WCS</t>
  </si>
  <si>
    <t>Serviço de Acesso IP Dedicado com velocidade de 30 MBPS.</t>
  </si>
  <si>
    <t>047/2015</t>
  </si>
  <si>
    <t>28/09/15 a 28/09/16</t>
  </si>
  <si>
    <r>
      <rPr>
        <rFont val="Arial"/>
        <b/>
        <i/>
        <color theme="1"/>
        <sz val="10.0"/>
      </rPr>
      <t>Prorrogação</t>
    </r>
    <r>
      <rPr>
        <rFont val="Arial"/>
        <i/>
        <color theme="1"/>
        <sz val="10.0"/>
      </rPr>
      <t xml:space="preserve"> em Jul/16</t>
    </r>
  </si>
  <si>
    <t>OTIS</t>
  </si>
  <si>
    <t>Manutenção preventiva do elevador OTIS</t>
  </si>
  <si>
    <t>037/2013</t>
  </si>
  <si>
    <t>008/2013</t>
  </si>
  <si>
    <t>07/10/15 a 07/10/16</t>
  </si>
  <si>
    <r>
      <rPr>
        <rFont val="Arial"/>
        <b/>
        <i/>
        <color theme="1"/>
        <sz val="10.0"/>
      </rPr>
      <t>Prorrogação</t>
    </r>
    <r>
      <rPr>
        <rFont val="Arial"/>
        <i/>
        <color theme="1"/>
        <sz val="10.0"/>
      </rPr>
      <t xml:space="preserve"> em Ago/16</t>
    </r>
  </si>
  <si>
    <t xml:space="preserve">BELTIS </t>
  </si>
  <si>
    <t>Servicedesk e Suporte em servidores, segurança e rede para o ambiente do Consórcio para tecnologias instaladas localmente e na nuvem.</t>
  </si>
  <si>
    <t>075/2015</t>
  </si>
  <si>
    <t>020/2015</t>
  </si>
  <si>
    <t xml:space="preserve">21/09/15 a 21/09/16 </t>
  </si>
  <si>
    <r>
      <rPr>
        <rFont val="Arial"/>
        <b/>
        <i/>
        <color theme="1"/>
        <sz val="10.0"/>
      </rPr>
      <t xml:space="preserve">Prorrogação </t>
    </r>
    <r>
      <rPr>
        <rFont val="Arial"/>
        <b val="0"/>
        <i/>
        <color theme="1"/>
        <sz val="10.0"/>
      </rPr>
      <t>em Ago/16</t>
    </r>
  </si>
  <si>
    <t>GERMATEL</t>
  </si>
  <si>
    <t>Manutenção Preventiva e Corretiva do aparelho de PABX - CIGABC e CRFSU</t>
  </si>
  <si>
    <t>087/2015</t>
  </si>
  <si>
    <t>025/2015</t>
  </si>
  <si>
    <t>13/11/15 a 13/11/16</t>
  </si>
  <si>
    <r>
      <rPr>
        <rFont val="Arial"/>
        <b/>
        <i/>
        <color theme="1"/>
        <sz val="10.0"/>
      </rPr>
      <t>Prorrogação</t>
    </r>
    <r>
      <rPr>
        <rFont val="Arial"/>
        <i/>
        <color theme="1"/>
        <sz val="10.0"/>
      </rPr>
      <t xml:space="preserve"> em Set/16</t>
    </r>
  </si>
  <si>
    <t>CAWI-TEC</t>
  </si>
  <si>
    <t>Solução de impressão e cópia corporativa, por meio de disponibilidade de equipamentos (multifuncionais)</t>
  </si>
  <si>
    <t>048/2015</t>
  </si>
  <si>
    <t>016/2015</t>
  </si>
  <si>
    <t>25/8/15 a 25/8/16</t>
  </si>
  <si>
    <t>Encerrando</t>
  </si>
  <si>
    <t>Nova Contratação 
PC 55/16</t>
  </si>
  <si>
    <t>TICKET</t>
  </si>
  <si>
    <t>Serviço de fornecimento de vale refeição</t>
  </si>
  <si>
    <t>060/2010</t>
  </si>
  <si>
    <t>007/2011</t>
  </si>
  <si>
    <t>26/09/15 a 26/09/16</t>
  </si>
  <si>
    <t>Nova Contratação 
PC 45/16</t>
  </si>
  <si>
    <t>Nova contratação 
PC 39/16</t>
  </si>
  <si>
    <t>BELTIS</t>
  </si>
  <si>
    <t>Manutenção preventiva e corretiva (com fornecimento de peças e insumos) de 02 impressoras multifuncionais: HP Laserjet M1530 MFP Series PCL e Brother MFC - 9320 CW, incluindo o fornecimento de tonner.</t>
  </si>
  <si>
    <t>049/2015</t>
  </si>
  <si>
    <t>014/2015</t>
  </si>
  <si>
    <t>05/10/15 à 06/10/16</t>
  </si>
  <si>
    <r>
      <rPr>
        <rFont val="Arial"/>
        <i/>
        <color theme="1"/>
        <sz val="10.0"/>
        <u/>
      </rPr>
      <t>Verificar</t>
    </r>
    <r>
      <rPr>
        <rFont val="Arial"/>
        <i/>
        <color theme="1"/>
        <sz val="10.0"/>
        <u/>
      </rPr>
      <t xml:space="preserve"> necessidade de </t>
    </r>
    <r>
      <rPr>
        <rFont val="Arial"/>
        <b/>
        <i/>
        <color theme="1"/>
        <sz val="10.0"/>
        <u/>
      </rPr>
      <t>nova contratação</t>
    </r>
    <r>
      <rPr>
        <rFont val="Arial"/>
        <i/>
        <color theme="1"/>
        <sz val="10.0"/>
        <u/>
      </rPr>
      <t xml:space="preserve"> em Ago/2016.</t>
    </r>
  </si>
  <si>
    <t>ENCERRADOS NO PRESENTE EXERCÍCIO 2016.</t>
  </si>
  <si>
    <t>FESPSP</t>
  </si>
  <si>
    <t>Elaboração do Plano Regional de Gestão Integrada de Resíduos Sólidos da Região do Grande ABC</t>
  </si>
  <si>
    <t>011/2015</t>
  </si>
  <si>
    <t>01/06/15 a 01/03/16
02/03/16 a 01/05/16
02/05/16 a 01/06/16</t>
  </si>
  <si>
    <t xml:space="preserve">Concluido </t>
  </si>
  <si>
    <t xml:space="preserve">TAMIAZI </t>
  </si>
  <si>
    <t>Serviço de Locação de Equipamentos, Infraestrutura e serviços de apoio operacional para realização dos eventos do Consórcio Intermunicipal Grande ABC</t>
  </si>
  <si>
    <t>093/2014</t>
  </si>
  <si>
    <r>
      <rPr>
        <rFont val="Arial"/>
        <b/>
        <color theme="1"/>
        <sz val="10.0"/>
      </rPr>
      <t xml:space="preserve">10/06/15 à </t>
    </r>
    <r>
      <rPr>
        <rFont val="Arial"/>
        <b/>
        <color rgb="FFFF0000"/>
        <sz val="10.0"/>
      </rPr>
      <t>10/06/16</t>
    </r>
  </si>
  <si>
    <t>Nova Contratação 
PC 36/2016</t>
  </si>
  <si>
    <t>KF2</t>
  </si>
  <si>
    <t>Elaboração de Estudo Regional de Planejamento Estratégico da Macrodrenagem e Microdrenagem da Região do Grande ABC</t>
  </si>
  <si>
    <t>012/2015</t>
  </si>
  <si>
    <r>
      <rPr>
        <rFont val="Arial"/>
        <b/>
        <color theme="1"/>
        <sz val="10.0"/>
      </rPr>
      <t xml:space="preserve">10/06/15 a 10/02/16
11/02/16 a </t>
    </r>
    <r>
      <rPr>
        <rFont val="Arial"/>
        <b/>
        <color rgb="FFFF0000"/>
        <sz val="10.0"/>
      </rPr>
      <t xml:space="preserve">11/06/16 </t>
    </r>
  </si>
  <si>
    <t>Prorrogado e Aditado até 11/06/16 para conclusão</t>
  </si>
  <si>
    <t>ENCERRADOS NO EXERCÍCIO DE 2015.</t>
  </si>
  <si>
    <t>EXTENSÃO</t>
  </si>
  <si>
    <t>Orientação e Elaboração de Instrumentos de Gestão</t>
  </si>
  <si>
    <t>028/2014</t>
  </si>
  <si>
    <t>002/2014</t>
  </si>
  <si>
    <t>09/12/14 a 09/02/15</t>
  </si>
  <si>
    <t>CRONY</t>
  </si>
  <si>
    <t>Prestação de Serviços Gráficos</t>
  </si>
  <si>
    <t>105/2013</t>
  </si>
  <si>
    <t>004/2013</t>
  </si>
  <si>
    <t>02/09/14 a 02/03/15</t>
  </si>
  <si>
    <t>Prestação de Serviços de Vigilância Patrimonial desarmada</t>
  </si>
  <si>
    <t>114/2012</t>
  </si>
  <si>
    <t>017/2012</t>
  </si>
  <si>
    <t>01/03/15 a 30/04/15</t>
  </si>
  <si>
    <t>GRUPPO</t>
  </si>
  <si>
    <t>Prestação de Serviços Técnicos de Consultoria em Planejamento Estratégico Situacional - PES</t>
  </si>
  <si>
    <t>031/2014</t>
  </si>
  <si>
    <t>08/02/15 a 08/06/15</t>
  </si>
  <si>
    <t>KM&amp;W</t>
  </si>
  <si>
    <t>Consultoria para elaboração de projeto para implantação de um Data Center regional</t>
  </si>
  <si>
    <t>062/2014</t>
  </si>
  <si>
    <t>004/2014</t>
  </si>
  <si>
    <t>13/11/14 a 13/05/15</t>
  </si>
  <si>
    <t>EX LIBRIS</t>
  </si>
  <si>
    <t>Elaboração Relatório de Gestão 2013</t>
  </si>
  <si>
    <t>052/2014</t>
  </si>
  <si>
    <t>006/2014</t>
  </si>
  <si>
    <t>02/03/15 a 02/05/15</t>
  </si>
  <si>
    <t>USCS</t>
  </si>
  <si>
    <t>Planejamento, Organização, Divulgação e realização de Concurso Público para provimento de cargos públicos e cadastro reserva para Consórcio Intermunicipal Grande ABC</t>
  </si>
  <si>
    <t>073/2014</t>
  </si>
  <si>
    <t>001/2015</t>
  </si>
  <si>
    <t>09/03/15 à 09/09/15</t>
  </si>
  <si>
    <t>Prestação de Serviços de Manutenção Preventiva e Corretiva do aparelho de PABX</t>
  </si>
  <si>
    <t>046/2013</t>
  </si>
  <si>
    <t>006/2013</t>
  </si>
  <si>
    <t>12/09/14 a 11/09/15</t>
  </si>
  <si>
    <t>13 A</t>
  </si>
  <si>
    <t>Fornecimento de Cartuchos e Tonners</t>
  </si>
  <si>
    <t>108/2013</t>
  </si>
  <si>
    <t>010/2013</t>
  </si>
  <si>
    <t>03/10/14 a 03/10/15</t>
  </si>
  <si>
    <t>EMC</t>
  </si>
  <si>
    <t>Prestação de Serviços de Locação de Computadores</t>
  </si>
  <si>
    <t>141/2011</t>
  </si>
  <si>
    <t>001/2012</t>
  </si>
  <si>
    <t>30/01/14 a 29/01/15</t>
  </si>
  <si>
    <t>Encerrado 28/10/2015</t>
  </si>
  <si>
    <t>VENTURINI</t>
  </si>
  <si>
    <t>Prestação de Serviços de Limpeza, Copeiragem, Jardinagem e motorista</t>
  </si>
  <si>
    <t>015/2014</t>
  </si>
  <si>
    <t>003/2014</t>
  </si>
  <si>
    <t>03/11/14 a 02/11/15</t>
  </si>
  <si>
    <t>BRADESCO SAÚDE</t>
  </si>
  <si>
    <t>Contratação de Operadora de Plano Privado de Assistência à Saúde para a prestação de serviços de Assistência Médica e Hospitalar para os empregados do Consórcio Intermunicipal Grande ABC e respectivos dependentes, nos termos da Lei 9.656/1998 e alterações posteriores.</t>
  </si>
  <si>
    <t>010/2015</t>
  </si>
  <si>
    <t>018/2015</t>
  </si>
  <si>
    <t xml:space="preserve">01/09/15 a 01/09/16 </t>
  </si>
  <si>
    <t>Rescindido</t>
  </si>
  <si>
    <t>Prestação de Serviços com Fornecimento de materiais para adequação da rede elétrica, reestruturação de cabeamento de rede e readequação de telefonia do Consórcio Intermunicipal Grande ABC, incluindo toda infraestrutura seca necessária, ativos e equipamentos de rede.</t>
  </si>
  <si>
    <t>082/2015</t>
  </si>
  <si>
    <t>026/2015</t>
  </si>
  <si>
    <t>26/11/15 a 26/12/15</t>
  </si>
  <si>
    <t>Serviços de Limpeza, Copeiragem, Jardinagem e Motorista - CIGABC</t>
  </si>
  <si>
    <t>106/2015</t>
  </si>
  <si>
    <t>024/2015</t>
  </si>
  <si>
    <t>03/11/15 a 03/05/16</t>
  </si>
  <si>
    <r>
      <rPr>
        <rFont val="Arial"/>
        <i/>
        <color theme="1"/>
        <sz val="10.0"/>
      </rPr>
      <t xml:space="preserve">Emergencial com Clausula Resolutiva Novo Contrato PC 88/2015
</t>
    </r>
    <r>
      <rPr>
        <rFont val="Arial"/>
        <b/>
        <i/>
        <color theme="1"/>
        <sz val="10.0"/>
      </rPr>
      <t>Rescisão em 30/12/2015.</t>
    </r>
  </si>
  <si>
    <t>ALECSANDRO PRECINOTTI</t>
  </si>
  <si>
    <t>Serviços de desinsetização, desratização, limpeza desinfecção da caixa d'agua e cisterna do Consórcio Intermunicipal Grande ABC</t>
  </si>
  <si>
    <t>004/2015</t>
  </si>
  <si>
    <r>
      <rPr>
        <rFont val="Arial"/>
        <b/>
        <color theme="1"/>
        <sz val="10.0"/>
      </rPr>
      <t xml:space="preserve">30/3/15 a </t>
    </r>
    <r>
      <rPr>
        <rFont val="Arial"/>
        <b/>
        <color rgb="FFFF0000"/>
        <sz val="10.0"/>
      </rPr>
      <t>30/3/16</t>
    </r>
  </si>
  <si>
    <t>Encerrado 30/03/16</t>
  </si>
  <si>
    <t>CONTRATOS DE PRESTAÇÃO DE SERVIÇO COM TERCEIRIZAÇÃO DE MÃO DE OBRA</t>
  </si>
  <si>
    <t>SECRETARIA DE SAÚDE - CONTRATOS VIGENTES EM 2011 - SERVIÇOS E MÃO DE OBRA - VALORES EXPRESSOS EM REAIS ( R$ )</t>
  </si>
  <si>
    <t>PRESTAÇÃO DE SERVIÇO</t>
  </si>
  <si>
    <t>VALOR CONTRATUAL
p/ 12 meses</t>
  </si>
  <si>
    <t>VALOR SERVIÇOS
(elemento 3.3.39)</t>
  </si>
  <si>
    <r>
      <rPr>
        <rFont val="Arial"/>
        <b/>
        <color theme="1"/>
        <sz val="10.0"/>
      </rPr>
      <t xml:space="preserve">PERC. </t>
    </r>
    <r>
      <rPr>
        <rFont val="Arial"/>
        <b/>
        <color theme="1"/>
        <sz val="14.0"/>
      </rPr>
      <t>%</t>
    </r>
  </si>
  <si>
    <t>VALOR M. DE OBRA
(elemento 3.3.34)</t>
  </si>
  <si>
    <r>
      <rPr>
        <rFont val="Arial"/>
        <b/>
        <color theme="1"/>
        <sz val="10.0"/>
      </rPr>
      <t xml:space="preserve">PERC. </t>
    </r>
    <r>
      <rPr>
        <rFont val="Arial"/>
        <b/>
        <color theme="1"/>
        <sz val="14.0"/>
      </rPr>
      <t>%</t>
    </r>
  </si>
  <si>
    <t>CONTRATADA</t>
  </si>
  <si>
    <t>CENTRO DE CUSTO</t>
  </si>
  <si>
    <t>VIGÊNCIA CONTRATUAL ATUAL</t>
  </si>
  <si>
    <t>LIMPEZA HOSPITALAR</t>
  </si>
  <si>
    <t>RCA</t>
  </si>
  <si>
    <t>QUARTEIRAO</t>
  </si>
  <si>
    <t>04/08/12 A 04/11/12 -prorrogado com clausula resolutiva - nova licitação</t>
  </si>
  <si>
    <t>VERZANI</t>
  </si>
  <si>
    <t>SECRETARIA  
(H.M e UBS's Eldorado e Paineiras)</t>
  </si>
  <si>
    <t>10/06/12 a 31/12/12</t>
  </si>
  <si>
    <r>
      <rPr>
        <rFont val="Arial"/>
        <b/>
        <color theme="1"/>
        <sz val="10.0"/>
      </rPr>
      <t xml:space="preserve">DIAGNOSTICO POR IMAGEM
</t>
    </r>
    <r>
      <rPr>
        <rFont val="Arial"/>
        <b/>
        <i/>
        <color rgb="FF993300"/>
        <sz val="10.0"/>
      </rPr>
      <t>emergencial 06 meses</t>
    </r>
  </si>
  <si>
    <t>MEDICAID</t>
  </si>
  <si>
    <t>HOSP MUNIC</t>
  </si>
  <si>
    <t>01/07/12 a 31/12/12</t>
  </si>
  <si>
    <t>ORTOPEDIA</t>
  </si>
  <si>
    <t>AGH</t>
  </si>
  <si>
    <t>18/03/12 A 17/03/13</t>
  </si>
  <si>
    <t>VALOR TOTAL</t>
  </si>
  <si>
    <t>SECRETARIA DE SAÚDE - CONTRATOS VIGENTES EM 2011 - SOMENTE MÃO DE OBRA - VALORES EXPRESSOS EM REAIS ( R$ )</t>
  </si>
  <si>
    <t>VALOR SERVIÇOS</t>
  </si>
  <si>
    <r>
      <rPr>
        <rFont val="Arial"/>
        <b/>
        <color theme="1"/>
        <sz val="10.0"/>
      </rPr>
      <t xml:space="preserve">PERC. </t>
    </r>
    <r>
      <rPr>
        <rFont val="Arial"/>
        <b/>
        <color theme="1"/>
        <sz val="14.0"/>
      </rPr>
      <t>%</t>
    </r>
  </si>
  <si>
    <t>VALOR M. DE OBRA</t>
  </si>
  <si>
    <r>
      <rPr>
        <rFont val="Arial"/>
        <b/>
        <color theme="1"/>
        <sz val="10.0"/>
      </rPr>
      <t xml:space="preserve">PERC. </t>
    </r>
    <r>
      <rPr>
        <rFont val="Arial"/>
        <b/>
        <color theme="1"/>
        <sz val="14.0"/>
      </rPr>
      <t>%</t>
    </r>
  </si>
  <si>
    <t>VIGILANCIA</t>
  </si>
  <si>
    <t>ALBATROZ</t>
  </si>
  <si>
    <t>01/01/2012 Á 31/12/2012</t>
  </si>
  <si>
    <t>ORPAN</t>
  </si>
  <si>
    <t>SECRETARIA  
(H.M, CAPSI's e UBS's - exceto Eldorado)</t>
  </si>
  <si>
    <t>03/01/12 A 02/01/13</t>
  </si>
  <si>
    <t>* A nova contratação de Locação de Ambulâncias e Furgões também será caracterizada com terceirização de mão de obra</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</si>
</sst>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dd/MM/yyyy"/>
    <numFmt numFmtId="165" formatCode="dd/mm/yy"/>
    <numFmt numFmtId="166" formatCode="_-&quot;R$&quot;\ * #,##0.00_-;\-&quot;R$&quot;\ * #,##0.00_-;_-&quot;R$&quot;\ * &quot;-&quot;??_-;_-@"/>
    <numFmt numFmtId="167" formatCode="_(&quot;R$ &quot;* #,##0.00_);_(&quot;R$ &quot;* \(#,##0.00\);_(&quot;R$ &quot;* &quot;-&quot;??_);_(@_)"/>
    <numFmt numFmtId="168" formatCode="dd&quot;/&quot;mm&quot;/&quot;yyyy"/>
    <numFmt numFmtId="169" formatCode="dd/mm/yyyy"/>
    <numFmt numFmtId="170" formatCode="d/m/yyyy"/>
    <numFmt numFmtId="171" formatCode="dd&quot;/&quot;mm&quot;/&quot;yy"/>
    <numFmt numFmtId="172" formatCode="d/m/yy"/>
    <numFmt numFmtId="173" formatCode="mm/yyyy"/>
    <numFmt numFmtId="174" formatCode="_-[$R$-416]\ * #,##0.00_-;\-[$R$-416]\ * #,##0.00_-;_-[$R$-416]\ * &quot;-&quot;??_-;_-@"/>
    <numFmt numFmtId="175" formatCode="&quot;R$&quot;\ #,##0.00;[Red]&quot;R$&quot;\ #,##0.00"/>
    <numFmt numFmtId="176" formatCode="m/yyyy"/>
    <numFmt numFmtId="177" formatCode="&quot;R$&quot;\ #,##0.00;[Red]\-&quot;R$&quot;\ #,##0.00"/>
    <numFmt numFmtId="178" formatCode="[$R$-416]\ #,##0.00;\-[$R$-416]\ #,##0.00"/>
    <numFmt numFmtId="179" formatCode="#,##0.00;[Red]#,##0.00"/>
    <numFmt numFmtId="180" formatCode="#,##0;[Red]#,##0"/>
  </numFmts>
  <fonts count="124">
    <font>
      <sz val="11.0"/>
      <color theme="1"/>
      <name val="Calibri"/>
      <scheme val="minor"/>
    </font>
    <font>
      <sz val="11.0"/>
      <color rgb="FFFFFF00"/>
      <name val="Calibri"/>
    </font>
    <font>
      <sz val="11.0"/>
      <color theme="1"/>
      <name val="Calibri"/>
    </font>
    <font>
      <b/>
      <u/>
      <sz val="11.0"/>
      <color theme="1"/>
      <name val="Calibri"/>
    </font>
    <font/>
    <font>
      <b/>
      <u/>
      <sz val="11.0"/>
      <color theme="1"/>
      <name val="Calibri"/>
    </font>
    <font>
      <b/>
      <sz val="11.0"/>
      <color theme="1"/>
      <name val="Calibri"/>
    </font>
    <font>
      <u/>
      <sz val="11.0"/>
      <color theme="1"/>
      <name val="Calibri"/>
    </font>
    <font>
      <b/>
      <sz val="11.0"/>
      <color rgb="FFFFFFFF"/>
      <name val="Calibri"/>
    </font>
    <font>
      <sz val="11.0"/>
      <color rgb="FFFFFFFF"/>
      <name val="Calibri"/>
    </font>
    <font>
      <b/>
      <sz val="16.0"/>
      <color theme="1"/>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sz val="11.0"/>
      <color rgb="FF000000"/>
      <name val="Calibri"/>
    </font>
    <font>
      <sz val="8.0"/>
      <color theme="1"/>
      <name val="Calibri"/>
    </font>
    <font>
      <sz val="10.0"/>
      <color rgb="FFFFFFFF"/>
      <name val="Arimo"/>
    </font>
    <font>
      <b/>
      <u/>
      <sz val="20.0"/>
      <color theme="1"/>
      <name val="Arimo"/>
    </font>
    <font>
      <b/>
      <u/>
      <sz val="20.0"/>
      <color theme="1"/>
      <name val="Arimo"/>
    </font>
    <font>
      <sz val="11.0"/>
      <color theme="1"/>
      <name val="Arimo"/>
    </font>
    <font>
      <b/>
      <u/>
      <sz val="16.0"/>
      <color theme="1"/>
      <name val="Arimo"/>
    </font>
    <font>
      <b/>
      <u/>
      <sz val="10.0"/>
      <color theme="1"/>
      <name val="Arimo"/>
    </font>
    <font>
      <b/>
      <u/>
      <sz val="16.0"/>
      <color theme="1"/>
      <name val="Arimo"/>
    </font>
    <font>
      <b/>
      <color theme="1"/>
      <name val="Calibri"/>
      <scheme val="minor"/>
    </font>
    <font>
      <b/>
      <u/>
      <sz val="16.0"/>
      <color theme="1"/>
      <name val="Arimo"/>
    </font>
    <font>
      <b/>
      <sz val="11.0"/>
      <color theme="1"/>
      <name val="Arimo"/>
    </font>
    <font>
      <b/>
      <u/>
      <sz val="11.0"/>
      <color rgb="FF0000FF"/>
      <name val="Calibri"/>
    </font>
    <font>
      <color theme="1"/>
      <name val="Calibri"/>
      <scheme val="minor"/>
    </font>
    <font>
      <b/>
      <u/>
      <sz val="11.0"/>
      <color rgb="FF0000FF"/>
      <name val="Calibri"/>
    </font>
    <font>
      <b/>
      <sz val="11.0"/>
      <color rgb="FF000000"/>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b/>
      <u/>
      <sz val="11.0"/>
      <color rgb="FF0000FF"/>
      <name val="Calibri"/>
    </font>
    <font>
      <sz val="10.0"/>
      <color theme="1"/>
      <name val="Arimo"/>
    </font>
    <font>
      <b/>
      <u/>
      <sz val="11.0"/>
      <color rgb="FF0000FF"/>
      <name val="Calibri"/>
    </font>
    <font>
      <b/>
      <u/>
      <sz val="11.0"/>
      <color rgb="FF0000FF"/>
      <name val="Calibri"/>
    </font>
    <font>
      <b/>
      <u/>
      <sz val="11.0"/>
      <color rgb="FF0000FF"/>
      <name val="Calibri"/>
    </font>
    <font>
      <b/>
      <color theme="1"/>
      <name val="Arimo"/>
    </font>
    <font>
      <color theme="1"/>
      <name val="Arimo"/>
    </font>
    <font>
      <b/>
      <u/>
      <sz val="10.0"/>
      <color rgb="FF0000FF"/>
      <name val="Arimo"/>
    </font>
    <font>
      <b/>
      <sz val="10.0"/>
      <color theme="1"/>
      <name val="Arimo"/>
    </font>
    <font>
      <sz val="10.0"/>
      <color theme="1"/>
      <name val="Calibri"/>
    </font>
    <font>
      <b/>
      <u/>
      <sz val="10.0"/>
      <color rgb="FF0000FF"/>
      <name val="Arimo"/>
    </font>
    <font>
      <b/>
      <u/>
      <sz val="10.0"/>
      <color rgb="FF0000FF"/>
      <name val="Arimo"/>
    </font>
    <font>
      <b/>
      <u/>
      <sz val="10.0"/>
      <color rgb="FF0000FF"/>
      <name val="Arimo"/>
    </font>
    <font>
      <b/>
      <u/>
      <sz val="10.0"/>
      <color rgb="FF0000FF"/>
      <name val="Arimo"/>
    </font>
    <font>
      <b/>
      <u/>
      <sz val="10.0"/>
      <color rgb="FF0000FF"/>
      <name val="Arimo"/>
    </font>
    <font>
      <b/>
      <u/>
      <sz val="10.0"/>
      <color theme="10"/>
      <name val="Arimo"/>
    </font>
    <font>
      <b/>
      <u/>
      <sz val="10.0"/>
      <color theme="10"/>
      <name val="Arimo"/>
    </font>
    <font>
      <b/>
      <u/>
      <sz val="10.0"/>
      <color rgb="FF0000FF"/>
      <name val="Arimo"/>
    </font>
    <font>
      <b/>
      <u/>
      <sz val="10.0"/>
      <color theme="10"/>
      <name val="Arimo"/>
    </font>
    <font>
      <b/>
      <u/>
      <sz val="10.0"/>
      <color rgb="FF0000FF"/>
      <name val="Arimo"/>
    </font>
    <font>
      <b/>
      <u/>
      <sz val="10.0"/>
      <color rgb="FF0000FF"/>
      <name val="Arimo"/>
    </font>
    <font>
      <b/>
      <u/>
      <sz val="10.0"/>
      <color theme="10"/>
      <name val="Arimo"/>
    </font>
    <font>
      <b/>
      <u/>
      <sz val="10.0"/>
      <color rgb="FF0000FF"/>
      <name val="Arimo"/>
    </font>
    <font>
      <b/>
      <u/>
      <sz val="10.0"/>
      <color rgb="FF0000FF"/>
      <name val="Arimo"/>
    </font>
    <font>
      <b/>
      <u/>
      <sz val="10.0"/>
      <color rgb="FF0000FF"/>
      <name val="Arimo"/>
    </font>
    <font>
      <b/>
      <u/>
      <sz val="10.0"/>
      <color rgb="FF0000FF"/>
      <name val="Arimo"/>
    </font>
    <font>
      <b/>
      <u/>
      <sz val="10.0"/>
      <color rgb="FF0000FF"/>
      <name val="Arimo"/>
    </font>
    <font>
      <b/>
      <u/>
      <sz val="10.0"/>
      <color rgb="FF0000FF"/>
      <name val="Arimo"/>
    </font>
    <font>
      <b/>
      <u/>
      <sz val="10.0"/>
      <color rgb="FF0000FF"/>
      <name val="Arimo"/>
    </font>
    <font>
      <sz val="10.0"/>
      <color theme="1"/>
      <name val="Calibri"/>
      <scheme val="minor"/>
    </font>
    <font>
      <b/>
      <u/>
      <sz val="10.0"/>
      <color rgb="FF0000FF"/>
      <name val="Arimo"/>
    </font>
    <font>
      <b/>
      <u/>
      <sz val="10.0"/>
      <color rgb="FF0000FF"/>
      <name val="Arimo"/>
    </font>
    <font>
      <b/>
      <u/>
      <sz val="10.0"/>
      <color rgb="FF0000FF"/>
      <name val="Arimo"/>
    </font>
    <font>
      <b/>
      <u/>
      <sz val="10.0"/>
      <color rgb="FF0000FF"/>
      <name val="Arimo"/>
    </font>
    <font>
      <b/>
      <sz val="10.0"/>
      <color rgb="FFFFFFFF"/>
      <name val="Arimo"/>
    </font>
    <font>
      <b/>
      <u/>
      <sz val="16.0"/>
      <color theme="1"/>
      <name val="Arimo"/>
    </font>
    <font>
      <b/>
      <u/>
      <sz val="16.0"/>
      <color theme="1"/>
      <name val="Arimo"/>
    </font>
    <font>
      <b/>
      <u/>
      <sz val="16.0"/>
      <color theme="1"/>
      <name val="Arimo"/>
    </font>
    <font>
      <b/>
      <u/>
      <sz val="16.0"/>
      <color theme="1"/>
      <name val="Arimo"/>
    </font>
    <font>
      <b/>
      <sz val="9.0"/>
      <color theme="1"/>
      <name val="Arimo"/>
    </font>
    <font>
      <b/>
      <color rgb="FF000000"/>
      <name val="Arimo"/>
    </font>
    <font>
      <sz val="12.0"/>
      <color rgb="FF000000"/>
      <name val="Calibri"/>
    </font>
    <font>
      <sz val="12.0"/>
      <color theme="1"/>
      <name val="Calibri"/>
    </font>
    <font>
      <b/>
      <sz val="14.0"/>
      <color theme="1"/>
      <name val="Arial"/>
    </font>
    <font>
      <sz val="11.0"/>
      <color theme="0"/>
      <name val="Calibri"/>
      <scheme val="minor"/>
    </font>
    <font>
      <b/>
      <sz val="10.0"/>
      <color rgb="FFFFFFFF"/>
      <name val="Arial"/>
    </font>
    <font>
      <b/>
      <sz val="11.0"/>
      <color rgb="FFFFFFFF"/>
      <name val="Arial"/>
    </font>
    <font>
      <sz val="11.0"/>
      <color theme="1"/>
      <name val="Arial"/>
    </font>
    <font>
      <b/>
      <sz val="10.0"/>
      <color theme="1"/>
      <name val="Arial"/>
    </font>
    <font>
      <sz val="10.0"/>
      <color theme="1"/>
      <name val="Arial"/>
    </font>
    <font>
      <i/>
      <sz val="10.0"/>
      <color theme="1"/>
      <name val="Arial"/>
    </font>
    <font>
      <u/>
      <sz val="11.0"/>
      <color theme="10"/>
    </font>
    <font>
      <u/>
      <sz val="11.0"/>
      <color theme="10"/>
      <name val="Calibri"/>
      <scheme val="minor"/>
    </font>
    <font>
      <sz val="12.0"/>
      <color theme="1"/>
      <name val="Arial"/>
    </font>
    <font>
      <i/>
      <sz val="9.0"/>
      <color theme="1"/>
      <name val="Arial"/>
    </font>
    <font>
      <u/>
      <sz val="11.0"/>
      <color theme="10"/>
    </font>
    <font>
      <b/>
      <i/>
      <sz val="10.0"/>
      <color theme="1"/>
      <name val="Arial"/>
    </font>
    <font>
      <i/>
      <u/>
      <sz val="10.0"/>
      <color theme="1"/>
      <name val="Arial"/>
    </font>
    <font>
      <b/>
      <sz val="12.0"/>
      <color rgb="FF000000"/>
      <name val="Calibri"/>
    </font>
    <font>
      <sz val="8.0"/>
      <color theme="1"/>
      <name val="Arial"/>
    </font>
    <font>
      <u/>
      <sz val="9.0"/>
      <color rgb="FF0000FF"/>
      <name val="Arial"/>
    </font>
    <font>
      <b/>
      <sz val="12.0"/>
      <color rgb="FFC0C0C0"/>
      <name val="Calibri"/>
    </font>
    <font>
      <sz val="10.0"/>
      <color rgb="FF000000"/>
      <name val="Arial"/>
    </font>
    <font>
      <i/>
      <sz val="11.0"/>
      <color theme="1"/>
      <name val="Arial"/>
    </font>
    <font>
      <i/>
      <sz val="8.0"/>
      <color theme="1"/>
      <name val="Arial"/>
    </font>
    <font>
      <u/>
      <sz val="11.0"/>
      <color theme="1"/>
      <name val="Arial"/>
    </font>
    <font>
      <b/>
      <sz val="9.0"/>
      <color rgb="FFFF0000"/>
      <name val="Arial"/>
    </font>
    <font>
      <sz val="16.0"/>
      <color theme="1"/>
      <name val="Arial"/>
    </font>
    <font>
      <b/>
      <sz val="12.0"/>
      <color rgb="FF008000"/>
      <name val="Arial"/>
    </font>
    <font>
      <sz val="9.0"/>
      <color rgb="FF0000FF"/>
      <name val="Arial"/>
    </font>
    <font>
      <sz val="12.0"/>
      <color rgb="FF0000FF"/>
      <name val="Arial"/>
    </font>
    <font>
      <b/>
      <sz val="9.0"/>
      <color theme="1"/>
      <name val="Arial"/>
    </font>
    <font>
      <b/>
      <sz val="11.0"/>
      <color rgb="FF008000"/>
      <name val="Arial"/>
    </font>
    <font>
      <sz val="14.0"/>
      <color rgb="FF0000FF"/>
      <name val="Arial"/>
    </font>
    <font>
      <b/>
      <sz val="12.0"/>
      <color rgb="FF0000FF"/>
      <name val="Arial"/>
    </font>
    <font>
      <b/>
      <sz val="14.0"/>
      <color rgb="FF0000FF"/>
      <name val="Arial"/>
    </font>
    <font>
      <i/>
      <sz val="11.0"/>
      <color rgb="FF993300"/>
      <name val="Arial"/>
    </font>
  </fonts>
  <fills count="1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B45F06"/>
        <bgColor rgb="FFB45F06"/>
      </patternFill>
    </fill>
    <fill>
      <patternFill patternType="solid">
        <fgColor rgb="FF00FF00"/>
        <bgColor rgb="FF00FF00"/>
      </patternFill>
    </fill>
    <fill>
      <patternFill patternType="solid">
        <fgColor theme="0"/>
        <bgColor theme="0"/>
      </patternFill>
    </fill>
    <fill>
      <patternFill patternType="solid">
        <fgColor rgb="FF00B0F0"/>
        <bgColor rgb="FF00B0F0"/>
      </patternFill>
    </fill>
    <fill>
      <patternFill patternType="solid">
        <fgColor rgb="FF000000"/>
        <bgColor rgb="FF000000"/>
      </patternFill>
    </fill>
    <fill>
      <patternFill patternType="solid">
        <fgColor theme="1"/>
        <bgColor theme="1"/>
      </patternFill>
    </fill>
    <fill>
      <patternFill patternType="solid">
        <fgColor rgb="FFFFE599"/>
        <bgColor rgb="FFFFE599"/>
      </patternFill>
    </fill>
    <fill>
      <patternFill patternType="solid">
        <fgColor rgb="FFB6D7A8"/>
        <bgColor rgb="FFB6D7A8"/>
      </patternFill>
    </fill>
    <fill>
      <patternFill patternType="solid">
        <fgColor rgb="FFFF6600"/>
        <bgColor rgb="FFFF6600"/>
      </patternFill>
    </fill>
    <fill>
      <patternFill patternType="solid">
        <fgColor rgb="FFFFC000"/>
        <bgColor rgb="FFFFC000"/>
      </patternFill>
    </fill>
    <fill>
      <patternFill patternType="solid">
        <fgColor rgb="FFFF8080"/>
        <bgColor rgb="FFFF8080"/>
      </patternFill>
    </fill>
    <fill>
      <patternFill patternType="solid">
        <fgColor rgb="FF993300"/>
        <bgColor rgb="FF993300"/>
      </patternFill>
    </fill>
    <fill>
      <patternFill patternType="solid">
        <fgColor rgb="FFC0C0C0"/>
        <bgColor rgb="FFC0C0C0"/>
      </patternFill>
    </fill>
  </fills>
  <borders count="3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bottom/>
    </border>
    <border>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right/>
      <top/>
      <bottom/>
    </border>
    <border>
      <left/>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top style="medium">
        <color rgb="FF000000"/>
      </top>
      <bottom style="medium">
        <color rgb="FF000000"/>
      </bottom>
    </border>
    <border>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border>
    <border>
      <left style="thin">
        <color rgb="FF000000"/>
      </left>
      <right/>
      <top style="medium">
        <color rgb="FF000000"/>
      </top>
      <bottom style="thin">
        <color rgb="FF000000"/>
      </bottom>
    </border>
    <border>
      <left style="thin">
        <color rgb="FF000000"/>
      </left>
      <right/>
      <top style="medium">
        <color rgb="FF000000"/>
      </top>
      <bottom/>
    </border>
    <border>
      <left style="dotted">
        <color rgb="FFBFBFBF"/>
      </left>
      <right style="thin">
        <color rgb="FFBFBFBF"/>
      </right>
      <top style="thin">
        <color rgb="FFBFBFBF"/>
      </top>
      <bottom style="thin">
        <color rgb="FFBFBFBF"/>
      </bottom>
    </border>
    <border>
      <left style="dotted">
        <color rgb="FFBFBFBF"/>
      </left>
      <bottom style="thin">
        <color rgb="FFBFBFBF"/>
      </bottom>
    </border>
    <border>
      <left style="medium">
        <color rgb="FF000000"/>
      </left>
      <right style="thin">
        <color rgb="FF000000"/>
      </right>
      <top style="thin">
        <color rgb="FF000000"/>
      </top>
      <bottom style="thin">
        <color rgb="FF000000"/>
      </bottom>
    </border>
  </borders>
  <cellStyleXfs count="1">
    <xf borderId="0" fillId="0" fontId="0" numFmtId="0" applyAlignment="1" applyFont="1"/>
  </cellStyleXfs>
  <cellXfs count="886">
    <xf borderId="0" fillId="0" fontId="0" numFmtId="0" xfId="0" applyAlignment="1" applyFont="1">
      <alignment readingOrder="0" shrinkToFit="0" vertical="bottom" wrapText="0"/>
    </xf>
    <xf borderId="1" fillId="2" fontId="1" numFmtId="14" xfId="0" applyAlignment="1" applyBorder="1" applyFill="1" applyFont="1" applyNumberFormat="1">
      <alignment horizontal="center" readingOrder="0" vertical="center"/>
    </xf>
    <xf borderId="1" fillId="2" fontId="2" numFmtId="164" xfId="0" applyAlignment="1" applyBorder="1" applyFont="1" applyNumberFormat="1">
      <alignment horizontal="center" vertical="center"/>
    </xf>
    <xf borderId="2" fillId="2" fontId="3" numFmtId="0" xfId="0" applyAlignment="1" applyBorder="1" applyFont="1">
      <alignment horizontal="center" vertical="center"/>
    </xf>
    <xf borderId="3" fillId="0" fontId="4" numFmtId="0" xfId="0" applyBorder="1" applyFont="1"/>
    <xf borderId="1" fillId="2" fontId="5" numFmtId="0" xfId="0" applyAlignment="1" applyBorder="1" applyFont="1">
      <alignment horizontal="center" vertical="center"/>
    </xf>
    <xf borderId="1" fillId="2" fontId="6" numFmtId="0" xfId="0" applyAlignment="1" applyBorder="1" applyFont="1">
      <alignment horizontal="center"/>
    </xf>
    <xf borderId="1" fillId="2" fontId="7" numFmtId="0" xfId="0" applyAlignment="1" applyBorder="1" applyFont="1">
      <alignment horizontal="center" vertical="center"/>
    </xf>
    <xf borderId="4" fillId="0" fontId="4" numFmtId="0" xfId="0" applyBorder="1" applyFont="1"/>
    <xf borderId="1" fillId="2" fontId="2" numFmtId="0" xfId="0" applyAlignment="1" applyBorder="1" applyFont="1">
      <alignment horizontal="center" shrinkToFit="0" vertical="center" wrapText="1"/>
    </xf>
    <xf borderId="0" fillId="3" fontId="2" numFmtId="0" xfId="0" applyAlignment="1" applyFill="1" applyFont="1">
      <alignment horizontal="center" shrinkToFit="0" vertical="center" wrapText="1"/>
    </xf>
    <xf borderId="1" fillId="4" fontId="8" numFmtId="164" xfId="0" applyAlignment="1" applyBorder="1" applyFill="1" applyFont="1" applyNumberFormat="1">
      <alignment horizontal="center" readingOrder="0" shrinkToFit="0" vertical="center" wrapText="1"/>
    </xf>
    <xf borderId="1" fillId="4" fontId="8" numFmtId="49" xfId="0" applyAlignment="1" applyBorder="1" applyFont="1" applyNumberFormat="1">
      <alignment horizontal="center" readingOrder="0" shrinkToFit="0" vertical="center" wrapText="1"/>
    </xf>
    <xf borderId="1" fillId="4" fontId="8" numFmtId="0" xfId="0" applyAlignment="1" applyBorder="1" applyFont="1">
      <alignment horizontal="center" readingOrder="0" shrinkToFit="0" vertical="center" wrapText="1"/>
    </xf>
    <xf borderId="1" fillId="4" fontId="8" numFmtId="165" xfId="0" applyAlignment="1" applyBorder="1" applyFont="1" applyNumberFormat="1">
      <alignment horizontal="center" shrinkToFit="0" vertical="center" wrapText="1"/>
    </xf>
    <xf borderId="1" fillId="4" fontId="9" numFmtId="0" xfId="0" applyAlignment="1" applyBorder="1" applyFont="1">
      <alignment horizontal="center" readingOrder="0" shrinkToFit="0" vertical="center" wrapText="1"/>
    </xf>
    <xf borderId="1" fillId="4" fontId="8" numFmtId="166" xfId="0" applyAlignment="1" applyBorder="1" applyFont="1" applyNumberFormat="1">
      <alignment horizontal="center" readingOrder="0" shrinkToFit="0" vertical="center" wrapText="1"/>
    </xf>
    <xf borderId="1" fillId="4" fontId="8" numFmtId="167" xfId="0" applyAlignment="1" applyBorder="1" applyFont="1" applyNumberFormat="1">
      <alignment horizontal="center" readingOrder="0" shrinkToFit="0" vertical="center" wrapText="1"/>
    </xf>
    <xf borderId="0" fillId="3" fontId="8" numFmtId="0" xfId="0" applyAlignment="1" applyFont="1">
      <alignment horizontal="center" readingOrder="0" shrinkToFit="0" vertical="center" wrapText="1"/>
    </xf>
    <xf borderId="2" fillId="5" fontId="10" numFmtId="0" xfId="0" applyAlignment="1" applyBorder="1" applyFill="1" applyFont="1">
      <alignment horizontal="center" readingOrder="0" shrinkToFit="0" vertical="center" wrapText="1"/>
    </xf>
    <xf borderId="0" fillId="0" fontId="2" numFmtId="165" xfId="0" applyAlignment="1" applyFont="1" applyNumberFormat="1">
      <alignment horizontal="center" shrinkToFit="0" vertical="center" wrapText="1"/>
    </xf>
    <xf borderId="1" fillId="3" fontId="6" numFmtId="0" xfId="0" applyAlignment="1" applyBorder="1" applyFont="1">
      <alignment horizontal="center" readingOrder="0" shrinkToFit="0" vertical="center" wrapText="1"/>
    </xf>
    <xf borderId="1" fillId="3" fontId="6" numFmtId="164" xfId="0" applyAlignment="1" applyBorder="1" applyFont="1" applyNumberFormat="1">
      <alignment horizontal="center" readingOrder="0" shrinkToFit="0" vertical="center" wrapText="1"/>
    </xf>
    <xf borderId="1" fillId="0" fontId="6" numFmtId="49" xfId="0" applyAlignment="1" applyBorder="1" applyFont="1" applyNumberFormat="1">
      <alignment horizontal="center" readingOrder="0" shrinkToFit="0" vertical="center" wrapText="1"/>
    </xf>
    <xf borderId="1" fillId="3" fontId="2" numFmtId="49" xfId="0" applyAlignment="1" applyBorder="1" applyFont="1" applyNumberFormat="1">
      <alignment horizontal="center" readingOrder="0" shrinkToFit="0" vertical="center" wrapText="1"/>
    </xf>
    <xf borderId="1" fillId="0" fontId="11" numFmtId="0" xfId="0" applyAlignment="1" applyBorder="1" applyFont="1">
      <alignment readingOrder="0" shrinkToFit="0" vertical="center" wrapText="1"/>
    </xf>
    <xf borderId="1" fillId="3" fontId="2" numFmtId="0" xfId="0" applyAlignment="1" applyBorder="1" applyFont="1">
      <alignment horizontal="center" readingOrder="0" shrinkToFit="0" vertical="center" wrapText="1"/>
    </xf>
    <xf borderId="1" fillId="6" fontId="6" numFmtId="0" xfId="0" applyAlignment="1" applyBorder="1" applyFill="1" applyFont="1">
      <alignment horizontal="center" readingOrder="0" shrinkToFit="0" vertical="center" wrapText="1"/>
    </xf>
    <xf borderId="1" fillId="3" fontId="2" numFmtId="0" xfId="0" applyAlignment="1" applyBorder="1" applyFont="1">
      <alignment readingOrder="0" shrinkToFit="0" vertical="center" wrapText="1"/>
    </xf>
    <xf borderId="1" fillId="6" fontId="2" numFmtId="0" xfId="0" applyAlignment="1" applyBorder="1" applyFont="1">
      <alignment horizontal="center" readingOrder="0" shrinkToFit="0" vertical="center" wrapText="1"/>
    </xf>
    <xf borderId="1" fillId="6" fontId="2" numFmtId="166" xfId="0" applyAlignment="1" applyBorder="1" applyFont="1" applyNumberFormat="1">
      <alignment horizontal="center" readingOrder="0" shrinkToFit="0" vertical="center" wrapText="1"/>
    </xf>
    <xf borderId="1" fillId="6" fontId="2" numFmtId="168"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 fillId="3" fontId="6" numFmtId="49" xfId="0" applyAlignment="1" applyBorder="1" applyFont="1" applyNumberFormat="1">
      <alignment horizontal="center" readingOrder="0" shrinkToFit="0" vertical="center" wrapText="1"/>
    </xf>
    <xf borderId="1" fillId="0" fontId="12" numFmtId="167" xfId="0" applyAlignment="1" applyBorder="1" applyFont="1" applyNumberFormat="1">
      <alignment readingOrder="0" shrinkToFit="0" vertical="center" wrapText="1"/>
    </xf>
    <xf borderId="1" fillId="3" fontId="2" numFmtId="167" xfId="0" applyAlignment="1" applyBorder="1" applyFont="1" applyNumberFormat="1">
      <alignment horizontal="center" readingOrder="0" shrinkToFit="0" vertical="center" wrapText="1"/>
    </xf>
    <xf borderId="1" fillId="3" fontId="2" numFmtId="167" xfId="0" applyAlignment="1" applyBorder="1" applyFont="1" applyNumberFormat="1">
      <alignment readingOrder="0" shrinkToFit="0" vertical="center" wrapText="1"/>
    </xf>
    <xf borderId="1" fillId="6" fontId="2" numFmtId="166" xfId="0" applyAlignment="1" applyBorder="1" applyFont="1" applyNumberFormat="1">
      <alignment horizontal="right" readingOrder="0" shrinkToFit="0" vertical="center" wrapText="1"/>
    </xf>
    <xf borderId="1" fillId="0" fontId="13" numFmtId="167" xfId="0" applyAlignment="1" applyBorder="1" applyFont="1" applyNumberFormat="1">
      <alignment horizontal="center" readingOrder="0" shrinkToFit="0" vertical="center" wrapText="1"/>
    </xf>
    <xf borderId="0" fillId="0" fontId="14" numFmtId="167" xfId="0" applyAlignment="1" applyFont="1" applyNumberFormat="1">
      <alignment horizontal="center" shrinkToFit="0" vertical="center" wrapText="1"/>
    </xf>
    <xf borderId="1" fillId="3" fontId="2" numFmtId="165" xfId="0" applyAlignment="1" applyBorder="1" applyFont="1" applyNumberFormat="1">
      <alignment horizontal="center" readingOrder="0" shrinkToFit="0" vertical="center" wrapText="1"/>
    </xf>
    <xf borderId="1" fillId="6" fontId="2" numFmtId="166" xfId="0" applyAlignment="1" applyBorder="1" applyFont="1" applyNumberFormat="1">
      <alignment readingOrder="0"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0" fontId="2" numFmtId="49" xfId="0" applyAlignment="1" applyBorder="1" applyFont="1" applyNumberFormat="1">
      <alignment horizontal="center" readingOrder="0" shrinkToFit="0" vertical="center" wrapText="1"/>
    </xf>
    <xf borderId="1" fillId="3" fontId="15" numFmtId="167" xfId="0" applyAlignment="1" applyBorder="1" applyFont="1" applyNumberFormat="1">
      <alignment readingOrder="0" shrinkToFit="0" vertical="center" wrapText="1"/>
    </xf>
    <xf borderId="1" fillId="3" fontId="2" numFmtId="169" xfId="0" applyAlignment="1" applyBorder="1" applyFont="1" applyNumberForma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1" fillId="3" fontId="2" numFmtId="0" xfId="0" applyAlignment="1" applyBorder="1" applyFont="1">
      <alignment readingOrder="0" shrinkToFit="0" vertical="center" wrapText="1"/>
    </xf>
    <xf borderId="1" fillId="3" fontId="2" numFmtId="170" xfId="0" applyAlignment="1" applyBorder="1" applyFont="1" applyNumberFormat="1">
      <alignment horizontal="center" readingOrder="0" shrinkToFit="0" vertical="center" wrapText="1"/>
    </xf>
    <xf borderId="1" fillId="0" fontId="2" numFmtId="165" xfId="0" applyAlignment="1" applyBorder="1" applyFont="1" applyNumberFormat="1">
      <alignment horizontal="center" shrinkToFit="0" vertical="center" wrapText="1"/>
    </xf>
    <xf borderId="1" fillId="0" fontId="16" numFmtId="167" xfId="0" applyAlignment="1" applyBorder="1" applyFont="1" applyNumberFormat="1">
      <alignment horizontal="left" readingOrder="0" shrinkToFit="0" vertical="center" wrapText="1"/>
    </xf>
    <xf borderId="1" fillId="3" fontId="2" numFmtId="167" xfId="0" applyAlignment="1" applyBorder="1" applyFont="1" applyNumberFormat="1">
      <alignment horizontal="left" readingOrder="0" shrinkToFit="0" vertical="center" wrapText="1"/>
    </xf>
    <xf borderId="1" fillId="3" fontId="2" numFmtId="0" xfId="0" applyAlignment="1" applyBorder="1" applyFont="1">
      <alignment horizontal="center" readingOrder="0" vertical="center"/>
    </xf>
    <xf borderId="1" fillId="3" fontId="2" numFmtId="166" xfId="0" applyAlignment="1" applyBorder="1" applyFont="1" applyNumberFormat="1">
      <alignment horizontal="center" readingOrder="0" shrinkToFit="0" vertical="center" wrapText="1"/>
    </xf>
    <xf borderId="1" fillId="3" fontId="2" numFmtId="169" xfId="0" applyAlignment="1" applyBorder="1" applyFont="1" applyNumberFormat="1">
      <alignment horizontal="center" readingOrder="0" vertical="center"/>
    </xf>
    <xf borderId="1" fillId="3" fontId="2" numFmtId="168" xfId="0" applyAlignment="1" applyBorder="1" applyFont="1" applyNumberFormat="1">
      <alignment horizontal="center" readingOrder="0" vertical="center"/>
    </xf>
    <xf borderId="1" fillId="0" fontId="2" numFmtId="167" xfId="0" applyAlignment="1" applyBorder="1" applyFont="1" applyNumberFormat="1">
      <alignment horizontal="center" readingOrder="0" shrinkToFit="0" vertical="center" wrapText="1"/>
    </xf>
    <xf borderId="0" fillId="0" fontId="2" numFmtId="167" xfId="0" applyAlignment="1" applyFont="1" applyNumberFormat="1">
      <alignment horizontal="center" readingOrder="0" shrinkToFit="0" vertical="center" wrapText="1"/>
    </xf>
    <xf borderId="1" fillId="0" fontId="6" numFmtId="49" xfId="0" applyAlignment="1" applyBorder="1" applyFont="1" applyNumberFormat="1">
      <alignment horizontal="center" shrinkToFit="0" vertical="center" wrapText="1"/>
    </xf>
    <xf borderId="1" fillId="0" fontId="6" numFmtId="0" xfId="0" applyAlignment="1" applyBorder="1" applyFont="1">
      <alignment horizontal="center" readingOrder="0" shrinkToFit="0" vertical="center" wrapText="1"/>
    </xf>
    <xf borderId="0" fillId="3" fontId="2" numFmtId="165" xfId="0" applyAlignment="1" applyFont="1" applyNumberFormat="1">
      <alignment horizontal="center" shrinkToFit="0" vertical="center" wrapText="1"/>
    </xf>
    <xf borderId="1" fillId="3" fontId="2" numFmtId="164" xfId="0" applyAlignment="1" applyBorder="1" applyFont="1" applyNumberFormat="1">
      <alignment horizontal="center" readingOrder="0" shrinkToFit="0" vertical="center" wrapText="1"/>
    </xf>
    <xf borderId="1" fillId="0" fontId="17" numFmtId="0" xfId="0" applyAlignment="1" applyBorder="1" applyFont="1">
      <alignment readingOrder="0" shrinkToFit="0" vertical="center" wrapText="1"/>
    </xf>
    <xf borderId="1" fillId="0" fontId="2" numFmtId="165" xfId="0" applyAlignment="1" applyBorder="1" applyFont="1" applyNumberFormat="1">
      <alignment horizontal="center" readingOrder="0" shrinkToFit="0" vertical="center" wrapText="1"/>
    </xf>
    <xf borderId="1" fillId="0" fontId="2" numFmtId="169" xfId="0" applyAlignment="1" applyBorder="1" applyFont="1" applyNumberFormat="1">
      <alignment horizontal="center" readingOrder="0" vertical="center"/>
    </xf>
    <xf borderId="1" fillId="0" fontId="18" numFmtId="0" xfId="0" applyAlignment="1" applyBorder="1" applyFont="1">
      <alignment horizontal="center" shrinkToFit="0" vertical="center" wrapText="1"/>
    </xf>
    <xf borderId="0" fillId="0" fontId="19" numFmtId="0" xfId="0" applyAlignment="1" applyFont="1">
      <alignment horizontal="center" shrinkToFit="0" vertical="center" wrapText="1"/>
    </xf>
    <xf borderId="1" fillId="3" fontId="6" numFmtId="49" xfId="0" applyAlignment="1" applyBorder="1" applyFont="1" applyNumberFormat="1">
      <alignment horizontal="center" shrinkToFit="0" vertical="center" wrapText="1"/>
    </xf>
    <xf borderId="1" fillId="3" fontId="2" numFmtId="167" xfId="0" applyAlignment="1" applyBorder="1" applyFont="1" applyNumberFormat="1">
      <alignment shrinkToFit="0" vertical="center" wrapText="1"/>
    </xf>
    <xf borderId="1" fillId="0" fontId="20" numFmtId="167" xfId="0" applyAlignment="1" applyBorder="1" applyFont="1" applyNumberFormat="1">
      <alignment horizontal="center" shrinkToFit="0" vertical="center" wrapText="1"/>
    </xf>
    <xf borderId="5" fillId="3" fontId="6" numFmtId="0" xfId="0" applyAlignment="1" applyBorder="1" applyFont="1">
      <alignment horizontal="center" readingOrder="0" shrinkToFit="0" vertical="center" wrapText="1"/>
    </xf>
    <xf borderId="5" fillId="3" fontId="6" numFmtId="164" xfId="0" applyAlignment="1" applyBorder="1" applyFont="1" applyNumberFormat="1">
      <alignment horizontal="center" readingOrder="0" shrinkToFit="0" vertical="center" wrapText="1"/>
    </xf>
    <xf borderId="5" fillId="0" fontId="21" numFmtId="167" xfId="0" applyAlignment="1" applyBorder="1" applyFont="1" applyNumberFormat="1">
      <alignment readingOrder="0" shrinkToFit="0" vertical="center" wrapText="1"/>
    </xf>
    <xf borderId="5" fillId="3" fontId="2" numFmtId="167" xfId="0" applyAlignment="1" applyBorder="1" applyFont="1" applyNumberFormat="1">
      <alignment horizontal="center" readingOrder="0" shrinkToFit="0" vertical="center" wrapText="1"/>
    </xf>
    <xf borderId="5" fillId="3" fontId="2" numFmtId="167" xfId="0" applyAlignment="1" applyBorder="1" applyFont="1" applyNumberFormat="1">
      <alignment readingOrder="0" shrinkToFit="0" vertical="center" wrapText="1"/>
    </xf>
    <xf borderId="5" fillId="6" fontId="6" numFmtId="0" xfId="0" applyAlignment="1" applyBorder="1" applyFont="1">
      <alignment horizontal="center" readingOrder="0" shrinkToFit="0" vertical="center" wrapText="1"/>
    </xf>
    <xf borderId="5" fillId="6" fontId="2" numFmtId="0" xfId="0" applyAlignment="1" applyBorder="1" applyFont="1">
      <alignment horizontal="center" readingOrder="0" shrinkToFit="0" vertical="center" wrapText="1"/>
    </xf>
    <xf borderId="6" fillId="0" fontId="4" numFmtId="0" xfId="0" applyBorder="1" applyFont="1"/>
    <xf borderId="1" fillId="3" fontId="2" numFmtId="165" xfId="0" applyAlignment="1" applyBorder="1" applyFont="1" applyNumberFormat="1">
      <alignment shrinkToFit="0" vertical="center" wrapText="1"/>
    </xf>
    <xf borderId="1" fillId="3" fontId="6" numFmtId="0" xfId="0" applyAlignment="1" applyBorder="1" applyFont="1">
      <alignment horizontal="center" shrinkToFit="0" vertical="center" wrapText="1"/>
    </xf>
    <xf borderId="1" fillId="3" fontId="2" numFmtId="0" xfId="0" applyAlignment="1" applyBorder="1" applyFont="1">
      <alignment vertical="center"/>
    </xf>
    <xf borderId="1" fillId="3" fontId="2" numFmtId="166" xfId="0" applyAlignment="1" applyBorder="1" applyFont="1" applyNumberFormat="1">
      <alignment horizontal="right" shrinkToFit="0" vertical="center" wrapText="1"/>
    </xf>
    <xf borderId="1" fillId="3" fontId="2" numFmtId="168" xfId="0" applyAlignment="1" applyBorder="1" applyFont="1" applyNumberFormat="1">
      <alignment horizontal="center" readingOrder="0" shrinkToFit="0" vertical="center" wrapText="1"/>
    </xf>
    <xf borderId="1" fillId="0" fontId="2" numFmtId="165" xfId="0" applyAlignment="1" applyBorder="1" applyFont="1" applyNumberFormat="1">
      <alignment horizontal="center" vertical="center"/>
    </xf>
    <xf borderId="0" fillId="0" fontId="2" numFmtId="165" xfId="0" applyAlignment="1" applyFont="1" applyNumberFormat="1">
      <alignment horizontal="center" vertical="center"/>
    </xf>
    <xf borderId="5" fillId="0" fontId="6" numFmtId="49" xfId="0" applyAlignment="1" applyBorder="1" applyFont="1" applyNumberFormat="1">
      <alignment horizontal="center" readingOrder="0" shrinkToFit="0" vertical="center" wrapText="1"/>
    </xf>
    <xf borderId="5" fillId="0" fontId="2" numFmtId="49" xfId="0" applyAlignment="1" applyBorder="1" applyFont="1" applyNumberFormat="1">
      <alignment horizontal="center" readingOrder="0" shrinkToFit="0" vertical="center" wrapText="1"/>
    </xf>
    <xf borderId="5" fillId="0" fontId="22" numFmtId="167" xfId="0" applyAlignment="1" applyBorder="1" applyFont="1" applyNumberFormat="1">
      <alignment horizontal="left" readingOrder="0" shrinkToFit="0" vertical="center" wrapText="1"/>
    </xf>
    <xf borderId="5" fillId="3" fontId="2" numFmtId="0" xfId="0" applyAlignment="1" applyBorder="1" applyFont="1">
      <alignment horizontal="center" readingOrder="0" shrinkToFit="0" vertical="center" wrapText="1"/>
    </xf>
    <xf borderId="5" fillId="3" fontId="2" numFmtId="0" xfId="0" applyAlignment="1" applyBorder="1" applyFont="1">
      <alignment horizontal="center" readingOrder="0" vertical="center"/>
    </xf>
    <xf borderId="5" fillId="3" fontId="2" numFmtId="169" xfId="0" applyAlignment="1" applyBorder="1" applyFont="1" applyNumberFormat="1">
      <alignment horizontal="center" readingOrder="0" vertical="center"/>
    </xf>
    <xf borderId="5" fillId="3" fontId="2" numFmtId="168" xfId="0" applyAlignment="1" applyBorder="1" applyFont="1" applyNumberFormat="1">
      <alignment horizontal="center" readingOrder="0" vertical="center"/>
    </xf>
    <xf borderId="5" fillId="0" fontId="2" numFmtId="167" xfId="0" applyAlignment="1" applyBorder="1" applyFont="1" applyNumberFormat="1">
      <alignment horizontal="center" readingOrder="0" shrinkToFit="0" vertical="center" wrapText="1"/>
    </xf>
    <xf borderId="7" fillId="0" fontId="4" numFmtId="0" xfId="0" applyBorder="1" applyFont="1"/>
    <xf borderId="1" fillId="2" fontId="2" numFmtId="166" xfId="0" applyAlignment="1" applyBorder="1" applyFont="1" applyNumberFormat="1">
      <alignment horizontal="center" shrinkToFit="0" vertical="center" wrapText="1"/>
    </xf>
    <xf borderId="5" fillId="0" fontId="23" numFmtId="0" xfId="0" applyAlignment="1" applyBorder="1" applyFont="1">
      <alignment readingOrder="0" shrinkToFit="0" vertical="center" wrapText="1"/>
    </xf>
    <xf borderId="5" fillId="3" fontId="2" numFmtId="0" xfId="0" applyAlignment="1" applyBorder="1" applyFont="1">
      <alignment readingOrder="0" shrinkToFit="0" vertical="center" wrapText="1"/>
    </xf>
    <xf borderId="1" fillId="3" fontId="2" numFmtId="0" xfId="0" applyAlignment="1" applyBorder="1" applyFont="1">
      <alignment horizontal="center" shrinkToFit="0" vertical="center" wrapText="1"/>
    </xf>
    <xf borderId="0" fillId="0" fontId="2" numFmtId="167" xfId="0" applyAlignment="1" applyFont="1" applyNumberFormat="1">
      <alignment horizontal="center" shrinkToFit="0" vertical="center" wrapText="1"/>
    </xf>
    <xf borderId="1" fillId="0" fontId="2" numFmtId="167" xfId="0" applyAlignment="1" applyBorder="1" applyFont="1" applyNumberFormat="1">
      <alignment horizontal="left" readingOrder="0" shrinkToFit="0" vertical="center" wrapText="1"/>
    </xf>
    <xf borderId="1" fillId="0" fontId="2" numFmtId="169" xfId="0" applyAlignment="1" applyBorder="1" applyFont="1" applyNumberFormat="1">
      <alignment horizontal="center" readingOrder="0" shrinkToFit="0" vertical="center" wrapText="1"/>
    </xf>
    <xf borderId="1" fillId="0" fontId="2" numFmtId="166" xfId="0" applyAlignment="1" applyBorder="1" applyFont="1" applyNumberFormat="1">
      <alignment horizontal="right" readingOrder="0" shrinkToFit="0" vertical="center" wrapText="1"/>
    </xf>
    <xf borderId="5" fillId="0" fontId="6" numFmtId="164" xfId="0" applyAlignment="1" applyBorder="1" applyFont="1" applyNumberFormat="1">
      <alignment horizontal="center" readingOrder="0" shrinkToFit="0" vertical="center" wrapText="1"/>
    </xf>
    <xf borderId="5" fillId="0" fontId="2" numFmtId="167" xfId="0" applyAlignment="1" applyBorder="1" applyFont="1" applyNumberFormat="1">
      <alignment horizontal="left" readingOrder="0" shrinkToFit="0" vertical="center" wrapText="1"/>
    </xf>
    <xf borderId="5" fillId="0" fontId="6"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0" fillId="3" fontId="2" numFmtId="167" xfId="0" applyAlignment="1" applyFont="1" applyNumberFormat="1">
      <alignment horizontal="center" readingOrder="0" shrinkToFit="0" vertical="center" wrapText="1"/>
    </xf>
    <xf borderId="1" fillId="0" fontId="2" numFmtId="170" xfId="0" applyAlignment="1" applyBorder="1" applyFont="1" applyNumberFormat="1">
      <alignment horizontal="center" readingOrder="0" shrinkToFit="0" vertical="center" wrapText="1"/>
    </xf>
    <xf borderId="1" fillId="0" fontId="2" numFmtId="0" xfId="0" applyAlignment="1" applyBorder="1" applyFont="1">
      <alignment horizontal="center" readingOrder="0" vertical="center"/>
    </xf>
    <xf borderId="1" fillId="6" fontId="2" numFmtId="0" xfId="0" applyAlignment="1" applyBorder="1" applyFont="1">
      <alignment horizontal="center" shrinkToFit="0" vertical="center" wrapText="1"/>
    </xf>
    <xf borderId="1" fillId="6" fontId="2" numFmtId="169" xfId="0" applyAlignment="1" applyBorder="1" applyFont="1" applyNumberFormat="1">
      <alignment horizontal="center" readingOrder="0" shrinkToFit="0" vertical="center" wrapText="1"/>
    </xf>
    <xf borderId="1" fillId="3" fontId="6" numFmtId="164" xfId="0" applyAlignment="1" applyBorder="1" applyFont="1" applyNumberFormat="1">
      <alignment horizontal="center" shrinkToFit="0" vertical="center" wrapText="1"/>
    </xf>
    <xf borderId="1" fillId="3" fontId="2" numFmtId="167" xfId="0" applyAlignment="1" applyBorder="1" applyFont="1" applyNumberFormat="1">
      <alignment horizontal="center" shrinkToFit="0" vertical="center" wrapText="1"/>
    </xf>
    <xf borderId="1" fillId="3" fontId="2" numFmtId="166" xfId="0" applyAlignment="1" applyBorder="1" applyFont="1" applyNumberFormat="1">
      <alignment horizontal="center" shrinkToFit="0" vertical="center" wrapText="1"/>
    </xf>
    <xf borderId="1" fillId="3" fontId="2" numFmtId="168" xfId="0" applyAlignment="1" applyBorder="1" applyFont="1" applyNumberFormat="1">
      <alignment horizontal="center" shrinkToFit="0" vertical="center" wrapText="1"/>
    </xf>
    <xf borderId="1" fillId="0" fontId="2" numFmtId="167" xfId="0" applyAlignment="1" applyBorder="1" applyFont="1" applyNumberFormat="1">
      <alignment vertical="center"/>
    </xf>
    <xf borderId="0" fillId="0" fontId="2" numFmtId="167" xfId="0" applyAlignment="1" applyFont="1" applyNumberFormat="1">
      <alignment vertical="center"/>
    </xf>
    <xf borderId="1" fillId="6" fontId="2" numFmtId="170" xfId="0" applyAlignment="1" applyBorder="1" applyFont="1" applyNumberFormat="1">
      <alignment horizontal="center" readingOrder="0" shrinkToFit="0" vertical="center" wrapText="1"/>
    </xf>
    <xf borderId="1" fillId="3" fontId="24" numFmtId="0" xfId="0" applyAlignment="1" applyBorder="1" applyFont="1">
      <alignment horizontal="center" readingOrder="0" shrinkToFit="0" vertical="center" wrapText="1"/>
    </xf>
    <xf borderId="5" fillId="3" fontId="2" numFmtId="169" xfId="0" applyAlignment="1" applyBorder="1" applyFont="1" applyNumberFormat="1">
      <alignment horizontal="center" readingOrder="0" shrinkToFit="0" vertical="center" wrapText="1"/>
    </xf>
    <xf borderId="1" fillId="0" fontId="2" numFmtId="49" xfId="0" applyAlignment="1" applyBorder="1" applyFont="1" applyNumberFormat="1">
      <alignment horizontal="center" shrinkToFit="0" vertical="center" wrapText="1"/>
    </xf>
    <xf borderId="1" fillId="3" fontId="2" numFmtId="49" xfId="0" applyAlignment="1" applyBorder="1" applyFont="1" applyNumberFormat="1">
      <alignment horizontal="center" shrinkToFit="0" vertical="center" wrapText="1"/>
    </xf>
    <xf borderId="1" fillId="6" fontId="25" numFmtId="166" xfId="0" applyAlignment="1" applyBorder="1" applyFont="1" applyNumberFormat="1">
      <alignment horizontal="center" readingOrder="0" shrinkToFit="0" vertical="center" wrapText="1"/>
    </xf>
    <xf borderId="1" fillId="6" fontId="24" numFmtId="0" xfId="0" applyAlignment="1" applyBorder="1" applyFont="1">
      <alignment horizontal="center" readingOrder="0" shrinkToFit="0" vertical="center" wrapText="1"/>
    </xf>
    <xf borderId="1" fillId="0" fontId="2" numFmtId="17" xfId="0" applyAlignment="1" applyBorder="1" applyFont="1" applyNumberFormat="1">
      <alignment horizontal="center" shrinkToFit="0" vertical="center" wrapText="1"/>
    </xf>
    <xf borderId="1" fillId="6" fontId="2" numFmtId="0" xfId="0" applyAlignment="1" applyBorder="1" applyFont="1">
      <alignment horizontal="center" readingOrder="0" shrinkToFit="0" vertical="center" wrapText="1"/>
    </xf>
    <xf borderId="1" fillId="0" fontId="2" numFmtId="167" xfId="0" applyAlignment="1" applyBorder="1" applyFont="1" applyNumberFormat="1">
      <alignment readingOrder="0" shrinkToFit="0" vertical="center" wrapText="1"/>
    </xf>
    <xf borderId="1" fillId="0" fontId="2" numFmtId="168" xfId="0" applyAlignment="1" applyBorder="1" applyFont="1" applyNumberFormat="1">
      <alignment horizontal="center" readingOrder="0" shrinkToFit="0" vertical="center" wrapText="1"/>
    </xf>
    <xf borderId="1" fillId="3" fontId="2" numFmtId="168" xfId="0" applyBorder="1" applyFont="1" applyNumberFormat="1"/>
    <xf borderId="1" fillId="3" fontId="2" numFmtId="167" xfId="0" applyBorder="1" applyFont="1" applyNumberFormat="1"/>
    <xf borderId="0" fillId="0" fontId="2" numFmtId="165" xfId="0" applyFont="1" applyNumberFormat="1"/>
    <xf borderId="1" fillId="6" fontId="6" numFmtId="165" xfId="0" applyAlignment="1" applyBorder="1" applyFont="1" applyNumberFormat="1">
      <alignment horizontal="center" shrinkToFit="0" vertical="center" wrapText="1"/>
    </xf>
    <xf borderId="1" fillId="6" fontId="6" numFmtId="0" xfId="0" applyAlignment="1" applyBorder="1" applyFont="1">
      <alignment horizontal="center" shrinkToFit="0" vertical="center" wrapText="1"/>
    </xf>
    <xf borderId="1" fillId="0" fontId="2" numFmtId="167" xfId="0" applyAlignment="1" applyBorder="1" applyFont="1" applyNumberFormat="1">
      <alignment horizontal="center" shrinkToFit="0" vertical="center" wrapText="1"/>
    </xf>
    <xf borderId="1" fillId="2" fontId="26" numFmtId="14" xfId="0" applyAlignment="1" applyBorder="1" applyFont="1" applyNumberFormat="1">
      <alignment horizontal="center" readingOrder="0" vertical="center"/>
    </xf>
    <xf borderId="0" fillId="2" fontId="27" numFmtId="0" xfId="0" applyAlignment="1" applyFont="1">
      <alignment horizontal="center" vertical="center"/>
    </xf>
    <xf borderId="0" fillId="2" fontId="28" numFmtId="171" xfId="0" applyAlignment="1" applyFont="1" applyNumberFormat="1">
      <alignment horizontal="center" vertical="center"/>
    </xf>
    <xf borderId="0" fillId="2" fontId="29" numFmtId="0" xfId="0" applyAlignment="1" applyFont="1">
      <alignment horizontal="center" shrinkToFit="0" vertical="center" wrapText="1"/>
    </xf>
    <xf borderId="8" fillId="2" fontId="30" numFmtId="0" xfId="0" applyAlignment="1" applyBorder="1" applyFont="1">
      <alignment horizontal="center" vertical="center"/>
    </xf>
    <xf borderId="0" fillId="2" fontId="31" numFmtId="0" xfId="0" applyAlignment="1" applyFont="1">
      <alignment horizontal="left" vertical="center"/>
    </xf>
    <xf borderId="9" fillId="2" fontId="32" numFmtId="0" xfId="0" applyAlignment="1" applyBorder="1" applyFont="1">
      <alignment horizontal="center" vertical="center"/>
    </xf>
    <xf borderId="9" fillId="2" fontId="33" numFmtId="0" xfId="0" applyAlignment="1" applyBorder="1" applyFont="1">
      <alignment shrinkToFit="0" vertical="center" wrapText="1"/>
    </xf>
    <xf borderId="9" fillId="2" fontId="33" numFmtId="0" xfId="0" applyBorder="1" applyFont="1"/>
    <xf borderId="8" fillId="2" fontId="34" numFmtId="171" xfId="0" applyAlignment="1" applyBorder="1" applyFont="1" applyNumberFormat="1">
      <alignment horizontal="center" vertical="center"/>
    </xf>
    <xf borderId="0" fillId="2" fontId="29" numFmtId="0" xfId="0" applyFont="1"/>
    <xf borderId="0" fillId="0" fontId="29" numFmtId="0" xfId="0" applyFont="1"/>
    <xf borderId="10" fillId="4" fontId="8" numFmtId="164" xfId="0" applyAlignment="1" applyBorder="1" applyFont="1" applyNumberFormat="1">
      <alignment horizontal="center" readingOrder="0" shrinkToFit="0" vertical="center" wrapText="1"/>
    </xf>
    <xf borderId="6" fillId="4" fontId="8" numFmtId="49" xfId="0" applyAlignment="1" applyBorder="1" applyFont="1" applyNumberFormat="1">
      <alignment horizontal="center" readingOrder="0" shrinkToFit="0" vertical="center" wrapText="1"/>
    </xf>
    <xf borderId="11" fillId="4" fontId="8" numFmtId="0" xfId="0" applyAlignment="1" applyBorder="1" applyFont="1">
      <alignment horizontal="center" readingOrder="0" shrinkToFit="0" vertical="center" wrapText="1"/>
    </xf>
    <xf borderId="5" fillId="4" fontId="8" numFmtId="165" xfId="0" applyAlignment="1" applyBorder="1" applyFont="1" applyNumberFormat="1">
      <alignment horizontal="center" shrinkToFit="0" vertical="center" wrapText="1"/>
    </xf>
    <xf borderId="3" fillId="4" fontId="8" numFmtId="0" xfId="0" applyAlignment="1" applyBorder="1" applyFont="1">
      <alignment horizontal="center" readingOrder="0" shrinkToFit="0" vertical="center" wrapText="1"/>
    </xf>
    <xf borderId="4" fillId="4" fontId="8" numFmtId="0" xfId="0" applyAlignment="1" applyBorder="1" applyFont="1">
      <alignment horizontal="center" readingOrder="0" shrinkToFit="0" vertical="center" wrapText="1"/>
    </xf>
    <xf borderId="2" fillId="4" fontId="8" numFmtId="0" xfId="0" applyAlignment="1" applyBorder="1" applyFont="1">
      <alignment horizontal="center" readingOrder="0" shrinkToFit="0" vertical="center" wrapText="1"/>
    </xf>
    <xf borderId="6" fillId="4" fontId="8" numFmtId="0" xfId="0" applyAlignment="1" applyBorder="1" applyFont="1">
      <alignment horizontal="center" readingOrder="0" shrinkToFit="0" vertical="center" wrapText="1"/>
    </xf>
    <xf borderId="0" fillId="0" fontId="35" numFmtId="0" xfId="0" applyAlignment="1" applyFont="1">
      <alignment vertical="center"/>
    </xf>
    <xf borderId="1" fillId="3" fontId="2" numFmtId="167" xfId="0" applyAlignment="1" applyBorder="1" applyFont="1" applyNumberFormat="1">
      <alignment horizontal="center" readingOrder="0" shrinkToFit="0" vertical="center" wrapText="1"/>
    </xf>
    <xf borderId="1" fillId="3" fontId="6" numFmtId="167" xfId="0" applyAlignment="1" applyBorder="1" applyFont="1" applyNumberFormat="1">
      <alignment horizontal="center" readingOrder="0" shrinkToFit="0" vertical="center" wrapText="1"/>
    </xf>
    <xf borderId="1" fillId="0" fontId="2" numFmtId="168" xfId="0" applyAlignment="1" applyBorder="1" applyFont="1" applyNumberFormat="1">
      <alignment horizontal="center" readingOrder="0" vertical="center"/>
    </xf>
    <xf borderId="1" fillId="6" fontId="2" numFmtId="166" xfId="0" applyAlignment="1" applyBorder="1" applyFont="1" applyNumberFormat="1">
      <alignment horizontal="left" readingOrder="0" shrinkToFit="0" vertical="center" wrapText="1"/>
    </xf>
    <xf borderId="5" fillId="3" fontId="2" numFmtId="172" xfId="0" applyAlignment="1" applyBorder="1" applyFont="1" applyNumberFormat="1">
      <alignment horizontal="center" readingOrder="0" shrinkToFit="0" vertical="center" wrapText="1"/>
    </xf>
    <xf borderId="5" fillId="6" fontId="2" numFmtId="166" xfId="0" applyAlignment="1" applyBorder="1" applyFont="1" applyNumberFormat="1">
      <alignment horizontal="center" readingOrder="0" shrinkToFit="0" vertical="center" wrapText="1"/>
    </xf>
    <xf borderId="1" fillId="0" fontId="36" numFmtId="0" xfId="0" applyAlignment="1" applyBorder="1" applyFont="1">
      <alignment shrinkToFit="0" vertical="center" wrapText="1"/>
    </xf>
    <xf borderId="1" fillId="3" fontId="2" numFmtId="0" xfId="0" applyAlignment="1" applyBorder="1" applyFont="1">
      <alignment shrinkToFit="0" vertical="center" wrapText="1"/>
    </xf>
    <xf borderId="1" fillId="0" fontId="2" numFmtId="0" xfId="0" applyAlignment="1" applyBorder="1" applyFont="1">
      <alignment horizontal="center" vertical="center"/>
    </xf>
    <xf borderId="1" fillId="3" fontId="2" numFmtId="168" xfId="0" applyAlignment="1" applyBorder="1" applyFont="1" applyNumberFormat="1">
      <alignment vertical="center"/>
    </xf>
    <xf borderId="1" fillId="0" fontId="2" numFmtId="49" xfId="0" applyAlignment="1" applyBorder="1" applyFont="1" applyNumberFormat="1">
      <alignment vertical="center"/>
    </xf>
    <xf borderId="0" fillId="0" fontId="2" numFmtId="49" xfId="0" applyAlignment="1" applyFont="1" applyNumberFormat="1">
      <alignment vertical="center"/>
    </xf>
    <xf borderId="0" fillId="0" fontId="2" numFmtId="0" xfId="0" applyAlignment="1" applyFont="1">
      <alignment vertical="center"/>
    </xf>
    <xf borderId="0" fillId="0" fontId="2" numFmtId="166" xfId="0" applyAlignment="1" applyFont="1" applyNumberFormat="1">
      <alignment vertical="center"/>
    </xf>
    <xf borderId="0" fillId="0" fontId="2" numFmtId="168" xfId="0" applyAlignment="1" applyFont="1" applyNumberFormat="1">
      <alignment vertical="center"/>
    </xf>
    <xf borderId="0" fillId="0" fontId="2" numFmtId="0" xfId="0" applyAlignment="1" applyFont="1">
      <alignment vertical="center"/>
    </xf>
    <xf borderId="0" fillId="0" fontId="37" numFmtId="0" xfId="0" applyAlignment="1" applyFont="1">
      <alignment vertical="center"/>
    </xf>
    <xf borderId="6" fillId="3" fontId="6" numFmtId="164" xfId="0" applyAlignment="1" applyBorder="1" applyFont="1" applyNumberFormat="1">
      <alignment horizontal="center" readingOrder="0" shrinkToFit="0" vertical="center" wrapText="1"/>
    </xf>
    <xf borderId="6" fillId="0" fontId="6" numFmtId="49" xfId="0" applyAlignment="1" applyBorder="1" applyFont="1" applyNumberFormat="1">
      <alignment horizontal="center" readingOrder="0" shrinkToFit="0" vertical="center" wrapText="1"/>
    </xf>
    <xf borderId="6" fillId="0" fontId="38" numFmtId="0" xfId="0" applyAlignment="1" applyBorder="1" applyFont="1">
      <alignment readingOrder="0" shrinkToFit="0" vertical="center" wrapText="1"/>
    </xf>
    <xf borderId="11" fillId="3" fontId="2" numFmtId="0" xfId="0" applyAlignment="1" applyBorder="1" applyFont="1">
      <alignment horizontal="center" readingOrder="0" shrinkToFit="0" vertical="center" wrapText="1"/>
    </xf>
    <xf borderId="11" fillId="6" fontId="6" numFmtId="0" xfId="0" applyAlignment="1" applyBorder="1" applyFont="1">
      <alignment horizontal="center" readingOrder="0" shrinkToFit="0" vertical="center" wrapText="1"/>
    </xf>
    <xf borderId="11" fillId="3" fontId="2" numFmtId="0" xfId="0" applyAlignment="1" applyBorder="1" applyFont="1">
      <alignment readingOrder="0" shrinkToFit="0" vertical="center" wrapText="1"/>
    </xf>
    <xf borderId="6" fillId="3"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6" fillId="6" fontId="2" numFmtId="168" xfId="0" applyAlignment="1" applyBorder="1" applyFont="1" applyNumberFormat="1">
      <alignment horizontal="center" readingOrder="0" shrinkToFit="0" vertical="center" wrapText="1"/>
    </xf>
    <xf borderId="1" fillId="3" fontId="39" numFmtId="169" xfId="0" applyAlignment="1" applyBorder="1" applyFont="1" applyNumberFormat="1">
      <alignment horizontal="center" readingOrder="0" shrinkToFit="0" vertical="center" wrapText="1"/>
    </xf>
    <xf borderId="1" fillId="0" fontId="24" numFmtId="167" xfId="0" applyAlignment="1" applyBorder="1" applyFont="1" applyNumberFormat="1">
      <alignment horizontal="center" readingOrder="0" shrinkToFit="0" vertical="center" wrapText="1"/>
    </xf>
    <xf borderId="5" fillId="3" fontId="6" numFmtId="164" xfId="0" applyAlignment="1" applyBorder="1" applyFont="1" applyNumberFormat="1">
      <alignment horizontal="center" shrinkToFit="0" vertical="center" wrapText="1"/>
    </xf>
    <xf borderId="5" fillId="0" fontId="6" numFmtId="49" xfId="0" applyAlignment="1" applyBorder="1" applyFont="1" applyNumberFormat="1">
      <alignment horizontal="center" shrinkToFit="0" vertical="center" wrapText="1"/>
    </xf>
    <xf borderId="5" fillId="0" fontId="2" numFmtId="49" xfId="0" applyAlignment="1" applyBorder="1" applyFont="1" applyNumberFormat="1">
      <alignment horizontal="center" shrinkToFit="0" vertical="center" wrapText="1"/>
    </xf>
    <xf borderId="5" fillId="3" fontId="40" numFmtId="167" xfId="0" applyAlignment="1" applyBorder="1" applyFont="1" applyNumberFormat="1">
      <alignment shrinkToFit="0" vertical="center" wrapText="1"/>
    </xf>
    <xf borderId="5" fillId="3" fontId="6" numFmtId="167" xfId="0" applyAlignment="1" applyBorder="1" applyFont="1" applyNumberFormat="1">
      <alignment horizontal="center" shrinkToFit="0" vertical="center" wrapText="1"/>
    </xf>
    <xf borderId="5" fillId="3" fontId="6" numFmtId="0" xfId="0" applyAlignment="1" applyBorder="1" applyFont="1">
      <alignment horizontal="center" shrinkToFit="0" vertical="center" wrapText="1"/>
    </xf>
    <xf borderId="5" fillId="3" fontId="2" numFmtId="167" xfId="0" applyAlignment="1" applyBorder="1" applyFont="1" applyNumberFormat="1">
      <alignment shrinkToFit="0" vertical="center" wrapText="1"/>
    </xf>
    <xf borderId="5" fillId="3" fontId="2" numFmtId="167"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5" fillId="3" fontId="2" numFmtId="168" xfId="0" applyAlignment="1" applyBorder="1" applyFont="1" applyNumberFormat="1">
      <alignment horizontal="center" shrinkToFit="0" vertical="center" wrapText="1"/>
    </xf>
    <xf borderId="5" fillId="0" fontId="2" numFmtId="0" xfId="0" applyAlignment="1" applyBorder="1" applyFont="1">
      <alignment horizontal="center" shrinkToFit="0" vertical="center" wrapText="1"/>
    </xf>
    <xf borderId="1" fillId="2" fontId="6" numFmtId="166" xfId="0" applyAlignment="1" applyBorder="1" applyFont="1" applyNumberFormat="1">
      <alignment horizontal="right" shrinkToFit="0" vertical="center" wrapText="1"/>
    </xf>
    <xf borderId="1" fillId="3" fontId="2" numFmtId="0" xfId="0" applyAlignment="1" applyBorder="1" applyFont="1">
      <alignment shrinkToFit="0" vertical="center" wrapText="1"/>
    </xf>
    <xf borderId="1" fillId="6" fontId="2" numFmtId="166" xfId="0" applyAlignment="1" applyBorder="1" applyFont="1" applyNumberFormat="1">
      <alignment shrinkToFit="0" vertical="center" wrapText="1"/>
    </xf>
    <xf borderId="1" fillId="3" fontId="6" numFmtId="173" xfId="0" applyAlignment="1" applyBorder="1" applyFont="1" applyNumberFormat="1">
      <alignment horizontal="center" readingOrder="0" shrinkToFit="0" vertical="center" wrapText="1"/>
    </xf>
    <xf borderId="7" fillId="3" fontId="6" numFmtId="164" xfId="0" applyAlignment="1" applyBorder="1" applyFont="1" applyNumberFormat="1">
      <alignment horizontal="center" readingOrder="0" shrinkToFit="0" vertical="center" wrapText="1"/>
    </xf>
    <xf borderId="7" fillId="0" fontId="6" numFmtId="49" xfId="0" applyAlignment="1" applyBorder="1" applyFont="1" applyNumberFormat="1">
      <alignment horizontal="center" readingOrder="0" shrinkToFit="0" vertical="center" wrapText="1"/>
    </xf>
    <xf borderId="11" fillId="0" fontId="2" numFmtId="49" xfId="0" applyAlignment="1" applyBorder="1" applyFont="1" applyNumberFormat="1">
      <alignment horizontal="center" shrinkToFit="0" vertical="center" wrapText="1"/>
    </xf>
    <xf borderId="7" fillId="0" fontId="41" numFmtId="0" xfId="0" applyAlignment="1" applyBorder="1" applyFont="1">
      <alignment readingOrder="0" shrinkToFit="0" vertical="center" wrapText="1"/>
    </xf>
    <xf borderId="12" fillId="3" fontId="2" numFmtId="0" xfId="0" applyAlignment="1" applyBorder="1" applyFont="1">
      <alignment horizontal="center" readingOrder="0" shrinkToFit="0" vertical="center" wrapText="1"/>
    </xf>
    <xf borderId="12" fillId="3" fontId="2" numFmtId="0" xfId="0" applyAlignment="1" applyBorder="1" applyFont="1">
      <alignment readingOrder="0" shrinkToFit="0" vertical="center" wrapText="1"/>
    </xf>
    <xf borderId="11" fillId="3" fontId="2" numFmtId="49" xfId="0" applyAlignment="1" applyBorder="1" applyFont="1" applyNumberFormat="1">
      <alignment horizontal="center" shrinkToFit="0" vertical="center" wrapText="1"/>
    </xf>
    <xf borderId="11" fillId="0" fontId="4" numFmtId="0" xfId="0" applyBorder="1" applyFont="1"/>
    <xf borderId="6" fillId="3" fontId="6" numFmtId="164" xfId="0" applyAlignment="1" applyBorder="1" applyFont="1" applyNumberFormat="1">
      <alignment horizontal="center" shrinkToFit="0" vertical="center" wrapText="1"/>
    </xf>
    <xf borderId="6" fillId="0" fontId="6" numFmtId="49" xfId="0" applyAlignment="1" applyBorder="1" applyFont="1" applyNumberFormat="1">
      <alignment horizontal="center" shrinkToFit="0" vertical="center" wrapText="1"/>
    </xf>
    <xf borderId="11" fillId="3" fontId="2" numFmtId="167" xfId="0" applyAlignment="1" applyBorder="1" applyFont="1" applyNumberFormat="1">
      <alignment horizontal="center" shrinkToFit="0" vertical="center" wrapText="1"/>
    </xf>
    <xf borderId="11" fillId="3" fontId="2" numFmtId="165" xfId="0" applyAlignment="1" applyBorder="1" applyFont="1" applyNumberFormat="1">
      <alignment shrinkToFit="0" vertical="center" wrapText="1"/>
    </xf>
    <xf borderId="11" fillId="3" fontId="2" numFmtId="0" xfId="0" applyAlignment="1" applyBorder="1" applyFont="1">
      <alignment horizontal="center" shrinkToFit="0" vertical="center" wrapText="1"/>
    </xf>
    <xf borderId="6" fillId="3" fontId="2" numFmtId="0" xfId="0" applyAlignment="1" applyBorder="1" applyFont="1">
      <alignment horizontal="center" shrinkToFit="0" vertical="center" wrapText="1"/>
    </xf>
    <xf borderId="1" fillId="3" fontId="6"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6" fillId="0" fontId="2" numFmtId="0" xfId="0" applyAlignment="1" applyBorder="1" applyFont="1">
      <alignment vertical="center"/>
    </xf>
    <xf borderId="11" fillId="0" fontId="2" numFmtId="49" xfId="0" applyAlignment="1" applyBorder="1" applyFont="1" applyNumberFormat="1">
      <alignment horizontal="center" readingOrder="0" shrinkToFit="0" vertical="center" wrapText="1"/>
    </xf>
    <xf borderId="11" fillId="3" fontId="2" numFmtId="167" xfId="0" applyAlignment="1" applyBorder="1" applyFont="1" applyNumberFormat="1">
      <alignment horizontal="center" readingOrder="0" shrinkToFit="0" vertical="center" wrapText="1"/>
    </xf>
    <xf borderId="11" fillId="0" fontId="2" numFmtId="0" xfId="0" applyAlignment="1" applyBorder="1" applyFont="1">
      <alignment horizontal="center" readingOrder="0" shrinkToFit="0" vertical="center" wrapText="1"/>
    </xf>
    <xf borderId="1" fillId="6" fontId="2" numFmtId="168" xfId="0" applyAlignment="1" applyBorder="1" applyFont="1" applyNumberFormat="1">
      <alignment horizontal="center" shrinkToFit="0" vertical="center" wrapText="1"/>
    </xf>
    <xf borderId="6" fillId="0" fontId="2" numFmtId="165" xfId="0" applyAlignment="1" applyBorder="1" applyFont="1" applyNumberFormat="1">
      <alignment horizontal="center" shrinkToFit="0" vertical="center" wrapText="1"/>
    </xf>
    <xf borderId="11" fillId="3" fontId="2" numFmtId="170" xfId="0" applyAlignment="1" applyBorder="1" applyFont="1" applyNumberFormat="1">
      <alignment horizontal="center" readingOrder="0" shrinkToFit="0" vertical="center" wrapText="1"/>
    </xf>
    <xf borderId="6" fillId="3" fontId="2" numFmtId="172" xfId="0" applyAlignment="1" applyBorder="1" applyFont="1" applyNumberFormat="1">
      <alignment horizontal="center" readingOrder="0" shrinkToFit="0" vertical="center" wrapText="1"/>
    </xf>
    <xf borderId="12" fillId="6" fontId="6" numFmtId="0" xfId="0" applyAlignment="1" applyBorder="1" applyFont="1">
      <alignment horizontal="center" readingOrder="0" shrinkToFit="0" vertical="center" wrapText="1"/>
    </xf>
    <xf borderId="7" fillId="3" fontId="2"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11" fillId="0" fontId="2" numFmtId="17" xfId="0" applyAlignment="1" applyBorder="1" applyFont="1" applyNumberFormat="1">
      <alignment horizontal="center" shrinkToFit="0" vertical="center" wrapText="1"/>
    </xf>
    <xf borderId="6" fillId="0" fontId="42" numFmtId="167" xfId="0" applyAlignment="1" applyBorder="1" applyFont="1" applyNumberFormat="1">
      <alignment readingOrder="0" shrinkToFit="0" vertical="center" wrapText="1"/>
    </xf>
    <xf borderId="11" fillId="0" fontId="6" numFmtId="0" xfId="0" applyAlignment="1" applyBorder="1" applyFont="1">
      <alignment horizontal="center" readingOrder="0" shrinkToFit="0" vertical="center" wrapText="1"/>
    </xf>
    <xf borderId="11" fillId="0" fontId="2" numFmtId="167" xfId="0" applyAlignment="1" applyBorder="1" applyFont="1" applyNumberFormat="1">
      <alignment readingOrder="0" shrinkToFit="0" vertical="center" wrapText="1"/>
    </xf>
    <xf borderId="11" fillId="0" fontId="2" numFmtId="167" xfId="0" applyAlignment="1" applyBorder="1" applyFont="1" applyNumberFormat="1">
      <alignment horizontal="center" readingOrder="0" shrinkToFit="0" vertical="center" wrapText="1"/>
    </xf>
    <xf borderId="6" fillId="0" fontId="2" numFmtId="167" xfId="0" applyAlignment="1" applyBorder="1" applyFont="1" applyNumberFormat="1">
      <alignment horizontal="center" readingOrder="0" shrinkToFit="0" vertical="center" wrapText="1"/>
    </xf>
    <xf borderId="11" fillId="3" fontId="2" numFmtId="169" xfId="0" applyAlignment="1" applyBorder="1" applyFont="1" applyNumberFormat="1">
      <alignment horizontal="center" readingOrder="0" shrinkToFit="0" vertical="center" wrapText="1"/>
    </xf>
    <xf borderId="12" fillId="3" fontId="2" numFmtId="165" xfId="0" applyAlignment="1" applyBorder="1" applyFont="1" applyNumberFormat="1">
      <alignment shrinkToFit="0" vertical="center" wrapText="1"/>
    </xf>
    <xf borderId="5" fillId="6" fontId="6" numFmtId="0" xfId="0" applyAlignment="1" applyBorder="1" applyFont="1">
      <alignment horizontal="center" shrinkToFit="0" vertical="center" wrapText="1"/>
    </xf>
    <xf borderId="5" fillId="6"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11" fillId="3" fontId="2" numFmtId="49" xfId="0" applyAlignment="1" applyBorder="1" applyFont="1" applyNumberFormat="1">
      <alignment horizontal="center" readingOrder="0" shrinkToFit="0" vertical="center" wrapText="1"/>
    </xf>
    <xf borderId="6" fillId="3" fontId="6" numFmtId="49" xfId="0" applyAlignment="1" applyBorder="1" applyFont="1" applyNumberFormat="1">
      <alignment horizontal="center" readingOrder="0" shrinkToFit="0" vertical="center" wrapText="1"/>
    </xf>
    <xf borderId="11" fillId="0" fontId="2" numFmtId="165" xfId="0" applyAlignment="1" applyBorder="1" applyFont="1" applyNumberFormat="1">
      <alignment horizontal="center" readingOrder="0" shrinkToFit="0" vertical="center" wrapText="1"/>
    </xf>
    <xf borderId="6" fillId="0" fontId="43" numFmtId="0" xfId="0" applyAlignment="1" applyBorder="1" applyFont="1">
      <alignment horizontal="center" shrinkToFit="0" vertical="center" wrapText="1"/>
    </xf>
    <xf borderId="12" fillId="0" fontId="2" numFmtId="167" xfId="0" applyAlignment="1" applyBorder="1" applyFont="1" applyNumberFormat="1">
      <alignment horizontal="center" readingOrder="0" shrinkToFit="0" vertical="center" wrapText="1"/>
    </xf>
    <xf borderId="12" fillId="3" fontId="2" numFmtId="167" xfId="0" applyAlignment="1" applyBorder="1" applyFont="1" applyNumberFormat="1">
      <alignment readingOrder="0" shrinkToFit="0" vertical="center" wrapText="1"/>
    </xf>
    <xf borderId="5" fillId="6" fontId="2" numFmtId="168" xfId="0" applyAlignment="1" applyBorder="1" applyFont="1" applyNumberFormat="1">
      <alignment horizontal="center" readingOrder="0" shrinkToFit="0" vertical="center" wrapText="1"/>
    </xf>
    <xf borderId="11" fillId="3" fontId="2" numFmtId="165" xfId="0" applyAlignment="1" applyBorder="1" applyFont="1" applyNumberFormat="1">
      <alignment horizontal="center" readingOrder="0" shrinkToFit="0" vertical="center" wrapText="1"/>
    </xf>
    <xf borderId="7" fillId="0" fontId="6" numFmtId="164" xfId="0" applyAlignment="1" applyBorder="1" applyFont="1" applyNumberFormat="1">
      <alignment horizontal="center" readingOrder="0" shrinkToFit="0" vertical="center" wrapText="1"/>
    </xf>
    <xf borderId="7" fillId="0" fontId="44" numFmtId="167" xfId="0" applyAlignment="1" applyBorder="1" applyFont="1" applyNumberFormat="1">
      <alignment readingOrder="0" shrinkToFit="0" vertical="center" wrapText="1"/>
    </xf>
    <xf borderId="12" fillId="0" fontId="2" numFmtId="167" xfId="0" applyAlignment="1" applyBorder="1" applyFont="1" applyNumberFormat="1">
      <alignment readingOrder="0" shrinkToFit="0" vertical="center" wrapText="1"/>
    </xf>
    <xf borderId="5" fillId="0" fontId="2" numFmtId="166" xfId="0" applyAlignment="1" applyBorder="1" applyFont="1" applyNumberFormat="1">
      <alignment horizontal="right" readingOrder="0" shrinkToFit="0" vertical="center" wrapText="1"/>
    </xf>
    <xf borderId="5" fillId="0" fontId="2" numFmtId="168" xfId="0" applyAlignment="1" applyBorder="1" applyFont="1" applyNumberFormat="1">
      <alignment horizontal="center" readingOrder="0" shrinkToFit="0" vertical="center" wrapText="1"/>
    </xf>
    <xf borderId="7" fillId="0" fontId="2" numFmtId="167" xfId="0" applyAlignment="1" applyBorder="1" applyFont="1" applyNumberFormat="1">
      <alignment horizontal="center" readingOrder="0" shrinkToFit="0" vertical="center" wrapText="1"/>
    </xf>
    <xf borderId="6" fillId="0" fontId="6" numFmtId="164" xfId="0" applyAlignment="1" applyBorder="1" applyFont="1" applyNumberFormat="1">
      <alignment horizontal="center" readingOrder="0" shrinkToFit="0" vertical="center" wrapText="1"/>
    </xf>
    <xf borderId="11" fillId="0" fontId="2" numFmtId="167" xfId="0" applyAlignment="1" applyBorder="1" applyFont="1" applyNumberFormat="1">
      <alignment shrinkToFit="0" vertical="center" wrapText="1"/>
    </xf>
    <xf borderId="1" fillId="0" fontId="6"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168" xfId="0" applyAlignment="1" applyBorder="1" applyFont="1" applyNumberFormat="1">
      <alignment horizontal="center" shrinkToFit="0" vertical="center" wrapText="1"/>
    </xf>
    <xf borderId="11" fillId="3" fontId="6" numFmtId="0" xfId="0" applyAlignment="1" applyBorder="1" applyFont="1">
      <alignment horizontal="center" readingOrder="0" shrinkToFit="0" vertical="center" wrapText="1"/>
    </xf>
    <xf borderId="11" fillId="3" fontId="2" numFmtId="0" xfId="0" applyAlignment="1" applyBorder="1" applyFont="1">
      <alignment shrinkToFit="0" vertical="center" wrapText="1"/>
    </xf>
    <xf borderId="11" fillId="0" fontId="2" numFmtId="0" xfId="0" applyAlignment="1" applyBorder="1" applyFont="1">
      <alignment horizontal="center" readingOrder="0" vertical="center"/>
    </xf>
    <xf borderId="11" fillId="3" fontId="2" numFmtId="167" xfId="0" applyAlignment="1" applyBorder="1" applyFont="1" applyNumberFormat="1">
      <alignment readingOrder="0" shrinkToFit="0" vertical="center" wrapText="1"/>
    </xf>
    <xf borderId="6" fillId="3" fontId="2" numFmtId="167" xfId="0" applyAlignment="1" applyBorder="1" applyFont="1" applyNumberFormat="1">
      <alignment horizontal="center" readingOrder="0" shrinkToFit="0" vertical="center" wrapText="1"/>
    </xf>
    <xf borderId="6" fillId="3" fontId="6" numFmtId="49" xfId="0" applyAlignment="1" applyBorder="1" applyFont="1" applyNumberFormat="1">
      <alignment horizontal="center" shrinkToFit="0" vertical="center" wrapText="1"/>
    </xf>
    <xf borderId="6" fillId="0" fontId="45" numFmtId="167" xfId="0" applyAlignment="1" applyBorder="1" applyFont="1" applyNumberFormat="1">
      <alignment horizontal="center" readingOrder="0" shrinkToFit="0" vertical="center" wrapText="1"/>
    </xf>
    <xf borderId="0" fillId="0" fontId="46" numFmtId="167" xfId="0" applyAlignment="1" applyFont="1" applyNumberFormat="1">
      <alignment horizontal="center" readingOrder="0" shrinkToFit="0" vertical="center" wrapText="1"/>
    </xf>
    <xf borderId="5" fillId="6" fontId="2" numFmtId="166" xfId="0" applyAlignment="1" applyBorder="1" applyFont="1" applyNumberFormat="1">
      <alignment horizontal="right" readingOrder="0" shrinkToFit="0" vertical="center" wrapText="1"/>
    </xf>
    <xf borderId="11" fillId="6" fontId="6" numFmtId="165" xfId="0" applyAlignment="1" applyBorder="1" applyFont="1" applyNumberFormat="1">
      <alignment horizontal="center" shrinkToFit="0" vertical="center" wrapText="1"/>
    </xf>
    <xf borderId="11" fillId="3" fontId="2" numFmtId="167" xfId="0" applyAlignment="1" applyBorder="1" applyFont="1" applyNumberFormat="1">
      <alignment shrinkToFit="0" vertical="center" wrapText="1"/>
    </xf>
    <xf borderId="6" fillId="3" fontId="2" numFmtId="167" xfId="0" applyAlignment="1" applyBorder="1" applyFont="1" applyNumberFormat="1">
      <alignment horizontal="center" shrinkToFit="0" vertical="center" wrapText="1"/>
    </xf>
    <xf borderId="0" fillId="3" fontId="2" numFmtId="167" xfId="0" applyAlignment="1" applyFont="1" applyNumberFormat="1">
      <alignment horizontal="center" shrinkToFit="0" vertical="center" wrapText="1"/>
    </xf>
    <xf borderId="7" fillId="0" fontId="6" numFmtId="49" xfId="0" applyAlignment="1" applyBorder="1" applyFont="1" applyNumberFormat="1">
      <alignment horizontal="center" shrinkToFit="0" vertical="center" wrapText="1"/>
    </xf>
    <xf borderId="12" fillId="0" fontId="2" numFmtId="0" xfId="0" applyAlignment="1" applyBorder="1" applyFont="1">
      <alignment horizontal="center" readingOrder="0" shrinkToFit="0" vertical="center" wrapText="1"/>
    </xf>
    <xf borderId="13" fillId="0" fontId="47" numFmtId="167" xfId="0" applyAlignment="1" applyBorder="1" applyFont="1" applyNumberFormat="1">
      <alignment readingOrder="0" shrinkToFit="0" vertical="center" wrapText="1"/>
    </xf>
    <xf borderId="7" fillId="0" fontId="6" numFmtId="0" xfId="0" applyAlignment="1" applyBorder="1" applyFont="1">
      <alignment horizontal="center" readingOrder="0" shrinkToFit="0" vertical="center" wrapText="1"/>
    </xf>
    <xf borderId="12" fillId="0" fontId="2" numFmtId="167" xfId="0" applyAlignment="1" applyBorder="1" applyFont="1" applyNumberFormat="1">
      <alignment shrinkToFit="0" vertical="center" wrapText="1"/>
    </xf>
    <xf borderId="5" fillId="0" fontId="6"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1" fillId="0" fontId="2" numFmtId="174" xfId="0" applyAlignment="1" applyBorder="1" applyFont="1" applyNumberFormat="1">
      <alignment horizontal="right" readingOrder="0" shrinkToFit="0" vertical="center" wrapText="1"/>
    </xf>
    <xf borderId="5" fillId="0" fontId="2" numFmtId="168" xfId="0" applyAlignment="1" applyBorder="1" applyFont="1" applyNumberFormat="1">
      <alignment horizontal="center" shrinkToFit="0" vertical="center" wrapText="1"/>
    </xf>
    <xf borderId="12" fillId="0" fontId="4" numFmtId="0" xfId="0" applyBorder="1" applyFont="1"/>
    <xf borderId="13" fillId="0" fontId="4" numFmtId="0" xfId="0" applyBorder="1" applyFont="1"/>
    <xf borderId="10" fillId="0" fontId="4" numFmtId="0" xfId="0" applyBorder="1" applyFont="1"/>
    <xf borderId="1" fillId="2" fontId="6" numFmtId="174" xfId="0" applyAlignment="1" applyBorder="1" applyFont="1" applyNumberFormat="1">
      <alignment horizontal="right" shrinkToFit="0" vertical="center" wrapText="1"/>
    </xf>
    <xf borderId="1" fillId="7" fontId="6" numFmtId="174" xfId="0" applyAlignment="1" applyBorder="1" applyFill="1" applyFont="1" applyNumberFormat="1">
      <alignment horizontal="right" shrinkToFit="0" vertical="center" wrapText="1"/>
    </xf>
    <xf borderId="11" fillId="3" fontId="2" numFmtId="172" xfId="0" applyAlignment="1" applyBorder="1" applyFont="1" applyNumberFormat="1">
      <alignment horizontal="center" readingOrder="0" shrinkToFit="0" vertical="center" wrapText="1"/>
    </xf>
    <xf borderId="6" fillId="0" fontId="2" numFmtId="167" xfId="0" applyAlignment="1" applyBorder="1" applyFont="1" applyNumberFormat="1">
      <alignment horizontal="center" shrinkToFit="0" vertical="center" wrapText="1"/>
    </xf>
    <xf borderId="11" fillId="0" fontId="2" numFmtId="167" xfId="0" applyAlignment="1" applyBorder="1" applyFont="1" applyNumberFormat="1">
      <alignment horizontal="center" shrinkToFit="0" vertical="center" wrapText="1"/>
    </xf>
    <xf borderId="11" fillId="0" fontId="2" numFmtId="167" xfId="0" applyAlignment="1" applyBorder="1" applyFont="1" applyNumberFormat="1">
      <alignment horizontal="left" readingOrder="0" shrinkToFit="0" vertical="center" wrapText="1"/>
    </xf>
    <xf borderId="0" fillId="6" fontId="48" numFmtId="168" xfId="0" applyAlignment="1" applyFont="1" applyNumberFormat="1">
      <alignment horizontal="center" readingOrder="0" shrinkToFit="0" vertical="center" wrapText="1"/>
    </xf>
    <xf borderId="1" fillId="6" fontId="2" numFmtId="3" xfId="0" applyAlignment="1" applyBorder="1" applyFont="1" applyNumberFormat="1">
      <alignment horizontal="center" readingOrder="0" shrinkToFit="0" vertical="center" wrapText="1"/>
    </xf>
    <xf borderId="11" fillId="3" fontId="2" numFmtId="0" xfId="0" applyAlignment="1" applyBorder="1" applyFont="1">
      <alignment horizontal="left" readingOrder="0" shrinkToFit="0" vertical="center" wrapText="1"/>
    </xf>
    <xf borderId="1" fillId="6" fontId="2" numFmtId="166" xfId="0" applyAlignment="1" applyBorder="1" applyFont="1" applyNumberFormat="1">
      <alignment horizontal="center" shrinkToFit="0" vertical="center" wrapText="1"/>
    </xf>
    <xf borderId="14" fillId="3" fontId="6" numFmtId="164" xfId="0" applyAlignment="1" applyBorder="1" applyFont="1" applyNumberFormat="1">
      <alignment horizontal="center" shrinkToFit="0" vertical="center" wrapText="1"/>
    </xf>
    <xf borderId="12" fillId="0" fontId="2" numFmtId="49" xfId="0" applyAlignment="1" applyBorder="1" applyFont="1" applyNumberFormat="1">
      <alignment horizontal="center" shrinkToFit="0" vertical="center" wrapText="1"/>
    </xf>
    <xf borderId="12" fillId="0" fontId="49" numFmtId="167" xfId="0" applyAlignment="1" applyBorder="1" applyFont="1" applyNumberFormat="1">
      <alignment horizontal="left" readingOrder="0" shrinkToFit="0" vertical="center" wrapText="1"/>
    </xf>
    <xf borderId="14" fillId="3" fontId="2" numFmtId="167" xfId="0" applyAlignment="1" applyBorder="1" applyFont="1" applyNumberFormat="1">
      <alignment horizontal="center" readingOrder="0" shrinkToFit="0" vertical="center" wrapText="1"/>
    </xf>
    <xf borderId="3" fillId="3" fontId="6" numFmtId="0" xfId="0" applyAlignment="1" applyBorder="1" applyFont="1">
      <alignment horizontal="center" shrinkToFit="0" vertical="center" wrapText="1"/>
    </xf>
    <xf borderId="14" fillId="3" fontId="6" numFmtId="0" xfId="0" applyAlignment="1" applyBorder="1" applyFont="1">
      <alignment horizontal="center" shrinkToFit="0" vertical="center" wrapText="1"/>
    </xf>
    <xf borderId="15" fillId="3" fontId="6" numFmtId="0" xfId="0" applyAlignment="1" applyBorder="1" applyFont="1">
      <alignment horizontal="center" shrinkToFit="0" vertical="center" wrapText="1"/>
    </xf>
    <xf borderId="7" fillId="3" fontId="2" numFmtId="167" xfId="0" applyAlignment="1" applyBorder="1" applyFont="1" applyNumberFormat="1">
      <alignment horizontal="center" shrinkToFit="0" vertical="center" wrapText="1"/>
    </xf>
    <xf borderId="14" fillId="3" fontId="2" numFmtId="0" xfId="0" applyAlignment="1" applyBorder="1" applyFont="1">
      <alignment horizontal="center" shrinkToFit="0" vertical="center" wrapText="1"/>
    </xf>
    <xf borderId="14" fillId="3" fontId="2" numFmtId="0" xfId="0" applyAlignment="1" applyBorder="1" applyFont="1">
      <alignment horizontal="center" vertical="center"/>
    </xf>
    <xf borderId="3" fillId="3" fontId="2" numFmtId="0" xfId="0" applyAlignment="1" applyBorder="1" applyFont="1">
      <alignment horizontal="center" vertical="center"/>
    </xf>
    <xf borderId="3" fillId="3" fontId="2" numFmtId="166" xfId="0" applyAlignment="1" applyBorder="1" applyFont="1" applyNumberFormat="1">
      <alignment horizontal="center" shrinkToFit="0" vertical="center" wrapText="1"/>
    </xf>
    <xf borderId="3" fillId="3" fontId="2" numFmtId="166" xfId="0" applyAlignment="1" applyBorder="1" applyFont="1" applyNumberFormat="1">
      <alignment horizontal="center" vertical="center"/>
    </xf>
    <xf borderId="14" fillId="3" fontId="2" numFmtId="168" xfId="0" applyAlignment="1" applyBorder="1" applyFont="1" applyNumberFormat="1">
      <alignment horizontal="center" vertical="center"/>
    </xf>
    <xf borderId="14" fillId="0" fontId="2" numFmtId="167" xfId="0" applyAlignment="1" applyBorder="1" applyFont="1" applyNumberFormat="1">
      <alignment horizontal="center" shrinkToFit="0" vertical="center" wrapText="1"/>
    </xf>
    <xf borderId="11" fillId="3" fontId="2" numFmtId="166" xfId="0" applyAlignment="1" applyBorder="1" applyFont="1" applyNumberFormat="1">
      <alignment horizontal="center" shrinkToFit="0" vertical="center" wrapText="1"/>
    </xf>
    <xf borderId="11" fillId="3" fontId="2" numFmtId="166" xfId="0" applyAlignment="1" applyBorder="1" applyFont="1" applyNumberFormat="1">
      <alignment horizontal="center" vertical="center"/>
    </xf>
    <xf borderId="9" fillId="0" fontId="4" numFmtId="0" xfId="0" applyBorder="1" applyFont="1"/>
    <xf borderId="11" fillId="2" fontId="2" numFmtId="166" xfId="0" applyAlignment="1" applyBorder="1" applyFont="1" applyNumberFormat="1">
      <alignment horizontal="center" shrinkToFit="0" vertical="center" wrapText="1"/>
    </xf>
    <xf borderId="11" fillId="3" fontId="6" numFmtId="164" xfId="0" applyAlignment="1" applyBorder="1" applyFont="1" applyNumberFormat="1">
      <alignment horizontal="center" readingOrder="0" shrinkToFit="0" vertical="center" wrapText="1"/>
    </xf>
    <xf borderId="11" fillId="0" fontId="50" numFmtId="167" xfId="0" applyAlignment="1" applyBorder="1" applyFont="1" applyNumberFormat="1">
      <alignment horizontal="left" readingOrder="0" shrinkToFit="0" vertical="center" wrapText="1"/>
    </xf>
    <xf borderId="3" fillId="3" fontId="6" numFmtId="0" xfId="0" applyAlignment="1" applyBorder="1" applyFont="1">
      <alignment horizontal="center" readingOrder="0" shrinkToFit="0" vertical="center" wrapText="1"/>
    </xf>
    <xf borderId="3" fillId="3" fontId="2" numFmtId="0" xfId="0" applyAlignment="1" applyBorder="1" applyFont="1">
      <alignment horizontal="center" readingOrder="0" vertical="center"/>
    </xf>
    <xf borderId="3" fillId="3" fontId="2" numFmtId="166" xfId="0" applyAlignment="1" applyBorder="1" applyFont="1" applyNumberFormat="1">
      <alignment horizontal="center" readingOrder="0" shrinkToFit="0" vertical="center" wrapText="1"/>
    </xf>
    <xf borderId="3" fillId="3" fontId="2" numFmtId="168" xfId="0" applyAlignment="1" applyBorder="1" applyFont="1" applyNumberFormat="1">
      <alignment horizontal="center" readingOrder="0" vertical="center"/>
    </xf>
    <xf borderId="1" fillId="6" fontId="2" numFmtId="166" xfId="0" applyAlignment="1" applyBorder="1" applyFont="1" applyNumberFormat="1">
      <alignment horizontal="right" shrinkToFit="0" vertical="center" wrapText="1"/>
    </xf>
    <xf borderId="1" fillId="0" fontId="2" numFmtId="166" xfId="0" applyAlignment="1" applyBorder="1" applyFont="1" applyNumberFormat="1">
      <alignment horizontal="center" shrinkToFit="0" vertical="center" wrapText="1"/>
    </xf>
    <xf borderId="6" fillId="0" fontId="51" numFmtId="167" xfId="0" applyAlignment="1" applyBorder="1" applyFont="1" applyNumberFormat="1">
      <alignment horizontal="center" shrinkToFit="0" vertical="center" wrapText="1"/>
    </xf>
    <xf borderId="7" fillId="3" fontId="35" numFmtId="171" xfId="0" applyAlignment="1" applyBorder="1" applyFont="1" applyNumberFormat="1">
      <alignment horizontal="center" readingOrder="0" shrinkToFit="0" vertical="center" wrapText="1"/>
    </xf>
    <xf borderId="7" fillId="0" fontId="52" numFmtId="49" xfId="0" applyAlignment="1" applyBorder="1" applyFont="1" applyNumberFormat="1">
      <alignment horizontal="center" shrinkToFit="0" vertical="center" wrapText="1"/>
    </xf>
    <xf borderId="12" fillId="0" fontId="53" numFmtId="49" xfId="0" applyAlignment="1" applyBorder="1" applyFont="1" applyNumberFormat="1">
      <alignment horizontal="center" readingOrder="0" shrinkToFit="0" vertical="center" wrapText="1"/>
    </xf>
    <xf borderId="7" fillId="0" fontId="54" numFmtId="167" xfId="0" applyAlignment="1" applyBorder="1" applyFont="1" applyNumberFormat="1">
      <alignment readingOrder="0" shrinkToFit="0" vertical="center" wrapText="1"/>
    </xf>
    <xf borderId="1" fillId="3" fontId="48" numFmtId="167" xfId="0" applyAlignment="1" applyBorder="1" applyFont="1" applyNumberFormat="1">
      <alignment horizontal="center" shrinkToFit="0" vertical="center" wrapText="1"/>
    </xf>
    <xf borderId="1" fillId="6" fontId="55" numFmtId="0" xfId="0" applyAlignment="1" applyBorder="1" applyFont="1">
      <alignment horizontal="center" readingOrder="0" shrinkToFit="0" vertical="center" wrapText="1"/>
    </xf>
    <xf borderId="5" fillId="6" fontId="55" numFmtId="0" xfId="0" applyAlignment="1" applyBorder="1" applyFont="1">
      <alignment horizontal="center" readingOrder="0" shrinkToFit="0" vertical="center" wrapText="1"/>
    </xf>
    <xf borderId="12" fillId="3" fontId="48" numFmtId="167" xfId="0" applyAlignment="1" applyBorder="1" applyFont="1" applyNumberFormat="1">
      <alignment shrinkToFit="0" vertical="center" wrapText="1"/>
    </xf>
    <xf borderId="7" fillId="3" fontId="48" numFmtId="167" xfId="0" applyAlignment="1" applyBorder="1" applyFont="1" applyNumberFormat="1">
      <alignment horizontal="center" readingOrder="0" shrinkToFit="0" vertical="center" wrapText="1"/>
    </xf>
    <xf borderId="5" fillId="6" fontId="55" numFmtId="0" xfId="0" applyAlignment="1" applyBorder="1" applyFont="1">
      <alignment horizontal="center" shrinkToFit="0" vertical="center" wrapText="1"/>
    </xf>
    <xf borderId="5" fillId="6" fontId="48" numFmtId="0" xfId="0" applyAlignment="1" applyBorder="1" applyFont="1">
      <alignment horizontal="center" readingOrder="0" shrinkToFit="0" vertical="center" wrapText="1"/>
    </xf>
    <xf borderId="5" fillId="6" fontId="48" numFmtId="0" xfId="0" applyAlignment="1" applyBorder="1" applyFont="1">
      <alignment horizontal="center" shrinkToFit="0" vertical="center" wrapText="1"/>
    </xf>
    <xf borderId="1" fillId="6" fontId="48" numFmtId="166" xfId="0" applyAlignment="1" applyBorder="1" applyFont="1" applyNumberFormat="1">
      <alignment horizontal="right" readingOrder="0" shrinkToFit="0" vertical="center" wrapText="1"/>
    </xf>
    <xf borderId="1" fillId="6" fontId="48" numFmtId="166" xfId="0" applyAlignment="1" applyBorder="1" applyFont="1" applyNumberFormat="1">
      <alignment horizontal="center" shrinkToFit="0" vertical="center" wrapText="1"/>
    </xf>
    <xf borderId="5" fillId="6" fontId="48" numFmtId="168" xfId="0" applyAlignment="1" applyBorder="1" applyFont="1" applyNumberFormat="1">
      <alignment horizontal="center" shrinkToFit="0" vertical="center" wrapText="1"/>
    </xf>
    <xf borderId="5" fillId="6" fontId="48" numFmtId="168" xfId="0" applyAlignment="1" applyBorder="1" applyFont="1" applyNumberFormat="1">
      <alignment horizontal="center" readingOrder="0" shrinkToFit="0" vertical="center" wrapText="1"/>
    </xf>
    <xf borderId="11" fillId="3" fontId="48" numFmtId="167" xfId="0" applyAlignment="1" applyBorder="1" applyFont="1" applyNumberFormat="1">
      <alignment horizontal="center" shrinkToFit="0" vertical="center" wrapText="1"/>
    </xf>
    <xf borderId="11" fillId="6" fontId="55" numFmtId="0" xfId="0" applyAlignment="1" applyBorder="1" applyFont="1">
      <alignment horizontal="center" readingOrder="0" shrinkToFit="0" vertical="center" wrapText="1"/>
    </xf>
    <xf borderId="11" fillId="8" fontId="56" numFmtId="167" xfId="0" applyAlignment="1" applyBorder="1" applyFill="1" applyFont="1" applyNumberFormat="1">
      <alignment horizontal="center" shrinkToFit="0" vertical="center" wrapText="1"/>
    </xf>
    <xf borderId="11" fillId="3" fontId="48" numFmtId="167" xfId="0" applyAlignment="1" applyBorder="1" applyFont="1" applyNumberFormat="1">
      <alignment shrinkToFit="0" vertical="center" wrapText="1"/>
    </xf>
    <xf borderId="1" fillId="2" fontId="55" numFmtId="166" xfId="0" applyAlignment="1" applyBorder="1" applyFont="1" applyNumberFormat="1">
      <alignment horizontal="right" shrinkToFit="0" vertical="center" wrapText="1"/>
    </xf>
    <xf borderId="1" fillId="2" fontId="55" numFmtId="166" xfId="0" applyAlignment="1" applyBorder="1" applyFont="1" applyNumberFormat="1">
      <alignment horizontal="center" shrinkToFit="0" vertical="center" wrapText="1"/>
    </xf>
    <xf borderId="6" fillId="3" fontId="35" numFmtId="171" xfId="0" applyAlignment="1" applyBorder="1" applyFont="1" applyNumberFormat="1">
      <alignment horizontal="center" readingOrder="0" shrinkToFit="0" vertical="center" wrapText="1"/>
    </xf>
    <xf borderId="6" fillId="3" fontId="52" numFmtId="49" xfId="0" applyAlignment="1" applyBorder="1" applyFont="1" applyNumberFormat="1">
      <alignment horizontal="center" readingOrder="0" shrinkToFit="0" vertical="center" wrapText="1"/>
    </xf>
    <xf borderId="11" fillId="0" fontId="53" numFmtId="17" xfId="0" applyAlignment="1" applyBorder="1" applyFont="1" applyNumberFormat="1">
      <alignment horizontal="center" shrinkToFit="0" vertical="center" wrapText="1"/>
    </xf>
    <xf borderId="6" fillId="0" fontId="57" numFmtId="0" xfId="0" applyAlignment="1" applyBorder="1" applyFont="1">
      <alignment readingOrder="0" shrinkToFit="0" vertical="center" wrapText="1"/>
    </xf>
    <xf borderId="11" fillId="3" fontId="48" numFmtId="0" xfId="0" applyAlignment="1" applyBorder="1" applyFont="1">
      <alignment horizontal="center" readingOrder="0" shrinkToFit="0" vertical="center" wrapText="1"/>
    </xf>
    <xf borderId="11" fillId="0" fontId="55" numFmtId="0" xfId="0" applyAlignment="1" applyBorder="1" applyFont="1">
      <alignment horizontal="center" readingOrder="0" shrinkToFit="0" vertical="center" wrapText="1"/>
    </xf>
    <xf borderId="1" fillId="0" fontId="55" numFmtId="0" xfId="0" applyAlignment="1" applyBorder="1" applyFont="1">
      <alignment horizontal="center" readingOrder="0" shrinkToFit="0" vertical="center" wrapText="1"/>
    </xf>
    <xf borderId="11" fillId="3" fontId="48" numFmtId="0" xfId="0" applyAlignment="1" applyBorder="1" applyFont="1">
      <alignment readingOrder="0" shrinkToFit="0" vertical="center" wrapText="1"/>
    </xf>
    <xf borderId="6" fillId="3" fontId="48" numFmtId="0" xfId="0" applyAlignment="1" applyBorder="1" applyFont="1">
      <alignment horizontal="center" readingOrder="0" shrinkToFit="0" vertical="center" wrapText="1"/>
    </xf>
    <xf borderId="1" fillId="6" fontId="55" numFmtId="0" xfId="0" applyAlignment="1" applyBorder="1" applyFont="1">
      <alignment horizontal="center" shrinkToFit="0" vertical="center" wrapText="1"/>
    </xf>
    <xf borderId="1" fillId="6" fontId="48" numFmtId="0" xfId="0" applyAlignment="1" applyBorder="1" applyFont="1">
      <alignment horizontal="center" shrinkToFit="0" vertical="center" wrapText="1"/>
    </xf>
    <xf borderId="1" fillId="6" fontId="48" numFmtId="0" xfId="0" applyAlignment="1" applyBorder="1" applyFont="1">
      <alignment horizontal="center" readingOrder="0" shrinkToFit="0" vertical="center" wrapText="1"/>
    </xf>
    <xf borderId="1" fillId="6" fontId="48" numFmtId="166" xfId="0" applyAlignment="1" applyBorder="1" applyFont="1" applyNumberFormat="1">
      <alignment readingOrder="0" shrinkToFit="0" vertical="center" wrapText="1"/>
    </xf>
    <xf borderId="1" fillId="0" fontId="48" numFmtId="166" xfId="0" applyAlignment="1" applyBorder="1" applyFont="1" applyNumberFormat="1">
      <alignment horizontal="center" shrinkToFit="0" vertical="center" wrapText="1"/>
    </xf>
    <xf borderId="1" fillId="6" fontId="48" numFmtId="168" xfId="0" applyAlignment="1" applyBorder="1" applyFont="1" applyNumberFormat="1">
      <alignment horizontal="center" readingOrder="0" shrinkToFit="0" vertical="center" wrapText="1"/>
    </xf>
    <xf borderId="0" fillId="0" fontId="29" numFmtId="0" xfId="0" applyAlignment="1" applyFont="1">
      <alignment vertical="center"/>
    </xf>
    <xf borderId="6" fillId="0" fontId="52" numFmtId="49" xfId="0" applyAlignment="1" applyBorder="1" applyFont="1" applyNumberFormat="1">
      <alignment horizontal="center" shrinkToFit="0" vertical="center" wrapText="1"/>
    </xf>
    <xf borderId="11" fillId="0" fontId="53" numFmtId="49" xfId="0" applyAlignment="1" applyBorder="1" applyFont="1" applyNumberFormat="1">
      <alignment horizontal="center" shrinkToFit="0" vertical="center" wrapText="1"/>
    </xf>
    <xf borderId="1" fillId="0" fontId="58" numFmtId="167" xfId="0" applyAlignment="1" applyBorder="1" applyFont="1" applyNumberFormat="1">
      <alignment readingOrder="0" shrinkToFit="0" vertical="center" wrapText="1"/>
    </xf>
    <xf borderId="1" fillId="3" fontId="48" numFmtId="167" xfId="0" applyAlignment="1" applyBorder="1" applyFont="1" applyNumberFormat="1">
      <alignment readingOrder="0" shrinkToFit="0" vertical="center" wrapText="1"/>
    </xf>
    <xf borderId="1" fillId="3" fontId="48" numFmtId="167" xfId="0" applyAlignment="1" applyBorder="1" applyFont="1" applyNumberFormat="1">
      <alignment horizontal="center" readingOrder="0" shrinkToFit="0" vertical="center" wrapText="1"/>
    </xf>
    <xf borderId="1" fillId="6" fontId="48" numFmtId="166" xfId="0" applyAlignment="1" applyBorder="1" applyFont="1" applyNumberFormat="1">
      <alignment shrinkToFit="0" vertical="center" wrapText="1"/>
    </xf>
    <xf borderId="1" fillId="0" fontId="48" numFmtId="168" xfId="0" applyAlignment="1" applyBorder="1" applyFont="1" applyNumberFormat="1">
      <alignment horizontal="center" readingOrder="0" vertical="center"/>
    </xf>
    <xf borderId="6" fillId="0" fontId="59" numFmtId="167" xfId="0" applyAlignment="1" applyBorder="1" applyFont="1" applyNumberFormat="1">
      <alignment readingOrder="0" shrinkToFit="0" vertical="center" wrapText="1"/>
    </xf>
    <xf borderId="11" fillId="3" fontId="48" numFmtId="167" xfId="0" applyAlignment="1" applyBorder="1" applyFont="1" applyNumberFormat="1">
      <alignment horizontal="center" readingOrder="0" shrinkToFit="0" vertical="center" wrapText="1"/>
    </xf>
    <xf borderId="11" fillId="6" fontId="55" numFmtId="165" xfId="0" applyAlignment="1" applyBorder="1" applyFont="1" applyNumberFormat="1">
      <alignment horizontal="center" readingOrder="0" shrinkToFit="0" vertical="center" wrapText="1"/>
    </xf>
    <xf borderId="1" fillId="6" fontId="55" numFmtId="165" xfId="0" applyAlignment="1" applyBorder="1" applyFont="1" applyNumberFormat="1">
      <alignment horizontal="center" readingOrder="0" shrinkToFit="0" vertical="center" wrapText="1"/>
    </xf>
    <xf borderId="11" fillId="3" fontId="48" numFmtId="167" xfId="0" applyAlignment="1" applyBorder="1" applyFont="1" applyNumberFormat="1">
      <alignment readingOrder="0" shrinkToFit="0" vertical="center" wrapText="1"/>
    </xf>
    <xf borderId="6" fillId="3" fontId="48" numFmtId="167" xfId="0" applyAlignment="1" applyBorder="1" applyFont="1" applyNumberFormat="1">
      <alignment horizontal="center" readingOrder="0" shrinkToFit="0" vertical="center" wrapText="1"/>
    </xf>
    <xf borderId="3" fillId="3" fontId="35" numFmtId="171" xfId="0" applyAlignment="1" applyBorder="1" applyFont="1" applyNumberFormat="1">
      <alignment horizontal="center" shrinkToFit="0" vertical="center" wrapText="1"/>
    </xf>
    <xf borderId="6" fillId="0" fontId="35" numFmtId="49" xfId="0" applyAlignment="1" applyBorder="1" applyFont="1" applyNumberFormat="1">
      <alignment horizontal="center" shrinkToFit="0" vertical="center" wrapText="1"/>
    </xf>
    <xf borderId="11" fillId="0" fontId="29" numFmtId="49" xfId="0" applyAlignment="1" applyBorder="1" applyFont="1" applyNumberFormat="1">
      <alignment horizontal="center" shrinkToFit="0" vertical="center" wrapText="1"/>
    </xf>
    <xf borderId="11" fillId="0" fontId="60" numFmtId="0" xfId="0" applyAlignment="1" applyBorder="1" applyFont="1">
      <alignment readingOrder="0" shrinkToFit="0" vertical="center" wrapText="1"/>
    </xf>
    <xf borderId="3" fillId="3" fontId="53" numFmtId="165" xfId="0" applyAlignment="1" applyBorder="1" applyFont="1" applyNumberFormat="1">
      <alignment horizontal="center" shrinkToFit="0" vertical="center" wrapText="1"/>
    </xf>
    <xf borderId="3" fillId="3" fontId="52" numFmtId="165" xfId="0" applyAlignment="1" applyBorder="1" applyFont="1" applyNumberFormat="1">
      <alignment horizontal="center" shrinkToFit="0" vertical="center" wrapText="1"/>
    </xf>
    <xf borderId="3" fillId="3" fontId="48" numFmtId="165" xfId="0" applyAlignment="1" applyBorder="1" applyFont="1" applyNumberFormat="1">
      <alignment shrinkToFit="0" vertical="center" wrapText="1"/>
    </xf>
    <xf borderId="3" fillId="3" fontId="53" numFmtId="167" xfId="0" applyAlignment="1" applyBorder="1" applyFont="1" applyNumberFormat="1">
      <alignment horizontal="center" shrinkToFit="0" vertical="center" wrapText="1"/>
    </xf>
    <xf borderId="3" fillId="3" fontId="52" numFmtId="0" xfId="0" applyAlignment="1" applyBorder="1" applyFont="1">
      <alignment horizontal="center" shrinkToFit="0" vertical="center" wrapText="1"/>
    </xf>
    <xf borderId="3" fillId="3" fontId="2" numFmtId="0" xfId="0" applyAlignment="1" applyBorder="1" applyFont="1">
      <alignment vertical="center"/>
    </xf>
    <xf borderId="3" fillId="3" fontId="53" numFmtId="166" xfId="0" applyAlignment="1" applyBorder="1" applyFont="1" applyNumberFormat="1">
      <alignment horizontal="right" shrinkToFit="0" vertical="center" wrapText="1"/>
    </xf>
    <xf borderId="3" fillId="3" fontId="53" numFmtId="168" xfId="0" applyAlignment="1" applyBorder="1" applyFont="1" applyNumberFormat="1">
      <alignment horizontal="center" shrinkToFit="0" vertical="center" wrapText="1"/>
    </xf>
    <xf borderId="11" fillId="3" fontId="48" numFmtId="165" xfId="0" applyAlignment="1" applyBorder="1" applyFont="1" applyNumberFormat="1">
      <alignment horizontal="center" shrinkToFit="0" vertical="center" wrapText="1"/>
    </xf>
    <xf borderId="11" fillId="6" fontId="55" numFmtId="165" xfId="0" applyAlignment="1" applyBorder="1" applyFont="1" applyNumberFormat="1">
      <alignment horizontal="center" shrinkToFit="0" vertical="center" wrapText="1"/>
    </xf>
    <xf borderId="1" fillId="6" fontId="55" numFmtId="165" xfId="0" applyAlignment="1" applyBorder="1" applyFont="1" applyNumberFormat="1">
      <alignment horizontal="center" shrinkToFit="0" vertical="center" wrapText="1"/>
    </xf>
    <xf borderId="11" fillId="3" fontId="48" numFmtId="165" xfId="0" applyAlignment="1" applyBorder="1" applyFont="1" applyNumberFormat="1">
      <alignment shrinkToFit="0" vertical="center" wrapText="1"/>
    </xf>
    <xf borderId="1" fillId="6" fontId="48" numFmtId="168" xfId="0" applyAlignment="1" applyBorder="1" applyFont="1" applyNumberFormat="1">
      <alignment horizontal="center" shrinkToFit="0" vertical="center" wrapText="1"/>
    </xf>
    <xf borderId="6" fillId="0" fontId="52" numFmtId="49" xfId="0" applyAlignment="1" applyBorder="1" applyFont="1" applyNumberFormat="1">
      <alignment horizontal="center" readingOrder="0" shrinkToFit="0" vertical="center" wrapText="1"/>
    </xf>
    <xf borderId="11" fillId="0" fontId="53" numFmtId="49" xfId="0" applyAlignment="1" applyBorder="1" applyFont="1" applyNumberFormat="1">
      <alignment horizontal="center" readingOrder="0" shrinkToFit="0" vertical="center" wrapText="1"/>
    </xf>
    <xf borderId="1" fillId="6" fontId="48" numFmtId="166" xfId="0" applyAlignment="1" applyBorder="1" applyFont="1" applyNumberFormat="1">
      <alignment horizontal="center" readingOrder="0" shrinkToFit="0" vertical="center" wrapText="1"/>
    </xf>
    <xf borderId="11" fillId="0" fontId="29" numFmtId="49" xfId="0" applyAlignment="1" applyBorder="1" applyFont="1" applyNumberFormat="1">
      <alignment horizontal="center" readingOrder="0" shrinkToFit="0" vertical="center" wrapText="1"/>
    </xf>
    <xf borderId="6" fillId="0" fontId="48" numFmtId="0" xfId="0" applyAlignment="1" applyBorder="1" applyFont="1">
      <alignment horizontal="center" readingOrder="0" vertical="center"/>
    </xf>
    <xf borderId="1" fillId="0" fontId="48" numFmtId="169" xfId="0" applyAlignment="1" applyBorder="1" applyFont="1" applyNumberFormat="1">
      <alignment horizontal="center" readingOrder="0" vertical="center"/>
    </xf>
    <xf borderId="11" fillId="3" fontId="48" numFmtId="167" xfId="0" applyAlignment="1" applyBorder="1" applyFont="1" applyNumberFormat="1">
      <alignment horizontal="left" readingOrder="0" shrinkToFit="0" vertical="center" wrapText="1"/>
    </xf>
    <xf borderId="11" fillId="0" fontId="53" numFmtId="167" xfId="0" applyAlignment="1" applyBorder="1" applyFont="1" applyNumberFormat="1">
      <alignment horizontal="center" readingOrder="0" shrinkToFit="0" vertical="center" wrapText="1"/>
    </xf>
    <xf borderId="1" fillId="3" fontId="48" numFmtId="167" xfId="0" applyAlignment="1" applyBorder="1" applyFont="1" applyNumberFormat="1">
      <alignment shrinkToFit="0" vertical="center" wrapText="1"/>
    </xf>
    <xf borderId="1" fillId="0" fontId="53" numFmtId="49" xfId="0" applyAlignment="1" applyBorder="1" applyFont="1" applyNumberFormat="1">
      <alignment horizontal="center" readingOrder="0" shrinkToFit="0" vertical="center" wrapText="1"/>
    </xf>
    <xf borderId="11" fillId="3" fontId="55" numFmtId="0" xfId="0" applyAlignment="1" applyBorder="1" applyFont="1">
      <alignment horizontal="center" readingOrder="0" shrinkToFit="0" vertical="center" wrapText="1"/>
    </xf>
    <xf borderId="11" fillId="0" fontId="48" numFmtId="167" xfId="0" applyAlignment="1" applyBorder="1" applyFont="1" applyNumberFormat="1">
      <alignment horizontal="center" shrinkToFit="0" vertical="center" wrapText="1"/>
    </xf>
    <xf borderId="1" fillId="3" fontId="35" numFmtId="171" xfId="0" applyAlignment="1" applyBorder="1" applyFont="1" applyNumberFormat="1">
      <alignment horizontal="center" readingOrder="0" shrinkToFit="0" vertical="center" wrapText="1"/>
    </xf>
    <xf borderId="1" fillId="0" fontId="52" numFmtId="49" xfId="0" applyAlignment="1" applyBorder="1" applyFont="1" applyNumberFormat="1">
      <alignment horizontal="center" readingOrder="0" shrinkToFit="0" vertical="center" wrapText="1"/>
    </xf>
    <xf borderId="1" fillId="0" fontId="61" numFmtId="0" xfId="0" applyAlignment="1" applyBorder="1" applyFont="1">
      <alignment readingOrder="0" shrinkToFit="0" vertical="center" wrapText="1"/>
    </xf>
    <xf borderId="1" fillId="3" fontId="48" numFmtId="0" xfId="0" applyAlignment="1" applyBorder="1" applyFont="1">
      <alignment horizontal="center" readingOrder="0" shrinkToFit="0" vertical="center" wrapText="1"/>
    </xf>
    <xf borderId="1" fillId="3" fontId="48" numFmtId="0" xfId="0" applyAlignment="1" applyBorder="1" applyFont="1">
      <alignment readingOrder="0" shrinkToFit="0" vertical="center" wrapText="1"/>
    </xf>
    <xf borderId="1" fillId="6" fontId="48" numFmtId="166" xfId="0" applyAlignment="1" applyBorder="1" applyFont="1" applyNumberFormat="1">
      <alignment horizontal="right" shrinkToFit="0" vertical="center" wrapText="1"/>
    </xf>
    <xf borderId="0" fillId="6" fontId="48" numFmtId="0" xfId="0" applyAlignment="1" applyFont="1">
      <alignment horizontal="center" readingOrder="0" shrinkToFit="0" vertical="center" wrapText="1"/>
    </xf>
    <xf borderId="6" fillId="0" fontId="35" numFmtId="171" xfId="0" applyAlignment="1" applyBorder="1" applyFont="1" applyNumberFormat="1">
      <alignment horizontal="center" readingOrder="0" shrinkToFit="0" vertical="center" wrapText="1"/>
    </xf>
    <xf borderId="11" fillId="0" fontId="48" numFmtId="167" xfId="0" applyAlignment="1" applyBorder="1" applyFont="1" applyNumberFormat="1">
      <alignment horizontal="center" readingOrder="0" shrinkToFit="0" vertical="center" wrapText="1"/>
    </xf>
    <xf borderId="11" fillId="0" fontId="55" numFmtId="165" xfId="0" applyAlignment="1" applyBorder="1" applyFont="1" applyNumberFormat="1">
      <alignment horizontal="center" readingOrder="0" shrinkToFit="0" vertical="center" wrapText="1"/>
    </xf>
    <xf borderId="1" fillId="0" fontId="55" numFmtId="165" xfId="0" applyAlignment="1" applyBorder="1" applyFont="1" applyNumberFormat="1">
      <alignment horizontal="center" readingOrder="0" shrinkToFit="0" vertical="center" wrapText="1"/>
    </xf>
    <xf borderId="11" fillId="0" fontId="48" numFmtId="167" xfId="0" applyAlignment="1" applyBorder="1" applyFont="1" applyNumberFormat="1">
      <alignment readingOrder="0" shrinkToFit="0" vertical="center" wrapText="1"/>
    </xf>
    <xf borderId="6" fillId="0" fontId="48" numFmtId="167" xfId="0" applyAlignment="1" applyBorder="1" applyFont="1" applyNumberFormat="1">
      <alignment horizontal="center" readingOrder="0" shrinkToFit="0" vertical="center" wrapText="1"/>
    </xf>
    <xf borderId="1" fillId="0" fontId="48" numFmtId="0" xfId="0" applyAlignment="1" applyBorder="1" applyFont="1">
      <alignment horizontal="center" readingOrder="0" shrinkToFit="0" vertical="center" wrapText="1"/>
    </xf>
    <xf borderId="1" fillId="0" fontId="48" numFmtId="166" xfId="0" applyAlignment="1" applyBorder="1" applyFont="1" applyNumberFormat="1">
      <alignment horizontal="right" readingOrder="0" shrinkToFit="0" vertical="center" wrapText="1"/>
    </xf>
    <xf borderId="1" fillId="0" fontId="48" numFmtId="168" xfId="0" applyAlignment="1" applyBorder="1" applyFont="1" applyNumberFormat="1">
      <alignment horizontal="center" readingOrder="0" shrinkToFit="0" vertical="center" wrapText="1"/>
    </xf>
    <xf borderId="1" fillId="6" fontId="35" numFmtId="171" xfId="0" applyAlignment="1" applyBorder="1" applyFont="1" applyNumberFormat="1">
      <alignment horizontal="center" shrinkToFit="0" vertical="center" wrapText="1"/>
    </xf>
    <xf borderId="1" fillId="0" fontId="35" numFmtId="49" xfId="0" applyAlignment="1" applyBorder="1" applyFont="1" applyNumberFormat="1">
      <alignment horizontal="center" shrinkToFit="0" vertical="center" wrapText="1"/>
    </xf>
    <xf borderId="1" fillId="0" fontId="29" numFmtId="49" xfId="0" applyAlignment="1" applyBorder="1" applyFont="1" applyNumberFormat="1">
      <alignment horizontal="center" shrinkToFit="0" vertical="center" wrapText="1"/>
    </xf>
    <xf borderId="1" fillId="0" fontId="62" numFmtId="0" xfId="0" applyAlignment="1" applyBorder="1" applyFont="1">
      <alignment horizontal="left" shrinkToFit="0" vertical="center" wrapText="1"/>
    </xf>
    <xf borderId="1" fillId="6" fontId="29" numFmtId="0" xfId="0" applyAlignment="1" applyBorder="1" applyFont="1">
      <alignment horizontal="center" shrinkToFit="0" vertical="center" wrapText="1"/>
    </xf>
    <xf borderId="1" fillId="6" fontId="29" numFmtId="0" xfId="0" applyAlignment="1" applyBorder="1" applyFont="1">
      <alignment horizontal="left" shrinkToFit="0" vertical="center" wrapText="1"/>
    </xf>
    <xf borderId="1" fillId="6" fontId="29" numFmtId="171" xfId="0" applyAlignment="1" applyBorder="1" applyFont="1" applyNumberFormat="1">
      <alignment horizontal="center" shrinkToFit="0" vertical="center" wrapText="1"/>
    </xf>
    <xf borderId="1" fillId="6" fontId="35" numFmtId="166" xfId="0" applyAlignment="1" applyBorder="1" applyFont="1" applyNumberFormat="1">
      <alignment shrinkToFit="0" vertical="center" wrapText="1"/>
    </xf>
    <xf borderId="1" fillId="6" fontId="29" numFmtId="14" xfId="0" applyAlignment="1" applyBorder="1" applyFont="1" applyNumberFormat="1">
      <alignment horizontal="center" shrinkToFit="0" vertical="center" wrapText="1"/>
    </xf>
    <xf borderId="1" fillId="6" fontId="35" numFmtId="49" xfId="0" applyAlignment="1" applyBorder="1" applyFont="1" applyNumberFormat="1">
      <alignment horizontal="center" shrinkToFit="0" vertical="center" wrapText="1"/>
    </xf>
    <xf borderId="1" fillId="6" fontId="29" numFmtId="49" xfId="0" applyAlignment="1" applyBorder="1" applyFont="1" applyNumberFormat="1">
      <alignment horizontal="center" shrinkToFit="0" vertical="center" wrapText="1"/>
    </xf>
    <xf borderId="1" fillId="6" fontId="35" numFmtId="166" xfId="0" applyAlignment="1" applyBorder="1" applyFont="1" applyNumberFormat="1">
      <alignment horizontal="right" shrinkToFit="0" vertical="center" wrapText="1"/>
    </xf>
    <xf borderId="1" fillId="0" fontId="35" numFmtId="171" xfId="0" applyAlignment="1" applyBorder="1" applyFont="1" applyNumberFormat="1">
      <alignment horizontal="center" shrinkToFit="0" vertical="center" wrapText="1"/>
    </xf>
    <xf borderId="1" fillId="0" fontId="29" numFmtId="165" xfId="0" applyAlignment="1" applyBorder="1" applyFont="1" applyNumberFormat="1">
      <alignment horizontal="center" shrinkToFit="0" vertical="center" wrapText="1"/>
    </xf>
    <xf borderId="1" fillId="0" fontId="29" numFmtId="0" xfId="0" applyAlignment="1" applyBorder="1" applyFont="1">
      <alignment horizontal="center" shrinkToFit="0" vertical="center" wrapText="1"/>
    </xf>
    <xf borderId="1" fillId="0" fontId="29" numFmtId="0" xfId="0" applyAlignment="1" applyBorder="1" applyFont="1">
      <alignment horizontal="left" shrinkToFit="0" vertical="center" wrapText="1"/>
    </xf>
    <xf borderId="1" fillId="0" fontId="29" numFmtId="0" xfId="0" applyAlignment="1" applyBorder="1" applyFont="1">
      <alignment horizontal="center" readingOrder="0" shrinkToFit="0" vertical="center" wrapText="1"/>
    </xf>
    <xf borderId="1" fillId="0" fontId="35" numFmtId="166" xfId="0" applyAlignment="1" applyBorder="1" applyFont="1" applyNumberFormat="1">
      <alignment horizontal="right" shrinkToFit="0" vertical="center" wrapText="1"/>
    </xf>
    <xf borderId="1" fillId="0" fontId="29" numFmtId="14" xfId="0" applyAlignment="1" applyBorder="1" applyFont="1" applyNumberFormat="1">
      <alignment horizontal="center" shrinkToFit="0" vertical="center" wrapText="1"/>
    </xf>
    <xf borderId="1" fillId="0" fontId="35" numFmtId="49" xfId="0" applyAlignment="1" applyBorder="1" applyFont="1" applyNumberFormat="1">
      <alignment horizontal="center" readingOrder="0" shrinkToFit="0" vertical="center" wrapText="1"/>
    </xf>
    <xf borderId="1" fillId="0" fontId="29" numFmtId="171" xfId="0" applyAlignment="1" applyBorder="1" applyFont="1" applyNumberFormat="1">
      <alignment horizontal="center" shrinkToFit="0" vertical="center" wrapText="1"/>
    </xf>
    <xf borderId="1" fillId="0" fontId="63" numFmtId="0" xfId="0" applyAlignment="1" applyBorder="1" applyFont="1">
      <alignment horizontal="left" readingOrder="0" shrinkToFit="0" vertical="center" wrapText="1"/>
    </xf>
    <xf borderId="1" fillId="6" fontId="55" numFmtId="171" xfId="0" applyAlignment="1" applyBorder="1" applyFont="1" applyNumberFormat="1">
      <alignment horizontal="center" shrinkToFit="0" vertical="center" wrapText="1"/>
    </xf>
    <xf borderId="1" fillId="0" fontId="55" numFmtId="49" xfId="0" applyAlignment="1" applyBorder="1" applyFont="1" applyNumberFormat="1">
      <alignment horizontal="center" shrinkToFit="0" vertical="center" wrapText="1"/>
    </xf>
    <xf borderId="1" fillId="0" fontId="48" numFmtId="49" xfId="0" applyAlignment="1" applyBorder="1" applyFont="1" applyNumberFormat="1">
      <alignment horizontal="center" shrinkToFit="0" vertical="center" wrapText="1"/>
    </xf>
    <xf borderId="1" fillId="6" fontId="48" numFmtId="0" xfId="0" applyAlignment="1" applyBorder="1" applyFont="1">
      <alignment horizontal="center" vertical="center"/>
    </xf>
    <xf borderId="1" fillId="6" fontId="48" numFmtId="171" xfId="0" applyAlignment="1" applyBorder="1" applyFont="1" applyNumberFormat="1">
      <alignment horizontal="center" shrinkToFit="0" vertical="center" wrapText="1"/>
    </xf>
    <xf borderId="0" fillId="0" fontId="48" numFmtId="0" xfId="0" applyFont="1"/>
    <xf borderId="1" fillId="0" fontId="35" numFmtId="166" xfId="0" applyAlignment="1" applyBorder="1" applyFont="1" applyNumberFormat="1">
      <alignment shrinkToFit="0" vertical="center" wrapText="1"/>
    </xf>
    <xf borderId="1" fillId="0" fontId="64" numFmtId="0" xfId="0" applyAlignment="1" applyBorder="1" applyFont="1">
      <alignment horizontal="left" readingOrder="0" shrinkToFit="0" vertical="center" wrapText="1"/>
    </xf>
    <xf borderId="0" fillId="0" fontId="48" numFmtId="0" xfId="0" applyAlignment="1" applyFont="1">
      <alignment vertical="center"/>
    </xf>
    <xf borderId="1" fillId="0" fontId="35" numFmtId="171" xfId="0" applyAlignment="1" applyBorder="1" applyFont="1" applyNumberFormat="1">
      <alignment horizontal="center" vertical="center"/>
    </xf>
    <xf borderId="1" fillId="6" fontId="29" numFmtId="165" xfId="0" applyAlignment="1" applyBorder="1" applyFont="1" applyNumberFormat="1">
      <alignment horizontal="center" shrinkToFit="0" vertical="center" wrapText="1"/>
    </xf>
    <xf borderId="5" fillId="6" fontId="35" numFmtId="171" xfId="0" applyAlignment="1" applyBorder="1" applyFont="1" applyNumberFormat="1">
      <alignment horizontal="center" shrinkToFit="0" vertical="center" wrapText="1"/>
    </xf>
    <xf borderId="5" fillId="0" fontId="35" numFmtId="49" xfId="0" applyAlignment="1" applyBorder="1" applyFont="1" applyNumberFormat="1">
      <alignment horizontal="center" shrinkToFit="0" vertical="center" wrapText="1"/>
    </xf>
    <xf borderId="5" fillId="0" fontId="29" numFmtId="49" xfId="0" applyAlignment="1" applyBorder="1" applyFont="1" applyNumberFormat="1">
      <alignment horizontal="center" shrinkToFit="0" vertical="center" wrapText="1"/>
    </xf>
    <xf borderId="5" fillId="0" fontId="65" numFmtId="0" xfId="0" applyAlignment="1" applyBorder="1" applyFont="1">
      <alignment horizontal="left" readingOrder="0" shrinkToFit="0" vertical="center" wrapText="1"/>
    </xf>
    <xf borderId="5" fillId="6" fontId="29" numFmtId="0" xfId="0" applyAlignment="1" applyBorder="1" applyFont="1">
      <alignment horizontal="left" shrinkToFit="0" vertical="center" wrapText="1"/>
    </xf>
    <xf borderId="5" fillId="6" fontId="29" numFmtId="171" xfId="0" applyAlignment="1" applyBorder="1" applyFont="1" applyNumberFormat="1">
      <alignment horizontal="center" shrinkToFit="0" vertical="center" wrapText="1"/>
    </xf>
    <xf borderId="5" fillId="6" fontId="29" numFmtId="0" xfId="0" applyAlignment="1" applyBorder="1" applyFont="1">
      <alignment horizontal="center" shrinkToFit="0" vertical="center" wrapText="1"/>
    </xf>
    <xf borderId="5" fillId="6" fontId="29" numFmtId="14" xfId="0" applyAlignment="1" applyBorder="1" applyFont="1" applyNumberFormat="1">
      <alignment horizontal="center" shrinkToFit="0" vertical="center" wrapText="1"/>
    </xf>
    <xf borderId="16" fillId="2" fontId="29" numFmtId="0" xfId="0" applyAlignment="1" applyBorder="1" applyFont="1">
      <alignment vertical="center"/>
    </xf>
    <xf borderId="17" fillId="2" fontId="29" numFmtId="0" xfId="0" applyAlignment="1" applyBorder="1" applyFont="1">
      <alignment vertical="center"/>
    </xf>
    <xf borderId="0" fillId="2" fontId="29" numFmtId="0" xfId="0" applyAlignment="1" applyFont="1">
      <alignment vertical="center"/>
    </xf>
    <xf borderId="1" fillId="2" fontId="35" numFmtId="166" xfId="0" applyAlignment="1" applyBorder="1" applyFont="1" applyNumberFormat="1">
      <alignment horizontal="right" shrinkToFit="0" vertical="center" wrapText="1"/>
    </xf>
    <xf borderId="1" fillId="0" fontId="48" numFmtId="17" xfId="0" applyAlignment="1" applyBorder="1" applyFont="1" applyNumberFormat="1">
      <alignment horizontal="center" shrinkToFit="0" vertical="center" wrapText="1"/>
    </xf>
    <xf borderId="1" fillId="6" fontId="55" numFmtId="166" xfId="0" applyAlignment="1" applyBorder="1" applyFont="1" applyNumberFormat="1">
      <alignment horizontal="right" shrinkToFit="0" vertical="center" wrapText="1"/>
    </xf>
    <xf borderId="1" fillId="6" fontId="48" numFmtId="14" xfId="0" applyAlignment="1" applyBorder="1" applyFont="1" applyNumberFormat="1">
      <alignment horizontal="center" shrinkToFit="0" vertical="center" wrapText="1"/>
    </xf>
    <xf borderId="14" fillId="3" fontId="52" numFmtId="171" xfId="0" applyAlignment="1" applyBorder="1" applyFont="1" applyNumberFormat="1">
      <alignment horizontal="center" shrinkToFit="0" vertical="center" wrapText="1"/>
    </xf>
    <xf borderId="14" fillId="0" fontId="52" numFmtId="49" xfId="0" applyAlignment="1" applyBorder="1" applyFont="1" applyNumberFormat="1">
      <alignment horizontal="center" shrinkToFit="0" vertical="center" wrapText="1"/>
    </xf>
    <xf borderId="14" fillId="0" fontId="53" numFmtId="49" xfId="0" applyAlignment="1" applyBorder="1" applyFont="1" applyNumberFormat="1">
      <alignment horizontal="center" shrinkToFit="0" vertical="center" wrapText="1"/>
    </xf>
    <xf borderId="14" fillId="0" fontId="66" numFmtId="0" xfId="0" applyAlignment="1" applyBorder="1" applyFont="1">
      <alignment horizontal="left" readingOrder="0" shrinkToFit="0" vertical="center" wrapText="1"/>
    </xf>
    <xf borderId="3" fillId="3" fontId="53" numFmtId="0" xfId="0" applyAlignment="1" applyBorder="1" applyFont="1">
      <alignment horizontal="center" vertical="center"/>
    </xf>
    <xf borderId="3" fillId="6" fontId="55" numFmtId="0" xfId="0" applyAlignment="1" applyBorder="1" applyFont="1">
      <alignment horizontal="center" readingOrder="0" shrinkToFit="0" vertical="center" wrapText="1"/>
    </xf>
    <xf borderId="14" fillId="3" fontId="29" numFmtId="0" xfId="0" applyAlignment="1" applyBorder="1" applyFont="1">
      <alignment shrinkToFit="0" vertical="center" wrapText="1"/>
    </xf>
    <xf borderId="14" fillId="3" fontId="53" numFmtId="171" xfId="0" applyAlignment="1" applyBorder="1" applyFont="1" applyNumberFormat="1">
      <alignment horizontal="center" shrinkToFit="0" vertical="center" wrapText="1"/>
    </xf>
    <xf borderId="14" fillId="3" fontId="53" numFmtId="0" xfId="0" applyAlignment="1" applyBorder="1" applyFont="1">
      <alignment horizontal="center" shrinkToFit="0" vertical="center" wrapText="1"/>
    </xf>
    <xf borderId="3" fillId="3" fontId="52" numFmtId="166" xfId="0" applyAlignment="1" applyBorder="1" applyFont="1" applyNumberFormat="1">
      <alignment horizontal="right" shrinkToFit="0" vertical="center" wrapText="1"/>
    </xf>
    <xf borderId="3" fillId="3" fontId="53" numFmtId="166" xfId="0" applyAlignment="1" applyBorder="1" applyFont="1" applyNumberFormat="1">
      <alignment horizontal="center" shrinkToFit="0" vertical="center" wrapText="1"/>
    </xf>
    <xf borderId="0" fillId="0" fontId="2" numFmtId="0" xfId="0" applyAlignment="1" applyFont="1">
      <alignment vertical="center"/>
    </xf>
    <xf borderId="11" fillId="3" fontId="53" numFmtId="0" xfId="0" applyAlignment="1" applyBorder="1" applyFont="1">
      <alignment horizontal="center" vertical="center"/>
    </xf>
    <xf borderId="11" fillId="3" fontId="52" numFmtId="166" xfId="0" applyAlignment="1" applyBorder="1" applyFont="1" applyNumberFormat="1">
      <alignment horizontal="right" shrinkToFit="0" vertical="center" wrapText="1"/>
    </xf>
    <xf borderId="11" fillId="3" fontId="53" numFmtId="166" xfId="0" applyAlignment="1" applyBorder="1" applyFont="1" applyNumberFormat="1">
      <alignment horizontal="center" shrinkToFit="0" vertical="center" wrapText="1"/>
    </xf>
    <xf borderId="11" fillId="2" fontId="52" numFmtId="166" xfId="0" applyAlignment="1" applyBorder="1" applyFont="1" applyNumberFormat="1">
      <alignment horizontal="right" shrinkToFit="0" vertical="center" wrapText="1"/>
    </xf>
    <xf borderId="11" fillId="2" fontId="52" numFmtId="166" xfId="0" applyAlignment="1" applyBorder="1" applyFont="1" applyNumberFormat="1">
      <alignment horizontal="center" shrinkToFit="0" vertical="center" wrapText="1"/>
    </xf>
    <xf borderId="1" fillId="6" fontId="55" numFmtId="166" xfId="0" applyAlignment="1" applyBorder="1" applyFont="1" applyNumberFormat="1">
      <alignment shrinkToFit="0" vertical="center" wrapText="1"/>
    </xf>
    <xf borderId="1" fillId="0" fontId="55" numFmtId="165" xfId="0" applyAlignment="1" applyBorder="1" applyFont="1" applyNumberFormat="1">
      <alignment horizontal="center" shrinkToFit="0" vertical="center" wrapText="1"/>
    </xf>
    <xf borderId="3" fillId="3" fontId="52" numFmtId="171" xfId="0" applyAlignment="1" applyBorder="1" applyFont="1" applyNumberFormat="1">
      <alignment horizontal="center" shrinkToFit="0" vertical="center" wrapText="1"/>
    </xf>
    <xf borderId="3" fillId="0" fontId="52" numFmtId="49" xfId="0" applyAlignment="1" applyBorder="1" applyFont="1" applyNumberFormat="1">
      <alignment horizontal="center" shrinkToFit="0" vertical="center" wrapText="1"/>
    </xf>
    <xf borderId="3" fillId="0" fontId="53" numFmtId="49" xfId="0" applyAlignment="1" applyBorder="1" applyFont="1" applyNumberFormat="1">
      <alignment horizontal="center" shrinkToFit="0" vertical="center" wrapText="1"/>
    </xf>
    <xf borderId="3" fillId="0" fontId="67" numFmtId="0" xfId="0" applyAlignment="1" applyBorder="1" applyFont="1">
      <alignment horizontal="left" readingOrder="0" shrinkToFit="0" vertical="center" wrapText="1"/>
    </xf>
    <xf borderId="3" fillId="3" fontId="53" numFmtId="0" xfId="0" applyAlignment="1" applyBorder="1" applyFont="1">
      <alignment horizontal="center" shrinkToFit="0" vertical="center" wrapText="1"/>
    </xf>
    <xf borderId="3" fillId="0" fontId="55" numFmtId="165" xfId="0" applyAlignment="1" applyBorder="1" applyFont="1" applyNumberFormat="1">
      <alignment horizontal="center" shrinkToFit="0" vertical="center" wrapText="1"/>
    </xf>
    <xf borderId="3" fillId="3" fontId="29" numFmtId="0" xfId="0" applyAlignment="1" applyBorder="1" applyFont="1">
      <alignment shrinkToFit="0" vertical="center" wrapText="1"/>
    </xf>
    <xf borderId="3" fillId="3" fontId="53" numFmtId="171" xfId="0" applyAlignment="1" applyBorder="1" applyFont="1" applyNumberFormat="1">
      <alignment horizontal="center" shrinkToFit="0" vertical="center" wrapText="1"/>
    </xf>
    <xf borderId="3" fillId="3" fontId="53" numFmtId="14" xfId="0" applyAlignment="1" applyBorder="1" applyFont="1" applyNumberFormat="1">
      <alignment horizontal="center" shrinkToFit="0" vertical="center" wrapText="1"/>
    </xf>
    <xf borderId="0" fillId="0" fontId="2" numFmtId="0" xfId="0" applyAlignment="1" applyFont="1">
      <alignment shrinkToFit="0" vertical="center" wrapText="1"/>
    </xf>
    <xf borderId="1" fillId="6" fontId="55" numFmtId="49" xfId="0" applyAlignment="1" applyBorder="1" applyFont="1" applyNumberFormat="1">
      <alignment horizontal="center" shrinkToFit="0" vertical="center" wrapText="1"/>
    </xf>
    <xf borderId="1" fillId="6" fontId="48" numFmtId="49" xfId="0" applyAlignment="1" applyBorder="1" applyFont="1" applyNumberFormat="1">
      <alignment horizontal="center" shrinkToFit="0" vertical="center" wrapText="1"/>
    </xf>
    <xf borderId="5" fillId="6" fontId="55" numFmtId="171" xfId="0" applyAlignment="1" applyBorder="1" applyFont="1" applyNumberFormat="1">
      <alignment horizontal="center" shrinkToFit="0" vertical="center" wrapText="1"/>
    </xf>
    <xf borderId="5" fillId="0" fontId="55" numFmtId="49" xfId="0" applyAlignment="1" applyBorder="1" applyFont="1" applyNumberFormat="1">
      <alignment horizontal="center" shrinkToFit="0" vertical="center" wrapText="1"/>
    </xf>
    <xf borderId="5" fillId="0" fontId="48" numFmtId="49" xfId="0" applyAlignment="1" applyBorder="1" applyFont="1" applyNumberFormat="1">
      <alignment horizontal="center" shrinkToFit="0" vertical="center" wrapText="1"/>
    </xf>
    <xf borderId="5" fillId="6" fontId="48" numFmtId="0" xfId="0" applyAlignment="1" applyBorder="1" applyFont="1">
      <alignment horizontal="center" vertical="center"/>
    </xf>
    <xf borderId="5" fillId="6" fontId="48" numFmtId="171" xfId="0" applyAlignment="1" applyBorder="1" applyFont="1" applyNumberFormat="1">
      <alignment horizontal="center" shrinkToFit="0" vertical="center" wrapText="1"/>
    </xf>
    <xf borderId="5" fillId="6" fontId="48" numFmtId="14" xfId="0" applyAlignment="1" applyBorder="1" applyFont="1" applyNumberFormat="1">
      <alignment horizontal="center" shrinkToFit="0" vertical="center" wrapText="1"/>
    </xf>
    <xf borderId="1" fillId="2" fontId="55" numFmtId="166" xfId="0" applyAlignment="1" applyBorder="1" applyFont="1" applyNumberFormat="1">
      <alignment shrinkToFit="0" vertical="center" wrapText="1"/>
    </xf>
    <xf borderId="1" fillId="0" fontId="55" numFmtId="171" xfId="0" applyAlignment="1" applyBorder="1" applyFont="1" applyNumberFormat="1">
      <alignment horizontal="center" shrinkToFit="0" vertical="center" wrapText="1"/>
    </xf>
    <xf borderId="1" fillId="0" fontId="48" numFmtId="165" xfId="0" applyAlignment="1" applyBorder="1" applyFont="1" applyNumberFormat="1">
      <alignment horizontal="center" shrinkToFit="0" vertical="center" wrapText="1"/>
    </xf>
    <xf borderId="1" fillId="0" fontId="48" numFmtId="0" xfId="0" applyAlignment="1" applyBorder="1" applyFont="1">
      <alignment horizontal="center" vertical="center"/>
    </xf>
    <xf borderId="1" fillId="0" fontId="48" numFmtId="171" xfId="0" applyAlignment="1" applyBorder="1" applyFont="1" applyNumberFormat="1">
      <alignment horizontal="center" shrinkToFit="0" vertical="center" wrapText="1"/>
    </xf>
    <xf borderId="1" fillId="0" fontId="48" numFmtId="0" xfId="0" applyAlignment="1" applyBorder="1" applyFont="1">
      <alignment horizontal="center" shrinkToFit="0" vertical="center" wrapText="1"/>
    </xf>
    <xf borderId="1" fillId="0" fontId="55" numFmtId="166" xfId="0" applyAlignment="1" applyBorder="1" applyFont="1" applyNumberFormat="1">
      <alignment horizontal="right" shrinkToFit="0" vertical="center" wrapText="1"/>
    </xf>
    <xf borderId="1" fillId="0" fontId="48" numFmtId="14" xfId="0" applyAlignment="1" applyBorder="1" applyFont="1" applyNumberFormat="1">
      <alignment horizontal="center" shrinkToFit="0" vertical="center" wrapText="1"/>
    </xf>
    <xf borderId="18" fillId="6" fontId="55" numFmtId="171" xfId="0" applyAlignment="1" applyBorder="1" applyFont="1" applyNumberFormat="1">
      <alignment horizontal="center" shrinkToFit="0" vertical="center" wrapText="1"/>
    </xf>
    <xf borderId="6" fillId="0" fontId="55" numFmtId="49" xfId="0" applyAlignment="1" applyBorder="1" applyFont="1" applyNumberFormat="1">
      <alignment horizontal="center" shrinkToFit="0" vertical="center" wrapText="1"/>
    </xf>
    <xf borderId="6" fillId="0" fontId="48" numFmtId="49" xfId="0" applyAlignment="1" applyBorder="1" applyFont="1" applyNumberFormat="1">
      <alignment horizontal="center" shrinkToFit="0" vertical="center" wrapText="1"/>
    </xf>
    <xf borderId="6" fillId="0" fontId="68" numFmtId="0" xfId="0" applyAlignment="1" applyBorder="1" applyFont="1">
      <alignment horizontal="left" shrinkToFit="0" vertical="center" wrapText="1"/>
    </xf>
    <xf borderId="18" fillId="6" fontId="48" numFmtId="0" xfId="0" applyAlignment="1" applyBorder="1" applyFont="1">
      <alignment horizontal="center" vertical="center"/>
    </xf>
    <xf borderId="6" fillId="0" fontId="55" numFmtId="165" xfId="0" applyAlignment="1" applyBorder="1" applyFont="1" applyNumberFormat="1">
      <alignment horizontal="center" shrinkToFit="0" vertical="center" wrapText="1"/>
    </xf>
    <xf borderId="18" fillId="6" fontId="29" numFmtId="0" xfId="0" applyAlignment="1" applyBorder="1" applyFont="1">
      <alignment horizontal="left" shrinkToFit="0" vertical="center" wrapText="1"/>
    </xf>
    <xf borderId="18" fillId="6" fontId="48" numFmtId="171" xfId="0" applyAlignment="1" applyBorder="1" applyFont="1" applyNumberFormat="1">
      <alignment horizontal="center" shrinkToFit="0" vertical="center" wrapText="1"/>
    </xf>
    <xf borderId="18" fillId="6" fontId="48" numFmtId="0" xfId="0" applyAlignment="1" applyBorder="1" applyFont="1">
      <alignment horizontal="center" shrinkToFit="0" vertical="center" wrapText="1"/>
    </xf>
    <xf borderId="18" fillId="6" fontId="48" numFmtId="14" xfId="0" applyAlignment="1" applyBorder="1" applyFont="1" applyNumberFormat="1">
      <alignment horizontal="center" shrinkToFit="0" vertical="center" wrapText="1"/>
    </xf>
    <xf borderId="5" fillId="6" fontId="55" numFmtId="49" xfId="0" applyAlignment="1" applyBorder="1" applyFont="1" applyNumberFormat="1">
      <alignment horizontal="center" shrinkToFit="0" vertical="center" wrapText="1"/>
    </xf>
    <xf borderId="5" fillId="6" fontId="48" numFmtId="49" xfId="0" applyAlignment="1" applyBorder="1" applyFont="1" applyNumberFormat="1">
      <alignment horizontal="center" shrinkToFit="0" vertical="center" wrapText="1"/>
    </xf>
    <xf borderId="5" fillId="0" fontId="55" numFmtId="171" xfId="0" applyAlignment="1" applyBorder="1" applyFont="1" applyNumberFormat="1">
      <alignment horizontal="center" shrinkToFit="0" vertical="center" wrapText="1"/>
    </xf>
    <xf borderId="5" fillId="0" fontId="48" numFmtId="165" xfId="0" applyAlignment="1" applyBorder="1" applyFont="1" applyNumberFormat="1">
      <alignment horizontal="center" shrinkToFit="0" vertical="center" wrapText="1"/>
    </xf>
    <xf borderId="5" fillId="0" fontId="48" numFmtId="0" xfId="0" applyAlignment="1" applyBorder="1" applyFont="1">
      <alignment horizontal="center" vertical="center"/>
    </xf>
    <xf borderId="5" fillId="0" fontId="29" numFmtId="0" xfId="0" applyAlignment="1" applyBorder="1" applyFont="1">
      <alignment horizontal="left" shrinkToFit="0" vertical="center" wrapText="1"/>
    </xf>
    <xf borderId="5" fillId="0" fontId="48" numFmtId="171" xfId="0" applyAlignment="1" applyBorder="1" applyFont="1" applyNumberFormat="1">
      <alignment horizontal="center" shrinkToFit="0" vertical="center" wrapText="1"/>
    </xf>
    <xf borderId="5" fillId="0" fontId="48" numFmtId="0" xfId="0" applyAlignment="1" applyBorder="1" applyFont="1">
      <alignment horizontal="center" shrinkToFit="0" vertical="center" wrapText="1"/>
    </xf>
    <xf borderId="5" fillId="0" fontId="48" numFmtId="14" xfId="0" applyAlignment="1" applyBorder="1" applyFont="1" applyNumberFormat="1">
      <alignment horizontal="center" shrinkToFit="0" vertical="center" wrapText="1"/>
    </xf>
    <xf borderId="19" fillId="6" fontId="48" numFmtId="14" xfId="0" applyAlignment="1" applyBorder="1" applyFont="1" applyNumberFormat="1">
      <alignment horizontal="center" shrinkToFit="0" vertical="center" wrapText="1"/>
    </xf>
    <xf borderId="19" fillId="9" fontId="48" numFmtId="14" xfId="0" applyAlignment="1" applyBorder="1" applyFill="1" applyFont="1" applyNumberFormat="1">
      <alignment horizontal="center" shrinkToFit="0" vertical="center" wrapText="1"/>
    </xf>
    <xf borderId="5" fillId="6" fontId="48" numFmtId="166" xfId="0" applyAlignment="1" applyBorder="1" applyFont="1" applyNumberFormat="1">
      <alignment horizontal="center" shrinkToFit="0" vertical="center" wrapText="1"/>
    </xf>
    <xf borderId="1" fillId="0" fontId="55" numFmtId="0" xfId="0" applyAlignment="1" applyBorder="1" applyFont="1">
      <alignment shrinkToFit="0" vertical="center" wrapText="1"/>
    </xf>
    <xf borderId="1" fillId="0" fontId="55" numFmtId="0" xfId="0" applyAlignment="1" applyBorder="1" applyFont="1">
      <alignment vertical="center"/>
    </xf>
    <xf borderId="1" fillId="3" fontId="48" numFmtId="0" xfId="0" applyAlignment="1" applyBorder="1" applyFont="1">
      <alignment shrinkToFit="0" vertical="center" wrapText="1"/>
    </xf>
    <xf borderId="1" fillId="3" fontId="52" numFmtId="165" xfId="0" applyAlignment="1" applyBorder="1" applyFont="1" applyNumberFormat="1">
      <alignment horizontal="center" shrinkToFit="0" vertical="center" wrapText="1"/>
    </xf>
    <xf borderId="5" fillId="0" fontId="69" numFmtId="0" xfId="0" applyAlignment="1" applyBorder="1" applyFont="1">
      <alignment horizontal="left" readingOrder="0" shrinkToFit="0" vertical="center" wrapText="1"/>
    </xf>
    <xf borderId="1" fillId="0" fontId="55" numFmtId="0" xfId="0" applyBorder="1" applyFont="1"/>
    <xf borderId="1" fillId="9" fontId="48" numFmtId="0" xfId="0" applyAlignment="1" applyBorder="1" applyFont="1">
      <alignment horizontal="center" vertical="center"/>
    </xf>
    <xf borderId="5" fillId="0" fontId="55" numFmtId="174" xfId="0" applyAlignment="1" applyBorder="1" applyFont="1" applyNumberFormat="1">
      <alignment horizontal="center" shrinkToFit="0" vertical="center" wrapText="1"/>
    </xf>
    <xf borderId="1" fillId="0" fontId="55" numFmtId="174" xfId="0" applyAlignment="1" applyBorder="1" applyFont="1" applyNumberFormat="1">
      <alignment horizontal="right" shrinkToFit="0" vertical="center" wrapText="1"/>
    </xf>
    <xf borderId="1" fillId="2" fontId="48" numFmtId="0" xfId="0" applyAlignment="1" applyBorder="1" applyFont="1">
      <alignment horizontal="center" vertical="center"/>
    </xf>
    <xf borderId="1" fillId="2" fontId="55" numFmtId="174" xfId="0" applyAlignment="1" applyBorder="1" applyFont="1" applyNumberFormat="1">
      <alignment horizontal="right" shrinkToFit="0" vertical="center" wrapText="1"/>
    </xf>
    <xf borderId="6" fillId="3" fontId="35" numFmtId="165" xfId="0" applyAlignment="1" applyBorder="1" applyFont="1" applyNumberFormat="1">
      <alignment horizontal="center" shrinkToFit="0" vertical="center" wrapText="1"/>
    </xf>
    <xf borderId="6" fillId="0" fontId="70" numFmtId="167" xfId="0" applyAlignment="1" applyBorder="1" applyFont="1" applyNumberFormat="1">
      <alignment horizontal="left" readingOrder="0" shrinkToFit="0" vertical="center" wrapText="1"/>
    </xf>
    <xf borderId="11" fillId="0" fontId="55" numFmtId="0" xfId="0" applyAlignment="1" applyBorder="1" applyFont="1">
      <alignment shrinkToFit="0" vertical="center" wrapText="1"/>
    </xf>
    <xf borderId="6" fillId="3" fontId="48" numFmtId="167" xfId="0" applyAlignment="1" applyBorder="1" applyFont="1" applyNumberFormat="1">
      <alignment horizontal="center" shrinkToFit="0" vertical="center" wrapText="1"/>
    </xf>
    <xf borderId="7" fillId="3" fontId="35" numFmtId="171" xfId="0" applyAlignment="1" applyBorder="1" applyFont="1" applyNumberFormat="1">
      <alignment horizontal="center" shrinkToFit="0" vertical="center" wrapText="1"/>
    </xf>
    <xf borderId="7" fillId="0" fontId="71" numFmtId="167" xfId="0" applyAlignment="1" applyBorder="1" applyFont="1" applyNumberFormat="1">
      <alignment horizontal="left" readingOrder="0" shrinkToFit="0" vertical="center" wrapText="1"/>
    </xf>
    <xf borderId="7" fillId="3" fontId="48" numFmtId="167" xfId="0" applyAlignment="1" applyBorder="1" applyFont="1" applyNumberFormat="1">
      <alignment horizontal="center" shrinkToFit="0" vertical="center" wrapText="1"/>
    </xf>
    <xf borderId="11" fillId="8" fontId="56" numFmtId="167" xfId="0" applyAlignment="1" applyBorder="1" applyFont="1" applyNumberFormat="1">
      <alignment shrinkToFit="0" vertical="center" wrapText="1"/>
    </xf>
    <xf borderId="6" fillId="3" fontId="35" numFmtId="171" xfId="0" applyAlignment="1" applyBorder="1" applyFont="1" applyNumberFormat="1">
      <alignment horizontal="center" shrinkToFit="0" vertical="center" wrapText="1"/>
    </xf>
    <xf borderId="18" fillId="6" fontId="55" numFmtId="49" xfId="0" applyAlignment="1" applyBorder="1" applyFont="1" applyNumberFormat="1">
      <alignment horizontal="center" shrinkToFit="0" vertical="center" wrapText="1"/>
    </xf>
    <xf borderId="18" fillId="6" fontId="48" numFmtId="49" xfId="0" applyAlignment="1" applyBorder="1" applyFont="1" applyNumberFormat="1">
      <alignment horizontal="center" shrinkToFit="0" vertical="center" wrapText="1"/>
    </xf>
    <xf borderId="6" fillId="3" fontId="72" numFmtId="167" xfId="0" applyAlignment="1" applyBorder="1" applyFont="1" applyNumberFormat="1">
      <alignment horizontal="left" readingOrder="0" shrinkToFit="0" vertical="center" wrapText="1"/>
    </xf>
    <xf borderId="6" fillId="0" fontId="35" numFmtId="171" xfId="0" applyAlignment="1" applyBorder="1" applyFont="1" applyNumberFormat="1">
      <alignment horizontal="center" shrinkToFit="0" vertical="center" wrapText="1"/>
    </xf>
    <xf borderId="11" fillId="0" fontId="48" numFmtId="167" xfId="0" applyAlignment="1" applyBorder="1" applyFont="1" applyNumberFormat="1">
      <alignment shrinkToFit="0" vertical="center" wrapText="1"/>
    </xf>
    <xf borderId="6" fillId="0" fontId="48" numFmtId="167" xfId="0" applyAlignment="1" applyBorder="1" applyFont="1" applyNumberFormat="1">
      <alignment horizontal="center" shrinkToFit="0" vertical="center" wrapText="1"/>
    </xf>
    <xf borderId="1" fillId="0" fontId="48" numFmtId="168" xfId="0" applyAlignment="1" applyBorder="1" applyFont="1" applyNumberFormat="1">
      <alignment horizontal="center" shrinkToFit="0" vertical="center" wrapText="1"/>
    </xf>
    <xf borderId="1" fillId="0" fontId="55" numFmtId="49" xfId="0" applyAlignment="1" applyBorder="1" applyFont="1" applyNumberFormat="1">
      <alignment horizontal="center" readingOrder="0" shrinkToFit="0" vertical="center" wrapText="1"/>
    </xf>
    <xf borderId="1" fillId="6" fontId="55" numFmtId="166" xfId="0" applyAlignment="1" applyBorder="1" applyFont="1" applyNumberFormat="1">
      <alignment readingOrder="0" shrinkToFit="0" vertical="center" wrapText="1"/>
    </xf>
    <xf borderId="6" fillId="0" fontId="73" numFmtId="0" xfId="0" applyAlignment="1" applyBorder="1" applyFont="1">
      <alignment horizontal="left" readingOrder="0" shrinkToFit="0" vertical="center" wrapText="1"/>
    </xf>
    <xf borderId="11" fillId="3" fontId="48" numFmtId="0" xfId="0" applyAlignment="1" applyBorder="1" applyFont="1">
      <alignment horizontal="center" shrinkToFit="0" vertical="center" wrapText="1"/>
    </xf>
    <xf borderId="11" fillId="3" fontId="48" numFmtId="0" xfId="0" applyAlignment="1" applyBorder="1" applyFont="1">
      <alignment shrinkToFit="0" vertical="center" wrapText="1"/>
    </xf>
    <xf borderId="1" fillId="6" fontId="48" numFmtId="169" xfId="0" applyAlignment="1" applyBorder="1" applyFont="1" applyNumberFormat="1">
      <alignment horizontal="center" readingOrder="0" shrinkToFit="0" vertical="center" wrapText="1"/>
    </xf>
    <xf borderId="6" fillId="0" fontId="74" numFmtId="167" xfId="0" applyAlignment="1" applyBorder="1" applyFont="1" applyNumberFormat="1">
      <alignment horizontal="left" shrinkToFit="0" vertical="center" wrapText="1"/>
    </xf>
    <xf borderId="6" fillId="0" fontId="75" numFmtId="165" xfId="0" applyAlignment="1" applyBorder="1" applyFont="1" applyNumberFormat="1">
      <alignment horizontal="left" shrinkToFit="0" vertical="center" wrapText="1"/>
    </xf>
    <xf borderId="6" fillId="3" fontId="48" numFmtId="165" xfId="0" applyAlignment="1" applyBorder="1" applyFont="1" applyNumberFormat="1">
      <alignment horizontal="center" shrinkToFit="0" vertical="center" wrapText="1"/>
    </xf>
    <xf borderId="6" fillId="3" fontId="35" numFmtId="165" xfId="0" applyAlignment="1" applyBorder="1" applyFont="1" applyNumberFormat="1">
      <alignment horizontal="center" readingOrder="0" shrinkToFit="0" vertical="center" wrapText="1"/>
    </xf>
    <xf borderId="1" fillId="0" fontId="55" numFmtId="49" xfId="0" applyAlignment="1" applyBorder="1" applyFont="1" applyNumberFormat="1">
      <alignment horizontal="center" readingOrder="0" vertical="center"/>
    </xf>
    <xf borderId="1" fillId="0" fontId="48" numFmtId="0" xfId="0" applyAlignment="1" applyBorder="1" applyFont="1">
      <alignment horizontal="center" readingOrder="0" vertical="center"/>
    </xf>
    <xf borderId="1" fillId="0" fontId="55" numFmtId="0" xfId="0" applyAlignment="1" applyBorder="1" applyFont="1">
      <alignment horizontal="center" readingOrder="0" vertical="center"/>
    </xf>
    <xf borderId="1" fillId="0" fontId="55" numFmtId="166" xfId="0" applyAlignment="1" applyBorder="1" applyFont="1" applyNumberFormat="1">
      <alignment horizontal="center" readingOrder="0" vertical="center"/>
    </xf>
    <xf borderId="1" fillId="6" fontId="55" numFmtId="166" xfId="0" applyAlignment="1" applyBorder="1" applyFont="1" applyNumberFormat="1">
      <alignment horizontal="right" readingOrder="0" shrinkToFit="0" vertical="center" wrapText="1"/>
    </xf>
    <xf borderId="11" fillId="3" fontId="48" numFmtId="0" xfId="0" applyAlignment="1" applyBorder="1" applyFont="1">
      <alignment horizontal="center" shrinkToFit="0" vertical="center" wrapText="1"/>
    </xf>
    <xf borderId="11" fillId="3" fontId="48" numFmtId="0" xfId="0" applyAlignment="1" applyBorder="1" applyFont="1">
      <alignment shrinkToFit="0" vertical="center" wrapText="1"/>
    </xf>
    <xf borderId="6" fillId="0" fontId="48" numFmtId="0" xfId="0" applyAlignment="1" applyBorder="1" applyFont="1">
      <alignment horizontal="center" vertical="center"/>
    </xf>
    <xf borderId="1" fillId="0" fontId="48" numFmtId="49" xfId="0" applyAlignment="1" applyBorder="1" applyFont="1" applyNumberFormat="1">
      <alignment horizontal="center" readingOrder="0" shrinkToFit="0" vertical="center" wrapText="1"/>
    </xf>
    <xf borderId="6" fillId="3" fontId="48" numFmtId="0" xfId="0" applyAlignment="1" applyBorder="1" applyFont="1">
      <alignment horizontal="center" shrinkToFit="0" vertical="center" wrapText="1"/>
    </xf>
    <xf borderId="5" fillId="0" fontId="48" numFmtId="49" xfId="0" applyAlignment="1" applyBorder="1" applyFont="1" applyNumberFormat="1">
      <alignment horizontal="center" readingOrder="0" shrinkToFit="0" vertical="center" wrapText="1"/>
    </xf>
    <xf borderId="0" fillId="0" fontId="76" numFmtId="0" xfId="0" applyAlignment="1" applyFont="1">
      <alignment horizontal="left"/>
    </xf>
    <xf borderId="12" fillId="3" fontId="48" numFmtId="165" xfId="0" applyAlignment="1" applyBorder="1" applyFont="1" applyNumberFormat="1">
      <alignment shrinkToFit="0" vertical="center" wrapText="1"/>
    </xf>
    <xf borderId="7" fillId="3" fontId="48" numFmtId="0" xfId="0" applyAlignment="1" applyBorder="1" applyFont="1">
      <alignment horizontal="center" readingOrder="0" shrinkToFit="0" vertical="center" wrapText="1"/>
    </xf>
    <xf borderId="7" fillId="0" fontId="77" numFmtId="0" xfId="0" applyAlignment="1" applyBorder="1" applyFont="1">
      <alignment horizontal="left" readingOrder="0" shrinkToFit="0" vertical="center" wrapText="1"/>
    </xf>
    <xf borderId="1" fillId="2" fontId="55" numFmtId="166" xfId="0" applyAlignment="1" applyBorder="1" applyFont="1" applyNumberFormat="1">
      <alignment readingOrder="0" shrinkToFit="0" vertical="center" wrapText="1"/>
    </xf>
    <xf borderId="1" fillId="6" fontId="48" numFmtId="49" xfId="0" applyAlignment="1" applyBorder="1" applyFont="1" applyNumberFormat="1">
      <alignment horizontal="center" readingOrder="0" shrinkToFit="0" vertical="center" wrapText="1"/>
    </xf>
    <xf borderId="5" fillId="0" fontId="35" numFmtId="171" xfId="0" applyAlignment="1" applyBorder="1" applyFont="1" applyNumberFormat="1">
      <alignment horizontal="center" readingOrder="0" vertical="center"/>
    </xf>
    <xf borderId="12" fillId="0" fontId="78" numFmtId="0" xfId="0" applyAlignment="1" applyBorder="1" applyFont="1">
      <alignment horizontal="left" readingOrder="0" shrinkToFit="0" vertical="center" wrapText="1"/>
    </xf>
    <xf borderId="4" fillId="0" fontId="24" numFmtId="0" xfId="0" applyAlignment="1" applyBorder="1" applyFont="1">
      <alignment horizontal="center" readingOrder="0" shrinkToFit="0" vertical="bottom" wrapText="0"/>
    </xf>
    <xf borderId="4" fillId="0" fontId="55" numFmtId="0" xfId="0" applyAlignment="1" applyBorder="1" applyFont="1">
      <alignment shrinkToFit="0" vertical="center" wrapText="1"/>
    </xf>
    <xf borderId="14" fillId="3" fontId="48" numFmtId="0" xfId="0" applyAlignment="1" applyBorder="1" applyFont="1">
      <alignment shrinkToFit="0" vertical="center" wrapText="1"/>
    </xf>
    <xf borderId="5" fillId="0" fontId="48" numFmtId="0" xfId="0" applyAlignment="1" applyBorder="1" applyFont="1">
      <alignment horizontal="center" readingOrder="0" shrinkToFit="0" vertical="center" wrapText="1"/>
    </xf>
    <xf borderId="1" fillId="0" fontId="39" numFmtId="166" xfId="0" applyAlignment="1" applyBorder="1" applyFont="1" applyNumberFormat="1">
      <alignment horizontal="right" readingOrder="0" shrinkToFit="0" vertical="bottom" wrapText="0"/>
    </xf>
    <xf borderId="4" fillId="0" fontId="24" numFmtId="0" xfId="0" applyAlignment="1" applyBorder="1" applyFont="1">
      <alignment horizontal="center" readingOrder="0" shrinkToFit="0" vertical="bottom" wrapText="1"/>
    </xf>
    <xf borderId="4" fillId="8" fontId="56" numFmtId="0" xfId="0" applyAlignment="1" applyBorder="1" applyFont="1">
      <alignment shrinkToFit="0" vertical="center" wrapText="1"/>
    </xf>
    <xf borderId="6" fillId="0" fontId="55" numFmtId="0" xfId="0" applyAlignment="1" applyBorder="1" applyFont="1">
      <alignment shrinkToFit="0" vertical="center" wrapText="1"/>
    </xf>
    <xf borderId="5" fillId="0" fontId="55" numFmtId="49" xfId="0" applyAlignment="1" applyBorder="1" applyFont="1" applyNumberFormat="1">
      <alignment horizontal="center" readingOrder="0" shrinkToFit="0" vertical="center" wrapText="1"/>
    </xf>
    <xf borderId="7" fillId="0" fontId="55" numFmtId="0" xfId="0" applyAlignment="1" applyBorder="1" applyFont="1">
      <alignment shrinkToFit="0" vertical="center" wrapText="1"/>
    </xf>
    <xf borderId="5" fillId="0" fontId="55" numFmtId="0" xfId="0" applyAlignment="1" applyBorder="1" applyFont="1">
      <alignment shrinkToFit="0" vertical="center" wrapText="1"/>
    </xf>
    <xf borderId="5" fillId="0" fontId="55" numFmtId="0" xfId="0" applyBorder="1" applyFont="1"/>
    <xf borderId="12" fillId="3" fontId="48" numFmtId="167" xfId="0" applyAlignment="1" applyBorder="1" applyFont="1" applyNumberFormat="1">
      <alignment readingOrder="0" shrinkToFit="0" vertical="center" wrapText="1"/>
    </xf>
    <xf borderId="5" fillId="6" fontId="55" numFmtId="166" xfId="0" applyAlignment="1" applyBorder="1" applyFont="1" applyNumberFormat="1">
      <alignment horizontal="right" readingOrder="0" shrinkToFit="0" vertical="center" wrapText="1"/>
    </xf>
    <xf borderId="1" fillId="0" fontId="33" numFmtId="169" xfId="0" applyAlignment="1" applyBorder="1" applyFont="1" applyNumberFormat="1">
      <alignment horizontal="center" readingOrder="0" vertical="center"/>
    </xf>
    <xf borderId="15" fillId="0" fontId="29" numFmtId="0" xfId="0" applyBorder="1" applyFont="1"/>
    <xf borderId="1" fillId="0" fontId="33" numFmtId="165" xfId="0" applyAlignment="1" applyBorder="1" applyFont="1" applyNumberFormat="1">
      <alignment horizontal="center" readingOrder="0" vertical="center"/>
    </xf>
    <xf borderId="12" fillId="0" fontId="76" numFmtId="0" xfId="0" applyAlignment="1" applyBorder="1" applyFont="1">
      <alignment horizontal="left"/>
    </xf>
    <xf borderId="5" fillId="6" fontId="55" numFmtId="168" xfId="0" applyAlignment="1" applyBorder="1" applyFont="1" applyNumberFormat="1">
      <alignment horizontal="center" shrinkToFit="0" vertical="center" wrapText="1"/>
    </xf>
    <xf borderId="5" fillId="0" fontId="29" numFmtId="0" xfId="0" applyBorder="1" applyFont="1"/>
    <xf borderId="7" fillId="0" fontId="29" numFmtId="0" xfId="0" applyBorder="1" applyFont="1"/>
    <xf borderId="1" fillId="2" fontId="48" numFmtId="166" xfId="0" applyAlignment="1" applyBorder="1" applyFont="1" applyNumberFormat="1">
      <alignment horizontal="right" readingOrder="0" shrinkToFit="0" vertical="center" wrapText="1"/>
    </xf>
    <xf borderId="6" fillId="0" fontId="29" numFmtId="0" xfId="0" applyBorder="1" applyFont="1"/>
    <xf borderId="1" fillId="0" fontId="55" numFmtId="17" xfId="0" applyAlignment="1" applyBorder="1" applyFont="1" applyNumberFormat="1">
      <alignment horizontal="center" shrinkToFit="0" vertical="center" wrapText="1"/>
    </xf>
    <xf borderId="1" fillId="6" fontId="55" numFmtId="168" xfId="0" applyAlignment="1" applyBorder="1" applyFont="1" applyNumberFormat="1">
      <alignment horizontal="center" readingOrder="0" shrinkToFit="0" vertical="center" wrapText="1"/>
    </xf>
    <xf borderId="6" fillId="3" fontId="52" numFmtId="49" xfId="0" applyAlignment="1" applyBorder="1" applyFont="1" applyNumberFormat="1">
      <alignment horizontal="center" shrinkToFit="0" vertical="center" wrapText="1"/>
    </xf>
    <xf borderId="1" fillId="0" fontId="48" numFmtId="169" xfId="0" applyAlignment="1" applyBorder="1" applyFont="1" applyNumberFormat="1">
      <alignment horizontal="center" readingOrder="0" shrinkToFit="0" vertical="center" wrapText="1"/>
    </xf>
    <xf borderId="1" fillId="6" fontId="48" numFmtId="170" xfId="0" applyAlignment="1" applyBorder="1" applyFont="1" applyNumberFormat="1">
      <alignment horizontal="center" readingOrder="0" shrinkToFit="0" vertical="center" wrapText="1"/>
    </xf>
    <xf borderId="7" fillId="0" fontId="35" numFmtId="171" xfId="0" applyAlignment="1" applyBorder="1" applyFont="1" applyNumberFormat="1">
      <alignment horizontal="center" readingOrder="0" shrinkToFit="0" vertical="center" wrapText="1"/>
    </xf>
    <xf borderId="12" fillId="0" fontId="53" numFmtId="0" xfId="0" applyAlignment="1" applyBorder="1" applyFont="1">
      <alignment horizontal="center" shrinkToFit="0" vertical="center" wrapText="1"/>
    </xf>
    <xf borderId="1" fillId="0" fontId="48" numFmtId="167" xfId="0" applyAlignment="1" applyBorder="1" applyFont="1" applyNumberFormat="1">
      <alignment horizontal="center" shrinkToFit="0" vertical="center" wrapText="1"/>
    </xf>
    <xf borderId="5" fillId="0" fontId="55" numFmtId="0" xfId="0" applyAlignment="1" applyBorder="1" applyFont="1">
      <alignment horizontal="center" readingOrder="0" shrinkToFit="0" vertical="center" wrapText="1"/>
    </xf>
    <xf borderId="12" fillId="0" fontId="48" numFmtId="167" xfId="0" applyAlignment="1" applyBorder="1" applyFont="1" applyNumberFormat="1">
      <alignment shrinkToFit="0" vertical="center" wrapText="1"/>
    </xf>
    <xf borderId="7" fillId="0" fontId="48" numFmtId="167" xfId="0" applyAlignment="1" applyBorder="1" applyFont="1" applyNumberFormat="1">
      <alignment horizontal="center" readingOrder="0" shrinkToFit="0" vertical="center" wrapText="1"/>
    </xf>
    <xf borderId="5" fillId="0" fontId="55" numFmtId="0" xfId="0" applyAlignment="1" applyBorder="1" applyFont="1">
      <alignment horizontal="center" shrinkToFit="0" vertical="center" wrapText="1"/>
    </xf>
    <xf borderId="5" fillId="0" fontId="48" numFmtId="168" xfId="0" applyAlignment="1" applyBorder="1" applyFont="1" applyNumberFormat="1">
      <alignment horizontal="center" shrinkToFit="0" vertical="center" wrapText="1"/>
    </xf>
    <xf borderId="7" fillId="0" fontId="79" numFmtId="167" xfId="0" applyAlignment="1" applyBorder="1" applyFont="1" applyNumberFormat="1">
      <alignment shrinkToFit="0" vertical="center" wrapText="1"/>
    </xf>
    <xf borderId="6" fillId="0" fontId="80" numFmtId="167" xfId="0" applyAlignment="1" applyBorder="1" applyFont="1" applyNumberFormat="1">
      <alignment shrinkToFit="0" vertical="center" wrapText="1"/>
    </xf>
    <xf borderId="11" fillId="2" fontId="56" numFmtId="167" xfId="0" applyAlignment="1" applyBorder="1" applyFont="1" applyNumberFormat="1">
      <alignment shrinkToFit="0" vertical="center" wrapText="1"/>
    </xf>
    <xf borderId="11" fillId="0" fontId="55" numFmtId="165" xfId="0" applyAlignment="1" applyBorder="1" applyFont="1" applyNumberFormat="1">
      <alignment horizontal="center" shrinkToFit="0" vertical="center" wrapText="1"/>
    </xf>
    <xf borderId="11" fillId="0" fontId="53" numFmtId="167" xfId="0" applyAlignment="1" applyBorder="1" applyFont="1" applyNumberFormat="1">
      <alignment horizontal="center" shrinkToFit="0" vertical="center" wrapText="1"/>
    </xf>
    <xf borderId="11" fillId="0" fontId="48" numFmtId="167" xfId="0" applyAlignment="1" applyBorder="1" applyFont="1" applyNumberFormat="1">
      <alignment horizontal="left" readingOrder="0" shrinkToFit="0" vertical="center" wrapText="1"/>
    </xf>
    <xf borderId="1" fillId="0" fontId="55" numFmtId="166" xfId="0" applyAlignment="1" applyBorder="1" applyFont="1" applyNumberFormat="1">
      <alignment horizontal="right" readingOrder="0" shrinkToFit="0" vertical="center" wrapText="1"/>
    </xf>
    <xf borderId="1" fillId="0" fontId="55" numFmtId="0" xfId="0" applyAlignment="1" applyBorder="1" applyFont="1">
      <alignment horizontal="center" shrinkToFit="0" vertical="center" wrapText="1"/>
    </xf>
    <xf borderId="0" fillId="0" fontId="55" numFmtId="0" xfId="0" applyAlignment="1" applyFont="1">
      <alignment horizontal="left" vertical="center"/>
    </xf>
    <xf borderId="0" fillId="0" fontId="29" numFmtId="171" xfId="0" applyFont="1" applyNumberFormat="1"/>
    <xf borderId="0" fillId="0" fontId="29" numFmtId="49" xfId="0" applyAlignment="1" applyFont="1" applyNumberFormat="1">
      <alignment horizontal="center" shrinkToFit="0" vertical="center" wrapText="1"/>
    </xf>
    <xf borderId="0" fillId="0" fontId="35" numFmtId="49" xfId="0" applyFont="1" applyNumberFormat="1"/>
    <xf borderId="0" fillId="0" fontId="29" numFmtId="165" xfId="0" applyFont="1" applyNumberFormat="1"/>
    <xf borderId="0" fillId="0" fontId="55" numFmtId="0" xfId="0" applyAlignment="1" applyFont="1">
      <alignment horizontal="left"/>
    </xf>
    <xf borderId="0" fillId="0" fontId="29" numFmtId="0" xfId="0" applyAlignment="1" applyFont="1">
      <alignment horizontal="center" vertical="center"/>
    </xf>
    <xf borderId="0" fillId="0" fontId="55" numFmtId="0" xfId="0" applyAlignment="1" applyFont="1">
      <alignment shrinkToFit="0" vertical="center" wrapText="1"/>
    </xf>
    <xf borderId="0" fillId="0" fontId="55" numFmtId="0" xfId="0" applyFont="1"/>
    <xf borderId="0" fillId="0" fontId="35" numFmtId="0" xfId="0" applyFont="1"/>
    <xf borderId="0" fillId="0" fontId="35" numFmtId="166" xfId="0" applyFont="1" applyNumberFormat="1"/>
    <xf borderId="0" fillId="0" fontId="29" numFmtId="167" xfId="0" applyAlignment="1" applyFont="1" applyNumberFormat="1">
      <alignment horizontal="center"/>
    </xf>
    <xf borderId="0" fillId="0" fontId="55" numFmtId="0" xfId="0" applyAlignment="1" applyFont="1">
      <alignment horizontal="center" shrinkToFit="0" vertical="center" wrapText="1"/>
    </xf>
    <xf borderId="0" fillId="0" fontId="55" numFmtId="0" xfId="0" applyAlignment="1" applyFont="1">
      <alignment horizontal="center"/>
    </xf>
    <xf borderId="0" fillId="0" fontId="29" numFmtId="0" xfId="0" applyAlignment="1" applyFont="1">
      <alignment shrinkToFit="0" vertical="center" wrapText="1"/>
    </xf>
    <xf borderId="2" fillId="3" fontId="81" numFmtId="14" xfId="0" applyAlignment="1" applyBorder="1" applyFont="1" applyNumberFormat="1">
      <alignment horizontal="center" readingOrder="0" shrinkToFit="0" vertical="center" wrapText="1"/>
    </xf>
    <xf borderId="4" fillId="3" fontId="82" numFmtId="167" xfId="0" applyAlignment="1" applyBorder="1" applyFont="1" applyNumberFormat="1">
      <alignment horizontal="center" shrinkToFit="0" vertical="center" wrapText="1"/>
    </xf>
    <xf borderId="4" fillId="0" fontId="37" numFmtId="0" xfId="0" applyBorder="1" applyFont="1"/>
    <xf borderId="3" fillId="3" fontId="83" numFmtId="167" xfId="0" applyAlignment="1" applyBorder="1" applyFont="1" applyNumberFormat="1">
      <alignment horizontal="center" shrinkToFit="0" vertical="center" wrapText="1"/>
    </xf>
    <xf borderId="0" fillId="3" fontId="84" numFmtId="167" xfId="0" applyAlignment="1" applyFont="1" applyNumberFormat="1">
      <alignment horizontal="center" shrinkToFit="0" vertical="center" wrapText="1"/>
    </xf>
    <xf borderId="6" fillId="5" fontId="55" numFmtId="0" xfId="0" applyAlignment="1" applyBorder="1" applyFont="1">
      <alignment horizontal="center" vertical="center"/>
    </xf>
    <xf borderId="6" fillId="5" fontId="55" numFmtId="0" xfId="0" applyAlignment="1" applyBorder="1" applyFont="1">
      <alignment horizontal="center" shrinkToFit="0" vertical="center" wrapText="1"/>
    </xf>
    <xf borderId="6" fillId="5" fontId="55" numFmtId="0" xfId="0" applyAlignment="1" applyBorder="1" applyFont="1">
      <alignment horizontal="center" readingOrder="0" shrinkToFit="0" vertical="center" wrapText="1"/>
    </xf>
    <xf borderId="6" fillId="5" fontId="55" numFmtId="167" xfId="0" applyAlignment="1" applyBorder="1" applyFont="1" applyNumberFormat="1">
      <alignment horizontal="center" shrinkToFit="0" vertical="center" wrapText="1"/>
    </xf>
    <xf borderId="6" fillId="5" fontId="55" numFmtId="168" xfId="0" applyAlignment="1" applyBorder="1" applyFont="1" applyNumberFormat="1">
      <alignment horizontal="center" shrinkToFit="0" vertical="center" wrapText="1"/>
    </xf>
    <xf borderId="10" fillId="5" fontId="55" numFmtId="165" xfId="0" applyAlignment="1" applyBorder="1" applyFont="1" applyNumberFormat="1">
      <alignment horizontal="center" shrinkToFit="0" vertical="center" wrapText="1"/>
    </xf>
    <xf borderId="6" fillId="5" fontId="55" numFmtId="165" xfId="0" applyAlignment="1" applyBorder="1" applyFont="1" applyNumberFormat="1">
      <alignment horizontal="center" shrinkToFit="0" vertical="center" wrapText="1"/>
    </xf>
    <xf borderId="1" fillId="5" fontId="55" numFmtId="167" xfId="0" applyAlignment="1" applyBorder="1" applyFont="1" applyNumberFormat="1">
      <alignment horizontal="center" shrinkToFit="0" vertical="center" wrapText="1"/>
    </xf>
    <xf borderId="0" fillId="5" fontId="55" numFmtId="167" xfId="0" applyAlignment="1" applyFont="1" applyNumberFormat="1">
      <alignment horizontal="center" shrinkToFit="0" vertical="center" wrapText="1"/>
    </xf>
    <xf borderId="1" fillId="3" fontId="55" numFmtId="0" xfId="0" applyAlignment="1" applyBorder="1" applyFont="1">
      <alignment horizontal="center" vertical="center"/>
    </xf>
    <xf borderId="1" fillId="3" fontId="55" numFmtId="14" xfId="0" applyAlignment="1" applyBorder="1" applyFont="1" applyNumberFormat="1">
      <alignment horizontal="center" shrinkToFit="0" vertical="center" wrapText="1"/>
    </xf>
    <xf borderId="1" fillId="5" fontId="55" numFmtId="49" xfId="0" applyAlignment="1" applyBorder="1" applyFont="1" applyNumberFormat="1">
      <alignment horizontal="center" readingOrder="0" shrinkToFit="0" vertical="center" wrapText="1"/>
    </xf>
    <xf borderId="1" fillId="3" fontId="55" numFmtId="0" xfId="0" applyAlignment="1" applyBorder="1" applyFont="1">
      <alignment horizontal="left" readingOrder="0" shrinkToFit="0" vertical="center" wrapText="1"/>
    </xf>
    <xf borderId="1" fillId="3" fontId="48" numFmtId="0" xfId="0" applyAlignment="1" applyBorder="1" applyFont="1">
      <alignment horizontal="left" readingOrder="0" shrinkToFit="0" vertical="center" wrapText="1"/>
    </xf>
    <xf borderId="1" fillId="3" fontId="55" numFmtId="0" xfId="0" applyAlignment="1" applyBorder="1" applyFont="1">
      <alignment horizontal="center" readingOrder="0" vertical="center"/>
    </xf>
    <xf borderId="1" fillId="3" fontId="55" numFmtId="49" xfId="0" applyAlignment="1" applyBorder="1" applyFont="1" applyNumberFormat="1">
      <alignment horizontal="center" readingOrder="0" shrinkToFit="0" vertical="center" wrapText="1"/>
    </xf>
    <xf borderId="1" fillId="3" fontId="48" numFmtId="175" xfId="0" applyAlignment="1" applyBorder="1" applyFont="1" applyNumberFormat="1">
      <alignment readingOrder="0" vertical="center"/>
    </xf>
    <xf borderId="1" fillId="3" fontId="48" numFmtId="169" xfId="0" applyAlignment="1" applyBorder="1" applyFont="1" applyNumberFormat="1">
      <alignment horizontal="center" readingOrder="0" vertical="center"/>
    </xf>
    <xf borderId="1" fillId="3" fontId="48" numFmtId="168" xfId="0" applyAlignment="1" applyBorder="1" applyFont="1" applyNumberFormat="1">
      <alignment horizontal="center" readingOrder="0" vertical="center"/>
    </xf>
    <xf borderId="1" fillId="3" fontId="55" numFmtId="168" xfId="0" applyAlignment="1" applyBorder="1" applyFont="1" applyNumberFormat="1">
      <alignment horizontal="center" readingOrder="0" vertical="center"/>
    </xf>
    <xf borderId="1" fillId="3" fontId="48" numFmtId="0" xfId="0" applyAlignment="1" applyBorder="1" applyFont="1">
      <alignment horizontal="center" readingOrder="0" vertical="center"/>
    </xf>
    <xf borderId="1" fillId="3" fontId="48" numFmtId="14" xfId="0" applyAlignment="1" applyBorder="1" applyFont="1" applyNumberFormat="1">
      <alignment horizontal="center" vertical="center"/>
    </xf>
    <xf borderId="0" fillId="3" fontId="48" numFmtId="14" xfId="0" applyAlignment="1" applyFont="1" applyNumberFormat="1">
      <alignment horizontal="center" vertical="center"/>
    </xf>
    <xf borderId="1" fillId="3" fontId="48" numFmtId="175" xfId="0" applyAlignment="1" applyBorder="1" applyFont="1" applyNumberFormat="1">
      <alignment horizontal="center" readingOrder="0" vertical="center"/>
    </xf>
    <xf borderId="1" fillId="3" fontId="48" numFmtId="170" xfId="0" applyAlignment="1" applyBorder="1" applyFont="1" applyNumberFormat="1">
      <alignment horizontal="center" readingOrder="0" shrinkToFit="0" vertical="center" wrapText="1"/>
    </xf>
    <xf borderId="1" fillId="3" fontId="48" numFmtId="0" xfId="0" applyAlignment="1" applyBorder="1" applyFont="1">
      <alignment horizontal="center" readingOrder="0" shrinkToFit="0" vertical="center" wrapText="1"/>
    </xf>
    <xf borderId="1" fillId="3" fontId="55" numFmtId="0" xfId="0" applyAlignment="1" applyBorder="1" applyFont="1">
      <alignment horizontal="center" readingOrder="0" shrinkToFit="0" vertical="center" wrapText="1"/>
    </xf>
    <xf borderId="1" fillId="3" fontId="48" numFmtId="175" xfId="0" applyAlignment="1" applyBorder="1" applyFont="1" applyNumberFormat="1">
      <alignment horizontal="center" readingOrder="0" shrinkToFit="0" vertical="center" wrapText="1"/>
    </xf>
    <xf borderId="1" fillId="3" fontId="55" numFmtId="4" xfId="0" applyAlignment="1" applyBorder="1" applyFont="1" applyNumberFormat="1">
      <alignment horizontal="left" readingOrder="0" shrinkToFit="0" vertical="center" wrapText="1"/>
    </xf>
    <xf borderId="0" fillId="3" fontId="48" numFmtId="167" xfId="0" applyAlignment="1" applyFont="1" applyNumberFormat="1">
      <alignment horizontal="center" vertical="center"/>
    </xf>
    <xf borderId="5" fillId="3" fontId="55" numFmtId="0" xfId="0" applyAlignment="1" applyBorder="1" applyFont="1">
      <alignment horizontal="center" vertical="center"/>
    </xf>
    <xf borderId="5" fillId="3" fontId="55" numFmtId="0" xfId="0" applyAlignment="1" applyBorder="1" applyFont="1">
      <alignment horizontal="left" readingOrder="0" shrinkToFit="0" vertical="center" wrapText="1"/>
    </xf>
    <xf borderId="5" fillId="3" fontId="48" numFmtId="0" xfId="0" applyAlignment="1" applyBorder="1" applyFont="1">
      <alignment horizontal="center" readingOrder="0" shrinkToFit="0" vertical="center" wrapText="1"/>
    </xf>
    <xf borderId="5" fillId="3" fontId="48" numFmtId="0" xfId="0" applyAlignment="1" applyBorder="1" applyFont="1">
      <alignment horizontal="left" readingOrder="0" shrinkToFit="0" vertical="center" wrapText="1"/>
    </xf>
    <xf borderId="5" fillId="3" fontId="55" numFmtId="176" xfId="0" applyAlignment="1" applyBorder="1" applyFont="1" applyNumberFormat="1">
      <alignment horizontal="center" readingOrder="0" vertical="center"/>
    </xf>
    <xf borderId="5" fillId="3" fontId="55" numFmtId="0" xfId="0" applyAlignment="1" applyBorder="1" applyFont="1">
      <alignment horizontal="center" readingOrder="0" vertical="center"/>
    </xf>
    <xf borderId="5" fillId="3" fontId="55" numFmtId="49" xfId="0" applyAlignment="1" applyBorder="1" applyFont="1" applyNumberFormat="1">
      <alignment horizontal="center" readingOrder="0" shrinkToFit="0" vertical="center" wrapText="1"/>
    </xf>
    <xf borderId="5" fillId="3" fontId="55" numFmtId="168" xfId="0" applyAlignment="1" applyBorder="1" applyFont="1" applyNumberFormat="1">
      <alignment horizontal="center" readingOrder="0" vertical="center"/>
    </xf>
    <xf borderId="1" fillId="3" fontId="48" numFmtId="169" xfId="0" applyAlignment="1" applyBorder="1" applyFont="1" applyNumberFormat="1">
      <alignment horizontal="center" readingOrder="0" shrinkToFit="0" vertical="center" wrapText="1"/>
    </xf>
    <xf borderId="1" fillId="3" fontId="55" numFmtId="169" xfId="0" applyAlignment="1" applyBorder="1" applyFont="1" applyNumberFormat="1">
      <alignment horizontal="center" readingOrder="0" vertical="center"/>
    </xf>
    <xf borderId="1" fillId="3" fontId="48" numFmtId="167" xfId="0" applyAlignment="1" applyBorder="1" applyFont="1" applyNumberFormat="1">
      <alignment horizontal="center" vertical="center"/>
    </xf>
    <xf borderId="1" fillId="3" fontId="48" numFmtId="0" xfId="0" applyAlignment="1" applyBorder="1" applyFont="1">
      <alignment horizontal="center" readingOrder="0" vertical="center"/>
    </xf>
    <xf borderId="6" fillId="5" fontId="55" numFmtId="49" xfId="0" applyAlignment="1" applyBorder="1" applyFont="1" applyNumberFormat="1">
      <alignment horizontal="center" readingOrder="0" shrinkToFit="0" vertical="center" wrapText="1"/>
    </xf>
    <xf borderId="0" fillId="3" fontId="48" numFmtId="0" xfId="0" applyAlignment="1" applyFont="1">
      <alignment horizontal="center" readingOrder="0" vertical="center"/>
    </xf>
    <xf borderId="0" fillId="3" fontId="55" numFmtId="0" xfId="0" applyAlignment="1" applyFont="1">
      <alignment horizontal="center" vertical="center"/>
    </xf>
    <xf borderId="0" fillId="3" fontId="55" numFmtId="0" xfId="0" applyAlignment="1" applyFont="1">
      <alignment horizontal="left" vertical="center"/>
    </xf>
    <xf borderId="0" fillId="3" fontId="48" numFmtId="0" xfId="0" applyAlignment="1" applyFont="1">
      <alignment horizontal="center" vertical="center"/>
    </xf>
    <xf borderId="0" fillId="3" fontId="48" numFmtId="0" xfId="0" applyAlignment="1" applyFont="1">
      <alignment horizontal="left" vertical="center"/>
    </xf>
    <xf borderId="0" fillId="3" fontId="48" numFmtId="0" xfId="0" applyAlignment="1" applyFont="1">
      <alignment vertical="center"/>
    </xf>
    <xf borderId="0" fillId="3" fontId="48" numFmtId="167" xfId="0" applyAlignment="1" applyFont="1" applyNumberFormat="1">
      <alignment vertical="center"/>
    </xf>
    <xf borderId="0" fillId="3" fontId="48" numFmtId="168" xfId="0" applyAlignment="1" applyFont="1" applyNumberFormat="1">
      <alignment horizontal="center" vertical="center"/>
    </xf>
    <xf borderId="1" fillId="3" fontId="48" numFmtId="14" xfId="0" applyAlignment="1" applyBorder="1" applyFont="1" applyNumberFormat="1">
      <alignment horizontal="center" readingOrder="0" vertical="center"/>
    </xf>
    <xf borderId="20" fillId="10" fontId="85" numFmtId="167" xfId="0" applyAlignment="1" applyBorder="1" applyFill="1" applyFont="1" applyNumberFormat="1">
      <alignment horizontal="center" shrinkToFit="0" vertical="center" wrapText="1"/>
    </xf>
    <xf borderId="20" fillId="0" fontId="4" numFmtId="0" xfId="0" applyBorder="1" applyFont="1"/>
    <xf borderId="1" fillId="2" fontId="55" numFmtId="0" xfId="0" applyAlignment="1" applyBorder="1" applyFont="1">
      <alignment horizontal="center" shrinkToFit="0" vertical="center" wrapText="1"/>
    </xf>
    <xf borderId="6" fillId="2" fontId="55" numFmtId="0" xfId="0" applyAlignment="1" applyBorder="1" applyFont="1">
      <alignment horizontal="center" shrinkToFit="0" vertical="center" wrapText="1"/>
    </xf>
    <xf borderId="6" fillId="2" fontId="55" numFmtId="0" xfId="0" applyAlignment="1" applyBorder="1" applyFont="1">
      <alignment horizontal="center" readingOrder="0" shrinkToFit="0" vertical="center" wrapText="1"/>
    </xf>
    <xf borderId="6" fillId="2" fontId="55" numFmtId="167" xfId="0" applyAlignment="1" applyBorder="1" applyFont="1" applyNumberFormat="1">
      <alignment horizontal="center" readingOrder="0" shrinkToFit="0" vertical="center" wrapText="1"/>
    </xf>
    <xf borderId="6" fillId="2" fontId="55" numFmtId="167" xfId="0" applyAlignment="1" applyBorder="1" applyFont="1" applyNumberFormat="1">
      <alignment horizontal="center" shrinkToFit="0" vertical="center" wrapText="1"/>
    </xf>
    <xf borderId="10" fillId="2" fontId="55" numFmtId="167" xfId="0" applyAlignment="1" applyBorder="1" applyFont="1" applyNumberFormat="1">
      <alignment horizontal="center" shrinkToFit="0" vertical="center" wrapText="1"/>
    </xf>
    <xf borderId="10" fillId="2" fontId="55" numFmtId="165" xfId="0" applyAlignment="1" applyBorder="1" applyFont="1" applyNumberFormat="1">
      <alignment horizontal="center" shrinkToFit="0" vertical="center" wrapText="1"/>
    </xf>
    <xf borderId="0" fillId="0" fontId="48" numFmtId="0" xfId="0" applyAlignment="1" applyFont="1">
      <alignment horizontal="center" vertical="center"/>
    </xf>
    <xf borderId="1" fillId="2" fontId="55" numFmtId="49" xfId="0" applyAlignment="1" applyBorder="1" applyFont="1" applyNumberFormat="1">
      <alignment horizontal="center" readingOrder="0" shrinkToFit="0" vertical="center" wrapText="1"/>
    </xf>
    <xf borderId="1" fillId="3" fontId="86" numFmtId="0" xfId="0" applyAlignment="1" applyBorder="1" applyFont="1">
      <alignment horizontal="center" readingOrder="0" shrinkToFit="0" vertical="center" wrapText="1"/>
    </xf>
    <xf borderId="6" fillId="2" fontId="55" numFmtId="49" xfId="0" applyAlignment="1" applyBorder="1" applyFont="1" applyNumberFormat="1">
      <alignment horizontal="center" readingOrder="0" shrinkToFit="0" vertical="center" wrapText="1"/>
    </xf>
    <xf borderId="0" fillId="3" fontId="55" numFmtId="168" xfId="0" applyAlignment="1" applyFont="1" applyNumberFormat="1">
      <alignment horizontal="center" readingOrder="0" vertical="center"/>
    </xf>
    <xf borderId="1" fillId="3" fontId="48" numFmtId="0" xfId="0" applyAlignment="1" applyBorder="1" applyFont="1">
      <alignment horizontal="center" vertical="center"/>
    </xf>
    <xf borderId="2" fillId="3" fontId="55" numFmtId="168" xfId="0" applyAlignment="1" applyBorder="1" applyFont="1" applyNumberFormat="1">
      <alignment horizontal="center" readingOrder="0" vertical="center"/>
    </xf>
    <xf borderId="13" fillId="3" fontId="48" numFmtId="14" xfId="0" applyAlignment="1" applyBorder="1" applyFont="1" applyNumberFormat="1">
      <alignment horizontal="center" vertical="center"/>
    </xf>
    <xf borderId="1" fillId="3" fontId="48" numFmtId="175" xfId="0" applyAlignment="1" applyBorder="1" applyFont="1" applyNumberFormat="1">
      <alignment readingOrder="0" shrinkToFit="0" vertical="center" wrapText="1"/>
    </xf>
    <xf borderId="1" fillId="3" fontId="53" numFmtId="0" xfId="0" applyAlignment="1" applyBorder="1" applyFont="1">
      <alignment horizontal="center" vertical="center"/>
    </xf>
    <xf borderId="1" fillId="2" fontId="52" numFmtId="49" xfId="0" applyAlignment="1" applyBorder="1" applyFont="1" applyNumberFormat="1">
      <alignment horizontal="center" shrinkToFit="0" vertical="center" wrapText="1"/>
    </xf>
    <xf borderId="1" fillId="3" fontId="52" numFmtId="0" xfId="0" applyAlignment="1" applyBorder="1" applyFont="1">
      <alignment shrinkToFit="0" vertical="center" wrapText="1"/>
    </xf>
    <xf borderId="1" fillId="3" fontId="53" numFmtId="0" xfId="0" applyAlignment="1" applyBorder="1" applyFont="1">
      <alignment horizontal="center" shrinkToFit="0" vertical="center" wrapText="1"/>
    </xf>
    <xf borderId="1" fillId="3" fontId="53" numFmtId="0" xfId="0" applyAlignment="1" applyBorder="1" applyFont="1">
      <alignment shrinkToFit="0" vertical="center" wrapText="1"/>
    </xf>
    <xf borderId="1" fillId="3" fontId="52" numFmtId="0" xfId="0" applyAlignment="1" applyBorder="1" applyFont="1">
      <alignment horizontal="center" vertical="center"/>
    </xf>
    <xf borderId="1" fillId="11" fontId="52" numFmtId="49" xfId="0" applyAlignment="1" applyBorder="1" applyFill="1" applyFont="1" applyNumberFormat="1">
      <alignment horizontal="center" shrinkToFit="0" vertical="center" wrapText="1"/>
    </xf>
    <xf borderId="1" fillId="3" fontId="53" numFmtId="175" xfId="0" applyAlignment="1" applyBorder="1" applyFont="1" applyNumberFormat="1">
      <alignment horizontal="right" vertical="center"/>
    </xf>
    <xf borderId="1" fillId="3" fontId="53" numFmtId="169" xfId="0" applyAlignment="1" applyBorder="1" applyFont="1" applyNumberFormat="1">
      <alignment horizontal="center" vertical="center"/>
    </xf>
    <xf borderId="1" fillId="3" fontId="53" numFmtId="168" xfId="0" applyAlignment="1" applyBorder="1" applyFont="1" applyNumberFormat="1">
      <alignment horizontal="center" vertical="center"/>
    </xf>
    <xf borderId="1" fillId="3" fontId="52" numFmtId="168" xfId="0" applyAlignment="1" applyBorder="1" applyFont="1" applyNumberFormat="1">
      <alignment horizontal="center" vertical="center"/>
    </xf>
    <xf borderId="1" fillId="3" fontId="48" numFmtId="173" xfId="0" applyAlignment="1" applyBorder="1" applyFont="1" applyNumberFormat="1">
      <alignment horizontal="center" readingOrder="0" shrinkToFit="0" vertical="center" wrapText="1"/>
    </xf>
    <xf borderId="1" fillId="3" fontId="48" numFmtId="168" xfId="0" applyAlignment="1" applyBorder="1" applyFont="1" applyNumberFormat="1">
      <alignment horizontal="center" readingOrder="0" vertical="center"/>
    </xf>
    <xf borderId="1" fillId="3" fontId="87" numFmtId="49" xfId="0" applyAlignment="1" applyBorder="1" applyFont="1" applyNumberFormat="1">
      <alignment horizontal="center" readingOrder="0" vertical="center"/>
    </xf>
    <xf borderId="1" fillId="3" fontId="88" numFmtId="0" xfId="0" applyAlignment="1" applyBorder="1" applyFont="1">
      <alignment readingOrder="0" shrinkToFit="0" wrapText="1"/>
    </xf>
    <xf borderId="1" fillId="3" fontId="88" numFmtId="0" xfId="0" applyAlignment="1" applyBorder="1" applyFont="1">
      <alignment horizontal="center" readingOrder="0" shrinkToFit="0" wrapText="1"/>
    </xf>
    <xf borderId="1" fillId="3" fontId="88" numFmtId="0" xfId="0" applyAlignment="1" applyBorder="1" applyFont="1">
      <alignment readingOrder="0" shrinkToFit="0" vertical="center" wrapText="1"/>
    </xf>
    <xf borderId="1" fillId="3" fontId="2" numFmtId="0" xfId="0" applyAlignment="1" applyBorder="1" applyFont="1">
      <alignment horizontal="center" readingOrder="0" shrinkToFit="0" wrapText="1"/>
    </xf>
    <xf borderId="1" fillId="3" fontId="2" numFmtId="0" xfId="0" applyAlignment="1" applyBorder="1" applyFont="1">
      <alignment readingOrder="0" shrinkToFit="0" wrapText="1"/>
    </xf>
    <xf borderId="1" fillId="11" fontId="55" numFmtId="49" xfId="0" applyAlignment="1" applyBorder="1" applyFont="1" applyNumberFormat="1">
      <alignment horizontal="center" readingOrder="0" shrinkToFit="0" vertical="center" wrapText="1"/>
    </xf>
    <xf borderId="1" fillId="3" fontId="48" numFmtId="169" xfId="0" applyAlignment="1" applyBorder="1" applyFont="1" applyNumberFormat="1">
      <alignment horizontal="center" readingOrder="0" shrinkToFit="0" vertical="center" wrapText="1"/>
    </xf>
    <xf borderId="1" fillId="3" fontId="48" numFmtId="170" xfId="0" applyAlignment="1" applyBorder="1" applyFont="1" applyNumberFormat="1">
      <alignment horizontal="center" readingOrder="0" shrinkToFit="0" vertical="center" wrapText="1"/>
    </xf>
    <xf borderId="13" fillId="3" fontId="55" numFmtId="168" xfId="0" applyAlignment="1" applyBorder="1" applyFont="1" applyNumberFormat="1">
      <alignment horizontal="center" readingOrder="0" vertical="center"/>
    </xf>
    <xf borderId="1" fillId="0" fontId="55" numFmtId="0" xfId="0" applyAlignment="1" applyBorder="1" applyFont="1">
      <alignment horizontal="left" readingOrder="0" shrinkToFit="0" vertical="center" wrapText="1"/>
    </xf>
    <xf borderId="1" fillId="0" fontId="48" numFmtId="0" xfId="0" applyAlignment="1" applyBorder="1" applyFont="1">
      <alignment horizontal="left" readingOrder="0" shrinkToFit="0" vertical="center" wrapText="1"/>
    </xf>
    <xf borderId="1" fillId="0" fontId="48" numFmtId="175" xfId="0" applyAlignment="1" applyBorder="1" applyFont="1" applyNumberFormat="1">
      <alignment readingOrder="0" vertical="center"/>
    </xf>
    <xf borderId="1" fillId="0" fontId="55" numFmtId="168" xfId="0" applyAlignment="1" applyBorder="1" applyFont="1" applyNumberFormat="1">
      <alignment horizontal="center" readingOrder="0" vertical="center"/>
    </xf>
    <xf borderId="1" fillId="0" fontId="89" numFmtId="0" xfId="0" applyAlignment="1" applyBorder="1" applyFont="1">
      <alignment horizontal="center" readingOrder="0" shrinkToFit="0" wrapText="1"/>
    </xf>
    <xf borderId="1" fillId="0" fontId="89" numFmtId="0" xfId="0" applyAlignment="1" applyBorder="1" applyFont="1">
      <alignment readingOrder="0" shrinkToFit="0" wrapText="1"/>
    </xf>
    <xf borderId="1" fillId="2" fontId="55" numFmtId="49" xfId="0" applyAlignment="1" applyBorder="1" applyFont="1" applyNumberFormat="1">
      <alignment horizontal="center" shrinkToFit="0" vertical="center" wrapText="1"/>
    </xf>
    <xf borderId="1" fillId="0" fontId="55" numFmtId="0" xfId="0" applyAlignment="1" applyBorder="1" applyFont="1">
      <alignment horizontal="left" shrinkToFit="0" vertical="center" wrapText="1"/>
    </xf>
    <xf borderId="1" fillId="0" fontId="48" numFmtId="0" xfId="0" applyAlignment="1" applyBorder="1" applyFont="1">
      <alignment horizontal="left" shrinkToFit="0" vertical="center" wrapText="1"/>
    </xf>
    <xf borderId="1" fillId="0" fontId="48" numFmtId="175" xfId="0" applyAlignment="1" applyBorder="1" applyFont="1" applyNumberFormat="1">
      <alignment vertical="center"/>
    </xf>
    <xf borderId="1" fillId="0" fontId="48" numFmtId="168" xfId="0" applyAlignment="1" applyBorder="1" applyFont="1" applyNumberFormat="1">
      <alignment horizontal="center" vertical="center"/>
    </xf>
    <xf borderId="1" fillId="0" fontId="2" numFmtId="0" xfId="0" applyAlignment="1" applyBorder="1" applyFont="1">
      <alignment readingOrder="0" shrinkToFit="0" wrapText="1"/>
    </xf>
    <xf borderId="1" fillId="0" fontId="37" numFmtId="0" xfId="0" applyBorder="1" applyFont="1"/>
    <xf borderId="1" fillId="0" fontId="88" numFmtId="0" xfId="0" applyAlignment="1" applyBorder="1" applyFont="1">
      <alignment readingOrder="0" shrinkToFit="0" wrapText="1"/>
    </xf>
    <xf borderId="1" fillId="0" fontId="55" numFmtId="168" xfId="0" applyAlignment="1" applyBorder="1" applyFont="1" applyNumberFormat="1">
      <alignment horizontal="center" vertical="center"/>
    </xf>
    <xf borderId="1" fillId="0" fontId="55" numFmtId="0" xfId="0" applyAlignment="1" applyBorder="1" applyFont="1">
      <alignment horizontal="center" vertical="center"/>
    </xf>
    <xf borderId="0" fillId="0" fontId="48" numFmtId="0" xfId="0" applyAlignment="1" applyFont="1">
      <alignment horizontal="left" vertical="center"/>
    </xf>
    <xf borderId="1" fillId="0" fontId="48" numFmtId="0" xfId="0" applyAlignment="1" applyBorder="1" applyFont="1">
      <alignment horizontal="left" vertical="center"/>
    </xf>
    <xf borderId="1" fillId="0" fontId="48" numFmtId="14" xfId="0" applyAlignment="1" applyBorder="1" applyFont="1" applyNumberFormat="1">
      <alignment horizontal="center" vertical="center"/>
    </xf>
    <xf borderId="1" fillId="0" fontId="48" numFmtId="177" xfId="0" applyAlignment="1" applyBorder="1" applyFont="1" applyNumberFormat="1">
      <alignment vertical="center"/>
    </xf>
    <xf borderId="1" fillId="0" fontId="48" numFmtId="178" xfId="0" applyAlignment="1" applyBorder="1" applyFont="1" applyNumberFormat="1">
      <alignment vertical="center"/>
    </xf>
    <xf borderId="1" fillId="0" fontId="55" numFmtId="168" xfId="0" applyAlignment="1" applyBorder="1" applyFont="1" applyNumberFormat="1">
      <alignment horizontal="center" shrinkToFit="0" vertical="center" wrapText="1"/>
    </xf>
    <xf borderId="0" fillId="0" fontId="55" numFmtId="0" xfId="0" applyAlignment="1" applyFont="1">
      <alignment horizontal="center" vertical="center"/>
    </xf>
    <xf borderId="0" fillId="0" fontId="48" numFmtId="167" xfId="0" applyAlignment="1" applyFont="1" applyNumberFormat="1">
      <alignment vertical="center"/>
    </xf>
    <xf borderId="0" fillId="0" fontId="48" numFmtId="167" xfId="0" applyAlignment="1" applyFont="1" applyNumberFormat="1">
      <alignment horizontal="center" vertical="center"/>
    </xf>
    <xf borderId="0" fillId="0" fontId="48" numFmtId="168" xfId="0" applyAlignment="1" applyFont="1" applyNumberFormat="1">
      <alignment horizontal="center" vertical="center"/>
    </xf>
    <xf borderId="21" fillId="0" fontId="90" numFmtId="0" xfId="0" applyAlignment="1" applyBorder="1" applyFont="1">
      <alignment horizontal="center" vertical="center"/>
    </xf>
    <xf borderId="21" fillId="0" fontId="4" numFmtId="0" xfId="0" applyBorder="1" applyFont="1"/>
    <xf borderId="0" fillId="0" fontId="0" numFmtId="0" xfId="0" applyFont="1"/>
    <xf borderId="0" fillId="0" fontId="91" numFmtId="0" xfId="0" applyFont="1"/>
    <xf borderId="0" fillId="0" fontId="91" numFmtId="14" xfId="0" applyFont="1" applyNumberFormat="1"/>
    <xf borderId="22" fillId="12" fontId="92" numFmtId="0" xfId="0" applyAlignment="1" applyBorder="1" applyFill="1" applyFont="1">
      <alignment horizontal="center" shrinkToFit="0" vertical="center" wrapText="1"/>
    </xf>
    <xf borderId="23" fillId="12" fontId="93" numFmtId="0" xfId="0" applyAlignment="1" applyBorder="1" applyFont="1">
      <alignment horizontal="center" shrinkToFit="0" vertical="center" wrapText="1"/>
    </xf>
    <xf borderId="23" fillId="12" fontId="92" numFmtId="167" xfId="0" applyAlignment="1" applyBorder="1" applyFont="1" applyNumberFormat="1">
      <alignment horizontal="center" shrinkToFit="0" vertical="center" wrapText="1"/>
    </xf>
    <xf borderId="24" fillId="12" fontId="92" numFmtId="165" xfId="0" applyAlignment="1" applyBorder="1" applyFont="1" applyNumberFormat="1">
      <alignment horizontal="center" shrinkToFit="0" vertical="center" wrapText="1"/>
    </xf>
    <xf borderId="25" fillId="0" fontId="4" numFmtId="0" xfId="0" applyBorder="1" applyFont="1"/>
    <xf borderId="23" fillId="12" fontId="92" numFmtId="165" xfId="0" applyAlignment="1" applyBorder="1" applyFont="1" applyNumberFormat="1">
      <alignment horizontal="center" shrinkToFit="0" vertical="center" wrapText="1"/>
    </xf>
    <xf borderId="26" fillId="12" fontId="92" numFmtId="0" xfId="0" applyAlignment="1" applyBorder="1" applyFont="1">
      <alignment horizontal="left" shrinkToFit="0" vertical="center" wrapText="1"/>
    </xf>
    <xf borderId="0" fillId="0" fontId="94" numFmtId="0" xfId="0" applyFont="1"/>
    <xf borderId="1" fillId="0" fontId="95" numFmtId="0" xfId="0" applyAlignment="1" applyBorder="1" applyFont="1">
      <alignment horizontal="left" shrinkToFit="0" vertical="center" wrapText="1"/>
    </xf>
    <xf borderId="1" fillId="0" fontId="94" numFmtId="0" xfId="0" applyAlignment="1" applyBorder="1" applyFont="1">
      <alignment horizontal="left" shrinkToFit="0" vertical="center" wrapText="1"/>
    </xf>
    <xf borderId="1" fillId="0" fontId="94" numFmtId="0" xfId="0" applyAlignment="1" applyBorder="1" applyFont="1">
      <alignment horizontal="center" shrinkToFit="0" vertical="center" wrapText="1"/>
    </xf>
    <xf borderId="1" fillId="0" fontId="95" numFmtId="167" xfId="0" applyAlignment="1" applyBorder="1" applyFont="1" applyNumberFormat="1">
      <alignment shrinkToFit="0" vertical="center" wrapText="1"/>
    </xf>
    <xf borderId="1" fillId="0" fontId="96" numFmtId="167" xfId="0" applyAlignment="1" applyBorder="1" applyFont="1" applyNumberFormat="1">
      <alignment horizontal="center" shrinkToFit="0" vertical="center" wrapText="1"/>
    </xf>
    <xf borderId="1" fillId="0" fontId="95" numFmtId="14" xfId="0" applyAlignment="1" applyBorder="1" applyFont="1" applyNumberFormat="1">
      <alignment shrinkToFit="0" vertical="center" wrapText="1"/>
    </xf>
    <xf borderId="1" fillId="0" fontId="95" numFmtId="165" xfId="0" applyAlignment="1" applyBorder="1" applyFont="1" applyNumberFormat="1">
      <alignment horizontal="center" shrinkToFit="0" vertical="center" wrapText="1"/>
    </xf>
    <xf borderId="1" fillId="0" fontId="97" numFmtId="0" xfId="0" applyAlignment="1" applyBorder="1" applyFont="1">
      <alignment shrinkToFit="0" vertical="center" wrapText="1"/>
    </xf>
    <xf borderId="1" fillId="0" fontId="98" numFmtId="0" xfId="0" applyAlignment="1" applyBorder="1" applyFont="1">
      <alignment horizontal="left" shrinkToFit="0" vertical="center" wrapText="1"/>
    </xf>
    <xf borderId="1" fillId="0" fontId="95" numFmtId="167" xfId="0" applyAlignment="1" applyBorder="1" applyFont="1" applyNumberFormat="1">
      <alignment horizontal="right" shrinkToFit="0" vertical="center" wrapText="1"/>
    </xf>
    <xf borderId="1" fillId="0" fontId="95" numFmtId="167" xfId="0" applyAlignment="1" applyBorder="1" applyFont="1" applyNumberFormat="1">
      <alignment horizontal="center" shrinkToFit="0" vertical="center" wrapText="1"/>
    </xf>
    <xf borderId="3" fillId="0" fontId="95" numFmtId="0" xfId="0" applyAlignment="1" applyBorder="1" applyFont="1">
      <alignment horizontal="left" shrinkToFit="0" vertical="center" wrapText="1"/>
    </xf>
    <xf borderId="3" fillId="0" fontId="99" numFmtId="0" xfId="0" applyAlignment="1" applyBorder="1" applyFont="1">
      <alignment horizontal="left" shrinkToFit="0" vertical="center" wrapText="1"/>
    </xf>
    <xf borderId="2" fillId="0" fontId="95" numFmtId="165" xfId="0" applyAlignment="1" applyBorder="1" applyFont="1" applyNumberFormat="1">
      <alignment horizontal="center" shrinkToFit="0" vertical="center" wrapText="1"/>
    </xf>
    <xf borderId="1" fillId="2" fontId="97" numFmtId="0" xfId="0" applyAlignment="1" applyBorder="1" applyFont="1">
      <alignment horizontal="center" shrinkToFit="0" vertical="center" wrapText="1"/>
    </xf>
    <xf borderId="1" fillId="0" fontId="0" numFmtId="0" xfId="0" applyBorder="1" applyFont="1"/>
    <xf borderId="0" fillId="0" fontId="95" numFmtId="0" xfId="0" applyAlignment="1" applyFont="1">
      <alignment horizontal="left" shrinkToFit="0" vertical="center" wrapText="1"/>
    </xf>
    <xf borderId="0" fillId="0" fontId="94" numFmtId="0" xfId="0" applyAlignment="1" applyFont="1">
      <alignment horizontal="left" shrinkToFit="0" vertical="center" wrapText="1"/>
    </xf>
    <xf borderId="0" fillId="0" fontId="94" numFmtId="0" xfId="0" applyAlignment="1" applyFont="1">
      <alignment horizontal="center" shrinkToFit="0" vertical="center" wrapText="1"/>
    </xf>
    <xf borderId="0" fillId="0" fontId="95" numFmtId="167" xfId="0" applyAlignment="1" applyFont="1" applyNumberFormat="1">
      <alignment horizontal="right" shrinkToFit="0" vertical="center" wrapText="1"/>
    </xf>
    <xf borderId="0" fillId="0" fontId="96" numFmtId="167" xfId="0" applyAlignment="1" applyFont="1" applyNumberFormat="1">
      <alignment horizontal="center" shrinkToFit="0" vertical="center" wrapText="1"/>
    </xf>
    <xf borderId="0" fillId="0" fontId="95" numFmtId="14" xfId="0" applyAlignment="1" applyFont="1" applyNumberFormat="1">
      <alignment shrinkToFit="0" vertical="center" wrapText="1"/>
    </xf>
    <xf borderId="0" fillId="0" fontId="95" numFmtId="167" xfId="0" applyAlignment="1" applyFont="1" applyNumberFormat="1">
      <alignment horizontal="center" shrinkToFit="0" vertical="center" wrapText="1"/>
    </xf>
    <xf borderId="0" fillId="0" fontId="90" numFmtId="0" xfId="0" applyAlignment="1" applyFont="1">
      <alignment horizontal="center" vertical="center"/>
    </xf>
    <xf borderId="1" fillId="13" fontId="92" numFmtId="0" xfId="0" applyAlignment="1" applyBorder="1" applyFill="1" applyFont="1">
      <alignment horizontal="center" shrinkToFit="0" vertical="center" wrapText="1"/>
    </xf>
    <xf borderId="1" fillId="13" fontId="93" numFmtId="0" xfId="0" applyAlignment="1" applyBorder="1" applyFont="1">
      <alignment horizontal="center" shrinkToFit="0" vertical="center" wrapText="1"/>
    </xf>
    <xf borderId="1" fillId="13" fontId="92" numFmtId="167" xfId="0" applyAlignment="1" applyBorder="1" applyFont="1" applyNumberFormat="1">
      <alignment horizontal="center" shrinkToFit="0" vertical="center" wrapText="1"/>
    </xf>
    <xf borderId="1" fillId="13" fontId="92" numFmtId="165" xfId="0" applyAlignment="1" applyBorder="1" applyFont="1" applyNumberFormat="1">
      <alignment horizontal="center" shrinkToFit="0" vertical="center" wrapText="1"/>
    </xf>
    <xf borderId="2" fillId="13" fontId="92" numFmtId="0" xfId="0" applyAlignment="1" applyBorder="1" applyFont="1">
      <alignment horizontal="center" shrinkToFit="0" vertical="center" wrapText="1"/>
    </xf>
    <xf borderId="1" fillId="0" fontId="96" numFmtId="0" xfId="0" applyAlignment="1" applyBorder="1" applyFont="1">
      <alignment horizontal="left" shrinkToFit="0" vertical="center" wrapText="1"/>
    </xf>
    <xf borderId="1" fillId="0" fontId="96" numFmtId="165" xfId="0" applyAlignment="1" applyBorder="1" applyFont="1" applyNumberFormat="1">
      <alignment horizontal="center" shrinkToFit="0" vertical="center" wrapText="1"/>
    </xf>
    <xf borderId="2" fillId="0" fontId="96" numFmtId="0" xfId="0" applyAlignment="1" applyBorder="1" applyFont="1">
      <alignment horizontal="center" shrinkToFit="0" vertical="center" wrapText="1"/>
    </xf>
    <xf borderId="0" fillId="0" fontId="96" numFmtId="0" xfId="0" applyAlignment="1" applyFont="1">
      <alignment horizontal="left"/>
    </xf>
    <xf borderId="0" fillId="0" fontId="96" numFmtId="167" xfId="0" applyFont="1" applyNumberFormat="1"/>
    <xf borderId="0" fillId="0" fontId="96" numFmtId="0" xfId="0" applyAlignment="1" applyFont="1">
      <alignment horizontal="center"/>
    </xf>
    <xf borderId="0" fillId="0" fontId="96" numFmtId="0" xfId="0" applyAlignment="1" applyFont="1">
      <alignment shrinkToFit="0" vertical="center" wrapText="1"/>
    </xf>
    <xf borderId="27" fillId="12" fontId="92" numFmtId="165" xfId="0" applyAlignment="1" applyBorder="1" applyFont="1" applyNumberFormat="1">
      <alignment horizontal="center" shrinkToFit="0" vertical="center" wrapText="1"/>
    </xf>
    <xf borderId="28" fillId="12" fontId="92" numFmtId="165" xfId="0" applyAlignment="1" applyBorder="1" applyFont="1" applyNumberFormat="1">
      <alignment horizontal="center" shrinkToFit="0" vertical="center" wrapText="1"/>
    </xf>
    <xf borderId="28" fillId="12" fontId="92" numFmtId="0" xfId="0" applyAlignment="1" applyBorder="1" applyFont="1">
      <alignment horizontal="left" shrinkToFit="0" vertical="center" wrapText="1"/>
    </xf>
    <xf borderId="6" fillId="0" fontId="95" numFmtId="167" xfId="0" applyAlignment="1" applyBorder="1" applyFont="1" applyNumberFormat="1">
      <alignment horizontal="center" shrinkToFit="0" vertical="center" wrapText="1"/>
    </xf>
    <xf borderId="6" fillId="0" fontId="97" numFmtId="0" xfId="0" applyAlignment="1" applyBorder="1" applyFont="1">
      <alignment shrinkToFit="0" vertical="center" wrapText="1"/>
    </xf>
    <xf borderId="29" fillId="0" fontId="94" numFmtId="0" xfId="0" applyBorder="1" applyFont="1"/>
    <xf borderId="5" fillId="0" fontId="95" numFmtId="165" xfId="0" applyAlignment="1" applyBorder="1" applyFont="1" applyNumberFormat="1">
      <alignment horizontal="center" shrinkToFit="0" vertical="center" wrapText="1"/>
    </xf>
    <xf borderId="5" fillId="0" fontId="97" numFmtId="0" xfId="0" applyAlignment="1" applyBorder="1" applyFont="1">
      <alignment shrinkToFit="0" vertical="center" wrapText="1"/>
    </xf>
    <xf borderId="30" fillId="0" fontId="94" numFmtId="0" xfId="0" applyBorder="1" applyFont="1"/>
    <xf borderId="1" fillId="0" fontId="100" numFmtId="0" xfId="0" applyAlignment="1" applyBorder="1" applyFont="1">
      <alignment horizontal="left" vertical="center"/>
    </xf>
    <xf borderId="1" fillId="0" fontId="94" numFmtId="1" xfId="0" applyAlignment="1" applyBorder="1" applyFont="1" applyNumberFormat="1">
      <alignment horizontal="center" shrinkToFit="0" vertical="center" wrapText="1"/>
    </xf>
    <xf borderId="1" fillId="0" fontId="101" numFmtId="0" xfId="0" applyAlignment="1" applyBorder="1" applyFont="1">
      <alignment shrinkToFit="0" vertical="center" wrapText="1"/>
    </xf>
    <xf borderId="1" fillId="0" fontId="95" numFmtId="14" xfId="0" applyAlignment="1" applyBorder="1" applyFont="1" applyNumberFormat="1">
      <alignment horizontal="center" shrinkToFit="0" vertical="center" wrapText="1"/>
    </xf>
    <xf borderId="31" fillId="0" fontId="102" numFmtId="0" xfId="0" applyAlignment="1" applyBorder="1" applyFont="1">
      <alignment horizontal="left" shrinkToFit="0" vertical="center" wrapText="1"/>
    </xf>
    <xf borderId="1" fillId="0" fontId="103" numFmtId="0" xfId="0" applyAlignment="1" applyBorder="1" applyFont="1">
      <alignment shrinkToFit="0" vertical="center" wrapText="1"/>
    </xf>
    <xf borderId="1" fillId="0" fontId="104" numFmtId="0" xfId="0" applyAlignment="1" applyBorder="1" applyFont="1">
      <alignment shrinkToFit="0" vertical="center" wrapText="1"/>
    </xf>
    <xf borderId="2" fillId="0" fontId="0" numFmtId="0" xfId="0" applyAlignment="1" applyBorder="1" applyFont="1">
      <alignment horizontal="center"/>
    </xf>
    <xf borderId="1" fillId="14" fontId="0" numFmtId="0" xfId="0" applyBorder="1" applyFill="1" applyFont="1"/>
    <xf borderId="1" fillId="14" fontId="105" numFmtId="0" xfId="0" applyBorder="1" applyFont="1"/>
    <xf borderId="1" fillId="14" fontId="106" numFmtId="0" xfId="0" applyAlignment="1" applyBorder="1" applyFont="1">
      <alignment horizontal="center" shrinkToFit="0" vertical="center" wrapText="1"/>
    </xf>
    <xf borderId="1" fillId="14" fontId="106" numFmtId="14" xfId="0" applyAlignment="1" applyBorder="1" applyFont="1" applyNumberFormat="1">
      <alignment horizontal="center" shrinkToFit="0" vertical="center" wrapText="1"/>
    </xf>
    <xf borderId="1" fillId="0" fontId="107" numFmtId="0" xfId="0" applyAlignment="1" applyBorder="1" applyFont="1">
      <alignment horizontal="left" shrinkToFit="0" vertical="center" wrapText="1"/>
    </xf>
    <xf borderId="1" fillId="15" fontId="0" numFmtId="0" xfId="0" applyBorder="1" applyFill="1" applyFont="1"/>
    <xf borderId="1" fillId="15" fontId="108" numFmtId="0" xfId="0" applyBorder="1" applyFont="1"/>
    <xf borderId="1" fillId="15" fontId="106" numFmtId="0" xfId="0" applyAlignment="1" applyBorder="1" applyFont="1">
      <alignment horizontal="center" shrinkToFit="0" vertical="center" wrapText="1"/>
    </xf>
    <xf borderId="1" fillId="15" fontId="106" numFmtId="14" xfId="0" applyAlignment="1" applyBorder="1" applyFont="1" applyNumberFormat="1">
      <alignment horizontal="center" shrinkToFit="0" vertical="center" wrapText="1"/>
    </xf>
    <xf borderId="1" fillId="0" fontId="96" numFmtId="167" xfId="0" applyAlignment="1" applyBorder="1" applyFont="1" applyNumberFormat="1">
      <alignment shrinkToFit="0" vertical="center" wrapText="1"/>
    </xf>
    <xf borderId="1" fillId="0" fontId="96" numFmtId="14" xfId="0" applyAlignment="1" applyBorder="1" applyFont="1" applyNumberFormat="1">
      <alignment shrinkToFit="0" vertical="center" wrapText="1"/>
    </xf>
    <xf borderId="1" fillId="0" fontId="109" numFmtId="0" xfId="0" applyAlignment="1" applyBorder="1" applyFont="1">
      <alignment horizontal="center" shrinkToFit="0" wrapText="1"/>
    </xf>
    <xf borderId="1" fillId="0" fontId="106" numFmtId="0" xfId="0" applyAlignment="1" applyBorder="1" applyFont="1">
      <alignment shrinkToFit="0" vertical="center" wrapText="1"/>
    </xf>
    <xf borderId="1" fillId="0" fontId="103" numFmtId="0" xfId="0" applyAlignment="1" applyBorder="1" applyFont="1">
      <alignment horizontal="left" shrinkToFit="0" vertical="center" wrapText="1"/>
    </xf>
    <xf borderId="1" fillId="0" fontId="110" numFmtId="0" xfId="0" applyAlignment="1" applyBorder="1" applyFont="1">
      <alignment horizontal="left" shrinkToFit="0" vertical="center" wrapText="1"/>
    </xf>
    <xf borderId="1" fillId="0" fontId="110" numFmtId="0" xfId="0" applyAlignment="1" applyBorder="1" applyFont="1">
      <alignment horizontal="center" shrinkToFit="0" vertical="center" wrapText="1"/>
    </xf>
    <xf borderId="1" fillId="0" fontId="97" numFmtId="167" xfId="0" applyAlignment="1" applyBorder="1" applyFont="1" applyNumberFormat="1">
      <alignment shrinkToFit="0" vertical="center" wrapText="1"/>
    </xf>
    <xf borderId="1" fillId="0" fontId="97" numFmtId="14" xfId="0" applyAlignment="1" applyBorder="1" applyFont="1" applyNumberFormat="1">
      <alignment shrinkToFit="0" vertical="center" wrapText="1"/>
    </xf>
    <xf borderId="1" fillId="0" fontId="97" numFmtId="165" xfId="0" applyAlignment="1" applyBorder="1" applyFont="1" applyNumberFormat="1">
      <alignment horizontal="center" shrinkToFit="0" vertical="center" wrapText="1"/>
    </xf>
    <xf borderId="1" fillId="0" fontId="111" numFmtId="0" xfId="0" applyAlignment="1" applyBorder="1" applyFont="1">
      <alignment shrinkToFit="0" vertical="center" wrapText="1"/>
    </xf>
    <xf borderId="0" fillId="0" fontId="112" numFmtId="0" xfId="0" applyFont="1"/>
    <xf borderId="1" fillId="0" fontId="96" numFmtId="0" xfId="0" applyAlignment="1" applyBorder="1" applyFont="1">
      <alignment shrinkToFit="0" vertical="center" wrapText="1"/>
    </xf>
    <xf borderId="31" fillId="0" fontId="95" numFmtId="0" xfId="0" applyAlignment="1" applyBorder="1" applyFont="1">
      <alignment horizontal="left" shrinkToFit="0" vertical="center" wrapText="1"/>
    </xf>
    <xf borderId="1" fillId="0" fontId="113" numFmtId="0" xfId="0" applyAlignment="1" applyBorder="1" applyFont="1">
      <alignment shrinkToFit="0" vertical="center" wrapText="1"/>
    </xf>
    <xf borderId="1" fillId="0" fontId="97" numFmtId="0" xfId="0" applyAlignment="1" applyBorder="1" applyFont="1">
      <alignment horizontal="center" shrinkToFit="0" vertical="center" wrapText="1"/>
    </xf>
    <xf borderId="0" fillId="0" fontId="114" numFmtId="0" xfId="0" applyFont="1"/>
    <xf borderId="1" fillId="0" fontId="115" numFmtId="0" xfId="0" applyAlignment="1" applyBorder="1" applyFont="1">
      <alignment horizontal="left" vertical="center"/>
    </xf>
    <xf borderId="1" fillId="0" fontId="116" numFmtId="0" xfId="0" applyAlignment="1" applyBorder="1" applyFont="1">
      <alignment horizontal="left" vertical="center"/>
    </xf>
    <xf borderId="2" fillId="0" fontId="116" numFmtId="0" xfId="0" applyAlignment="1" applyBorder="1" applyFont="1">
      <alignment horizontal="left" vertical="center"/>
    </xf>
    <xf borderId="4" fillId="0" fontId="116" numFmtId="0" xfId="0" applyAlignment="1" applyBorder="1" applyFont="1">
      <alignment horizontal="left" vertical="center"/>
    </xf>
    <xf borderId="3" fillId="0" fontId="116" numFmtId="0" xfId="0" applyAlignment="1" applyBorder="1" applyFont="1">
      <alignment horizontal="left" vertical="center"/>
    </xf>
    <xf borderId="18" fillId="16" fontId="95" numFmtId="0" xfId="0" applyAlignment="1" applyBorder="1" applyFill="1" applyFont="1">
      <alignment horizontal="left" shrinkToFit="0" vertical="center" wrapText="1"/>
    </xf>
    <xf borderId="18" fillId="16" fontId="95" numFmtId="167" xfId="0" applyAlignment="1" applyBorder="1" applyFont="1" applyNumberFormat="1">
      <alignment horizontal="center" shrinkToFit="0" vertical="center" wrapText="1"/>
    </xf>
    <xf borderId="18" fillId="16" fontId="95" numFmtId="165" xfId="0" applyAlignment="1" applyBorder="1" applyFont="1" applyNumberFormat="1">
      <alignment horizontal="center" shrinkToFit="0" vertical="center" wrapText="1"/>
    </xf>
    <xf borderId="18" fillId="16" fontId="95" numFmtId="0" xfId="0" applyAlignment="1" applyBorder="1" applyFont="1">
      <alignment horizontal="center" shrinkToFit="0" vertical="center" wrapText="1"/>
    </xf>
    <xf borderId="1" fillId="0" fontId="117" numFmtId="179" xfId="0" applyAlignment="1" applyBorder="1" applyFont="1" applyNumberFormat="1">
      <alignment horizontal="right" vertical="center"/>
    </xf>
    <xf borderId="1" fillId="0" fontId="100" numFmtId="180" xfId="0" applyAlignment="1" applyBorder="1" applyFont="1" applyNumberFormat="1">
      <alignment horizontal="center" vertical="center"/>
    </xf>
    <xf borderId="1" fillId="3" fontId="95" numFmtId="0" xfId="0" applyAlignment="1" applyBorder="1" applyFont="1">
      <alignment horizontal="left" shrinkToFit="0" vertical="center" wrapText="1"/>
    </xf>
    <xf borderId="1" fillId="0" fontId="118" numFmtId="0" xfId="0" applyAlignment="1" applyBorder="1" applyFont="1">
      <alignment horizontal="center" shrinkToFit="0" vertical="center" wrapText="1"/>
    </xf>
    <xf borderId="1" fillId="0" fontId="95" numFmtId="0" xfId="0" applyAlignment="1" applyBorder="1" applyFont="1">
      <alignment horizontal="center" shrinkToFit="0" vertical="center" wrapText="1"/>
    </xf>
    <xf borderId="1" fillId="16" fontId="119" numFmtId="0" xfId="0" applyAlignment="1" applyBorder="1" applyFont="1">
      <alignment vertical="center"/>
    </xf>
    <xf borderId="1" fillId="16" fontId="117" numFmtId="179" xfId="0" applyAlignment="1" applyBorder="1" applyFont="1" applyNumberFormat="1">
      <alignment horizontal="right" vertical="center"/>
    </xf>
    <xf borderId="1" fillId="16" fontId="120" numFmtId="180" xfId="0" applyAlignment="1" applyBorder="1" applyFont="1" applyNumberFormat="1">
      <alignment horizontal="center"/>
    </xf>
    <xf borderId="1" fillId="0" fontId="94" numFmtId="0" xfId="0" applyBorder="1" applyFont="1"/>
    <xf borderId="0" fillId="0" fontId="119" numFmtId="0" xfId="0" applyAlignment="1" applyFont="1">
      <alignment vertical="center"/>
    </xf>
    <xf borderId="0" fillId="0" fontId="121" numFmtId="179" xfId="0" applyAlignment="1" applyFont="1" applyNumberFormat="1">
      <alignment horizontal="right" vertical="center"/>
    </xf>
    <xf borderId="0" fillId="0" fontId="122" numFmtId="180" xfId="0" applyAlignment="1" applyFont="1" applyNumberFormat="1">
      <alignment horizontal="center"/>
    </xf>
    <xf borderId="1" fillId="0" fontId="119" numFmtId="0" xfId="0" applyAlignment="1" applyBorder="1" applyFont="1">
      <alignment vertical="center"/>
    </xf>
    <xf borderId="0" fillId="0" fontId="123" numFmtId="0" xfId="0" applyFont="1"/>
    <xf borderId="0" fillId="0" fontId="96" numFmtId="0" xfId="0" applyFont="1"/>
  </cellXfs>
  <cellStyles count="1">
    <cellStyle xfId="0" name="Normal" builtinId="0"/>
  </cellStyles>
  <dxfs count="4">
    <dxf>
      <font>
        <color rgb="FF9C0006"/>
      </font>
      <fill>
        <patternFill patternType="solid">
          <fgColor rgb="FFFFC7CE"/>
          <bgColor rgb="FFFFC7CE"/>
        </patternFill>
      </fill>
      <border/>
    </dxf>
    <dxf>
      <font>
        <b/>
      </font>
      <fill>
        <patternFill patternType="solid">
          <fgColor theme="0"/>
          <bgColor theme="0"/>
        </patternFill>
      </fill>
      <border/>
    </dxf>
    <dxf>
      <font/>
      <fill>
        <patternFill patternType="solid">
          <fgColor rgb="FFB7E1CD"/>
          <bgColor rgb="FFB7E1CD"/>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1"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22" Type="http://schemas.openxmlformats.org/officeDocument/2006/relationships/drawing" Target="../drawings/drawing6.xml"/><Relationship Id="rId10"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21"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3"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2"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2"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3"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4"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9"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5"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4"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7"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6"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5"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9"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6"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18"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7"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 Id="rId8" Type="http://schemas.openxmlformats.org/officeDocument/2006/relationships/hyperlink" Target="http://../../Daniela/AppData/Local/Microsoft/Daniela/AppData/Local/Microsoft/Windows/Temporary%20Internet%20Files/Content.Outlook/AppData/Local/Microsoft/Windows/AppData/Local/Microsoft/Windows/Temporary%20Internet%20Files/Content.Outlook/KZQCN9KE/Controle%20de%20Contratos%20Individual_ATUALIZADO.XL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43"/>
    <col customWidth="1" min="2" max="2" width="11.57"/>
    <col customWidth="1" min="3" max="3" width="15.14"/>
    <col customWidth="1" min="4" max="4" width="10.86"/>
    <col customWidth="1" min="5" max="5" width="14.29"/>
    <col customWidth="1" min="6" max="6" width="37.0"/>
    <col customWidth="1" min="7" max="7" width="19.86"/>
    <col customWidth="1" min="8" max="9" width="15.43"/>
    <col customWidth="1" min="10" max="10" width="15.29"/>
    <col customWidth="1" min="11" max="11" width="41.57"/>
    <col customWidth="1" min="12" max="12" width="13.14"/>
    <col customWidth="1" min="13" max="13" width="11.29"/>
    <col customWidth="1" min="14" max="14" width="24.0"/>
    <col customWidth="1" min="15" max="15" width="19.14"/>
    <col customWidth="1" min="16" max="16" width="16.43"/>
    <col customWidth="1" min="17" max="17" width="18.0"/>
    <col customWidth="1" min="18" max="18" width="20.0"/>
    <col customWidth="1" min="19" max="19" width="18.14"/>
    <col customWidth="1" min="20" max="20" width="16.86"/>
    <col customWidth="1" min="21" max="21" width="20.14"/>
    <col customWidth="1" min="22" max="22" width="17.14"/>
    <col customWidth="1" min="23" max="49" width="17.0"/>
  </cols>
  <sheetData>
    <row r="1">
      <c r="A1" s="1">
        <f>TODAY()</f>
        <v>46167</v>
      </c>
      <c r="B1" s="2"/>
      <c r="C1" s="2"/>
      <c r="D1" s="3"/>
      <c r="E1" s="4"/>
      <c r="F1" s="5"/>
      <c r="G1" s="5"/>
      <c r="H1" s="6"/>
      <c r="I1" s="6"/>
      <c r="J1" s="6"/>
      <c r="K1" s="5"/>
      <c r="L1" s="7"/>
      <c r="M1" s="7"/>
      <c r="N1" s="7"/>
      <c r="O1" s="3"/>
      <c r="P1" s="8"/>
      <c r="Q1" s="8"/>
      <c r="R1" s="8"/>
      <c r="S1" s="8"/>
      <c r="T1" s="8"/>
      <c r="U1" s="8"/>
      <c r="V1" s="4"/>
      <c r="W1" s="9"/>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row>
    <row r="2">
      <c r="A2" s="11"/>
      <c r="B2" s="11"/>
      <c r="C2" s="11" t="s">
        <v>0</v>
      </c>
      <c r="D2" s="12" t="s">
        <v>1</v>
      </c>
      <c r="E2" s="13" t="s">
        <v>2</v>
      </c>
      <c r="F2" s="14" t="s">
        <v>3</v>
      </c>
      <c r="G2" s="13" t="s">
        <v>4</v>
      </c>
      <c r="H2" s="13" t="s">
        <v>5</v>
      </c>
      <c r="I2" s="13" t="s">
        <v>6</v>
      </c>
      <c r="J2" s="13" t="s">
        <v>7</v>
      </c>
      <c r="K2" s="13" t="s">
        <v>8</v>
      </c>
      <c r="L2" s="13" t="s">
        <v>9</v>
      </c>
      <c r="M2" s="13" t="s">
        <v>10</v>
      </c>
      <c r="N2" s="13" t="s">
        <v>11</v>
      </c>
      <c r="O2" s="13" t="s">
        <v>12</v>
      </c>
      <c r="P2" s="13" t="s">
        <v>13</v>
      </c>
      <c r="Q2" s="15" t="s">
        <v>14</v>
      </c>
      <c r="R2" s="15" t="s">
        <v>15</v>
      </c>
      <c r="S2" s="13" t="s">
        <v>16</v>
      </c>
      <c r="T2" s="16" t="s">
        <v>17</v>
      </c>
      <c r="U2" s="16" t="s">
        <v>18</v>
      </c>
      <c r="V2" s="17" t="s">
        <v>19</v>
      </c>
      <c r="W2" s="13" t="s">
        <v>20</v>
      </c>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row>
    <row r="3">
      <c r="A3" s="19" t="s">
        <v>21</v>
      </c>
      <c r="B3" s="8"/>
      <c r="C3" s="8"/>
      <c r="D3" s="8"/>
      <c r="E3" s="8"/>
      <c r="F3" s="8"/>
      <c r="G3" s="8"/>
      <c r="H3" s="8"/>
      <c r="I3" s="8"/>
      <c r="J3" s="8"/>
      <c r="K3" s="8"/>
      <c r="L3" s="8"/>
      <c r="M3" s="8"/>
      <c r="N3" s="8"/>
      <c r="O3" s="8"/>
      <c r="P3" s="8"/>
      <c r="Q3" s="8"/>
      <c r="R3" s="8"/>
      <c r="S3" s="8"/>
      <c r="T3" s="8"/>
      <c r="U3" s="8"/>
      <c r="V3" s="8"/>
      <c r="W3" s="4"/>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row>
    <row r="4">
      <c r="A4" s="21">
        <f>C4-$A$1</f>
        <v>310</v>
      </c>
      <c r="B4" s="21" t="str">
        <f>IF(A4&lt;60,"Vencendo","Em Vigência")</f>
        <v>Em Vigência</v>
      </c>
      <c r="C4" s="22">
        <v>46477.0</v>
      </c>
      <c r="D4" s="23" t="s">
        <v>22</v>
      </c>
      <c r="E4" s="24" t="s">
        <v>23</v>
      </c>
      <c r="F4" s="25" t="s">
        <v>24</v>
      </c>
      <c r="G4" s="26" t="s">
        <v>25</v>
      </c>
      <c r="H4" s="27" t="s">
        <v>26</v>
      </c>
      <c r="I4" s="27" t="s">
        <v>27</v>
      </c>
      <c r="J4" s="27" t="s">
        <v>28</v>
      </c>
      <c r="K4" s="28" t="s">
        <v>29</v>
      </c>
      <c r="L4" s="26" t="s">
        <v>30</v>
      </c>
      <c r="M4" s="26" t="s">
        <v>31</v>
      </c>
      <c r="N4" s="26" t="s">
        <v>32</v>
      </c>
      <c r="O4" s="27" t="s">
        <v>33</v>
      </c>
      <c r="P4" s="27" t="s">
        <v>34</v>
      </c>
      <c r="Q4" s="29">
        <v>2.02400000015E12</v>
      </c>
      <c r="R4" s="29">
        <v>2.024000000196E12</v>
      </c>
      <c r="S4" s="29" t="s">
        <v>35</v>
      </c>
      <c r="T4" s="30">
        <v>336000.0</v>
      </c>
      <c r="U4" s="31">
        <v>46113.0</v>
      </c>
      <c r="V4" s="31"/>
      <c r="W4" s="32"/>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row>
    <row r="5">
      <c r="A5" s="19" t="s">
        <v>36</v>
      </c>
      <c r="B5" s="8"/>
      <c r="C5" s="8"/>
      <c r="D5" s="8"/>
      <c r="E5" s="8"/>
      <c r="F5" s="8"/>
      <c r="G5" s="8"/>
      <c r="H5" s="8"/>
      <c r="I5" s="8"/>
      <c r="J5" s="8"/>
      <c r="K5" s="8"/>
      <c r="L5" s="8"/>
      <c r="M5" s="8"/>
      <c r="N5" s="8"/>
      <c r="O5" s="8"/>
      <c r="P5" s="8"/>
      <c r="Q5" s="8"/>
      <c r="R5" s="8"/>
      <c r="S5" s="8"/>
      <c r="T5" s="8"/>
      <c r="U5" s="8"/>
      <c r="V5" s="8"/>
      <c r="W5" s="4"/>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row>
    <row r="6">
      <c r="A6" s="21">
        <f t="shared" ref="A6:A8" si="1">C6-$A$1</f>
        <v>-2</v>
      </c>
      <c r="B6" s="21" t="str">
        <f t="shared" ref="B6:B8" si="2">IF(A6&lt;60,"Vencendo","Em Vigência")</f>
        <v>Vencendo</v>
      </c>
      <c r="C6" s="22">
        <v>46165.0</v>
      </c>
      <c r="D6" s="23" t="s">
        <v>37</v>
      </c>
      <c r="E6" s="32" t="s">
        <v>38</v>
      </c>
      <c r="F6" s="25" t="s">
        <v>39</v>
      </c>
      <c r="G6" s="26" t="s">
        <v>40</v>
      </c>
      <c r="H6" s="27" t="s">
        <v>41</v>
      </c>
      <c r="I6" s="27" t="s">
        <v>42</v>
      </c>
      <c r="J6" s="27" t="s">
        <v>43</v>
      </c>
      <c r="K6" s="28" t="s">
        <v>44</v>
      </c>
      <c r="L6" s="26" t="s">
        <v>45</v>
      </c>
      <c r="M6" s="26"/>
      <c r="N6" s="26" t="s">
        <v>46</v>
      </c>
      <c r="O6" s="27" t="s">
        <v>47</v>
      </c>
      <c r="P6" s="27" t="s">
        <v>48</v>
      </c>
      <c r="Q6" s="29">
        <v>2.023000000071E12</v>
      </c>
      <c r="R6" s="29" t="s">
        <v>49</v>
      </c>
      <c r="S6" s="29" t="s">
        <v>50</v>
      </c>
      <c r="T6" s="30">
        <v>248220.0</v>
      </c>
      <c r="U6" s="31">
        <v>45800.0</v>
      </c>
      <c r="V6" s="31">
        <v>45810.0</v>
      </c>
      <c r="W6" s="32"/>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row>
    <row r="7">
      <c r="A7" s="21">
        <f t="shared" si="1"/>
        <v>1</v>
      </c>
      <c r="B7" s="21" t="str">
        <f t="shared" si="2"/>
        <v>Vencendo</v>
      </c>
      <c r="C7" s="22">
        <v>46168.0</v>
      </c>
      <c r="D7" s="34" t="s">
        <v>51</v>
      </c>
      <c r="E7" s="24" t="s">
        <v>52</v>
      </c>
      <c r="F7" s="35" t="s">
        <v>53</v>
      </c>
      <c r="G7" s="36" t="s">
        <v>54</v>
      </c>
      <c r="H7" s="27" t="s">
        <v>55</v>
      </c>
      <c r="I7" s="27" t="s">
        <v>55</v>
      </c>
      <c r="J7" s="27" t="s">
        <v>56</v>
      </c>
      <c r="K7" s="37" t="s">
        <v>57</v>
      </c>
      <c r="L7" s="32" t="s">
        <v>58</v>
      </c>
      <c r="M7" s="36"/>
      <c r="N7" s="36" t="s">
        <v>59</v>
      </c>
      <c r="O7" s="27" t="s">
        <v>60</v>
      </c>
      <c r="P7" s="27" t="s">
        <v>61</v>
      </c>
      <c r="Q7" s="29"/>
      <c r="R7" s="27">
        <v>2.025000000401E12</v>
      </c>
      <c r="S7" s="29" t="s">
        <v>62</v>
      </c>
      <c r="T7" s="38">
        <v>51600.0</v>
      </c>
      <c r="U7" s="31">
        <v>45803.0</v>
      </c>
      <c r="V7" s="31">
        <v>45810.0</v>
      </c>
      <c r="W7" s="39"/>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row>
    <row r="8">
      <c r="A8" s="21">
        <f t="shared" si="1"/>
        <v>1</v>
      </c>
      <c r="B8" s="21" t="str">
        <f t="shared" si="2"/>
        <v>Vencendo</v>
      </c>
      <c r="C8" s="22">
        <v>46168.0</v>
      </c>
      <c r="D8" s="23" t="s">
        <v>63</v>
      </c>
      <c r="E8" s="32" t="s">
        <v>23</v>
      </c>
      <c r="F8" s="25" t="s">
        <v>64</v>
      </c>
      <c r="G8" s="26" t="s">
        <v>65</v>
      </c>
      <c r="H8" s="27" t="s">
        <v>66</v>
      </c>
      <c r="I8" s="27" t="s">
        <v>67</v>
      </c>
      <c r="J8" s="27" t="s">
        <v>68</v>
      </c>
      <c r="K8" s="28" t="s">
        <v>69</v>
      </c>
      <c r="L8" s="26" t="s">
        <v>70</v>
      </c>
      <c r="M8" s="41">
        <v>45628.0</v>
      </c>
      <c r="N8" s="26" t="s">
        <v>71</v>
      </c>
      <c r="O8" s="27" t="s">
        <v>72</v>
      </c>
      <c r="P8" s="27" t="s">
        <v>73</v>
      </c>
      <c r="Q8" s="29">
        <v>2.024000000279E12</v>
      </c>
      <c r="R8" s="29" t="s">
        <v>74</v>
      </c>
      <c r="S8" s="29" t="s">
        <v>75</v>
      </c>
      <c r="T8" s="42">
        <v>854235.15</v>
      </c>
      <c r="U8" s="31">
        <v>45897.0</v>
      </c>
      <c r="V8" s="31">
        <v>45898.0</v>
      </c>
      <c r="W8" s="43"/>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row>
    <row r="9">
      <c r="A9" s="19" t="s">
        <v>76</v>
      </c>
      <c r="B9" s="8"/>
      <c r="C9" s="8"/>
      <c r="D9" s="8"/>
      <c r="E9" s="8"/>
      <c r="F9" s="8"/>
      <c r="G9" s="8"/>
      <c r="H9" s="8"/>
      <c r="I9" s="8"/>
      <c r="J9" s="8"/>
      <c r="K9" s="8"/>
      <c r="L9" s="8"/>
      <c r="M9" s="8"/>
      <c r="N9" s="8"/>
      <c r="O9" s="8"/>
      <c r="P9" s="8"/>
      <c r="Q9" s="8"/>
      <c r="R9" s="8"/>
      <c r="S9" s="8"/>
      <c r="T9" s="8"/>
      <c r="U9" s="8"/>
      <c r="V9" s="8"/>
      <c r="W9" s="4"/>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row>
    <row r="10">
      <c r="A10" s="21">
        <f t="shared" ref="A10:A15" si="3">C10-$A$1</f>
        <v>10</v>
      </c>
      <c r="B10" s="21" t="str">
        <f t="shared" ref="B10:B15" si="4">IF(A10&lt;60,"Vencendo","Em Vigência")</f>
        <v>Vencendo</v>
      </c>
      <c r="C10" s="22">
        <v>46177.0</v>
      </c>
      <c r="D10" s="23" t="s">
        <v>77</v>
      </c>
      <c r="E10" s="45" t="s">
        <v>52</v>
      </c>
      <c r="F10" s="46" t="s">
        <v>78</v>
      </c>
      <c r="G10" s="36" t="s">
        <v>40</v>
      </c>
      <c r="H10" s="27" t="s">
        <v>41</v>
      </c>
      <c r="I10" s="27" t="s">
        <v>79</v>
      </c>
      <c r="J10" s="27" t="s">
        <v>80</v>
      </c>
      <c r="K10" s="37" t="s">
        <v>81</v>
      </c>
      <c r="L10" s="36" t="s">
        <v>58</v>
      </c>
      <c r="M10" s="47"/>
      <c r="N10" s="36" t="s">
        <v>82</v>
      </c>
      <c r="O10" s="27" t="s">
        <v>83</v>
      </c>
      <c r="P10" s="27" t="s">
        <v>84</v>
      </c>
      <c r="Q10" s="29">
        <v>2.025000000155E12</v>
      </c>
      <c r="R10" s="29">
        <v>2.025000000406E12</v>
      </c>
      <c r="S10" s="29" t="s">
        <v>85</v>
      </c>
      <c r="T10" s="38">
        <v>39999.0</v>
      </c>
      <c r="U10" s="31">
        <v>45807.0</v>
      </c>
      <c r="V10" s="31">
        <v>45812.0</v>
      </c>
      <c r="W10" s="32"/>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row>
    <row r="11" ht="81.75" customHeight="1">
      <c r="A11" s="21">
        <f t="shared" si="3"/>
        <v>11</v>
      </c>
      <c r="B11" s="21" t="str">
        <f t="shared" si="4"/>
        <v>Vencendo</v>
      </c>
      <c r="C11" s="48">
        <v>46178.0</v>
      </c>
      <c r="D11" s="23" t="s">
        <v>86</v>
      </c>
      <c r="E11" s="23" t="s">
        <v>52</v>
      </c>
      <c r="F11" s="25" t="s">
        <v>87</v>
      </c>
      <c r="G11" s="26" t="s">
        <v>65</v>
      </c>
      <c r="H11" s="27" t="s">
        <v>88</v>
      </c>
      <c r="I11" s="27" t="s">
        <v>89</v>
      </c>
      <c r="J11" s="27" t="s">
        <v>90</v>
      </c>
      <c r="K11" s="49" t="s">
        <v>91</v>
      </c>
      <c r="L11" s="26" t="s">
        <v>92</v>
      </c>
      <c r="M11" s="50"/>
      <c r="N11" s="26" t="s">
        <v>93</v>
      </c>
      <c r="O11" s="27" t="s">
        <v>94</v>
      </c>
      <c r="P11" s="27" t="s">
        <v>95</v>
      </c>
      <c r="Q11" s="29">
        <v>2.024000000291E12</v>
      </c>
      <c r="R11" s="29" t="s">
        <v>96</v>
      </c>
      <c r="S11" s="29" t="s">
        <v>97</v>
      </c>
      <c r="T11" s="30">
        <v>198900.0</v>
      </c>
      <c r="U11" s="31">
        <v>45631.0</v>
      </c>
      <c r="V11" s="31">
        <v>45966.0</v>
      </c>
      <c r="W11" s="32" t="s">
        <v>98</v>
      </c>
    </row>
    <row r="12" ht="105.0" customHeight="1">
      <c r="A12" s="21">
        <f t="shared" si="3"/>
        <v>17</v>
      </c>
      <c r="B12" s="21" t="str">
        <f t="shared" si="4"/>
        <v>Vencendo</v>
      </c>
      <c r="C12" s="48">
        <v>46184.0</v>
      </c>
      <c r="D12" s="23" t="s">
        <v>99</v>
      </c>
      <c r="E12" s="45" t="s">
        <v>100</v>
      </c>
      <c r="F12" s="25" t="s">
        <v>101</v>
      </c>
      <c r="G12" s="26" t="s">
        <v>25</v>
      </c>
      <c r="H12" s="27" t="s">
        <v>102</v>
      </c>
      <c r="I12" s="27" t="s">
        <v>103</v>
      </c>
      <c r="J12" s="27" t="s">
        <v>104</v>
      </c>
      <c r="K12" s="49" t="s">
        <v>105</v>
      </c>
      <c r="L12" s="26" t="s">
        <v>106</v>
      </c>
      <c r="M12" s="50">
        <v>45276.0</v>
      </c>
      <c r="N12" s="26" t="s">
        <v>107</v>
      </c>
      <c r="O12" s="27" t="s">
        <v>108</v>
      </c>
      <c r="P12" s="27" t="s">
        <v>109</v>
      </c>
      <c r="Q12" s="29">
        <v>2.022000000126E12</v>
      </c>
      <c r="R12" s="29" t="s">
        <v>110</v>
      </c>
      <c r="S12" s="29" t="s">
        <v>111</v>
      </c>
      <c r="T12" s="30">
        <v>622152.0</v>
      </c>
      <c r="U12" s="31">
        <v>45824.0</v>
      </c>
      <c r="V12" s="31">
        <v>45853.0</v>
      </c>
      <c r="W12" s="51"/>
    </row>
    <row r="13">
      <c r="A13" s="21">
        <f t="shared" si="3"/>
        <v>25</v>
      </c>
      <c r="B13" s="21" t="str">
        <f t="shared" si="4"/>
        <v>Vencendo</v>
      </c>
      <c r="C13" s="22">
        <v>46192.0</v>
      </c>
      <c r="D13" s="23" t="s">
        <v>112</v>
      </c>
      <c r="E13" s="45" t="s">
        <v>52</v>
      </c>
      <c r="F13" s="46" t="s">
        <v>113</v>
      </c>
      <c r="G13" s="36" t="s">
        <v>114</v>
      </c>
      <c r="H13" s="27" t="s">
        <v>115</v>
      </c>
      <c r="I13" s="27" t="s">
        <v>116</v>
      </c>
      <c r="J13" s="27" t="s">
        <v>117</v>
      </c>
      <c r="K13" s="37" t="s">
        <v>118</v>
      </c>
      <c r="L13" s="36" t="s">
        <v>119</v>
      </c>
      <c r="M13" s="26" t="s">
        <v>31</v>
      </c>
      <c r="N13" s="36" t="s">
        <v>120</v>
      </c>
      <c r="O13" s="27" t="s">
        <v>121</v>
      </c>
      <c r="P13" s="27" t="s">
        <v>31</v>
      </c>
      <c r="Q13" s="29">
        <v>2.026000000003E12</v>
      </c>
      <c r="R13" s="29">
        <v>2.026000000008E12</v>
      </c>
      <c r="S13" s="29" t="s">
        <v>122</v>
      </c>
      <c r="T13" s="38">
        <v>815510.94</v>
      </c>
      <c r="U13" s="31">
        <v>46100.0</v>
      </c>
      <c r="V13" s="31">
        <v>46101.0</v>
      </c>
      <c r="W13" s="32"/>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row>
    <row r="14">
      <c r="A14" s="21">
        <f t="shared" si="3"/>
        <v>32</v>
      </c>
      <c r="B14" s="21" t="str">
        <f t="shared" si="4"/>
        <v>Vencendo</v>
      </c>
      <c r="C14" s="22">
        <v>46199.0</v>
      </c>
      <c r="D14" s="23" t="s">
        <v>123</v>
      </c>
      <c r="E14" s="45" t="s">
        <v>52</v>
      </c>
      <c r="F14" s="52" t="s">
        <v>124</v>
      </c>
      <c r="G14" s="36" t="s">
        <v>125</v>
      </c>
      <c r="H14" s="21" t="s">
        <v>126</v>
      </c>
      <c r="I14" s="21" t="s">
        <v>127</v>
      </c>
      <c r="J14" s="21" t="s">
        <v>128</v>
      </c>
      <c r="K14" s="53" t="s">
        <v>129</v>
      </c>
      <c r="L14" s="26" t="s">
        <v>130</v>
      </c>
      <c r="M14" s="26"/>
      <c r="N14" s="26" t="s">
        <v>131</v>
      </c>
      <c r="O14" s="21" t="s">
        <v>132</v>
      </c>
      <c r="P14" s="21" t="s">
        <v>133</v>
      </c>
      <c r="Q14" s="54" t="s">
        <v>134</v>
      </c>
      <c r="R14" s="54" t="s">
        <v>134</v>
      </c>
      <c r="S14" s="54" t="s">
        <v>135</v>
      </c>
      <c r="T14" s="55">
        <v>3000.0</v>
      </c>
      <c r="U14" s="56">
        <v>45826.0</v>
      </c>
      <c r="V14" s="57">
        <v>45834.0</v>
      </c>
      <c r="W14" s="58"/>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row>
    <row r="15" ht="48.0" customHeight="1">
      <c r="A15" s="21">
        <f t="shared" si="3"/>
        <v>33</v>
      </c>
      <c r="B15" s="21" t="str">
        <f t="shared" si="4"/>
        <v>Vencendo</v>
      </c>
      <c r="C15" s="22">
        <v>46200.0</v>
      </c>
      <c r="D15" s="60" t="s">
        <v>136</v>
      </c>
      <c r="E15" s="45" t="s">
        <v>137</v>
      </c>
      <c r="F15" s="25" t="s">
        <v>138</v>
      </c>
      <c r="G15" s="26" t="s">
        <v>139</v>
      </c>
      <c r="H15" s="27" t="s">
        <v>140</v>
      </c>
      <c r="I15" s="61" t="s">
        <v>141</v>
      </c>
      <c r="J15" s="27" t="s">
        <v>142</v>
      </c>
      <c r="K15" s="28" t="s">
        <v>143</v>
      </c>
      <c r="L15" s="32" t="s">
        <v>58</v>
      </c>
      <c r="M15" s="26"/>
      <c r="N15" s="26" t="s">
        <v>144</v>
      </c>
      <c r="O15" s="27" t="s">
        <v>145</v>
      </c>
      <c r="P15" s="27" t="s">
        <v>146</v>
      </c>
      <c r="Q15" s="29">
        <v>2.022000000072E12</v>
      </c>
      <c r="R15" s="27" t="s">
        <v>147</v>
      </c>
      <c r="S15" s="29" t="s">
        <v>148</v>
      </c>
      <c r="T15" s="42">
        <v>3480.0</v>
      </c>
      <c r="U15" s="31">
        <v>45835.0</v>
      </c>
      <c r="V15" s="31">
        <v>45841.0</v>
      </c>
      <c r="W15" s="43"/>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row>
    <row r="16">
      <c r="A16" s="19" t="s">
        <v>149</v>
      </c>
      <c r="B16" s="8"/>
      <c r="C16" s="8"/>
      <c r="D16" s="8"/>
      <c r="E16" s="8"/>
      <c r="F16" s="8"/>
      <c r="G16" s="8"/>
      <c r="H16" s="8"/>
      <c r="I16" s="8"/>
      <c r="J16" s="8"/>
      <c r="K16" s="8"/>
      <c r="L16" s="8"/>
      <c r="M16" s="8"/>
      <c r="N16" s="8"/>
      <c r="O16" s="8"/>
      <c r="P16" s="8"/>
      <c r="Q16" s="8"/>
      <c r="R16" s="8"/>
      <c r="S16" s="8"/>
      <c r="T16" s="8"/>
      <c r="U16" s="8"/>
      <c r="V16" s="8"/>
      <c r="W16" s="4"/>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row>
    <row r="17" ht="110.25" customHeight="1">
      <c r="A17" s="21">
        <f t="shared" ref="A17:A18" si="5">C17-$A$1</f>
        <v>38</v>
      </c>
      <c r="B17" s="21" t="str">
        <f t="shared" ref="B17:B18" si="6">IF(A17&lt;60,"Vencendo","Em Vigência")</f>
        <v>Vencendo</v>
      </c>
      <c r="C17" s="63">
        <v>46205.0</v>
      </c>
      <c r="D17" s="45" t="s">
        <v>150</v>
      </c>
      <c r="E17" s="32" t="s">
        <v>137</v>
      </c>
      <c r="F17" s="64" t="s">
        <v>151</v>
      </c>
      <c r="G17" s="26" t="s">
        <v>65</v>
      </c>
      <c r="H17" s="27" t="s">
        <v>66</v>
      </c>
      <c r="I17" s="27" t="s">
        <v>152</v>
      </c>
      <c r="J17" s="27" t="s">
        <v>68</v>
      </c>
      <c r="K17" s="28" t="s">
        <v>153</v>
      </c>
      <c r="L17" s="26" t="s">
        <v>154</v>
      </c>
      <c r="M17" s="50">
        <v>45215.0</v>
      </c>
      <c r="N17" s="26" t="s">
        <v>155</v>
      </c>
      <c r="O17" s="29" t="s">
        <v>156</v>
      </c>
      <c r="P17" s="29" t="s">
        <v>157</v>
      </c>
      <c r="Q17" s="29">
        <v>2.023000000118E12</v>
      </c>
      <c r="R17" s="29" t="s">
        <v>158</v>
      </c>
      <c r="S17" s="29" t="s">
        <v>159</v>
      </c>
      <c r="T17" s="42">
        <v>2437957.54</v>
      </c>
      <c r="U17" s="31">
        <v>45935.0</v>
      </c>
      <c r="V17" s="31">
        <v>45967.0</v>
      </c>
      <c r="W17" s="32" t="s">
        <v>160</v>
      </c>
    </row>
    <row r="18">
      <c r="A18" s="21">
        <f t="shared" si="5"/>
        <v>49</v>
      </c>
      <c r="B18" s="21" t="str">
        <f t="shared" si="6"/>
        <v>Vencendo</v>
      </c>
      <c r="C18" s="22">
        <v>46216.0</v>
      </c>
      <c r="D18" s="23" t="s">
        <v>161</v>
      </c>
      <c r="E18" s="45" t="s">
        <v>52</v>
      </c>
      <c r="F18" s="25" t="s">
        <v>162</v>
      </c>
      <c r="G18" s="58" t="s">
        <v>65</v>
      </c>
      <c r="H18" s="27" t="s">
        <v>163</v>
      </c>
      <c r="I18" s="27" t="s">
        <v>89</v>
      </c>
      <c r="J18" s="27" t="s">
        <v>164</v>
      </c>
      <c r="K18" s="28" t="s">
        <v>165</v>
      </c>
      <c r="L18" s="26" t="s">
        <v>166</v>
      </c>
      <c r="M18" s="47">
        <v>46126.0</v>
      </c>
      <c r="N18" s="26" t="s">
        <v>167</v>
      </c>
      <c r="O18" s="27" t="s">
        <v>168</v>
      </c>
      <c r="P18" s="27" t="s">
        <v>169</v>
      </c>
      <c r="Q18" s="29">
        <v>2.024000000301E12</v>
      </c>
      <c r="R18" s="29" t="s">
        <v>170</v>
      </c>
      <c r="S18" s="29" t="s">
        <v>171</v>
      </c>
      <c r="T18" s="30" t="s">
        <v>172</v>
      </c>
      <c r="U18" s="31">
        <v>45639.0</v>
      </c>
      <c r="V18" s="31">
        <v>45714.0</v>
      </c>
      <c r="W18" s="32"/>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row>
    <row r="19">
      <c r="A19" s="19" t="s">
        <v>173</v>
      </c>
      <c r="B19" s="8"/>
      <c r="C19" s="8"/>
      <c r="D19" s="8"/>
      <c r="E19" s="8"/>
      <c r="F19" s="8"/>
      <c r="G19" s="8"/>
      <c r="H19" s="8"/>
      <c r="I19" s="8"/>
      <c r="J19" s="8"/>
      <c r="K19" s="8"/>
      <c r="L19" s="8"/>
      <c r="M19" s="8"/>
      <c r="N19" s="8"/>
      <c r="O19" s="8"/>
      <c r="P19" s="8"/>
      <c r="Q19" s="8"/>
      <c r="R19" s="8"/>
      <c r="S19" s="8"/>
      <c r="T19" s="8"/>
      <c r="U19" s="8"/>
      <c r="V19" s="8"/>
      <c r="W19" s="4"/>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row>
    <row r="20" ht="60.0" customHeight="1">
      <c r="A20" s="21">
        <f t="shared" ref="A20:A23" si="7">C20-$A$1</f>
        <v>70</v>
      </c>
      <c r="B20" s="21" t="str">
        <f t="shared" ref="B20:B23" si="8">IF(A20&lt;60,"Vencendo","Em Vigência")</f>
        <v>Em Vigência</v>
      </c>
      <c r="C20" s="22">
        <v>46237.0</v>
      </c>
      <c r="D20" s="34" t="s">
        <v>174</v>
      </c>
      <c r="E20" s="45" t="s">
        <v>175</v>
      </c>
      <c r="F20" s="25" t="s">
        <v>176</v>
      </c>
      <c r="G20" s="26" t="s">
        <v>25</v>
      </c>
      <c r="H20" s="27" t="s">
        <v>177</v>
      </c>
      <c r="I20" s="27" t="s">
        <v>178</v>
      </c>
      <c r="J20" s="27" t="s">
        <v>179</v>
      </c>
      <c r="K20" s="28" t="s">
        <v>180</v>
      </c>
      <c r="L20" s="32" t="s">
        <v>58</v>
      </c>
      <c r="M20" s="65"/>
      <c r="N20" s="32" t="s">
        <v>181</v>
      </c>
      <c r="O20" s="27" t="s">
        <v>182</v>
      </c>
      <c r="P20" s="27" t="s">
        <v>183</v>
      </c>
      <c r="Q20" s="29"/>
      <c r="R20" s="29" t="s">
        <v>184</v>
      </c>
      <c r="S20" s="29" t="s">
        <v>185</v>
      </c>
      <c r="T20" s="42">
        <v>66420.0</v>
      </c>
      <c r="U20" s="31">
        <v>45870.0</v>
      </c>
      <c r="V20" s="66">
        <v>45904.0</v>
      </c>
      <c r="W20" s="67"/>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row>
    <row r="21">
      <c r="A21" s="21">
        <f t="shared" si="7"/>
        <v>72</v>
      </c>
      <c r="B21" s="21" t="str">
        <f t="shared" si="8"/>
        <v>Em Vigência</v>
      </c>
      <c r="C21" s="22">
        <v>46239.0</v>
      </c>
      <c r="D21" s="69" t="s">
        <v>186</v>
      </c>
      <c r="E21" s="45" t="s">
        <v>137</v>
      </c>
      <c r="F21" s="35" t="s">
        <v>187</v>
      </c>
      <c r="G21" s="36" t="s">
        <v>188</v>
      </c>
      <c r="H21" s="27" t="s">
        <v>189</v>
      </c>
      <c r="I21" s="27" t="s">
        <v>190</v>
      </c>
      <c r="J21" s="27" t="s">
        <v>191</v>
      </c>
      <c r="K21" s="70" t="s">
        <v>192</v>
      </c>
      <c r="L21" s="32" t="s">
        <v>58</v>
      </c>
      <c r="M21" s="47">
        <v>44778.0</v>
      </c>
      <c r="N21" s="36" t="s">
        <v>193</v>
      </c>
      <c r="O21" s="27" t="s">
        <v>194</v>
      </c>
      <c r="P21" s="27" t="s">
        <v>195</v>
      </c>
      <c r="Q21" s="29">
        <v>2.022000000091E12</v>
      </c>
      <c r="R21" s="29" t="s">
        <v>196</v>
      </c>
      <c r="S21" s="29" t="s">
        <v>197</v>
      </c>
      <c r="T21" s="38">
        <v>38738.28</v>
      </c>
      <c r="U21" s="31">
        <v>45866.0</v>
      </c>
      <c r="V21" s="31">
        <v>45867.0</v>
      </c>
      <c r="W21" s="71"/>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row>
    <row r="22">
      <c r="A22" s="21">
        <f t="shared" si="7"/>
        <v>80</v>
      </c>
      <c r="B22" s="21" t="str">
        <f t="shared" si="8"/>
        <v>Em Vigência</v>
      </c>
      <c r="C22" s="22">
        <v>46247.0</v>
      </c>
      <c r="D22" s="23" t="s">
        <v>198</v>
      </c>
      <c r="E22" s="32" t="s">
        <v>38</v>
      </c>
      <c r="F22" s="25" t="s">
        <v>199</v>
      </c>
      <c r="G22" s="26" t="s">
        <v>65</v>
      </c>
      <c r="H22" s="27" t="s">
        <v>66</v>
      </c>
      <c r="I22" s="27" t="s">
        <v>152</v>
      </c>
      <c r="J22" s="27" t="s">
        <v>68</v>
      </c>
      <c r="K22" s="28" t="s">
        <v>200</v>
      </c>
      <c r="L22" s="26">
        <v>360.0</v>
      </c>
      <c r="M22" s="50">
        <v>45614.0</v>
      </c>
      <c r="N22" s="26" t="s">
        <v>201</v>
      </c>
      <c r="O22" s="27" t="s">
        <v>202</v>
      </c>
      <c r="P22" s="27" t="s">
        <v>203</v>
      </c>
      <c r="Q22" s="29">
        <v>2.024000000232E12</v>
      </c>
      <c r="R22" s="29" t="s">
        <v>204</v>
      </c>
      <c r="S22" s="29" t="s">
        <v>205</v>
      </c>
      <c r="T22" s="30">
        <v>1996000.0</v>
      </c>
      <c r="U22" s="31">
        <v>45960.0</v>
      </c>
      <c r="V22" s="31">
        <v>45967.0</v>
      </c>
      <c r="W22" s="32"/>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row>
    <row r="23" ht="52.5" customHeight="1">
      <c r="A23" s="72">
        <f t="shared" si="7"/>
        <v>81</v>
      </c>
      <c r="B23" s="72" t="str">
        <f t="shared" si="8"/>
        <v>Em Vigência</v>
      </c>
      <c r="C23" s="73">
        <v>46248.0</v>
      </c>
      <c r="D23" s="34" t="s">
        <v>206</v>
      </c>
      <c r="E23" s="45" t="s">
        <v>23</v>
      </c>
      <c r="F23" s="74" t="s">
        <v>207</v>
      </c>
      <c r="G23" s="75" t="s">
        <v>40</v>
      </c>
      <c r="H23" s="27" t="s">
        <v>208</v>
      </c>
      <c r="I23" s="27" t="s">
        <v>209</v>
      </c>
      <c r="J23" s="27" t="s">
        <v>210</v>
      </c>
      <c r="K23" s="76" t="s">
        <v>211</v>
      </c>
      <c r="L23" s="32" t="s">
        <v>58</v>
      </c>
      <c r="M23" s="36"/>
      <c r="N23" s="36" t="s">
        <v>212</v>
      </c>
      <c r="O23" s="77" t="s">
        <v>213</v>
      </c>
      <c r="P23" s="77" t="s">
        <v>214</v>
      </c>
      <c r="Q23" s="78">
        <v>2.023000000106E12</v>
      </c>
      <c r="R23" s="29">
        <v>2.023000000361E12</v>
      </c>
      <c r="S23" s="78" t="s">
        <v>215</v>
      </c>
      <c r="T23" s="38">
        <v>17280.0</v>
      </c>
      <c r="U23" s="31">
        <v>45511.0</v>
      </c>
      <c r="V23" s="31">
        <v>45156.0</v>
      </c>
      <c r="W23" s="71"/>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row>
    <row r="24">
      <c r="A24" s="79"/>
      <c r="B24" s="79"/>
      <c r="C24" s="79"/>
      <c r="D24" s="34"/>
      <c r="E24" s="45" t="s">
        <v>38</v>
      </c>
      <c r="F24" s="79"/>
      <c r="G24" s="79"/>
      <c r="H24" s="27" t="s">
        <v>216</v>
      </c>
      <c r="I24" s="27" t="s">
        <v>209</v>
      </c>
      <c r="J24" s="27" t="s">
        <v>210</v>
      </c>
      <c r="K24" s="79"/>
      <c r="L24" s="32" t="s">
        <v>58</v>
      </c>
      <c r="M24" s="36"/>
      <c r="N24" s="36" t="s">
        <v>217</v>
      </c>
      <c r="O24" s="79"/>
      <c r="P24" s="79"/>
      <c r="Q24" s="79"/>
      <c r="R24" s="29">
        <v>2.025000000079E12</v>
      </c>
      <c r="S24" s="79"/>
      <c r="T24" s="38">
        <v>17280.0</v>
      </c>
      <c r="U24" s="31">
        <v>45883.0</v>
      </c>
      <c r="V24" s="31">
        <v>45910.0</v>
      </c>
      <c r="W24" s="71"/>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row>
    <row r="25">
      <c r="A25" s="21">
        <f t="shared" ref="A25:A27" si="9">C25-$A$1</f>
        <v>95</v>
      </c>
      <c r="B25" s="21" t="str">
        <f t="shared" ref="B25:B27" si="10">IF(A25&lt;60,"Vencendo","Em Vigência")</f>
        <v>Em Vigência</v>
      </c>
      <c r="C25" s="22">
        <v>46262.0</v>
      </c>
      <c r="D25" s="23" t="s">
        <v>218</v>
      </c>
      <c r="E25" s="32" t="s">
        <v>38</v>
      </c>
      <c r="F25" s="25" t="s">
        <v>219</v>
      </c>
      <c r="G25" s="26" t="s">
        <v>25</v>
      </c>
      <c r="H25" s="21" t="s">
        <v>220</v>
      </c>
      <c r="I25" s="21" t="s">
        <v>221</v>
      </c>
      <c r="J25" s="21" t="s">
        <v>222</v>
      </c>
      <c r="K25" s="80" t="s">
        <v>223</v>
      </c>
      <c r="L25" s="36" t="s">
        <v>58</v>
      </c>
      <c r="M25" s="47">
        <v>45166.0</v>
      </c>
      <c r="N25" s="36" t="s">
        <v>224</v>
      </c>
      <c r="O25" s="81" t="s">
        <v>225</v>
      </c>
      <c r="P25" s="21" t="s">
        <v>226</v>
      </c>
      <c r="Q25" s="82"/>
      <c r="R25" s="54" t="s">
        <v>227</v>
      </c>
      <c r="S25" s="54" t="s">
        <v>135</v>
      </c>
      <c r="T25" s="83">
        <v>18145.56</v>
      </c>
      <c r="U25" s="84">
        <v>45896.0</v>
      </c>
      <c r="V25" s="84">
        <v>45905.0</v>
      </c>
      <c r="W25" s="85"/>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row>
    <row r="26">
      <c r="A26" s="21">
        <f t="shared" si="9"/>
        <v>96</v>
      </c>
      <c r="B26" s="21" t="str">
        <f t="shared" si="10"/>
        <v>Em Vigência</v>
      </c>
      <c r="C26" s="22">
        <v>46263.0</v>
      </c>
      <c r="D26" s="23" t="s">
        <v>228</v>
      </c>
      <c r="E26" s="32" t="s">
        <v>23</v>
      </c>
      <c r="F26" s="25" t="s">
        <v>229</v>
      </c>
      <c r="G26" s="26" t="s">
        <v>25</v>
      </c>
      <c r="H26" s="27" t="s">
        <v>177</v>
      </c>
      <c r="I26" s="27" t="s">
        <v>230</v>
      </c>
      <c r="J26" s="27" t="s">
        <v>231</v>
      </c>
      <c r="K26" s="28" t="s">
        <v>232</v>
      </c>
      <c r="L26" s="36" t="s">
        <v>130</v>
      </c>
      <c r="M26" s="47">
        <v>45533.0</v>
      </c>
      <c r="N26" s="26" t="s">
        <v>233</v>
      </c>
      <c r="O26" s="27" t="s">
        <v>234</v>
      </c>
      <c r="P26" s="27" t="s">
        <v>235</v>
      </c>
      <c r="Q26" s="29">
        <v>2.024000000224E12</v>
      </c>
      <c r="R26" s="29" t="s">
        <v>236</v>
      </c>
      <c r="S26" s="29" t="s">
        <v>237</v>
      </c>
      <c r="T26" s="42">
        <v>235500.0</v>
      </c>
      <c r="U26" s="31">
        <v>45898.0</v>
      </c>
      <c r="V26" s="31">
        <v>45931.0</v>
      </c>
      <c r="W26" s="32" t="s">
        <v>238</v>
      </c>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row>
    <row r="27" ht="53.25" customHeight="1">
      <c r="A27" s="72">
        <f t="shared" si="9"/>
        <v>97</v>
      </c>
      <c r="B27" s="72" t="str">
        <f t="shared" si="10"/>
        <v>Em Vigência</v>
      </c>
      <c r="C27" s="73">
        <v>46264.0</v>
      </c>
      <c r="D27" s="87" t="s">
        <v>239</v>
      </c>
      <c r="E27" s="88" t="s">
        <v>38</v>
      </c>
      <c r="F27" s="89" t="s">
        <v>240</v>
      </c>
      <c r="G27" s="75" t="s">
        <v>241</v>
      </c>
      <c r="H27" s="72" t="s">
        <v>242</v>
      </c>
      <c r="I27" s="72" t="s">
        <v>243</v>
      </c>
      <c r="J27" s="72" t="s">
        <v>244</v>
      </c>
      <c r="K27" s="75" t="s">
        <v>245</v>
      </c>
      <c r="L27" s="90" t="s">
        <v>58</v>
      </c>
      <c r="M27" s="90"/>
      <c r="N27" s="90" t="s">
        <v>246</v>
      </c>
      <c r="O27" s="72" t="s">
        <v>247</v>
      </c>
      <c r="P27" s="72" t="s">
        <v>248</v>
      </c>
      <c r="Q27" s="91">
        <v>2.023000000103E12</v>
      </c>
      <c r="R27" s="91" t="s">
        <v>249</v>
      </c>
      <c r="S27" s="91" t="s">
        <v>250</v>
      </c>
      <c r="T27" s="55">
        <v>277300.0</v>
      </c>
      <c r="U27" s="92">
        <v>45898.0</v>
      </c>
      <c r="V27" s="93">
        <v>45915.0</v>
      </c>
      <c r="W27" s="94" t="s">
        <v>251</v>
      </c>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row>
    <row r="28" ht="53.25" customHeight="1">
      <c r="A28" s="95"/>
      <c r="B28" s="95"/>
      <c r="C28" s="95"/>
      <c r="D28" s="95"/>
      <c r="E28" s="95"/>
      <c r="F28" s="95"/>
      <c r="G28" s="95"/>
      <c r="H28" s="95"/>
      <c r="I28" s="95"/>
      <c r="J28" s="95"/>
      <c r="K28" s="95"/>
      <c r="L28" s="95"/>
      <c r="M28" s="95"/>
      <c r="N28" s="95"/>
      <c r="O28" s="95"/>
      <c r="P28" s="95"/>
      <c r="Q28" s="95"/>
      <c r="R28" s="95"/>
      <c r="S28" s="95"/>
      <c r="T28" s="55">
        <v>532400.0</v>
      </c>
      <c r="U28" s="95"/>
      <c r="V28" s="95"/>
      <c r="W28" s="95"/>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row>
    <row r="29" ht="62.25" customHeight="1">
      <c r="A29" s="79"/>
      <c r="B29" s="79"/>
      <c r="C29" s="79"/>
      <c r="D29" s="79"/>
      <c r="E29" s="79"/>
      <c r="F29" s="79"/>
      <c r="G29" s="79"/>
      <c r="H29" s="79"/>
      <c r="I29" s="79"/>
      <c r="J29" s="79"/>
      <c r="K29" s="79"/>
      <c r="L29" s="79"/>
      <c r="M29" s="79"/>
      <c r="N29" s="79"/>
      <c r="O29" s="79"/>
      <c r="P29" s="79"/>
      <c r="Q29" s="79"/>
      <c r="R29" s="79"/>
      <c r="S29" s="79"/>
      <c r="T29" s="96">
        <f>SUM(T27:T28)</f>
        <v>809700</v>
      </c>
      <c r="U29" s="79"/>
      <c r="V29" s="79"/>
      <c r="W29" s="7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row>
    <row r="30">
      <c r="A30" s="19" t="s">
        <v>252</v>
      </c>
      <c r="B30" s="8"/>
      <c r="C30" s="8"/>
      <c r="D30" s="8"/>
      <c r="E30" s="8"/>
      <c r="F30" s="8"/>
      <c r="G30" s="8"/>
      <c r="H30" s="8"/>
      <c r="I30" s="8"/>
      <c r="J30" s="8"/>
      <c r="K30" s="8"/>
      <c r="L30" s="8"/>
      <c r="M30" s="8"/>
      <c r="N30" s="8"/>
      <c r="O30" s="8"/>
      <c r="P30" s="8"/>
      <c r="Q30" s="8"/>
      <c r="R30" s="8"/>
      <c r="S30" s="8"/>
      <c r="T30" s="8"/>
      <c r="U30" s="8"/>
      <c r="V30" s="8"/>
      <c r="W30" s="4"/>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row>
    <row r="31">
      <c r="A31" s="72">
        <f>C31-$A$1</f>
        <v>102</v>
      </c>
      <c r="B31" s="72" t="str">
        <f>IF(A31&lt;60,"Vencendo","Em Vigência")</f>
        <v>Em Vigência</v>
      </c>
      <c r="C31" s="73">
        <v>46269.0</v>
      </c>
      <c r="D31" s="87" t="s">
        <v>253</v>
      </c>
      <c r="E31" s="32" t="s">
        <v>23</v>
      </c>
      <c r="F31" s="97" t="s">
        <v>254</v>
      </c>
      <c r="G31" s="90" t="s">
        <v>255</v>
      </c>
      <c r="H31" s="27" t="s">
        <v>256</v>
      </c>
      <c r="I31" s="27" t="s">
        <v>257</v>
      </c>
      <c r="J31" s="27" t="s">
        <v>258</v>
      </c>
      <c r="K31" s="98" t="s">
        <v>259</v>
      </c>
      <c r="L31" s="36" t="s">
        <v>130</v>
      </c>
      <c r="M31" s="26"/>
      <c r="N31" s="26" t="s">
        <v>260</v>
      </c>
      <c r="O31" s="77" t="s">
        <v>261</v>
      </c>
      <c r="P31" s="77" t="s">
        <v>262</v>
      </c>
      <c r="Q31" s="29"/>
      <c r="R31" s="29" t="s">
        <v>263</v>
      </c>
      <c r="S31" s="78" t="s">
        <v>264</v>
      </c>
      <c r="T31" s="42">
        <v>7800.0</v>
      </c>
      <c r="U31" s="31">
        <v>45533.0</v>
      </c>
      <c r="V31" s="31">
        <v>45187.0</v>
      </c>
      <c r="W31" s="51"/>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row>
    <row r="32">
      <c r="A32" s="79"/>
      <c r="B32" s="79"/>
      <c r="C32" s="79"/>
      <c r="D32" s="79"/>
      <c r="E32" s="32" t="s">
        <v>265</v>
      </c>
      <c r="F32" s="79"/>
      <c r="G32" s="79"/>
      <c r="H32" s="27" t="s">
        <v>266</v>
      </c>
      <c r="I32" s="27" t="s">
        <v>267</v>
      </c>
      <c r="J32" s="27" t="s">
        <v>268</v>
      </c>
      <c r="K32" s="79"/>
      <c r="L32" s="36" t="s">
        <v>130</v>
      </c>
      <c r="M32" s="26"/>
      <c r="N32" s="26" t="s">
        <v>269</v>
      </c>
      <c r="O32" s="79"/>
      <c r="P32" s="79"/>
      <c r="Q32" s="29"/>
      <c r="R32" s="29"/>
      <c r="S32" s="79"/>
      <c r="T32" s="42">
        <v>7800.0</v>
      </c>
      <c r="U32" s="31">
        <v>45904.0</v>
      </c>
      <c r="V32" s="31">
        <v>45904.0</v>
      </c>
      <c r="W32" s="51"/>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row>
    <row r="33">
      <c r="A33" s="21">
        <f t="shared" ref="A33:A37" si="11">C33-$A$1</f>
        <v>109</v>
      </c>
      <c r="B33" s="21" t="str">
        <f t="shared" ref="B33:B35" si="12">IF(A33&lt;60,"Vencendo","Em Vigência")</f>
        <v>Em Vigência</v>
      </c>
      <c r="C33" s="22">
        <v>46276.0</v>
      </c>
      <c r="D33" s="23" t="s">
        <v>270</v>
      </c>
      <c r="E33" s="45" t="s">
        <v>52</v>
      </c>
      <c r="F33" s="52" t="s">
        <v>271</v>
      </c>
      <c r="G33" s="36" t="s">
        <v>25</v>
      </c>
      <c r="H33" s="21" t="s">
        <v>272</v>
      </c>
      <c r="I33" s="26" t="s">
        <v>273</v>
      </c>
      <c r="J33" s="26" t="s">
        <v>274</v>
      </c>
      <c r="K33" s="36" t="s">
        <v>275</v>
      </c>
      <c r="L33" s="26" t="s">
        <v>58</v>
      </c>
      <c r="M33" s="99"/>
      <c r="N33" s="26" t="s">
        <v>276</v>
      </c>
      <c r="O33" s="21" t="s">
        <v>277</v>
      </c>
      <c r="P33" s="21" t="s">
        <v>278</v>
      </c>
      <c r="Q33" s="26">
        <v>2.025000000187E12</v>
      </c>
      <c r="R33" s="26">
        <v>2.025000000604E12</v>
      </c>
      <c r="S33" s="26" t="s">
        <v>279</v>
      </c>
      <c r="T33" s="55">
        <v>9360.0</v>
      </c>
      <c r="U33" s="84">
        <v>45909.0</v>
      </c>
      <c r="V33" s="84">
        <v>45911.0</v>
      </c>
      <c r="W33" s="58" t="s">
        <v>280</v>
      </c>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row>
    <row r="34">
      <c r="A34" s="21">
        <f t="shared" si="11"/>
        <v>109</v>
      </c>
      <c r="B34" s="21" t="str">
        <f t="shared" si="12"/>
        <v>Em Vigência</v>
      </c>
      <c r="C34" s="22">
        <v>46276.0</v>
      </c>
      <c r="D34" s="23" t="s">
        <v>281</v>
      </c>
      <c r="E34" s="45" t="s">
        <v>52</v>
      </c>
      <c r="F34" s="52" t="s">
        <v>282</v>
      </c>
      <c r="G34" s="36" t="s">
        <v>25</v>
      </c>
      <c r="H34" s="21" t="s">
        <v>272</v>
      </c>
      <c r="I34" s="26" t="s">
        <v>283</v>
      </c>
      <c r="J34" s="26" t="s">
        <v>284</v>
      </c>
      <c r="K34" s="36" t="s">
        <v>285</v>
      </c>
      <c r="L34" s="26" t="s">
        <v>58</v>
      </c>
      <c r="M34" s="99"/>
      <c r="N34" s="26" t="s">
        <v>276</v>
      </c>
      <c r="O34" s="21" t="s">
        <v>286</v>
      </c>
      <c r="P34" s="21" t="s">
        <v>287</v>
      </c>
      <c r="Q34" s="26">
        <v>2.025000000189E12</v>
      </c>
      <c r="R34" s="26">
        <v>2.025000000605E12</v>
      </c>
      <c r="S34" s="26" t="s">
        <v>288</v>
      </c>
      <c r="T34" s="55">
        <v>27400.0</v>
      </c>
      <c r="U34" s="84">
        <v>45909.0</v>
      </c>
      <c r="V34" s="84">
        <v>45911.0</v>
      </c>
      <c r="W34" s="58" t="s">
        <v>280</v>
      </c>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row>
    <row r="35" ht="99.75" customHeight="1">
      <c r="A35" s="21">
        <f t="shared" si="11"/>
        <v>110</v>
      </c>
      <c r="B35" s="21" t="str">
        <f t="shared" si="12"/>
        <v>Em Vigência</v>
      </c>
      <c r="C35" s="22">
        <v>46277.0</v>
      </c>
      <c r="D35" s="23" t="s">
        <v>289</v>
      </c>
      <c r="E35" s="45" t="s">
        <v>100</v>
      </c>
      <c r="F35" s="35" t="s">
        <v>290</v>
      </c>
      <c r="G35" s="58" t="s">
        <v>65</v>
      </c>
      <c r="H35" s="61" t="s">
        <v>291</v>
      </c>
      <c r="I35" s="61" t="s">
        <v>292</v>
      </c>
      <c r="J35" s="61" t="s">
        <v>293</v>
      </c>
      <c r="K35" s="101" t="s">
        <v>294</v>
      </c>
      <c r="L35" s="58" t="s">
        <v>295</v>
      </c>
      <c r="M35" s="102">
        <v>44970.0</v>
      </c>
      <c r="N35" s="58" t="s">
        <v>296</v>
      </c>
      <c r="O35" s="61" t="s">
        <v>297</v>
      </c>
      <c r="P35" s="61" t="s">
        <v>298</v>
      </c>
      <c r="Q35" s="32">
        <v>2.023000000012E12</v>
      </c>
      <c r="R35" s="32" t="s">
        <v>299</v>
      </c>
      <c r="S35" s="32" t="s">
        <v>300</v>
      </c>
      <c r="T35" s="103">
        <v>712236.09</v>
      </c>
      <c r="U35" s="102">
        <v>45790.0</v>
      </c>
      <c r="V35" s="102">
        <v>45834.0</v>
      </c>
      <c r="W35" s="32" t="s">
        <v>301</v>
      </c>
      <c r="X35" s="33"/>
      <c r="Y35" s="40"/>
      <c r="Z35" s="40"/>
      <c r="AA35" s="40"/>
      <c r="AB35" s="40"/>
      <c r="AC35" s="40"/>
      <c r="AD35" s="40"/>
      <c r="AE35" s="40"/>
      <c r="AF35" s="40"/>
      <c r="AG35" s="40"/>
      <c r="AH35" s="40"/>
      <c r="AI35" s="40"/>
      <c r="AJ35" s="40"/>
      <c r="AK35" s="40"/>
      <c r="AL35" s="40"/>
      <c r="AM35" s="40"/>
      <c r="AN35" s="40"/>
      <c r="AO35" s="40"/>
    </row>
    <row r="36" ht="86.25" customHeight="1">
      <c r="A36" s="21">
        <f t="shared" si="11"/>
        <v>111</v>
      </c>
      <c r="B36" s="21" t="s">
        <v>302</v>
      </c>
      <c r="C36" s="22">
        <v>46278.0</v>
      </c>
      <c r="D36" s="23" t="s">
        <v>303</v>
      </c>
      <c r="E36" s="45" t="s">
        <v>23</v>
      </c>
      <c r="F36" s="25" t="s">
        <v>304</v>
      </c>
      <c r="G36" s="58" t="s">
        <v>188</v>
      </c>
      <c r="H36" s="27" t="s">
        <v>305</v>
      </c>
      <c r="I36" s="27" t="s">
        <v>306</v>
      </c>
      <c r="J36" s="27" t="s">
        <v>307</v>
      </c>
      <c r="K36" s="28" t="s">
        <v>308</v>
      </c>
      <c r="L36" s="58" t="s">
        <v>309</v>
      </c>
      <c r="M36" s="26"/>
      <c r="N36" s="26" t="s">
        <v>310</v>
      </c>
      <c r="O36" s="27" t="s">
        <v>311</v>
      </c>
      <c r="P36" s="27" t="s">
        <v>312</v>
      </c>
      <c r="Q36" s="29">
        <v>2.025000000183E12</v>
      </c>
      <c r="R36" s="29" t="s">
        <v>313</v>
      </c>
      <c r="S36" s="29" t="s">
        <v>314</v>
      </c>
      <c r="T36" s="30">
        <v>28000.0</v>
      </c>
      <c r="U36" s="31">
        <v>46067.0</v>
      </c>
      <c r="V36" s="31">
        <v>46278.0</v>
      </c>
      <c r="W36" s="58"/>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row>
    <row r="37" ht="44.25" customHeight="1">
      <c r="A37" s="72">
        <f t="shared" si="11"/>
        <v>123</v>
      </c>
      <c r="B37" s="72" t="str">
        <f>IF(A37&lt;60,"Vencendo","Em Vigência")</f>
        <v>Em Vigência</v>
      </c>
      <c r="C37" s="104">
        <v>46290.0</v>
      </c>
      <c r="D37" s="87" t="s">
        <v>315</v>
      </c>
      <c r="E37" s="94" t="s">
        <v>315</v>
      </c>
      <c r="F37" s="74" t="s">
        <v>316</v>
      </c>
      <c r="G37" s="94" t="s">
        <v>40</v>
      </c>
      <c r="H37" s="61" t="s">
        <v>317</v>
      </c>
      <c r="I37" s="61"/>
      <c r="J37" s="61"/>
      <c r="K37" s="105" t="s">
        <v>318</v>
      </c>
      <c r="L37" s="58" t="s">
        <v>130</v>
      </c>
      <c r="M37" s="58" t="s">
        <v>315</v>
      </c>
      <c r="N37" s="32" t="s">
        <v>319</v>
      </c>
      <c r="O37" s="106" t="s">
        <v>320</v>
      </c>
      <c r="P37" s="106" t="s">
        <v>321</v>
      </c>
      <c r="Q37" s="107" t="s">
        <v>134</v>
      </c>
      <c r="R37" s="107" t="s">
        <v>134</v>
      </c>
      <c r="S37" s="107" t="s">
        <v>322</v>
      </c>
      <c r="T37" s="103">
        <v>840000.0</v>
      </c>
      <c r="U37" s="102">
        <v>45912.0</v>
      </c>
      <c r="V37" s="102">
        <v>45932.0</v>
      </c>
      <c r="W37" s="36" t="s">
        <v>323</v>
      </c>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row>
    <row r="38" ht="44.25" customHeight="1">
      <c r="A38" s="95"/>
      <c r="B38" s="95"/>
      <c r="C38" s="95"/>
      <c r="D38" s="95"/>
      <c r="E38" s="95"/>
      <c r="F38" s="95"/>
      <c r="G38" s="95"/>
      <c r="H38" s="61" t="s">
        <v>324</v>
      </c>
      <c r="I38" s="61"/>
      <c r="J38" s="61"/>
      <c r="K38" s="95"/>
      <c r="L38" s="58" t="s">
        <v>130</v>
      </c>
      <c r="M38" s="58" t="s">
        <v>325</v>
      </c>
      <c r="N38" s="32" t="s">
        <v>326</v>
      </c>
      <c r="O38" s="95"/>
      <c r="P38" s="95"/>
      <c r="Q38" s="95"/>
      <c r="R38" s="95"/>
      <c r="S38" s="95"/>
      <c r="T38" s="103">
        <v>840000.0</v>
      </c>
      <c r="U38" s="102">
        <v>45546.0</v>
      </c>
      <c r="V38" s="109">
        <v>45610.0</v>
      </c>
      <c r="W38" s="36" t="s">
        <v>323</v>
      </c>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row>
    <row r="39" ht="44.25" customHeight="1">
      <c r="A39" s="79"/>
      <c r="B39" s="79"/>
      <c r="C39" s="79"/>
      <c r="D39" s="79"/>
      <c r="E39" s="79"/>
      <c r="F39" s="79"/>
      <c r="G39" s="79"/>
      <c r="H39" s="61" t="s">
        <v>327</v>
      </c>
      <c r="I39" s="61" t="s">
        <v>328</v>
      </c>
      <c r="J39" s="61" t="s">
        <v>328</v>
      </c>
      <c r="K39" s="79"/>
      <c r="L39" s="58" t="s">
        <v>130</v>
      </c>
      <c r="M39" s="58" t="s">
        <v>325</v>
      </c>
      <c r="N39" s="58" t="s">
        <v>329</v>
      </c>
      <c r="O39" s="79"/>
      <c r="P39" s="79"/>
      <c r="Q39" s="79"/>
      <c r="R39" s="79"/>
      <c r="S39" s="79"/>
      <c r="T39" s="103">
        <v>800000.0</v>
      </c>
      <c r="U39" s="102">
        <v>45180.0</v>
      </c>
      <c r="V39" s="32" t="s">
        <v>325</v>
      </c>
      <c r="W39" s="36" t="s">
        <v>323</v>
      </c>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row>
    <row r="40" ht="86.25" customHeight="1">
      <c r="A40" s="21">
        <f t="shared" ref="A40:A41" si="13">C40-$A$1</f>
        <v>123</v>
      </c>
      <c r="B40" s="21" t="str">
        <f t="shared" ref="B40:B41" si="14">IF(A40&lt;60,"Vencendo","Em Vigência")</f>
        <v>Em Vigência</v>
      </c>
      <c r="C40" s="48">
        <v>46290.0</v>
      </c>
      <c r="D40" s="23" t="s">
        <v>330</v>
      </c>
      <c r="E40" s="32" t="s">
        <v>137</v>
      </c>
      <c r="F40" s="25" t="s">
        <v>331</v>
      </c>
      <c r="G40" s="26" t="s">
        <v>188</v>
      </c>
      <c r="H40" s="21" t="s">
        <v>332</v>
      </c>
      <c r="I40" s="21" t="s">
        <v>333</v>
      </c>
      <c r="J40" s="21" t="s">
        <v>334</v>
      </c>
      <c r="K40" s="28" t="s">
        <v>335</v>
      </c>
      <c r="L40" s="110" t="s">
        <v>130</v>
      </c>
      <c r="M40" s="58"/>
      <c r="N40" s="58" t="s">
        <v>336</v>
      </c>
      <c r="O40" s="27" t="s">
        <v>337</v>
      </c>
      <c r="P40" s="27" t="s">
        <v>338</v>
      </c>
      <c r="Q40" s="29">
        <v>2.023000000112E12</v>
      </c>
      <c r="R40" s="29" t="s">
        <v>339</v>
      </c>
      <c r="S40" s="29" t="s">
        <v>340</v>
      </c>
      <c r="T40" s="42">
        <v>92896.16</v>
      </c>
      <c r="U40" s="31">
        <v>45925.0</v>
      </c>
      <c r="V40" s="31">
        <v>45944.0</v>
      </c>
      <c r="W40" s="32"/>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row>
    <row r="41">
      <c r="A41" s="21">
        <f t="shared" si="13"/>
        <v>124</v>
      </c>
      <c r="B41" s="21" t="str">
        <f t="shared" si="14"/>
        <v>Em Vigência</v>
      </c>
      <c r="C41" s="22">
        <v>46291.0</v>
      </c>
      <c r="D41" s="60" t="s">
        <v>341</v>
      </c>
      <c r="E41" s="45" t="s">
        <v>342</v>
      </c>
      <c r="F41" s="25" t="s">
        <v>343</v>
      </c>
      <c r="G41" s="26" t="s">
        <v>344</v>
      </c>
      <c r="H41" s="27" t="s">
        <v>345</v>
      </c>
      <c r="I41" s="27" t="s">
        <v>346</v>
      </c>
      <c r="J41" s="27" t="s">
        <v>347</v>
      </c>
      <c r="K41" s="28" t="s">
        <v>348</v>
      </c>
      <c r="L41" s="26" t="s">
        <v>349</v>
      </c>
      <c r="M41" s="26"/>
      <c r="N41" s="26" t="s">
        <v>350</v>
      </c>
      <c r="O41" s="27" t="s">
        <v>351</v>
      </c>
      <c r="P41" s="27" t="s">
        <v>352</v>
      </c>
      <c r="Q41" s="29">
        <v>2.022000000019E12</v>
      </c>
      <c r="R41" s="29">
        <v>2.022000000104E12</v>
      </c>
      <c r="S41" s="111" t="s">
        <v>353</v>
      </c>
      <c r="T41" s="30">
        <v>510000.0</v>
      </c>
      <c r="U41" s="112">
        <v>46107.0</v>
      </c>
      <c r="V41" s="29" t="s">
        <v>354</v>
      </c>
      <c r="W41" s="51" t="s">
        <v>355</v>
      </c>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row>
    <row r="42">
      <c r="A42" s="19" t="s">
        <v>356</v>
      </c>
      <c r="B42" s="8"/>
      <c r="C42" s="8"/>
      <c r="D42" s="8"/>
      <c r="E42" s="8"/>
      <c r="F42" s="8"/>
      <c r="G42" s="8"/>
      <c r="H42" s="8"/>
      <c r="I42" s="8"/>
      <c r="J42" s="8"/>
      <c r="K42" s="8"/>
      <c r="L42" s="8"/>
      <c r="M42" s="8"/>
      <c r="N42" s="8"/>
      <c r="O42" s="8"/>
      <c r="P42" s="8"/>
      <c r="Q42" s="8"/>
      <c r="R42" s="8"/>
      <c r="S42" s="8"/>
      <c r="T42" s="8"/>
      <c r="U42" s="8"/>
      <c r="V42" s="8"/>
      <c r="W42" s="4"/>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row>
    <row r="43">
      <c r="A43" s="21">
        <f t="shared" ref="A43:A49" si="15">C43-$A$1</f>
        <v>134</v>
      </c>
      <c r="B43" s="21" t="str">
        <f t="shared" ref="B43:B49" si="16">IF(A43&lt;60,"Vencendo","Em Vigência")</f>
        <v>Em Vigência</v>
      </c>
      <c r="C43" s="22">
        <v>46301.0</v>
      </c>
      <c r="D43" s="23" t="s">
        <v>357</v>
      </c>
      <c r="E43" s="32" t="s">
        <v>137</v>
      </c>
      <c r="F43" s="25" t="s">
        <v>358</v>
      </c>
      <c r="G43" s="26" t="s">
        <v>188</v>
      </c>
      <c r="H43" s="27" t="s">
        <v>359</v>
      </c>
      <c r="I43" s="27" t="s">
        <v>191</v>
      </c>
      <c r="J43" s="27" t="s">
        <v>360</v>
      </c>
      <c r="K43" s="28" t="s">
        <v>361</v>
      </c>
      <c r="L43" s="36" t="s">
        <v>58</v>
      </c>
      <c r="M43" s="26"/>
      <c r="N43" s="26" t="s">
        <v>362</v>
      </c>
      <c r="O43" s="27" t="s">
        <v>363</v>
      </c>
      <c r="P43" s="27" t="s">
        <v>364</v>
      </c>
      <c r="Q43" s="29">
        <v>2.022000000102E12</v>
      </c>
      <c r="R43" s="27" t="s">
        <v>365</v>
      </c>
      <c r="S43" s="29" t="s">
        <v>366</v>
      </c>
      <c r="T43" s="30">
        <v>93180.36</v>
      </c>
      <c r="U43" s="31">
        <v>45936.0</v>
      </c>
      <c r="V43" s="31">
        <v>45959.0</v>
      </c>
      <c r="W43" s="43"/>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row>
    <row r="44" ht="54.75" customHeight="1">
      <c r="A44" s="21">
        <f t="shared" si="15"/>
        <v>136</v>
      </c>
      <c r="B44" s="21" t="str">
        <f t="shared" si="16"/>
        <v>Em Vigência</v>
      </c>
      <c r="C44" s="22">
        <v>46303.0</v>
      </c>
      <c r="D44" s="23" t="s">
        <v>367</v>
      </c>
      <c r="E44" s="45" t="s">
        <v>52</v>
      </c>
      <c r="F44" s="25" t="s">
        <v>368</v>
      </c>
      <c r="G44" s="26" t="s">
        <v>369</v>
      </c>
      <c r="H44" s="27" t="s">
        <v>370</v>
      </c>
      <c r="I44" s="27" t="s">
        <v>371</v>
      </c>
      <c r="J44" s="27" t="s">
        <v>372</v>
      </c>
      <c r="K44" s="28" t="s">
        <v>373</v>
      </c>
      <c r="L44" s="36" t="s">
        <v>58</v>
      </c>
      <c r="M44" s="26"/>
      <c r="N44" s="26" t="s">
        <v>374</v>
      </c>
      <c r="O44" s="27" t="s">
        <v>375</v>
      </c>
      <c r="P44" s="27" t="s">
        <v>376</v>
      </c>
      <c r="Q44" s="29">
        <v>2.025000000204E12</v>
      </c>
      <c r="R44" s="29">
        <v>2.025000000728E12</v>
      </c>
      <c r="S44" s="29" t="s">
        <v>377</v>
      </c>
      <c r="T44" s="30">
        <v>45108.0</v>
      </c>
      <c r="U44" s="31">
        <v>45950.0</v>
      </c>
      <c r="V44" s="31">
        <v>45973.0</v>
      </c>
      <c r="W44" s="43"/>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row>
    <row r="45">
      <c r="A45" s="21">
        <f t="shared" si="15"/>
        <v>136</v>
      </c>
      <c r="B45" s="21" t="str">
        <f t="shared" si="16"/>
        <v>Em Vigência</v>
      </c>
      <c r="C45" s="113">
        <v>46303.0</v>
      </c>
      <c r="D45" s="60" t="s">
        <v>378</v>
      </c>
      <c r="E45" s="45" t="s">
        <v>52</v>
      </c>
      <c r="F45" s="35" t="s">
        <v>379</v>
      </c>
      <c r="G45" s="114" t="s">
        <v>380</v>
      </c>
      <c r="H45" s="82"/>
      <c r="I45" s="82"/>
      <c r="J45" s="82"/>
      <c r="K45" s="70" t="s">
        <v>381</v>
      </c>
      <c r="L45" s="99" t="s">
        <v>382</v>
      </c>
      <c r="M45" s="99"/>
      <c r="N45" s="99" t="s">
        <v>383</v>
      </c>
      <c r="O45" s="81" t="s">
        <v>384</v>
      </c>
      <c r="P45" s="81" t="s">
        <v>385</v>
      </c>
      <c r="Q45" s="99" t="s">
        <v>325</v>
      </c>
      <c r="R45" s="99" t="s">
        <v>325</v>
      </c>
      <c r="S45" s="99" t="s">
        <v>386</v>
      </c>
      <c r="T45" s="115">
        <v>1800000.0</v>
      </c>
      <c r="U45" s="116">
        <v>44477.0</v>
      </c>
      <c r="V45" s="84">
        <v>45252.0</v>
      </c>
      <c r="W45" s="117"/>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row>
    <row r="46">
      <c r="A46" s="21">
        <f t="shared" si="15"/>
        <v>141</v>
      </c>
      <c r="B46" s="21" t="str">
        <f t="shared" si="16"/>
        <v>Em Vigência</v>
      </c>
      <c r="C46" s="22">
        <v>46308.0</v>
      </c>
      <c r="D46" s="23" t="s">
        <v>387</v>
      </c>
      <c r="E46" s="45" t="s">
        <v>52</v>
      </c>
      <c r="F46" s="25" t="s">
        <v>388</v>
      </c>
      <c r="G46" s="26" t="s">
        <v>188</v>
      </c>
      <c r="H46" s="27" t="s">
        <v>389</v>
      </c>
      <c r="I46" s="27" t="s">
        <v>360</v>
      </c>
      <c r="J46" s="27"/>
      <c r="K46" s="28" t="s">
        <v>390</v>
      </c>
      <c r="L46" s="58" t="s">
        <v>130</v>
      </c>
      <c r="M46" s="26"/>
      <c r="N46" s="26" t="s">
        <v>391</v>
      </c>
      <c r="O46" s="27" t="s">
        <v>392</v>
      </c>
      <c r="P46" s="27" t="s">
        <v>31</v>
      </c>
      <c r="Q46" s="29" t="s">
        <v>134</v>
      </c>
      <c r="R46" s="29" t="s">
        <v>134</v>
      </c>
      <c r="S46" s="29" t="s">
        <v>393</v>
      </c>
      <c r="T46" s="30">
        <v>2799.24</v>
      </c>
      <c r="U46" s="119">
        <v>45944.0</v>
      </c>
      <c r="V46" s="29"/>
      <c r="W46" s="32"/>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row>
    <row r="47">
      <c r="A47" s="21">
        <f t="shared" si="15"/>
        <v>144</v>
      </c>
      <c r="B47" s="21" t="str">
        <f t="shared" si="16"/>
        <v>Em Vigência</v>
      </c>
      <c r="C47" s="22">
        <v>46311.0</v>
      </c>
      <c r="D47" s="23" t="s">
        <v>394</v>
      </c>
      <c r="E47" s="45" t="s">
        <v>52</v>
      </c>
      <c r="F47" s="35" t="s">
        <v>395</v>
      </c>
      <c r="G47" s="36" t="s">
        <v>25</v>
      </c>
      <c r="H47" s="21" t="s">
        <v>396</v>
      </c>
      <c r="I47" s="21" t="s">
        <v>397</v>
      </c>
      <c r="J47" s="21" t="s">
        <v>398</v>
      </c>
      <c r="K47" s="37" t="s">
        <v>399</v>
      </c>
      <c r="L47" s="36" t="s">
        <v>400</v>
      </c>
      <c r="M47" s="99"/>
      <c r="N47" s="26" t="s">
        <v>401</v>
      </c>
      <c r="O47" s="21" t="s">
        <v>402</v>
      </c>
      <c r="P47" s="21" t="s">
        <v>403</v>
      </c>
      <c r="Q47" s="26">
        <v>2.025000000194E12</v>
      </c>
      <c r="R47" s="26" t="s">
        <v>404</v>
      </c>
      <c r="S47" s="26" t="s">
        <v>405</v>
      </c>
      <c r="T47" s="55">
        <v>5400.0</v>
      </c>
      <c r="U47" s="84">
        <v>45940.0</v>
      </c>
      <c r="V47" s="84">
        <v>45946.0</v>
      </c>
      <c r="W47" s="117"/>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row>
    <row r="48">
      <c r="A48" s="21">
        <f t="shared" si="15"/>
        <v>150</v>
      </c>
      <c r="B48" s="21" t="str">
        <f t="shared" si="16"/>
        <v>Em Vigência</v>
      </c>
      <c r="C48" s="22">
        <v>46317.0</v>
      </c>
      <c r="D48" s="23" t="s">
        <v>406</v>
      </c>
      <c r="E48" s="45" t="s">
        <v>52</v>
      </c>
      <c r="F48" s="35" t="s">
        <v>407</v>
      </c>
      <c r="G48" s="36" t="s">
        <v>369</v>
      </c>
      <c r="H48" s="21" t="s">
        <v>408</v>
      </c>
      <c r="I48" s="21" t="s">
        <v>409</v>
      </c>
      <c r="J48" s="21" t="s">
        <v>410</v>
      </c>
      <c r="K48" s="37" t="s">
        <v>411</v>
      </c>
      <c r="L48" s="36" t="s">
        <v>400</v>
      </c>
      <c r="M48" s="99"/>
      <c r="N48" s="26" t="s">
        <v>412</v>
      </c>
      <c r="O48" s="21" t="s">
        <v>413</v>
      </c>
      <c r="P48" s="21" t="s">
        <v>414</v>
      </c>
      <c r="Q48" s="26">
        <v>2.025000000197E12</v>
      </c>
      <c r="R48" s="26" t="s">
        <v>415</v>
      </c>
      <c r="S48" s="26" t="s">
        <v>416</v>
      </c>
      <c r="T48" s="55">
        <v>48000.0</v>
      </c>
      <c r="U48" s="84">
        <v>45947.0</v>
      </c>
      <c r="V48" s="84">
        <v>45952.0</v>
      </c>
      <c r="W48" s="117"/>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row>
    <row r="49" ht="75.0" customHeight="1">
      <c r="A49" s="21">
        <f t="shared" si="15"/>
        <v>151</v>
      </c>
      <c r="B49" s="21" t="str">
        <f t="shared" si="16"/>
        <v>Em Vigência</v>
      </c>
      <c r="C49" s="22">
        <v>46318.0</v>
      </c>
      <c r="D49" s="23" t="s">
        <v>417</v>
      </c>
      <c r="E49" s="45" t="s">
        <v>52</v>
      </c>
      <c r="F49" s="25" t="s">
        <v>418</v>
      </c>
      <c r="G49" s="58" t="s">
        <v>369</v>
      </c>
      <c r="H49" s="27" t="s">
        <v>419</v>
      </c>
      <c r="I49" s="27" t="s">
        <v>420</v>
      </c>
      <c r="J49" s="27" t="s">
        <v>421</v>
      </c>
      <c r="K49" s="28" t="s">
        <v>422</v>
      </c>
      <c r="L49" s="58" t="s">
        <v>130</v>
      </c>
      <c r="M49" s="26"/>
      <c r="N49" s="26" t="s">
        <v>423</v>
      </c>
      <c r="O49" s="27" t="s">
        <v>424</v>
      </c>
      <c r="P49" s="27" t="s">
        <v>425</v>
      </c>
      <c r="Q49" s="29" t="s">
        <v>426</v>
      </c>
      <c r="R49" s="29" t="s">
        <v>427</v>
      </c>
      <c r="S49" s="29" t="s">
        <v>428</v>
      </c>
      <c r="T49" s="30">
        <v>63720.0</v>
      </c>
      <c r="U49" s="31">
        <v>45947.0</v>
      </c>
      <c r="V49" s="31">
        <v>45953.0</v>
      </c>
      <c r="W49" s="58"/>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row>
    <row r="50">
      <c r="A50" s="19" t="s">
        <v>429</v>
      </c>
      <c r="B50" s="8"/>
      <c r="C50" s="8"/>
      <c r="D50" s="8"/>
      <c r="E50" s="8"/>
      <c r="F50" s="8"/>
      <c r="G50" s="8"/>
      <c r="H50" s="8"/>
      <c r="I50" s="8"/>
      <c r="J50" s="8"/>
      <c r="K50" s="8"/>
      <c r="L50" s="8"/>
      <c r="M50" s="8"/>
      <c r="N50" s="8"/>
      <c r="O50" s="8"/>
      <c r="P50" s="8"/>
      <c r="Q50" s="8"/>
      <c r="R50" s="8"/>
      <c r="S50" s="8"/>
      <c r="T50" s="8"/>
      <c r="U50" s="8"/>
      <c r="V50" s="8"/>
      <c r="W50" s="4"/>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row>
    <row r="51" ht="219.75" customHeight="1">
      <c r="A51" s="21">
        <f t="shared" ref="A51:A54" si="17">C51-$A$1</f>
        <v>171</v>
      </c>
      <c r="B51" s="21" t="s">
        <v>302</v>
      </c>
      <c r="C51" s="22">
        <v>46338.0</v>
      </c>
      <c r="D51" s="23" t="s">
        <v>430</v>
      </c>
      <c r="E51" s="45" t="s">
        <v>52</v>
      </c>
      <c r="F51" s="25" t="s">
        <v>431</v>
      </c>
      <c r="G51" s="58" t="s">
        <v>25</v>
      </c>
      <c r="H51" s="27" t="s">
        <v>177</v>
      </c>
      <c r="I51" s="27" t="s">
        <v>432</v>
      </c>
      <c r="J51" s="27" t="s">
        <v>433</v>
      </c>
      <c r="K51" s="28" t="s">
        <v>434</v>
      </c>
      <c r="L51" s="58" t="s">
        <v>349</v>
      </c>
      <c r="M51" s="26"/>
      <c r="N51" s="26" t="s">
        <v>435</v>
      </c>
      <c r="O51" s="27" t="s">
        <v>436</v>
      </c>
      <c r="P51" s="27" t="s">
        <v>437</v>
      </c>
      <c r="Q51" s="29">
        <v>2.026000000139E12</v>
      </c>
      <c r="R51" s="29" t="s">
        <v>438</v>
      </c>
      <c r="S51" s="29" t="s">
        <v>439</v>
      </c>
      <c r="T51" s="30" t="s">
        <v>440</v>
      </c>
      <c r="U51" s="31">
        <v>46155.0</v>
      </c>
      <c r="V51" s="31">
        <v>46157.0</v>
      </c>
      <c r="W51" s="58"/>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row>
    <row r="52" ht="219.75" customHeight="1">
      <c r="A52" s="21">
        <f t="shared" si="17"/>
        <v>175</v>
      </c>
      <c r="B52" s="21" t="str">
        <f t="shared" ref="B52:B54" si="18">IF(A52&lt;60,"Vencendo","Em Vigência")</f>
        <v>Em Vigência</v>
      </c>
      <c r="C52" s="22">
        <v>46342.0</v>
      </c>
      <c r="D52" s="23" t="s">
        <v>441</v>
      </c>
      <c r="E52" s="45" t="s">
        <v>100</v>
      </c>
      <c r="F52" s="25" t="s">
        <v>442</v>
      </c>
      <c r="G52" s="58" t="s">
        <v>40</v>
      </c>
      <c r="H52" s="27" t="s">
        <v>443</v>
      </c>
      <c r="I52" s="27" t="s">
        <v>444</v>
      </c>
      <c r="J52" s="27" t="s">
        <v>445</v>
      </c>
      <c r="K52" s="28" t="s">
        <v>446</v>
      </c>
      <c r="L52" s="58" t="s">
        <v>130</v>
      </c>
      <c r="M52" s="26" t="s">
        <v>447</v>
      </c>
      <c r="N52" s="26" t="s">
        <v>448</v>
      </c>
      <c r="O52" s="27" t="s">
        <v>449</v>
      </c>
      <c r="P52" s="27" t="s">
        <v>450</v>
      </c>
      <c r="Q52" s="29" t="s">
        <v>451</v>
      </c>
      <c r="R52" s="29" t="s">
        <v>452</v>
      </c>
      <c r="S52" s="29" t="s">
        <v>453</v>
      </c>
      <c r="T52" s="30">
        <v>571480.2</v>
      </c>
      <c r="U52" s="31">
        <v>45977.0</v>
      </c>
      <c r="V52" s="31">
        <v>46052.0</v>
      </c>
      <c r="W52" s="58"/>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row>
    <row r="53" ht="158.25" customHeight="1">
      <c r="A53" s="21">
        <f t="shared" si="17"/>
        <v>175</v>
      </c>
      <c r="B53" s="21" t="str">
        <f t="shared" si="18"/>
        <v>Em Vigência</v>
      </c>
      <c r="C53" s="22">
        <v>46342.0</v>
      </c>
      <c r="D53" s="23" t="s">
        <v>454</v>
      </c>
      <c r="E53" s="45" t="s">
        <v>175</v>
      </c>
      <c r="F53" s="25" t="s">
        <v>455</v>
      </c>
      <c r="G53" s="58" t="s">
        <v>40</v>
      </c>
      <c r="H53" s="27" t="s">
        <v>443</v>
      </c>
      <c r="I53" s="27" t="s">
        <v>444</v>
      </c>
      <c r="J53" s="27" t="s">
        <v>445</v>
      </c>
      <c r="K53" s="28" t="s">
        <v>456</v>
      </c>
      <c r="L53" s="58" t="s">
        <v>130</v>
      </c>
      <c r="M53" s="26" t="s">
        <v>447</v>
      </c>
      <c r="N53" s="26" t="s">
        <v>448</v>
      </c>
      <c r="O53" s="27" t="s">
        <v>449</v>
      </c>
      <c r="P53" s="27" t="s">
        <v>457</v>
      </c>
      <c r="Q53" s="29" t="s">
        <v>458</v>
      </c>
      <c r="R53" s="29" t="s">
        <v>459</v>
      </c>
      <c r="S53" s="29" t="s">
        <v>453</v>
      </c>
      <c r="T53" s="30">
        <v>136203.96</v>
      </c>
      <c r="U53" s="31">
        <v>45977.0</v>
      </c>
      <c r="V53" s="31">
        <v>46052.0</v>
      </c>
      <c r="W53" s="58"/>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row>
    <row r="54" ht="146.25" customHeight="1">
      <c r="A54" s="21">
        <f t="shared" si="17"/>
        <v>186</v>
      </c>
      <c r="B54" s="21" t="str">
        <f t="shared" si="18"/>
        <v>Em Vigência</v>
      </c>
      <c r="C54" s="22">
        <v>46353.0</v>
      </c>
      <c r="D54" s="23" t="s">
        <v>460</v>
      </c>
      <c r="E54" s="45" t="s">
        <v>461</v>
      </c>
      <c r="F54" s="25" t="s">
        <v>462</v>
      </c>
      <c r="G54" s="26" t="s">
        <v>188</v>
      </c>
      <c r="H54" s="27" t="s">
        <v>463</v>
      </c>
      <c r="I54" s="27" t="s">
        <v>464</v>
      </c>
      <c r="J54" s="27" t="s">
        <v>465</v>
      </c>
      <c r="K54" s="28" t="s">
        <v>466</v>
      </c>
      <c r="L54" s="58" t="s">
        <v>130</v>
      </c>
      <c r="M54" s="26"/>
      <c r="N54" s="26" t="s">
        <v>467</v>
      </c>
      <c r="O54" s="27" t="s">
        <v>468</v>
      </c>
      <c r="P54" s="27" t="s">
        <v>469</v>
      </c>
      <c r="Q54" s="29">
        <v>2.025000000209E12</v>
      </c>
      <c r="R54" s="29" t="s">
        <v>470</v>
      </c>
      <c r="S54" s="29" t="s">
        <v>471</v>
      </c>
      <c r="T54" s="30">
        <v>96000.0</v>
      </c>
      <c r="U54" s="31">
        <v>45987.0</v>
      </c>
      <c r="V54" s="31">
        <v>45988.0</v>
      </c>
      <c r="W54" s="32"/>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row>
    <row r="55">
      <c r="A55" s="19" t="s">
        <v>472</v>
      </c>
      <c r="B55" s="8"/>
      <c r="C55" s="8"/>
      <c r="D55" s="8"/>
      <c r="E55" s="8"/>
      <c r="F55" s="8"/>
      <c r="G55" s="8"/>
      <c r="H55" s="8"/>
      <c r="I55" s="8"/>
      <c r="J55" s="8"/>
      <c r="K55" s="8"/>
      <c r="L55" s="8"/>
      <c r="M55" s="8"/>
      <c r="N55" s="8"/>
      <c r="O55" s="8"/>
      <c r="P55" s="8"/>
      <c r="Q55" s="8"/>
      <c r="R55" s="8"/>
      <c r="S55" s="8"/>
      <c r="T55" s="8"/>
      <c r="U55" s="8"/>
      <c r="V55" s="8"/>
      <c r="W55" s="4"/>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row>
    <row r="56">
      <c r="A56" s="21">
        <f t="shared" ref="A56:A61" si="19">C56-$A$1</f>
        <v>199</v>
      </c>
      <c r="B56" s="21" t="str">
        <f t="shared" ref="B56:B61" si="20">IF(A56&lt;60,"Vencendo","Em Vigência")</f>
        <v>Em Vigência</v>
      </c>
      <c r="C56" s="22">
        <v>46366.0</v>
      </c>
      <c r="D56" s="23" t="s">
        <v>473</v>
      </c>
      <c r="E56" s="23" t="s">
        <v>23</v>
      </c>
      <c r="F56" s="25" t="s">
        <v>474</v>
      </c>
      <c r="G56" s="26" t="s">
        <v>475</v>
      </c>
      <c r="H56" s="27" t="s">
        <v>476</v>
      </c>
      <c r="I56" s="27" t="s">
        <v>477</v>
      </c>
      <c r="J56" s="27" t="s">
        <v>478</v>
      </c>
      <c r="K56" s="28" t="s">
        <v>479</v>
      </c>
      <c r="L56" s="26" t="s">
        <v>480</v>
      </c>
      <c r="M56" s="47"/>
      <c r="N56" s="26" t="s">
        <v>481</v>
      </c>
      <c r="O56" s="27" t="s">
        <v>482</v>
      </c>
      <c r="P56" s="27" t="s">
        <v>483</v>
      </c>
      <c r="Q56" s="29">
        <v>2.024000000282E12</v>
      </c>
      <c r="R56" s="29" t="s">
        <v>484</v>
      </c>
      <c r="S56" s="29" t="s">
        <v>485</v>
      </c>
      <c r="T56" s="30" t="s">
        <v>486</v>
      </c>
      <c r="U56" s="31">
        <v>45637.0</v>
      </c>
      <c r="V56" s="31">
        <v>46002.0</v>
      </c>
      <c r="W56" s="32"/>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row>
    <row r="57">
      <c r="A57" s="21">
        <f t="shared" si="19"/>
        <v>205</v>
      </c>
      <c r="B57" s="21" t="str">
        <f t="shared" si="20"/>
        <v>Em Vigência</v>
      </c>
      <c r="C57" s="22">
        <v>46372.0</v>
      </c>
      <c r="D57" s="23" t="s">
        <v>487</v>
      </c>
      <c r="E57" s="45" t="s">
        <v>488</v>
      </c>
      <c r="F57" s="25" t="s">
        <v>489</v>
      </c>
      <c r="G57" s="26" t="s">
        <v>380</v>
      </c>
      <c r="H57" s="27" t="s">
        <v>490</v>
      </c>
      <c r="I57" s="27" t="s">
        <v>491</v>
      </c>
      <c r="J57" s="27" t="s">
        <v>492</v>
      </c>
      <c r="K57" s="28" t="s">
        <v>493</v>
      </c>
      <c r="L57" s="26" t="s">
        <v>130</v>
      </c>
      <c r="M57" s="26"/>
      <c r="N57" s="26" t="s">
        <v>494</v>
      </c>
      <c r="O57" s="27" t="s">
        <v>495</v>
      </c>
      <c r="P57" s="27" t="s">
        <v>496</v>
      </c>
      <c r="Q57" s="29">
        <v>2.025000000117E12</v>
      </c>
      <c r="R57" s="29" t="s">
        <v>497</v>
      </c>
      <c r="S57" s="29" t="s">
        <v>498</v>
      </c>
      <c r="T57" s="30">
        <v>66034.0</v>
      </c>
      <c r="U57" s="31">
        <v>46372.0</v>
      </c>
      <c r="V57" s="31">
        <v>46010.0</v>
      </c>
      <c r="W57" s="32" t="s">
        <v>499</v>
      </c>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row>
    <row r="58">
      <c r="A58" s="21">
        <f t="shared" si="19"/>
        <v>205</v>
      </c>
      <c r="B58" s="21" t="str">
        <f t="shared" si="20"/>
        <v>Em Vigência</v>
      </c>
      <c r="C58" s="22">
        <v>46372.0</v>
      </c>
      <c r="D58" s="23" t="s">
        <v>500</v>
      </c>
      <c r="E58" s="45" t="s">
        <v>488</v>
      </c>
      <c r="F58" s="25" t="s">
        <v>501</v>
      </c>
      <c r="G58" s="26" t="s">
        <v>380</v>
      </c>
      <c r="H58" s="27" t="s">
        <v>490</v>
      </c>
      <c r="I58" s="27" t="s">
        <v>491</v>
      </c>
      <c r="J58" s="27" t="s">
        <v>492</v>
      </c>
      <c r="K58" s="28" t="s">
        <v>493</v>
      </c>
      <c r="L58" s="26" t="s">
        <v>130</v>
      </c>
      <c r="M58" s="26"/>
      <c r="N58" s="26" t="s">
        <v>502</v>
      </c>
      <c r="O58" s="27" t="s">
        <v>495</v>
      </c>
      <c r="P58" s="27" t="s">
        <v>503</v>
      </c>
      <c r="Q58" s="29">
        <v>2.025000000117E12</v>
      </c>
      <c r="R58" s="29" t="s">
        <v>504</v>
      </c>
      <c r="S58" s="29" t="s">
        <v>498</v>
      </c>
      <c r="T58" s="30">
        <v>66033.95</v>
      </c>
      <c r="U58" s="31">
        <v>46007.0</v>
      </c>
      <c r="V58" s="31">
        <v>46010.0</v>
      </c>
      <c r="W58" s="32" t="s">
        <v>499</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row>
    <row r="59">
      <c r="A59" s="21">
        <f t="shared" si="19"/>
        <v>205</v>
      </c>
      <c r="B59" s="21" t="str">
        <f t="shared" si="20"/>
        <v>Em Vigência</v>
      </c>
      <c r="C59" s="22">
        <v>46372.0</v>
      </c>
      <c r="D59" s="23" t="s">
        <v>505</v>
      </c>
      <c r="E59" s="45" t="s">
        <v>488</v>
      </c>
      <c r="F59" s="25" t="s">
        <v>506</v>
      </c>
      <c r="G59" s="26" t="s">
        <v>380</v>
      </c>
      <c r="H59" s="27" t="s">
        <v>490</v>
      </c>
      <c r="I59" s="27" t="s">
        <v>491</v>
      </c>
      <c r="J59" s="27" t="s">
        <v>492</v>
      </c>
      <c r="K59" s="28" t="s">
        <v>493</v>
      </c>
      <c r="L59" s="26" t="s">
        <v>130</v>
      </c>
      <c r="M59" s="26"/>
      <c r="N59" s="26" t="s">
        <v>507</v>
      </c>
      <c r="O59" s="27" t="s">
        <v>495</v>
      </c>
      <c r="P59" s="27" t="s">
        <v>508</v>
      </c>
      <c r="Q59" s="29">
        <v>2.025000000117E12</v>
      </c>
      <c r="R59" s="29" t="s">
        <v>509</v>
      </c>
      <c r="S59" s="29" t="s">
        <v>498</v>
      </c>
      <c r="T59" s="30">
        <v>66018.4</v>
      </c>
      <c r="U59" s="31">
        <v>46003.0</v>
      </c>
      <c r="V59" s="31">
        <v>46007.0</v>
      </c>
      <c r="W59" s="32" t="s">
        <v>499</v>
      </c>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row>
    <row r="60">
      <c r="A60" s="21">
        <f t="shared" si="19"/>
        <v>208</v>
      </c>
      <c r="B60" s="21" t="str">
        <f t="shared" si="20"/>
        <v>Em Vigência</v>
      </c>
      <c r="C60" s="22">
        <v>46375.0</v>
      </c>
      <c r="D60" s="23" t="s">
        <v>510</v>
      </c>
      <c r="E60" s="45" t="s">
        <v>488</v>
      </c>
      <c r="F60" s="25" t="s">
        <v>511</v>
      </c>
      <c r="G60" s="26" t="s">
        <v>380</v>
      </c>
      <c r="H60" s="27" t="s">
        <v>490</v>
      </c>
      <c r="I60" s="27" t="s">
        <v>491</v>
      </c>
      <c r="J60" s="27" t="s">
        <v>492</v>
      </c>
      <c r="K60" s="28" t="s">
        <v>493</v>
      </c>
      <c r="L60" s="26" t="s">
        <v>130</v>
      </c>
      <c r="M60" s="26"/>
      <c r="N60" s="26" t="s">
        <v>512</v>
      </c>
      <c r="O60" s="27" t="s">
        <v>495</v>
      </c>
      <c r="P60" s="27" t="s">
        <v>513</v>
      </c>
      <c r="Q60" s="29">
        <v>2.025000000117E12</v>
      </c>
      <c r="R60" s="29" t="s">
        <v>514</v>
      </c>
      <c r="S60" s="29" t="s">
        <v>498</v>
      </c>
      <c r="T60" s="30">
        <v>66019.5</v>
      </c>
      <c r="U60" s="31">
        <v>46003.0</v>
      </c>
      <c r="V60" s="31">
        <v>46007.0</v>
      </c>
      <c r="W60" s="32" t="s">
        <v>499</v>
      </c>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row>
    <row r="61" ht="126.0" customHeight="1">
      <c r="A61" s="21">
        <f t="shared" si="19"/>
        <v>210</v>
      </c>
      <c r="B61" s="21" t="str">
        <f t="shared" si="20"/>
        <v>Em Vigência</v>
      </c>
      <c r="C61" s="22">
        <v>46377.0</v>
      </c>
      <c r="D61" s="23" t="s">
        <v>515</v>
      </c>
      <c r="E61" s="58" t="s">
        <v>137</v>
      </c>
      <c r="F61" s="25" t="s">
        <v>516</v>
      </c>
      <c r="G61" s="26" t="s">
        <v>188</v>
      </c>
      <c r="H61" s="27" t="s">
        <v>517</v>
      </c>
      <c r="I61" s="27" t="s">
        <v>191</v>
      </c>
      <c r="J61" s="27" t="s">
        <v>518</v>
      </c>
      <c r="K61" s="70" t="s">
        <v>519</v>
      </c>
      <c r="L61" s="26" t="s">
        <v>520</v>
      </c>
      <c r="M61" s="26"/>
      <c r="N61" s="26" t="s">
        <v>521</v>
      </c>
      <c r="O61" s="27" t="s">
        <v>522</v>
      </c>
      <c r="P61" s="27" t="s">
        <v>523</v>
      </c>
      <c r="Q61" s="29" t="s">
        <v>524</v>
      </c>
      <c r="R61" s="29" t="s">
        <v>525</v>
      </c>
      <c r="S61" s="29" t="s">
        <v>526</v>
      </c>
      <c r="T61" s="30">
        <v>45631.32</v>
      </c>
      <c r="U61" s="31">
        <v>46010.0</v>
      </c>
      <c r="V61" s="31">
        <v>45664.0</v>
      </c>
      <c r="W61" s="51"/>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row>
    <row r="62">
      <c r="A62" s="19" t="s">
        <v>527</v>
      </c>
      <c r="B62" s="8"/>
      <c r="C62" s="8"/>
      <c r="D62" s="8"/>
      <c r="E62" s="8"/>
      <c r="F62" s="8"/>
      <c r="G62" s="8"/>
      <c r="H62" s="8"/>
      <c r="I62" s="8"/>
      <c r="J62" s="8"/>
      <c r="K62" s="8"/>
      <c r="L62" s="8"/>
      <c r="M62" s="8"/>
      <c r="N62" s="8"/>
      <c r="O62" s="8"/>
      <c r="P62" s="8"/>
      <c r="Q62" s="8"/>
      <c r="R62" s="8"/>
      <c r="S62" s="8"/>
      <c r="T62" s="8"/>
      <c r="U62" s="8"/>
      <c r="V62" s="8"/>
      <c r="W62" s="4"/>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row>
    <row r="63">
      <c r="A63" s="21">
        <f t="shared" ref="A63:A65" si="21">C63-$A$1</f>
        <v>225</v>
      </c>
      <c r="B63" s="21" t="str">
        <f t="shared" ref="B63:B65" si="22">IF(A63&lt;60,"Vencendo","Em Vigência")</f>
        <v>Em Vigência</v>
      </c>
      <c r="C63" s="22">
        <v>46392.0</v>
      </c>
      <c r="D63" s="23" t="s">
        <v>528</v>
      </c>
      <c r="E63" s="32" t="s">
        <v>529</v>
      </c>
      <c r="F63" s="25" t="s">
        <v>530</v>
      </c>
      <c r="G63" s="26" t="s">
        <v>40</v>
      </c>
      <c r="H63" s="27" t="s">
        <v>531</v>
      </c>
      <c r="I63" s="61" t="s">
        <v>31</v>
      </c>
      <c r="J63" s="27" t="s">
        <v>31</v>
      </c>
      <c r="K63" s="28" t="s">
        <v>532</v>
      </c>
      <c r="L63" s="26" t="s">
        <v>480</v>
      </c>
      <c r="M63" s="47"/>
      <c r="N63" s="26" t="s">
        <v>533</v>
      </c>
      <c r="O63" s="27" t="s">
        <v>534</v>
      </c>
      <c r="P63" s="27"/>
      <c r="Q63" s="29"/>
      <c r="R63" s="29"/>
      <c r="S63" s="29" t="s">
        <v>535</v>
      </c>
      <c r="T63" s="30"/>
      <c r="U63" s="31">
        <v>46014.0</v>
      </c>
      <c r="V63" s="31">
        <v>46027.0</v>
      </c>
      <c r="W63" s="3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row>
    <row r="64" ht="130.5" customHeight="1">
      <c r="A64" s="21">
        <f t="shared" si="21"/>
        <v>226</v>
      </c>
      <c r="B64" s="21" t="str">
        <f t="shared" si="22"/>
        <v>Em Vigência</v>
      </c>
      <c r="C64" s="22">
        <v>46393.0</v>
      </c>
      <c r="D64" s="23" t="s">
        <v>536</v>
      </c>
      <c r="E64" s="45" t="s">
        <v>1</v>
      </c>
      <c r="F64" s="35" t="s">
        <v>537</v>
      </c>
      <c r="G64" s="58" t="s">
        <v>188</v>
      </c>
      <c r="H64" s="61" t="s">
        <v>538</v>
      </c>
      <c r="I64" s="61" t="s">
        <v>191</v>
      </c>
      <c r="J64" s="61" t="s">
        <v>518</v>
      </c>
      <c r="K64" s="101" t="s">
        <v>539</v>
      </c>
      <c r="L64" s="26" t="s">
        <v>520</v>
      </c>
      <c r="M64" s="102"/>
      <c r="N64" s="58" t="s">
        <v>540</v>
      </c>
      <c r="O64" s="61" t="s">
        <v>541</v>
      </c>
      <c r="P64" s="61" t="s">
        <v>542</v>
      </c>
      <c r="Q64" s="32">
        <v>2.025000000206E12</v>
      </c>
      <c r="R64" s="32">
        <v>2.026000000001E12</v>
      </c>
      <c r="S64" s="32" t="s">
        <v>543</v>
      </c>
      <c r="T64" s="103">
        <v>33600.0</v>
      </c>
      <c r="U64" s="102">
        <v>46014.0</v>
      </c>
      <c r="V64" s="102">
        <v>46028.0</v>
      </c>
      <c r="W64" s="32" t="s">
        <v>544</v>
      </c>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row>
    <row r="65">
      <c r="A65" s="21">
        <f t="shared" si="21"/>
        <v>237</v>
      </c>
      <c r="B65" s="21" t="str">
        <f t="shared" si="22"/>
        <v>Em Vigência</v>
      </c>
      <c r="C65" s="22">
        <v>46404.0</v>
      </c>
      <c r="D65" s="23" t="s">
        <v>545</v>
      </c>
      <c r="E65" s="45" t="s">
        <v>100</v>
      </c>
      <c r="F65" s="25" t="s">
        <v>546</v>
      </c>
      <c r="G65" s="26" t="s">
        <v>40</v>
      </c>
      <c r="H65" s="61" t="s">
        <v>547</v>
      </c>
      <c r="I65" s="27" t="s">
        <v>548</v>
      </c>
      <c r="J65" s="27" t="s">
        <v>549</v>
      </c>
      <c r="K65" s="28" t="s">
        <v>550</v>
      </c>
      <c r="L65" s="26" t="s">
        <v>520</v>
      </c>
      <c r="M65" s="26"/>
      <c r="N65" s="26" t="s">
        <v>551</v>
      </c>
      <c r="O65" s="27" t="s">
        <v>552</v>
      </c>
      <c r="P65" s="27" t="s">
        <v>553</v>
      </c>
      <c r="Q65" s="29" t="s">
        <v>554</v>
      </c>
      <c r="R65" s="120" t="s">
        <v>555</v>
      </c>
      <c r="S65" s="29" t="s">
        <v>556</v>
      </c>
      <c r="T65" s="30">
        <v>100000.0</v>
      </c>
      <c r="U65" s="31">
        <v>45666.0</v>
      </c>
      <c r="V65" s="31">
        <v>46049.0</v>
      </c>
      <c r="W65" s="32" t="s">
        <v>557</v>
      </c>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row>
    <row r="66">
      <c r="A66" s="19" t="s">
        <v>558</v>
      </c>
      <c r="B66" s="8"/>
      <c r="C66" s="8"/>
      <c r="D66" s="8"/>
      <c r="E66" s="8"/>
      <c r="F66" s="8"/>
      <c r="G66" s="8"/>
      <c r="H66" s="8"/>
      <c r="I66" s="8"/>
      <c r="J66" s="8"/>
      <c r="K66" s="8"/>
      <c r="L66" s="8"/>
      <c r="M66" s="8"/>
      <c r="N66" s="8"/>
      <c r="O66" s="8"/>
      <c r="P66" s="8"/>
      <c r="Q66" s="8"/>
      <c r="R66" s="8"/>
      <c r="S66" s="8"/>
      <c r="T66" s="8"/>
      <c r="U66" s="8"/>
      <c r="V66" s="8"/>
      <c r="W66" s="4"/>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row>
    <row r="67" ht="123.75" customHeight="1">
      <c r="A67" s="72">
        <f>C67-$A$1</f>
        <v>252</v>
      </c>
      <c r="B67" s="72" t="str">
        <f>IF(A67&lt;60,"Vencendo","Em Vigência")</f>
        <v>Em Vigência</v>
      </c>
      <c r="C67" s="73">
        <v>46419.0</v>
      </c>
      <c r="D67" s="23" t="s">
        <v>559</v>
      </c>
      <c r="E67" s="34" t="s">
        <v>38</v>
      </c>
      <c r="F67" s="25" t="s">
        <v>560</v>
      </c>
      <c r="G67" s="90" t="s">
        <v>561</v>
      </c>
      <c r="H67" s="77" t="s">
        <v>562</v>
      </c>
      <c r="I67" s="77" t="s">
        <v>563</v>
      </c>
      <c r="J67" s="77" t="s">
        <v>564</v>
      </c>
      <c r="K67" s="98" t="s">
        <v>565</v>
      </c>
      <c r="L67" s="90" t="s">
        <v>130</v>
      </c>
      <c r="M67" s="121">
        <v>45324.0</v>
      </c>
      <c r="N67" s="90" t="s">
        <v>566</v>
      </c>
      <c r="O67" s="77" t="s">
        <v>567</v>
      </c>
      <c r="P67" s="27" t="s">
        <v>568</v>
      </c>
      <c r="Q67" s="29">
        <v>2.024000000127E12</v>
      </c>
      <c r="R67" s="29" t="s">
        <v>569</v>
      </c>
      <c r="S67" s="78" t="s">
        <v>570</v>
      </c>
      <c r="T67" s="30">
        <v>5728225.8</v>
      </c>
      <c r="U67" s="31">
        <v>46055.0</v>
      </c>
      <c r="V67" s="29" t="s">
        <v>571</v>
      </c>
      <c r="W67" s="32"/>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row>
    <row r="68" ht="105.75" customHeight="1">
      <c r="A68" s="79"/>
      <c r="B68" s="79"/>
      <c r="C68" s="79"/>
      <c r="D68" s="23" t="s">
        <v>572</v>
      </c>
      <c r="E68" s="34" t="s">
        <v>137</v>
      </c>
      <c r="F68" s="25" t="s">
        <v>573</v>
      </c>
      <c r="G68" s="79"/>
      <c r="H68" s="79"/>
      <c r="I68" s="79"/>
      <c r="J68" s="79"/>
      <c r="K68" s="79"/>
      <c r="L68" s="79"/>
      <c r="M68" s="79"/>
      <c r="N68" s="79"/>
      <c r="O68" s="79"/>
      <c r="P68" s="27" t="s">
        <v>574</v>
      </c>
      <c r="Q68" s="29">
        <v>2.024000000127E12</v>
      </c>
      <c r="R68" s="29" t="s">
        <v>575</v>
      </c>
      <c r="S68" s="79"/>
      <c r="T68" s="30">
        <v>264091.68</v>
      </c>
      <c r="U68" s="31">
        <v>46097.0</v>
      </c>
      <c r="V68" s="29" t="s">
        <v>576</v>
      </c>
      <c r="W68" s="32" t="s">
        <v>577</v>
      </c>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row>
    <row r="69" ht="163.5" customHeight="1">
      <c r="A69" s="21">
        <f t="shared" ref="A69:A74" si="23">C69-$A$1</f>
        <v>252</v>
      </c>
      <c r="B69" s="21" t="str">
        <f t="shared" ref="B69:B74" si="24">IF(A69&lt;60,"Vencendo","Em Vigência")</f>
        <v>Em Vigência</v>
      </c>
      <c r="C69" s="22">
        <v>46419.0</v>
      </c>
      <c r="D69" s="23" t="s">
        <v>578</v>
      </c>
      <c r="E69" s="34" t="s">
        <v>38</v>
      </c>
      <c r="F69" s="25" t="s">
        <v>579</v>
      </c>
      <c r="G69" s="26" t="s">
        <v>25</v>
      </c>
      <c r="H69" s="27" t="s">
        <v>580</v>
      </c>
      <c r="I69" s="27" t="s">
        <v>581</v>
      </c>
      <c r="J69" s="27" t="s">
        <v>582</v>
      </c>
      <c r="K69" s="28" t="s">
        <v>583</v>
      </c>
      <c r="L69" s="26" t="s">
        <v>130</v>
      </c>
      <c r="M69" s="47">
        <v>45324.0</v>
      </c>
      <c r="N69" s="26" t="s">
        <v>584</v>
      </c>
      <c r="O69" s="27" t="s">
        <v>585</v>
      </c>
      <c r="P69" s="27" t="s">
        <v>586</v>
      </c>
      <c r="Q69" s="29">
        <v>2.024000000123E12</v>
      </c>
      <c r="R69" s="29" t="s">
        <v>587</v>
      </c>
      <c r="S69" s="29" t="s">
        <v>588</v>
      </c>
      <c r="T69" s="30" t="s">
        <v>589</v>
      </c>
      <c r="U69" s="29" t="s">
        <v>590</v>
      </c>
      <c r="V69" s="29" t="s">
        <v>591</v>
      </c>
      <c r="W69" s="32"/>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row>
    <row r="70">
      <c r="A70" s="21">
        <f t="shared" si="23"/>
        <v>257</v>
      </c>
      <c r="B70" s="21" t="str">
        <f t="shared" si="24"/>
        <v>Em Vigência</v>
      </c>
      <c r="C70" s="22">
        <v>46424.0</v>
      </c>
      <c r="D70" s="23" t="s">
        <v>592</v>
      </c>
      <c r="E70" s="45" t="s">
        <v>1</v>
      </c>
      <c r="F70" s="25" t="s">
        <v>593</v>
      </c>
      <c r="G70" s="26" t="s">
        <v>594</v>
      </c>
      <c r="H70" s="27" t="s">
        <v>595</v>
      </c>
      <c r="I70" s="27" t="s">
        <v>596</v>
      </c>
      <c r="J70" s="27" t="s">
        <v>597</v>
      </c>
      <c r="K70" s="28" t="s">
        <v>598</v>
      </c>
      <c r="L70" s="26" t="s">
        <v>599</v>
      </c>
      <c r="M70" s="47"/>
      <c r="N70" s="26" t="s">
        <v>600</v>
      </c>
      <c r="O70" s="27" t="s">
        <v>601</v>
      </c>
      <c r="P70" s="27" t="s">
        <v>602</v>
      </c>
      <c r="Q70" s="29">
        <v>2.026000000115E12</v>
      </c>
      <c r="R70" s="29">
        <v>2.026000000059E12</v>
      </c>
      <c r="S70" s="29" t="s">
        <v>603</v>
      </c>
      <c r="T70" s="30">
        <v>5800546.0</v>
      </c>
      <c r="U70" s="31">
        <v>46059.0</v>
      </c>
      <c r="V70" s="31">
        <v>46078.0</v>
      </c>
      <c r="W70" s="32"/>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row>
    <row r="71" ht="114.0" customHeight="1">
      <c r="A71" s="21">
        <f t="shared" si="23"/>
        <v>258</v>
      </c>
      <c r="B71" s="21" t="str">
        <f t="shared" si="24"/>
        <v>Em Vigência</v>
      </c>
      <c r="C71" s="22">
        <v>46425.0</v>
      </c>
      <c r="D71" s="23" t="s">
        <v>604</v>
      </c>
      <c r="E71" s="32" t="s">
        <v>23</v>
      </c>
      <c r="F71" s="25" t="s">
        <v>605</v>
      </c>
      <c r="G71" s="26" t="s">
        <v>65</v>
      </c>
      <c r="H71" s="27" t="s">
        <v>606</v>
      </c>
      <c r="I71" s="61" t="s">
        <v>607</v>
      </c>
      <c r="J71" s="27" t="s">
        <v>606</v>
      </c>
      <c r="K71" s="28" t="s">
        <v>608</v>
      </c>
      <c r="L71" s="26" t="s">
        <v>609</v>
      </c>
      <c r="M71" s="47">
        <v>45163.0</v>
      </c>
      <c r="N71" s="26" t="s">
        <v>610</v>
      </c>
      <c r="O71" s="27" t="s">
        <v>611</v>
      </c>
      <c r="P71" s="27" t="s">
        <v>612</v>
      </c>
      <c r="Q71" s="29">
        <v>2.023000000336E12</v>
      </c>
      <c r="R71" s="29" t="s">
        <v>613</v>
      </c>
      <c r="S71" s="29" t="s">
        <v>614</v>
      </c>
      <c r="T71" s="30">
        <v>2684674.9</v>
      </c>
      <c r="U71" s="31">
        <v>45793.0</v>
      </c>
      <c r="V71" s="31">
        <v>45834.0</v>
      </c>
      <c r="W71" s="32"/>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row>
    <row r="72" ht="57.75" customHeight="1">
      <c r="A72" s="21">
        <f t="shared" si="23"/>
        <v>260</v>
      </c>
      <c r="B72" s="21" t="str">
        <f t="shared" si="24"/>
        <v>Em Vigência</v>
      </c>
      <c r="C72" s="22">
        <v>46427.0</v>
      </c>
      <c r="D72" s="23" t="s">
        <v>615</v>
      </c>
      <c r="E72" s="122" t="s">
        <v>52</v>
      </c>
      <c r="F72" s="25" t="s">
        <v>616</v>
      </c>
      <c r="G72" s="26" t="s">
        <v>65</v>
      </c>
      <c r="H72" s="27" t="s">
        <v>617</v>
      </c>
      <c r="I72" s="27" t="s">
        <v>31</v>
      </c>
      <c r="J72" s="27" t="s">
        <v>31</v>
      </c>
      <c r="K72" s="28" t="s">
        <v>618</v>
      </c>
      <c r="L72" s="58" t="s">
        <v>619</v>
      </c>
      <c r="M72" s="26"/>
      <c r="N72" s="26" t="s">
        <v>620</v>
      </c>
      <c r="O72" s="27" t="s">
        <v>621</v>
      </c>
      <c r="P72" s="27" t="s">
        <v>622</v>
      </c>
      <c r="Q72" s="29">
        <v>2.024000000175E12</v>
      </c>
      <c r="R72" s="29">
        <v>2.024000000235E12</v>
      </c>
      <c r="S72" s="29" t="s">
        <v>623</v>
      </c>
      <c r="T72" s="30"/>
      <c r="U72" s="31">
        <v>45331.0</v>
      </c>
      <c r="V72" s="31">
        <v>45411.0</v>
      </c>
      <c r="W72" s="32" t="s">
        <v>624</v>
      </c>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row>
    <row r="73">
      <c r="A73" s="21">
        <f t="shared" si="23"/>
        <v>271</v>
      </c>
      <c r="B73" s="21" t="str">
        <f t="shared" si="24"/>
        <v>Em Vigência</v>
      </c>
      <c r="C73" s="22">
        <v>46438.0</v>
      </c>
      <c r="D73" s="23" t="s">
        <v>625</v>
      </c>
      <c r="E73" s="45" t="s">
        <v>23</v>
      </c>
      <c r="F73" s="25" t="s">
        <v>626</v>
      </c>
      <c r="G73" s="26" t="s">
        <v>40</v>
      </c>
      <c r="H73" s="27" t="s">
        <v>627</v>
      </c>
      <c r="I73" s="27" t="s">
        <v>628</v>
      </c>
      <c r="J73" s="27" t="s">
        <v>629</v>
      </c>
      <c r="K73" s="28" t="s">
        <v>630</v>
      </c>
      <c r="L73" s="26" t="s">
        <v>130</v>
      </c>
      <c r="M73" s="47"/>
      <c r="N73" s="26" t="s">
        <v>631</v>
      </c>
      <c r="O73" s="27" t="s">
        <v>632</v>
      </c>
      <c r="P73" s="27" t="s">
        <v>633</v>
      </c>
      <c r="Q73" s="29">
        <v>2.025000000124E12</v>
      </c>
      <c r="R73" s="29" t="s">
        <v>634</v>
      </c>
      <c r="S73" s="29" t="s">
        <v>635</v>
      </c>
      <c r="T73" s="30">
        <v>33794.4</v>
      </c>
      <c r="U73" s="29" t="s">
        <v>636</v>
      </c>
      <c r="V73" s="29" t="s">
        <v>637</v>
      </c>
      <c r="W73" s="32"/>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row>
    <row r="74">
      <c r="A74" s="21">
        <f t="shared" si="23"/>
        <v>279</v>
      </c>
      <c r="B74" s="21" t="str">
        <f t="shared" si="24"/>
        <v>Em Vigência</v>
      </c>
      <c r="C74" s="22">
        <v>46446.0</v>
      </c>
      <c r="D74" s="23" t="s">
        <v>638</v>
      </c>
      <c r="E74" s="45" t="s">
        <v>1</v>
      </c>
      <c r="F74" s="25" t="s">
        <v>639</v>
      </c>
      <c r="G74" s="26" t="s">
        <v>594</v>
      </c>
      <c r="H74" s="27" t="s">
        <v>595</v>
      </c>
      <c r="I74" s="27" t="s">
        <v>640</v>
      </c>
      <c r="J74" s="27" t="s">
        <v>641</v>
      </c>
      <c r="K74" s="28" t="s">
        <v>642</v>
      </c>
      <c r="L74" s="26" t="s">
        <v>643</v>
      </c>
      <c r="M74" s="47"/>
      <c r="N74" s="26" t="s">
        <v>644</v>
      </c>
      <c r="O74" s="27" t="s">
        <v>645</v>
      </c>
      <c r="P74" s="27" t="s">
        <v>646</v>
      </c>
      <c r="Q74" s="29">
        <v>2.025000000128E12</v>
      </c>
      <c r="R74" s="29">
        <v>2.025000000247E12</v>
      </c>
      <c r="S74" s="29" t="s">
        <v>647</v>
      </c>
      <c r="T74" s="30" t="s">
        <v>648</v>
      </c>
      <c r="U74" s="31">
        <v>45716.0</v>
      </c>
      <c r="V74" s="31">
        <v>45728.0</v>
      </c>
      <c r="W74" s="32"/>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row>
    <row r="75">
      <c r="A75" s="19" t="s">
        <v>649</v>
      </c>
      <c r="B75" s="8"/>
      <c r="C75" s="8"/>
      <c r="D75" s="8"/>
      <c r="E75" s="8"/>
      <c r="F75" s="8"/>
      <c r="G75" s="8"/>
      <c r="H75" s="8"/>
      <c r="I75" s="8"/>
      <c r="J75" s="8"/>
      <c r="K75" s="8"/>
      <c r="L75" s="8"/>
      <c r="M75" s="8"/>
      <c r="N75" s="8"/>
      <c r="O75" s="8"/>
      <c r="P75" s="8"/>
      <c r="Q75" s="8"/>
      <c r="R75" s="8"/>
      <c r="S75" s="8"/>
      <c r="T75" s="8"/>
      <c r="U75" s="8"/>
      <c r="V75" s="8"/>
      <c r="W75" s="4"/>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row>
    <row r="76">
      <c r="A76" s="21">
        <f t="shared" ref="A76:A77" si="25">C76-$A$1</f>
        <v>291</v>
      </c>
      <c r="B76" s="21" t="str">
        <f t="shared" ref="B76:B77" si="26">IF(A76&lt;60,"Vencendo","Em Vigência")</f>
        <v>Em Vigência</v>
      </c>
      <c r="C76" s="22">
        <v>46458.0</v>
      </c>
      <c r="D76" s="23" t="s">
        <v>650</v>
      </c>
      <c r="E76" s="123" t="s">
        <v>23</v>
      </c>
      <c r="F76" s="25" t="s">
        <v>651</v>
      </c>
      <c r="G76" s="26" t="s">
        <v>380</v>
      </c>
      <c r="H76" s="27" t="s">
        <v>652</v>
      </c>
      <c r="I76" s="27" t="s">
        <v>653</v>
      </c>
      <c r="J76" s="27" t="s">
        <v>654</v>
      </c>
      <c r="K76" s="28" t="s">
        <v>655</v>
      </c>
      <c r="L76" s="26" t="s">
        <v>130</v>
      </c>
      <c r="M76" s="47"/>
      <c r="N76" s="26" t="s">
        <v>656</v>
      </c>
      <c r="O76" s="27" t="s">
        <v>495</v>
      </c>
      <c r="P76" s="27" t="s">
        <v>657</v>
      </c>
      <c r="Q76" s="29">
        <v>2.025000000116E12</v>
      </c>
      <c r="R76" s="29">
        <v>2.025000000106E12</v>
      </c>
      <c r="S76" s="29" t="s">
        <v>658</v>
      </c>
      <c r="T76" s="30" t="s">
        <v>31</v>
      </c>
      <c r="U76" s="31">
        <v>46093.0</v>
      </c>
      <c r="V76" s="31">
        <v>46105.0</v>
      </c>
      <c r="W76" s="32"/>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row>
    <row r="77" ht="96.0" customHeight="1">
      <c r="A77" s="72">
        <f t="shared" si="25"/>
        <v>292</v>
      </c>
      <c r="B77" s="72" t="str">
        <f t="shared" si="26"/>
        <v>Em Vigência</v>
      </c>
      <c r="C77" s="73">
        <v>46459.0</v>
      </c>
      <c r="D77" s="87" t="s">
        <v>659</v>
      </c>
      <c r="E77" s="45" t="s">
        <v>52</v>
      </c>
      <c r="F77" s="97" t="s">
        <v>660</v>
      </c>
      <c r="G77" s="90" t="s">
        <v>561</v>
      </c>
      <c r="H77" s="61" t="s">
        <v>661</v>
      </c>
      <c r="I77" s="61" t="s">
        <v>662</v>
      </c>
      <c r="J77" s="61" t="s">
        <v>663</v>
      </c>
      <c r="K77" s="98" t="s">
        <v>664</v>
      </c>
      <c r="L77" s="26" t="s">
        <v>130</v>
      </c>
      <c r="M77" s="26"/>
      <c r="N77" s="26" t="s">
        <v>665</v>
      </c>
      <c r="O77" s="27" t="s">
        <v>666</v>
      </c>
      <c r="P77" s="27" t="s">
        <v>667</v>
      </c>
      <c r="Q77" s="78">
        <v>2.023000000094E12</v>
      </c>
      <c r="R77" s="29">
        <v>2.024000000162E12</v>
      </c>
      <c r="S77" s="78" t="s">
        <v>668</v>
      </c>
      <c r="T77" s="42">
        <v>4552141.05</v>
      </c>
      <c r="U77" s="31">
        <v>45364.0</v>
      </c>
      <c r="V77" s="31">
        <v>45373.0</v>
      </c>
      <c r="W77" s="32"/>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row>
    <row r="78" ht="92.25" customHeight="1">
      <c r="A78" s="95"/>
      <c r="B78" s="95"/>
      <c r="C78" s="95"/>
      <c r="D78" s="95"/>
      <c r="E78" s="45" t="s">
        <v>669</v>
      </c>
      <c r="F78" s="95"/>
      <c r="G78" s="95"/>
      <c r="H78" s="61" t="s">
        <v>670</v>
      </c>
      <c r="I78" s="61" t="s">
        <v>671</v>
      </c>
      <c r="J78" s="61" t="s">
        <v>672</v>
      </c>
      <c r="K78" s="95"/>
      <c r="L78" s="26" t="s">
        <v>130</v>
      </c>
      <c r="M78" s="26"/>
      <c r="N78" s="26" t="s">
        <v>673</v>
      </c>
      <c r="O78" s="27" t="s">
        <v>666</v>
      </c>
      <c r="P78" s="27" t="s">
        <v>667</v>
      </c>
      <c r="Q78" s="95"/>
      <c r="R78" s="29">
        <v>2.025000000029E12</v>
      </c>
      <c r="S78" s="95"/>
      <c r="T78" s="42">
        <v>4759652.35</v>
      </c>
      <c r="U78" s="31">
        <v>45729.0</v>
      </c>
      <c r="V78" s="31">
        <v>45736.0</v>
      </c>
      <c r="W78" s="32"/>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row>
    <row r="79" ht="92.25" customHeight="1">
      <c r="A79" s="79"/>
      <c r="B79" s="79"/>
      <c r="C79" s="79"/>
      <c r="D79" s="79"/>
      <c r="E79" s="45" t="s">
        <v>38</v>
      </c>
      <c r="F79" s="79"/>
      <c r="G79" s="79"/>
      <c r="H79" s="61" t="s">
        <v>670</v>
      </c>
      <c r="I79" s="61" t="s">
        <v>671</v>
      </c>
      <c r="J79" s="61" t="s">
        <v>674</v>
      </c>
      <c r="K79" s="79"/>
      <c r="L79" s="26" t="s">
        <v>130</v>
      </c>
      <c r="M79" s="26"/>
      <c r="N79" s="26" t="s">
        <v>675</v>
      </c>
      <c r="O79" s="27" t="s">
        <v>666</v>
      </c>
      <c r="P79" s="27" t="s">
        <v>667</v>
      </c>
      <c r="Q79" s="79"/>
      <c r="R79" s="29">
        <v>2.026000000027E12</v>
      </c>
      <c r="S79" s="79"/>
      <c r="T79" s="42">
        <v>5589457.32</v>
      </c>
      <c r="U79" s="31">
        <v>46094.0</v>
      </c>
      <c r="V79" s="31">
        <v>46106.0</v>
      </c>
      <c r="W79" s="32"/>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row>
    <row r="80">
      <c r="A80" s="21">
        <f t="shared" ref="A80:A83" si="27">C80-$A$1</f>
        <v>294</v>
      </c>
      <c r="B80" s="21" t="str">
        <f t="shared" ref="B80:B83" si="28">IF(A80&lt;60,"Vencendo","Em Vigência")</f>
        <v>Em Vigência</v>
      </c>
      <c r="C80" s="22">
        <v>46461.0</v>
      </c>
      <c r="D80" s="23" t="s">
        <v>676</v>
      </c>
      <c r="E80" s="45" t="s">
        <v>1</v>
      </c>
      <c r="F80" s="25" t="s">
        <v>677</v>
      </c>
      <c r="G80" s="26" t="s">
        <v>25</v>
      </c>
      <c r="H80" s="27" t="s">
        <v>678</v>
      </c>
      <c r="I80" s="27" t="s">
        <v>679</v>
      </c>
      <c r="J80" s="27" t="s">
        <v>680</v>
      </c>
      <c r="K80" s="28" t="s">
        <v>681</v>
      </c>
      <c r="L80" s="26" t="s">
        <v>130</v>
      </c>
      <c r="M80" s="47"/>
      <c r="N80" s="26" t="s">
        <v>682</v>
      </c>
      <c r="O80" s="27" t="s">
        <v>683</v>
      </c>
      <c r="P80" s="27" t="s">
        <v>684</v>
      </c>
      <c r="Q80" s="29">
        <v>2.026000000119E12</v>
      </c>
      <c r="R80" s="29">
        <v>2.026000000092E12</v>
      </c>
      <c r="S80" s="29" t="s">
        <v>685</v>
      </c>
      <c r="T80" s="30">
        <v>33000.0</v>
      </c>
      <c r="U80" s="31">
        <v>46086.0</v>
      </c>
      <c r="V80" s="31">
        <v>46097.0</v>
      </c>
      <c r="W80" s="32"/>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row>
    <row r="81">
      <c r="A81" s="21">
        <f t="shared" si="27"/>
        <v>296</v>
      </c>
      <c r="B81" s="21" t="str">
        <f t="shared" si="28"/>
        <v>Em Vigência</v>
      </c>
      <c r="C81" s="22">
        <v>46463.0</v>
      </c>
      <c r="D81" s="23" t="s">
        <v>686</v>
      </c>
      <c r="E81" s="24" t="s">
        <v>137</v>
      </c>
      <c r="F81" s="25" t="s">
        <v>687</v>
      </c>
      <c r="G81" s="26" t="s">
        <v>475</v>
      </c>
      <c r="H81" s="61" t="s">
        <v>688</v>
      </c>
      <c r="I81" s="61" t="s">
        <v>689</v>
      </c>
      <c r="J81" s="61" t="s">
        <v>690</v>
      </c>
      <c r="K81" s="28" t="s">
        <v>691</v>
      </c>
      <c r="L81" s="26" t="s">
        <v>130</v>
      </c>
      <c r="M81" s="26" t="s">
        <v>692</v>
      </c>
      <c r="N81" s="26" t="s">
        <v>693</v>
      </c>
      <c r="O81" s="27" t="s">
        <v>694</v>
      </c>
      <c r="P81" s="27" t="s">
        <v>695</v>
      </c>
      <c r="Q81" s="29">
        <v>2.023000000032E12</v>
      </c>
      <c r="R81" s="29">
        <v>2.023000000163E12</v>
      </c>
      <c r="S81" s="29" t="s">
        <v>696</v>
      </c>
      <c r="T81" s="42">
        <v>1332576.0</v>
      </c>
      <c r="U81" s="31">
        <v>46098.0</v>
      </c>
      <c r="V81" s="31">
        <v>46146.0</v>
      </c>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row>
    <row r="82">
      <c r="A82" s="21">
        <f t="shared" si="27"/>
        <v>300</v>
      </c>
      <c r="B82" s="21" t="str">
        <f t="shared" si="28"/>
        <v>Em Vigência</v>
      </c>
      <c r="C82" s="22">
        <v>46467.0</v>
      </c>
      <c r="D82" s="23" t="s">
        <v>697</v>
      </c>
      <c r="E82" s="24" t="s">
        <v>23</v>
      </c>
      <c r="F82" s="25" t="s">
        <v>698</v>
      </c>
      <c r="G82" s="26" t="s">
        <v>699</v>
      </c>
      <c r="H82" s="27" t="s">
        <v>700</v>
      </c>
      <c r="I82" s="27" t="s">
        <v>701</v>
      </c>
      <c r="J82" s="27" t="s">
        <v>702</v>
      </c>
      <c r="K82" s="28" t="s">
        <v>703</v>
      </c>
      <c r="L82" s="26" t="s">
        <v>130</v>
      </c>
      <c r="M82" s="26"/>
      <c r="N82" s="26" t="s">
        <v>704</v>
      </c>
      <c r="O82" s="27" t="s">
        <v>705</v>
      </c>
      <c r="P82" s="27" t="s">
        <v>706</v>
      </c>
      <c r="Q82" s="29" t="s">
        <v>707</v>
      </c>
      <c r="R82" s="29" t="s">
        <v>707</v>
      </c>
      <c r="S82" s="29" t="s">
        <v>708</v>
      </c>
      <c r="T82" s="30">
        <v>1995.36</v>
      </c>
      <c r="U82" s="31">
        <v>46101.0</v>
      </c>
      <c r="V82" s="31">
        <v>46146.0</v>
      </c>
      <c r="W82" s="32"/>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row>
    <row r="83" ht="105.0" customHeight="1">
      <c r="A83" s="21">
        <f t="shared" si="27"/>
        <v>309</v>
      </c>
      <c r="B83" s="21" t="str">
        <f t="shared" si="28"/>
        <v>Em Vigência</v>
      </c>
      <c r="C83" s="48">
        <v>46476.0</v>
      </c>
      <c r="D83" s="23" t="s">
        <v>709</v>
      </c>
      <c r="E83" s="45" t="s">
        <v>1</v>
      </c>
      <c r="F83" s="25" t="s">
        <v>710</v>
      </c>
      <c r="G83" s="26" t="s">
        <v>25</v>
      </c>
      <c r="H83" s="27" t="s">
        <v>102</v>
      </c>
      <c r="I83" s="27" t="s">
        <v>711</v>
      </c>
      <c r="J83" s="27" t="s">
        <v>712</v>
      </c>
      <c r="K83" s="28" t="s">
        <v>713</v>
      </c>
      <c r="L83" s="26" t="s">
        <v>130</v>
      </c>
      <c r="M83" s="50"/>
      <c r="N83" s="26" t="s">
        <v>714</v>
      </c>
      <c r="O83" s="27" t="s">
        <v>715</v>
      </c>
      <c r="P83" s="27" t="s">
        <v>716</v>
      </c>
      <c r="Q83" s="29">
        <v>2.026000000131E12</v>
      </c>
      <c r="R83" s="29" t="s">
        <v>717</v>
      </c>
      <c r="S83" s="29" t="s">
        <v>718</v>
      </c>
      <c r="T83" s="30">
        <v>354000.0</v>
      </c>
      <c r="U83" s="31">
        <v>46111.0</v>
      </c>
      <c r="V83" s="31">
        <v>46113.0</v>
      </c>
      <c r="W83" s="51"/>
    </row>
    <row r="84">
      <c r="A84" s="19" t="s">
        <v>719</v>
      </c>
      <c r="B84" s="8"/>
      <c r="C84" s="8"/>
      <c r="D84" s="8"/>
      <c r="E84" s="8"/>
      <c r="F84" s="8"/>
      <c r="G84" s="8"/>
      <c r="H84" s="8"/>
      <c r="I84" s="8"/>
      <c r="J84" s="8"/>
      <c r="K84" s="8"/>
      <c r="L84" s="8"/>
      <c r="M84" s="8"/>
      <c r="N84" s="8"/>
      <c r="O84" s="8"/>
      <c r="P84" s="8"/>
      <c r="Q84" s="8"/>
      <c r="R84" s="8"/>
      <c r="S84" s="8"/>
      <c r="T84" s="8"/>
      <c r="U84" s="8"/>
      <c r="V84" s="8"/>
      <c r="W84" s="4"/>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row>
    <row r="85">
      <c r="A85" s="72">
        <f>C85-$A$1</f>
        <v>311</v>
      </c>
      <c r="B85" s="72" t="str">
        <f>IF(A85&lt;60,"Vencendo","Em Vigência")</f>
        <v>Em Vigência</v>
      </c>
      <c r="C85" s="73">
        <v>46478.0</v>
      </c>
      <c r="D85" s="87" t="s">
        <v>720</v>
      </c>
      <c r="E85" s="45" t="s">
        <v>52</v>
      </c>
      <c r="F85" s="97" t="s">
        <v>721</v>
      </c>
      <c r="G85" s="90" t="s">
        <v>369</v>
      </c>
      <c r="H85" s="27" t="s">
        <v>722</v>
      </c>
      <c r="I85" s="27" t="s">
        <v>723</v>
      </c>
      <c r="J85" s="27" t="s">
        <v>724</v>
      </c>
      <c r="K85" s="98" t="s">
        <v>725</v>
      </c>
      <c r="L85" s="26" t="s">
        <v>130</v>
      </c>
      <c r="M85" s="26" t="s">
        <v>726</v>
      </c>
      <c r="N85" s="26" t="s">
        <v>727</v>
      </c>
      <c r="O85" s="77" t="s">
        <v>728</v>
      </c>
      <c r="P85" s="77" t="s">
        <v>729</v>
      </c>
      <c r="Q85" s="78">
        <v>2.024000000146E12</v>
      </c>
      <c r="R85" s="29">
        <v>2.024000000194E12</v>
      </c>
      <c r="S85" s="78" t="s">
        <v>730</v>
      </c>
      <c r="T85" s="30">
        <v>9020.0</v>
      </c>
      <c r="U85" s="31">
        <v>45384.0</v>
      </c>
      <c r="V85" s="31">
        <v>45401.0</v>
      </c>
      <c r="W85" s="32"/>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row>
    <row r="86">
      <c r="A86" s="95"/>
      <c r="B86" s="95"/>
      <c r="C86" s="95"/>
      <c r="D86" s="95"/>
      <c r="E86" s="45" t="s">
        <v>731</v>
      </c>
      <c r="F86" s="95"/>
      <c r="G86" s="95"/>
      <c r="H86" s="27" t="s">
        <v>732</v>
      </c>
      <c r="I86" s="27" t="s">
        <v>733</v>
      </c>
      <c r="J86" s="27" t="s">
        <v>734</v>
      </c>
      <c r="K86" s="95"/>
      <c r="L86" s="26" t="s">
        <v>130</v>
      </c>
      <c r="M86" s="26"/>
      <c r="N86" s="26" t="s">
        <v>735</v>
      </c>
      <c r="O86" s="95"/>
      <c r="P86" s="95"/>
      <c r="Q86" s="95"/>
      <c r="R86" s="29">
        <v>2.025000000034E12</v>
      </c>
      <c r="S86" s="95"/>
      <c r="T86" s="30">
        <v>10500.0</v>
      </c>
      <c r="U86" s="31">
        <v>45749.0</v>
      </c>
      <c r="V86" s="31">
        <v>45810.0</v>
      </c>
      <c r="W86" s="32"/>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row>
    <row r="87" ht="177.75" customHeight="1">
      <c r="A87" s="79"/>
      <c r="B87" s="79"/>
      <c r="C87" s="79"/>
      <c r="D87" s="79"/>
      <c r="E87" s="45" t="s">
        <v>38</v>
      </c>
      <c r="F87" s="79"/>
      <c r="G87" s="79"/>
      <c r="H87" s="27" t="s">
        <v>736</v>
      </c>
      <c r="I87" s="27" t="s">
        <v>737</v>
      </c>
      <c r="J87" s="27" t="s">
        <v>734</v>
      </c>
      <c r="K87" s="79"/>
      <c r="L87" s="26" t="s">
        <v>130</v>
      </c>
      <c r="M87" s="26"/>
      <c r="N87" s="26" t="s">
        <v>738</v>
      </c>
      <c r="O87" s="79"/>
      <c r="P87" s="79"/>
      <c r="Q87" s="79"/>
      <c r="R87" s="29">
        <v>2.026000000031E12</v>
      </c>
      <c r="S87" s="79"/>
      <c r="T87" s="30" t="s">
        <v>739</v>
      </c>
      <c r="U87" s="31">
        <v>46114.0</v>
      </c>
      <c r="V87" s="31">
        <v>46136.0</v>
      </c>
      <c r="W87" s="32"/>
    </row>
    <row r="88" ht="177.75" customHeight="1">
      <c r="A88" s="21">
        <f t="shared" ref="A88:A91" si="29">C88-$A$1</f>
        <v>324</v>
      </c>
      <c r="B88" s="21" t="str">
        <f t="shared" ref="B88:B91" si="30">IF(A88&lt;60,"Vencendo","Em Vigência")</f>
        <v>Em Vigência</v>
      </c>
      <c r="C88" s="48">
        <v>46491.0</v>
      </c>
      <c r="D88" s="23" t="s">
        <v>740</v>
      </c>
      <c r="E88" s="45" t="s">
        <v>1</v>
      </c>
      <c r="F88" s="25" t="s">
        <v>741</v>
      </c>
      <c r="G88" s="26" t="s">
        <v>40</v>
      </c>
      <c r="H88" s="27" t="s">
        <v>742</v>
      </c>
      <c r="I88" s="27" t="s">
        <v>743</v>
      </c>
      <c r="J88" s="27" t="s">
        <v>744</v>
      </c>
      <c r="K88" s="28" t="s">
        <v>745</v>
      </c>
      <c r="L88" s="26" t="s">
        <v>130</v>
      </c>
      <c r="M88" s="50"/>
      <c r="N88" s="26" t="s">
        <v>746</v>
      </c>
      <c r="O88" s="27" t="s">
        <v>747</v>
      </c>
      <c r="P88" s="27" t="s">
        <v>748</v>
      </c>
      <c r="Q88" s="29">
        <v>2.02600000012E12</v>
      </c>
      <c r="R88" s="29">
        <v>2.026000000155E12</v>
      </c>
      <c r="S88" s="29" t="s">
        <v>749</v>
      </c>
      <c r="T88" s="124"/>
      <c r="U88" s="31">
        <v>46113.0</v>
      </c>
      <c r="V88" s="31">
        <v>46127.0</v>
      </c>
      <c r="W88" s="32" t="s">
        <v>280</v>
      </c>
    </row>
    <row r="89" ht="96.75" customHeight="1">
      <c r="A89" s="21">
        <f t="shared" si="29"/>
        <v>331</v>
      </c>
      <c r="B89" s="21" t="str">
        <f t="shared" si="30"/>
        <v>Em Vigência</v>
      </c>
      <c r="C89" s="22">
        <v>46498.0</v>
      </c>
      <c r="D89" s="23" t="s">
        <v>750</v>
      </c>
      <c r="E89" s="45" t="s">
        <v>38</v>
      </c>
      <c r="F89" s="25" t="s">
        <v>751</v>
      </c>
      <c r="G89" s="26" t="s">
        <v>40</v>
      </c>
      <c r="H89" s="27" t="s">
        <v>752</v>
      </c>
      <c r="I89" s="27" t="s">
        <v>753</v>
      </c>
      <c r="J89" s="27" t="s">
        <v>754</v>
      </c>
      <c r="K89" s="28" t="s">
        <v>755</v>
      </c>
      <c r="L89" s="26" t="s">
        <v>130</v>
      </c>
      <c r="M89" s="26"/>
      <c r="N89" s="26" t="s">
        <v>756</v>
      </c>
      <c r="O89" s="27" t="s">
        <v>757</v>
      </c>
      <c r="P89" s="27" t="s">
        <v>758</v>
      </c>
      <c r="Q89" s="29">
        <v>2.024000000158E12</v>
      </c>
      <c r="R89" s="125" t="s">
        <v>759</v>
      </c>
      <c r="S89" s="29" t="s">
        <v>760</v>
      </c>
      <c r="T89" s="30">
        <v>60151.55</v>
      </c>
      <c r="U89" s="31">
        <v>46134.0</v>
      </c>
      <c r="V89" s="31">
        <v>46142.0</v>
      </c>
      <c r="W89" s="32"/>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row>
    <row r="90">
      <c r="A90" s="21">
        <f t="shared" si="29"/>
        <v>332</v>
      </c>
      <c r="B90" s="21" t="str">
        <f t="shared" si="30"/>
        <v>Em Vigência</v>
      </c>
      <c r="C90" s="22">
        <v>46499.0</v>
      </c>
      <c r="D90" s="23" t="s">
        <v>761</v>
      </c>
      <c r="E90" s="45" t="s">
        <v>38</v>
      </c>
      <c r="F90" s="25" t="s">
        <v>579</v>
      </c>
      <c r="G90" s="26" t="s">
        <v>114</v>
      </c>
      <c r="H90" s="27" t="s">
        <v>762</v>
      </c>
      <c r="I90" s="27" t="s">
        <v>763</v>
      </c>
      <c r="J90" s="27" t="s">
        <v>764</v>
      </c>
      <c r="K90" s="28" t="s">
        <v>765</v>
      </c>
      <c r="L90" s="26" t="s">
        <v>45</v>
      </c>
      <c r="M90" s="26"/>
      <c r="N90" s="26" t="s">
        <v>766</v>
      </c>
      <c r="O90" s="27" t="s">
        <v>767</v>
      </c>
      <c r="P90" s="27" t="s">
        <v>768</v>
      </c>
      <c r="Q90" s="29">
        <v>2.024000000161E12</v>
      </c>
      <c r="R90" s="29" t="s">
        <v>769</v>
      </c>
      <c r="S90" s="29" t="s">
        <v>770</v>
      </c>
      <c r="T90" s="30">
        <v>1274299.93</v>
      </c>
      <c r="U90" s="31">
        <v>46135.0</v>
      </c>
      <c r="V90" s="31">
        <v>46149.0</v>
      </c>
      <c r="W90" s="32"/>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row>
    <row r="91" ht="96.75" customHeight="1">
      <c r="A91" s="21">
        <f t="shared" si="29"/>
        <v>333</v>
      </c>
      <c r="B91" s="21" t="str">
        <f t="shared" si="30"/>
        <v>Em Vigência</v>
      </c>
      <c r="C91" s="22">
        <v>46500.0</v>
      </c>
      <c r="D91" s="23" t="s">
        <v>771</v>
      </c>
      <c r="E91" s="45" t="s">
        <v>38</v>
      </c>
      <c r="F91" s="25" t="s">
        <v>772</v>
      </c>
      <c r="G91" s="26" t="s">
        <v>114</v>
      </c>
      <c r="H91" s="27" t="s">
        <v>773</v>
      </c>
      <c r="I91" s="27" t="s">
        <v>774</v>
      </c>
      <c r="J91" s="27" t="s">
        <v>775</v>
      </c>
      <c r="K91" s="28" t="s">
        <v>691</v>
      </c>
      <c r="L91" s="26" t="s">
        <v>130</v>
      </c>
      <c r="M91" s="47"/>
      <c r="N91" s="26" t="s">
        <v>776</v>
      </c>
      <c r="O91" s="27" t="s">
        <v>777</v>
      </c>
      <c r="P91" s="27" t="s">
        <v>778</v>
      </c>
      <c r="Q91" s="29"/>
      <c r="R91" s="29"/>
      <c r="S91" s="29" t="s">
        <v>779</v>
      </c>
      <c r="T91" s="30">
        <v>5424000.0</v>
      </c>
      <c r="U91" s="31">
        <v>45771.0</v>
      </c>
      <c r="V91" s="31">
        <v>46142.0</v>
      </c>
      <c r="W91" s="32"/>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row>
    <row r="92">
      <c r="A92" s="19" t="s">
        <v>780</v>
      </c>
      <c r="B92" s="8"/>
      <c r="C92" s="8"/>
      <c r="D92" s="8"/>
      <c r="E92" s="8"/>
      <c r="F92" s="8"/>
      <c r="G92" s="8"/>
      <c r="H92" s="8"/>
      <c r="I92" s="8"/>
      <c r="J92" s="8"/>
      <c r="K92" s="8"/>
      <c r="L92" s="8"/>
      <c r="M92" s="8"/>
      <c r="N92" s="8"/>
      <c r="O92" s="8"/>
      <c r="P92" s="8"/>
      <c r="Q92" s="8"/>
      <c r="R92" s="8"/>
      <c r="S92" s="8"/>
      <c r="T92" s="8"/>
      <c r="U92" s="8"/>
      <c r="V92" s="8"/>
      <c r="W92" s="4"/>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row>
    <row r="93">
      <c r="A93" s="21">
        <f>C93-$A$1</f>
        <v>358</v>
      </c>
      <c r="B93" s="21" t="str">
        <f>IF(A93&lt;60,"Vencendo","Em Vigência")</f>
        <v>Em Vigência</v>
      </c>
      <c r="C93" s="22">
        <v>46525.0</v>
      </c>
      <c r="D93" s="23" t="s">
        <v>781</v>
      </c>
      <c r="E93" s="45" t="s">
        <v>38</v>
      </c>
      <c r="F93" s="25" t="s">
        <v>782</v>
      </c>
      <c r="G93" s="26" t="s">
        <v>25</v>
      </c>
      <c r="H93" s="61" t="s">
        <v>783</v>
      </c>
      <c r="I93" s="27" t="s">
        <v>711</v>
      </c>
      <c r="J93" s="27" t="s">
        <v>784</v>
      </c>
      <c r="K93" s="28" t="s">
        <v>785</v>
      </c>
      <c r="L93" s="26" t="s">
        <v>130</v>
      </c>
      <c r="M93" s="47"/>
      <c r="N93" s="26" t="s">
        <v>786</v>
      </c>
      <c r="O93" s="27" t="s">
        <v>787</v>
      </c>
      <c r="P93" s="27" t="s">
        <v>788</v>
      </c>
      <c r="Q93" s="29">
        <v>2.025000000139E12</v>
      </c>
      <c r="R93" s="29" t="s">
        <v>789</v>
      </c>
      <c r="S93" s="29" t="s">
        <v>790</v>
      </c>
      <c r="T93" s="30">
        <v>140365.32</v>
      </c>
      <c r="U93" s="29" t="s">
        <v>791</v>
      </c>
      <c r="V93" s="29" t="s">
        <v>792</v>
      </c>
      <c r="W93" s="32" t="s">
        <v>793</v>
      </c>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row>
    <row r="94">
      <c r="A94" s="21">
        <f>C93-$A$1</f>
        <v>358</v>
      </c>
      <c r="B94" s="21" t="s">
        <v>302</v>
      </c>
      <c r="C94" s="22">
        <v>46526.0</v>
      </c>
      <c r="D94" s="23" t="s">
        <v>794</v>
      </c>
      <c r="E94" s="45" t="s">
        <v>52</v>
      </c>
      <c r="F94" s="25" t="s">
        <v>795</v>
      </c>
      <c r="G94" s="26" t="s">
        <v>25</v>
      </c>
      <c r="H94" s="61" t="s">
        <v>783</v>
      </c>
      <c r="I94" s="27" t="s">
        <v>796</v>
      </c>
      <c r="J94" s="27" t="s">
        <v>797</v>
      </c>
      <c r="K94" s="28" t="s">
        <v>798</v>
      </c>
      <c r="L94" s="26" t="s">
        <v>130</v>
      </c>
      <c r="M94" s="47"/>
      <c r="N94" s="26" t="s">
        <v>799</v>
      </c>
      <c r="O94" s="27" t="s">
        <v>800</v>
      </c>
      <c r="P94" s="27" t="s">
        <v>801</v>
      </c>
      <c r="Q94" s="29"/>
      <c r="R94" s="29">
        <v>2.026000000233E12</v>
      </c>
      <c r="S94" s="29" t="s">
        <v>802</v>
      </c>
      <c r="T94" s="30" t="s">
        <v>803</v>
      </c>
      <c r="U94" s="112">
        <v>46160.0</v>
      </c>
      <c r="V94" s="112">
        <v>46162.0</v>
      </c>
      <c r="W94" s="3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row>
    <row r="95">
      <c r="A95" s="19" t="s">
        <v>804</v>
      </c>
      <c r="B95" s="8"/>
      <c r="C95" s="8"/>
      <c r="D95" s="8"/>
      <c r="E95" s="8"/>
      <c r="F95" s="8"/>
      <c r="G95" s="8"/>
      <c r="H95" s="8"/>
      <c r="I95" s="8"/>
      <c r="J95" s="8"/>
      <c r="K95" s="8"/>
      <c r="L95" s="8"/>
      <c r="M95" s="8"/>
      <c r="N95" s="8"/>
      <c r="O95" s="8"/>
      <c r="P95" s="8"/>
      <c r="Q95" s="8"/>
      <c r="R95" s="8"/>
      <c r="S95" s="8"/>
      <c r="T95" s="8"/>
      <c r="U95" s="8"/>
      <c r="V95" s="8"/>
      <c r="W95" s="4"/>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row>
    <row r="96">
      <c r="A96" s="21">
        <f t="shared" ref="A96:A97" si="31">C96-$A$1</f>
        <v>403</v>
      </c>
      <c r="B96" s="21" t="str">
        <f t="shared" ref="B96:B97" si="32">IF(A96&lt;60,"Vencendo","Em Vigência")</f>
        <v>Em Vigência</v>
      </c>
      <c r="C96" s="22">
        <v>46570.0</v>
      </c>
      <c r="D96" s="23" t="s">
        <v>805</v>
      </c>
      <c r="E96" s="126" t="s">
        <v>52</v>
      </c>
      <c r="F96" s="35" t="s">
        <v>806</v>
      </c>
      <c r="G96" s="36" t="s">
        <v>25</v>
      </c>
      <c r="H96" s="27" t="s">
        <v>807</v>
      </c>
      <c r="I96" s="27" t="s">
        <v>808</v>
      </c>
      <c r="J96" s="27" t="s">
        <v>809</v>
      </c>
      <c r="K96" s="37" t="s">
        <v>129</v>
      </c>
      <c r="L96" s="36" t="s">
        <v>130</v>
      </c>
      <c r="M96" s="27" t="s">
        <v>31</v>
      </c>
      <c r="N96" s="36" t="s">
        <v>810</v>
      </c>
      <c r="O96" s="27" t="s">
        <v>811</v>
      </c>
      <c r="P96" s="29" t="s">
        <v>812</v>
      </c>
      <c r="Q96" s="29" t="s">
        <v>813</v>
      </c>
      <c r="R96" s="29" t="s">
        <v>813</v>
      </c>
      <c r="S96" s="127" t="s">
        <v>814</v>
      </c>
      <c r="T96" s="38">
        <v>3609.0</v>
      </c>
      <c r="U96" s="31">
        <v>45835.0</v>
      </c>
      <c r="V96" s="31">
        <v>45840.0</v>
      </c>
      <c r="W96" s="114"/>
    </row>
    <row r="97">
      <c r="A97" s="21">
        <f t="shared" si="31"/>
        <v>405</v>
      </c>
      <c r="B97" s="21" t="str">
        <f t="shared" si="32"/>
        <v>Em Vigência</v>
      </c>
      <c r="C97" s="22">
        <v>46572.0</v>
      </c>
      <c r="D97" s="23" t="s">
        <v>815</v>
      </c>
      <c r="E97" s="126" t="s">
        <v>52</v>
      </c>
      <c r="F97" s="35" t="s">
        <v>816</v>
      </c>
      <c r="G97" s="36" t="s">
        <v>817</v>
      </c>
      <c r="H97" s="27" t="s">
        <v>818</v>
      </c>
      <c r="I97" s="27" t="s">
        <v>818</v>
      </c>
      <c r="J97" s="27" t="s">
        <v>819</v>
      </c>
      <c r="K97" s="37" t="s">
        <v>820</v>
      </c>
      <c r="L97" s="36" t="s">
        <v>821</v>
      </c>
      <c r="M97" s="27" t="s">
        <v>31</v>
      </c>
      <c r="N97" s="36" t="s">
        <v>822</v>
      </c>
      <c r="O97" s="27" t="s">
        <v>823</v>
      </c>
      <c r="P97" s="29" t="s">
        <v>824</v>
      </c>
      <c r="Q97" s="29">
        <v>2.024000000215E12</v>
      </c>
      <c r="R97" s="29">
        <v>2.024000000403E12</v>
      </c>
      <c r="S97" s="127" t="s">
        <v>825</v>
      </c>
      <c r="T97" s="38">
        <v>180000.0</v>
      </c>
      <c r="U97" s="31">
        <v>45477.0</v>
      </c>
      <c r="V97" s="31"/>
      <c r="W97" s="114"/>
    </row>
    <row r="98">
      <c r="A98" s="19" t="s">
        <v>826</v>
      </c>
      <c r="B98" s="8"/>
      <c r="C98" s="8"/>
      <c r="D98" s="8"/>
      <c r="E98" s="8"/>
      <c r="F98" s="8"/>
      <c r="G98" s="8"/>
      <c r="H98" s="8"/>
      <c r="I98" s="8"/>
      <c r="J98" s="8"/>
      <c r="K98" s="8"/>
      <c r="L98" s="8"/>
      <c r="M98" s="8"/>
      <c r="N98" s="8"/>
      <c r="O98" s="8"/>
      <c r="P98" s="8"/>
      <c r="Q98" s="8"/>
      <c r="R98" s="8"/>
      <c r="S98" s="8"/>
      <c r="T98" s="8"/>
      <c r="U98" s="8"/>
      <c r="V98" s="8"/>
      <c r="W98" s="4"/>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row>
    <row r="99">
      <c r="A99" s="21">
        <f>C99-$A$1</f>
        <v>479</v>
      </c>
      <c r="B99" s="21" t="str">
        <f>IF(A99&lt;60,"Vencendo","Em Vigência")</f>
        <v>Em Vigência</v>
      </c>
      <c r="C99" s="22">
        <v>46646.0</v>
      </c>
      <c r="D99" s="23" t="s">
        <v>827</v>
      </c>
      <c r="E99" s="126" t="s">
        <v>52</v>
      </c>
      <c r="F99" s="35" t="s">
        <v>828</v>
      </c>
      <c r="G99" s="36" t="s">
        <v>817</v>
      </c>
      <c r="H99" s="27" t="s">
        <v>818</v>
      </c>
      <c r="I99" s="27" t="s">
        <v>818</v>
      </c>
      <c r="J99" s="27" t="s">
        <v>819</v>
      </c>
      <c r="K99" s="128" t="s">
        <v>829</v>
      </c>
      <c r="L99" s="36" t="s">
        <v>830</v>
      </c>
      <c r="M99" s="58"/>
      <c r="N99" s="58" t="s">
        <v>831</v>
      </c>
      <c r="O99" s="61" t="s">
        <v>832</v>
      </c>
      <c r="P99" s="61" t="s">
        <v>833</v>
      </c>
      <c r="Q99" s="32" t="s">
        <v>31</v>
      </c>
      <c r="R99" s="29" t="s">
        <v>31</v>
      </c>
      <c r="S99" s="29" t="s">
        <v>834</v>
      </c>
      <c r="T99" s="103">
        <v>748800.0</v>
      </c>
      <c r="U99" s="129">
        <v>45551.0</v>
      </c>
      <c r="V99" s="129"/>
      <c r="W99" s="58"/>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row>
    <row r="100">
      <c r="A100" s="19" t="s">
        <v>835</v>
      </c>
      <c r="B100" s="8"/>
      <c r="C100" s="8"/>
      <c r="D100" s="8"/>
      <c r="E100" s="8"/>
      <c r="F100" s="8"/>
      <c r="G100" s="8"/>
      <c r="H100" s="8"/>
      <c r="I100" s="8"/>
      <c r="J100" s="8"/>
      <c r="K100" s="8"/>
      <c r="L100" s="8"/>
      <c r="M100" s="8"/>
      <c r="N100" s="8"/>
      <c r="O100" s="8"/>
      <c r="P100" s="8"/>
      <c r="Q100" s="8"/>
      <c r="R100" s="8"/>
      <c r="S100" s="8"/>
      <c r="T100" s="8"/>
      <c r="U100" s="8"/>
      <c r="V100" s="8"/>
      <c r="W100" s="4"/>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row>
    <row r="101">
      <c r="A101" s="21">
        <f>C101-$A$1</f>
        <v>500</v>
      </c>
      <c r="B101" s="21" t="str">
        <f>IF(A101&lt;60,"Vencendo","Em Vigência")</f>
        <v>Em Vigência</v>
      </c>
      <c r="C101" s="22">
        <v>46667.0</v>
      </c>
      <c r="D101" s="23" t="s">
        <v>836</v>
      </c>
      <c r="E101" s="126" t="s">
        <v>52</v>
      </c>
      <c r="F101" s="35" t="s">
        <v>837</v>
      </c>
      <c r="G101" s="36" t="s">
        <v>369</v>
      </c>
      <c r="H101" s="27" t="s">
        <v>838</v>
      </c>
      <c r="I101" s="27" t="s">
        <v>839</v>
      </c>
      <c r="J101" s="27" t="s">
        <v>840</v>
      </c>
      <c r="K101" s="128" t="s">
        <v>841</v>
      </c>
      <c r="L101" s="36" t="s">
        <v>821</v>
      </c>
      <c r="M101" s="58"/>
      <c r="N101" s="58" t="s">
        <v>842</v>
      </c>
      <c r="O101" s="61" t="s">
        <v>843</v>
      </c>
      <c r="P101" s="61" t="s">
        <v>844</v>
      </c>
      <c r="Q101" s="32">
        <v>2.02400000026E12</v>
      </c>
      <c r="R101" s="29">
        <v>2.02400000059E12</v>
      </c>
      <c r="S101" s="127" t="s">
        <v>845</v>
      </c>
      <c r="T101" s="103">
        <v>272358.36</v>
      </c>
      <c r="U101" s="129">
        <v>45572.0</v>
      </c>
      <c r="V101" s="130"/>
      <c r="W101" s="131"/>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row>
    <row r="102">
      <c r="A102" s="19" t="s">
        <v>846</v>
      </c>
      <c r="B102" s="8"/>
      <c r="C102" s="8"/>
      <c r="D102" s="8"/>
      <c r="E102" s="8"/>
      <c r="F102" s="8"/>
      <c r="G102" s="8"/>
      <c r="H102" s="8"/>
      <c r="I102" s="8"/>
      <c r="J102" s="8"/>
      <c r="K102" s="8"/>
      <c r="L102" s="8"/>
      <c r="M102" s="8"/>
      <c r="N102" s="8"/>
      <c r="O102" s="8"/>
      <c r="P102" s="8"/>
      <c r="Q102" s="8"/>
      <c r="R102" s="8"/>
      <c r="S102" s="8"/>
      <c r="T102" s="8"/>
      <c r="U102" s="8"/>
      <c r="V102" s="8"/>
      <c r="W102" s="4"/>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row>
    <row r="103">
      <c r="A103" s="21">
        <f>C103-$A$1</f>
        <v>816</v>
      </c>
      <c r="B103" s="21" t="str">
        <f>IF(A103&lt;60,"Vencendo","Em Vigência")</f>
        <v>Em Vigência</v>
      </c>
      <c r="C103" s="22">
        <v>46983.0</v>
      </c>
      <c r="D103" s="23" t="s">
        <v>847</v>
      </c>
      <c r="E103" s="126" t="s">
        <v>52</v>
      </c>
      <c r="F103" s="35" t="s">
        <v>848</v>
      </c>
      <c r="G103" s="58" t="s">
        <v>40</v>
      </c>
      <c r="H103" s="61" t="s">
        <v>208</v>
      </c>
      <c r="I103" s="61" t="s">
        <v>849</v>
      </c>
      <c r="J103" s="61" t="s">
        <v>850</v>
      </c>
      <c r="K103" s="128" t="s">
        <v>851</v>
      </c>
      <c r="L103" s="36" t="s">
        <v>821</v>
      </c>
      <c r="M103" s="58"/>
      <c r="N103" s="58" t="s">
        <v>852</v>
      </c>
      <c r="O103" s="61" t="s">
        <v>853</v>
      </c>
      <c r="P103" s="61" t="s">
        <v>854</v>
      </c>
      <c r="Q103" s="32"/>
      <c r="R103" s="29"/>
      <c r="S103" s="29" t="s">
        <v>855</v>
      </c>
      <c r="T103" s="103">
        <v>6000.0</v>
      </c>
      <c r="U103" s="129">
        <v>45156.0</v>
      </c>
      <c r="V103" s="129">
        <v>45156.0</v>
      </c>
      <c r="W103" s="58" t="s">
        <v>856</v>
      </c>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row>
    <row r="104">
      <c r="A104" s="19" t="s">
        <v>857</v>
      </c>
      <c r="B104" s="8"/>
      <c r="C104" s="8"/>
      <c r="D104" s="8"/>
      <c r="E104" s="8"/>
      <c r="F104" s="8"/>
      <c r="G104" s="8"/>
      <c r="H104" s="8"/>
      <c r="I104" s="8"/>
      <c r="J104" s="8"/>
      <c r="K104" s="8"/>
      <c r="L104" s="8"/>
      <c r="M104" s="8"/>
      <c r="N104" s="8"/>
      <c r="O104" s="8"/>
      <c r="P104" s="8"/>
      <c r="Q104" s="8"/>
      <c r="R104" s="8"/>
      <c r="S104" s="8"/>
      <c r="T104" s="8"/>
      <c r="U104" s="8"/>
      <c r="V104" s="8"/>
      <c r="W104" s="4"/>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row>
    <row r="105">
      <c r="A105" s="21">
        <f>C105-$A$1</f>
        <v>863</v>
      </c>
      <c r="B105" s="21" t="str">
        <f>IF(A105&lt;60,"Vencendo","Em Vigência")</f>
        <v>Em Vigência</v>
      </c>
      <c r="C105" s="22">
        <v>47030.0</v>
      </c>
      <c r="D105" s="23" t="s">
        <v>858</v>
      </c>
      <c r="E105" s="126" t="s">
        <v>52</v>
      </c>
      <c r="F105" s="35" t="s">
        <v>859</v>
      </c>
      <c r="G105" s="36" t="s">
        <v>40</v>
      </c>
      <c r="H105" s="27" t="s">
        <v>860</v>
      </c>
      <c r="I105" s="27" t="s">
        <v>861</v>
      </c>
      <c r="J105" s="133"/>
      <c r="K105" s="37" t="s">
        <v>862</v>
      </c>
      <c r="L105" s="36" t="s">
        <v>863</v>
      </c>
      <c r="M105" s="134"/>
      <c r="N105" s="36" t="s">
        <v>864</v>
      </c>
      <c r="O105" s="27" t="s">
        <v>865</v>
      </c>
      <c r="P105" s="29" t="s">
        <v>866</v>
      </c>
      <c r="Q105" s="29"/>
      <c r="R105" s="111"/>
      <c r="S105" s="127" t="s">
        <v>867</v>
      </c>
      <c r="T105" s="38">
        <v>75000.0</v>
      </c>
      <c r="U105" s="31">
        <v>45203.0</v>
      </c>
      <c r="V105" s="31"/>
      <c r="W105" s="114"/>
    </row>
    <row r="106">
      <c r="A106" s="19" t="s">
        <v>868</v>
      </c>
      <c r="B106" s="8"/>
      <c r="C106" s="8"/>
      <c r="D106" s="8"/>
      <c r="E106" s="8"/>
      <c r="F106" s="8"/>
      <c r="G106" s="8"/>
      <c r="H106" s="8"/>
      <c r="I106" s="8"/>
      <c r="J106" s="8"/>
      <c r="K106" s="8"/>
      <c r="L106" s="8"/>
      <c r="M106" s="8"/>
      <c r="N106" s="8"/>
      <c r="O106" s="8"/>
      <c r="P106" s="8"/>
      <c r="Q106" s="8"/>
      <c r="R106" s="8"/>
      <c r="S106" s="8"/>
      <c r="T106" s="8"/>
      <c r="U106" s="8"/>
      <c r="V106" s="8"/>
      <c r="W106" s="4"/>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row>
    <row r="107">
      <c r="A107" s="21">
        <f>C107-$A$1</f>
        <v>893</v>
      </c>
      <c r="B107" s="21" t="str">
        <f>IF(A107&lt;60,"Vencendo","Em Vigência")</f>
        <v>Em Vigência</v>
      </c>
      <c r="C107" s="22">
        <v>47060.0</v>
      </c>
      <c r="D107" s="23" t="s">
        <v>869</v>
      </c>
      <c r="E107" s="45" t="s">
        <v>461</v>
      </c>
      <c r="F107" s="25" t="s">
        <v>870</v>
      </c>
      <c r="G107" s="58" t="s">
        <v>369</v>
      </c>
      <c r="H107" s="27" t="s">
        <v>871</v>
      </c>
      <c r="I107" s="27" t="s">
        <v>872</v>
      </c>
      <c r="J107" s="27" t="s">
        <v>873</v>
      </c>
      <c r="K107" s="28" t="s">
        <v>874</v>
      </c>
      <c r="L107" s="58" t="s">
        <v>821</v>
      </c>
      <c r="M107" s="26"/>
      <c r="N107" s="26" t="s">
        <v>875</v>
      </c>
      <c r="O107" s="27" t="s">
        <v>876</v>
      </c>
      <c r="P107" s="27" t="s">
        <v>877</v>
      </c>
      <c r="Q107" s="29" t="s">
        <v>878</v>
      </c>
      <c r="R107" s="29" t="s">
        <v>879</v>
      </c>
      <c r="S107" s="29" t="s">
        <v>880</v>
      </c>
      <c r="T107" s="30">
        <v>138000.0</v>
      </c>
      <c r="U107" s="31">
        <v>45964.0</v>
      </c>
      <c r="V107" s="31">
        <v>45968.0</v>
      </c>
      <c r="W107" s="58" t="s">
        <v>881</v>
      </c>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row>
    <row r="108">
      <c r="A108" s="19" t="s">
        <v>882</v>
      </c>
      <c r="B108" s="8"/>
      <c r="C108" s="8"/>
      <c r="D108" s="8"/>
      <c r="E108" s="8"/>
      <c r="F108" s="8"/>
      <c r="G108" s="8"/>
      <c r="H108" s="8"/>
      <c r="I108" s="8"/>
      <c r="J108" s="8"/>
      <c r="K108" s="8"/>
      <c r="L108" s="8"/>
      <c r="M108" s="8"/>
      <c r="N108" s="8"/>
      <c r="O108" s="8"/>
      <c r="P108" s="8"/>
      <c r="Q108" s="8"/>
      <c r="R108" s="8"/>
      <c r="S108" s="8"/>
      <c r="T108" s="8"/>
      <c r="U108" s="8"/>
      <c r="V108" s="8"/>
      <c r="W108" s="4"/>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row>
    <row r="109">
      <c r="A109" s="21">
        <f>C109-$A$1</f>
        <v>1010</v>
      </c>
      <c r="B109" s="21" t="str">
        <f>IF(A109&lt;60,"Vencendo","Em Vigência")</f>
        <v>Em Vigência</v>
      </c>
      <c r="C109" s="22">
        <v>47177.0</v>
      </c>
      <c r="D109" s="23" t="s">
        <v>638</v>
      </c>
      <c r="E109" s="45" t="s">
        <v>1</v>
      </c>
      <c r="F109" s="25" t="s">
        <v>639</v>
      </c>
      <c r="G109" s="26" t="s">
        <v>594</v>
      </c>
      <c r="H109" s="27" t="s">
        <v>595</v>
      </c>
      <c r="I109" s="27" t="s">
        <v>640</v>
      </c>
      <c r="J109" s="27" t="s">
        <v>641</v>
      </c>
      <c r="K109" s="28" t="s">
        <v>642</v>
      </c>
      <c r="L109" s="26" t="s">
        <v>643</v>
      </c>
      <c r="M109" s="47"/>
      <c r="N109" s="26" t="s">
        <v>883</v>
      </c>
      <c r="O109" s="27" t="s">
        <v>645</v>
      </c>
      <c r="P109" s="27" t="s">
        <v>646</v>
      </c>
      <c r="Q109" s="29">
        <v>2.025000000128E12</v>
      </c>
      <c r="R109" s="29">
        <v>2.025000000247E12</v>
      </c>
      <c r="S109" s="29" t="s">
        <v>647</v>
      </c>
      <c r="T109" s="30" t="s">
        <v>648</v>
      </c>
      <c r="U109" s="31">
        <v>45716.0</v>
      </c>
      <c r="V109" s="31">
        <v>45728.0</v>
      </c>
      <c r="W109" s="32"/>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row>
    <row r="110" ht="48.75" customHeight="1">
      <c r="A110" s="19" t="s">
        <v>884</v>
      </c>
      <c r="B110" s="8"/>
      <c r="C110" s="8"/>
      <c r="D110" s="8"/>
      <c r="E110" s="8"/>
      <c r="F110" s="8"/>
      <c r="G110" s="8"/>
      <c r="H110" s="8"/>
      <c r="I110" s="8"/>
      <c r="J110" s="8"/>
      <c r="K110" s="8"/>
      <c r="L110" s="8"/>
      <c r="M110" s="8"/>
      <c r="N110" s="8"/>
      <c r="O110" s="8"/>
      <c r="P110" s="8"/>
      <c r="Q110" s="8"/>
      <c r="R110" s="8"/>
      <c r="S110" s="8"/>
      <c r="T110" s="8"/>
      <c r="U110" s="8"/>
      <c r="V110" s="8"/>
      <c r="W110" s="4"/>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row>
    <row r="111">
      <c r="A111" s="21">
        <f>C111-$A$1</f>
        <v>1090</v>
      </c>
      <c r="B111" s="21" t="str">
        <f>IF(A111&lt;60,"Vencendo","Em Vigência")</f>
        <v>Em Vigência</v>
      </c>
      <c r="C111" s="22">
        <v>47257.0</v>
      </c>
      <c r="D111" s="23" t="s">
        <v>885</v>
      </c>
      <c r="E111" s="24" t="s">
        <v>52</v>
      </c>
      <c r="F111" s="25" t="s">
        <v>886</v>
      </c>
      <c r="G111" s="26" t="s">
        <v>25</v>
      </c>
      <c r="H111" s="27" t="s">
        <v>26</v>
      </c>
      <c r="I111" s="27" t="s">
        <v>887</v>
      </c>
      <c r="J111" s="27" t="s">
        <v>888</v>
      </c>
      <c r="K111" s="28" t="s">
        <v>889</v>
      </c>
      <c r="L111" s="26" t="s">
        <v>821</v>
      </c>
      <c r="M111" s="26"/>
      <c r="N111" s="26" t="s">
        <v>890</v>
      </c>
      <c r="O111" s="27" t="s">
        <v>891</v>
      </c>
      <c r="P111" s="27" t="s">
        <v>892</v>
      </c>
      <c r="Q111" s="29">
        <v>2.026000000145E12</v>
      </c>
      <c r="R111" s="29">
        <v>2.026000000234E12</v>
      </c>
      <c r="S111" s="29" t="s">
        <v>893</v>
      </c>
      <c r="T111" s="30">
        <v>153000.0</v>
      </c>
      <c r="U111" s="31">
        <v>46161.0</v>
      </c>
      <c r="V111" s="31">
        <v>46162.0</v>
      </c>
      <c r="W111" s="32"/>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row>
    <row r="112">
      <c r="A112" s="19" t="s">
        <v>894</v>
      </c>
      <c r="B112" s="8"/>
      <c r="C112" s="8"/>
      <c r="D112" s="8"/>
      <c r="E112" s="8"/>
      <c r="F112" s="8"/>
      <c r="G112" s="8"/>
      <c r="H112" s="8"/>
      <c r="I112" s="8"/>
      <c r="J112" s="8"/>
      <c r="K112" s="8"/>
      <c r="L112" s="8"/>
      <c r="M112" s="8"/>
      <c r="N112" s="8"/>
      <c r="O112" s="8"/>
      <c r="P112" s="8"/>
      <c r="Q112" s="8"/>
      <c r="R112" s="8"/>
      <c r="S112" s="8"/>
      <c r="T112" s="8"/>
      <c r="U112" s="8"/>
      <c r="V112" s="8"/>
      <c r="W112" s="4"/>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row>
    <row r="113" ht="228.75" customHeight="1">
      <c r="A113" s="21">
        <f>C113-$A$1</f>
        <v>981</v>
      </c>
      <c r="B113" s="21" t="str">
        <f>IF(A113&lt;60,"Vencendo","Em Vigência")</f>
        <v>Em Vigência</v>
      </c>
      <c r="C113" s="22">
        <v>47148.0</v>
      </c>
      <c r="D113" s="23" t="s">
        <v>728</v>
      </c>
      <c r="E113" s="45" t="s">
        <v>895</v>
      </c>
      <c r="F113" s="35" t="s">
        <v>896</v>
      </c>
      <c r="G113" s="36" t="s">
        <v>25</v>
      </c>
      <c r="H113" s="27" t="s">
        <v>897</v>
      </c>
      <c r="I113" s="27" t="s">
        <v>897</v>
      </c>
      <c r="J113" s="27" t="s">
        <v>897</v>
      </c>
      <c r="K113" s="37" t="s">
        <v>898</v>
      </c>
      <c r="L113" s="26" t="s">
        <v>863</v>
      </c>
      <c r="M113" s="47">
        <v>45322.0</v>
      </c>
      <c r="N113" s="26" t="s">
        <v>899</v>
      </c>
      <c r="O113" s="27" t="s">
        <v>900</v>
      </c>
      <c r="P113" s="27" t="s">
        <v>900</v>
      </c>
      <c r="Q113" s="29" t="s">
        <v>901</v>
      </c>
      <c r="R113" s="29" t="s">
        <v>901</v>
      </c>
      <c r="S113" s="29" t="s">
        <v>902</v>
      </c>
      <c r="T113" s="38">
        <v>1.134E7</v>
      </c>
      <c r="U113" s="31">
        <v>45321.0</v>
      </c>
      <c r="V113" s="31"/>
      <c r="W113" s="58"/>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row>
    <row r="114">
      <c r="A114" s="19" t="s">
        <v>903</v>
      </c>
      <c r="B114" s="8"/>
      <c r="C114" s="8"/>
      <c r="D114" s="8"/>
      <c r="E114" s="8"/>
      <c r="F114" s="8"/>
      <c r="G114" s="8"/>
      <c r="H114" s="8"/>
      <c r="I114" s="8"/>
      <c r="J114" s="8"/>
      <c r="K114" s="8"/>
      <c r="L114" s="8"/>
      <c r="M114" s="8"/>
      <c r="N114" s="8"/>
      <c r="O114" s="8"/>
      <c r="P114" s="8"/>
      <c r="Q114" s="8"/>
      <c r="R114" s="8"/>
      <c r="S114" s="8"/>
      <c r="T114" s="8"/>
      <c r="U114" s="8"/>
      <c r="V114" s="8"/>
      <c r="W114" s="4"/>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row>
    <row r="115">
      <c r="A115" s="21">
        <f t="shared" ref="A115:A116" si="33">C115-$A$1</f>
        <v>1431</v>
      </c>
      <c r="B115" s="21" t="str">
        <f t="shared" ref="B115:B116" si="34">IF(A115&lt;60,"Vencendo","Em Vigência")</f>
        <v>Em Vigência</v>
      </c>
      <c r="C115" s="22">
        <v>47598.0</v>
      </c>
      <c r="D115" s="23" t="s">
        <v>904</v>
      </c>
      <c r="E115" s="122" t="s">
        <v>52</v>
      </c>
      <c r="F115" s="35" t="s">
        <v>905</v>
      </c>
      <c r="G115" s="36" t="s">
        <v>40</v>
      </c>
      <c r="H115" s="27" t="s">
        <v>906</v>
      </c>
      <c r="I115" s="27" t="s">
        <v>548</v>
      </c>
      <c r="J115" s="27" t="s">
        <v>907</v>
      </c>
      <c r="K115" s="37" t="s">
        <v>908</v>
      </c>
      <c r="L115" s="26" t="s">
        <v>863</v>
      </c>
      <c r="M115" s="26"/>
      <c r="N115" s="26" t="s">
        <v>909</v>
      </c>
      <c r="O115" s="27" t="s">
        <v>910</v>
      </c>
      <c r="P115" s="27" t="s">
        <v>911</v>
      </c>
      <c r="Q115" s="29" t="s">
        <v>901</v>
      </c>
      <c r="R115" s="29" t="s">
        <v>912</v>
      </c>
      <c r="S115" s="29" t="s">
        <v>913</v>
      </c>
      <c r="T115" s="38" t="s">
        <v>914</v>
      </c>
      <c r="U115" s="31">
        <v>45772.0</v>
      </c>
      <c r="V115" s="31">
        <v>45776.0</v>
      </c>
      <c r="W115" s="58" t="s">
        <v>915</v>
      </c>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row>
    <row r="116">
      <c r="A116" s="21">
        <f t="shared" si="33"/>
        <v>1658</v>
      </c>
      <c r="B116" s="21" t="str">
        <f t="shared" si="34"/>
        <v>Em Vigência</v>
      </c>
      <c r="C116" s="22">
        <v>47825.0</v>
      </c>
      <c r="D116" s="60" t="s">
        <v>916</v>
      </c>
      <c r="E116" s="122" t="s">
        <v>52</v>
      </c>
      <c r="F116" s="35" t="s">
        <v>917</v>
      </c>
      <c r="G116" s="36" t="s">
        <v>344</v>
      </c>
      <c r="H116" s="27"/>
      <c r="I116" s="27"/>
      <c r="J116" s="27"/>
      <c r="K116" s="37" t="s">
        <v>918</v>
      </c>
      <c r="L116" s="26"/>
      <c r="M116" s="26"/>
      <c r="N116" s="26" t="s">
        <v>919</v>
      </c>
      <c r="O116" s="27" t="s">
        <v>920</v>
      </c>
      <c r="P116" s="27" t="s">
        <v>921</v>
      </c>
      <c r="Q116" s="29" t="s">
        <v>922</v>
      </c>
      <c r="R116" s="29"/>
      <c r="S116" s="29" t="s">
        <v>923</v>
      </c>
      <c r="T116" s="38" t="s">
        <v>924</v>
      </c>
      <c r="U116" s="31">
        <v>44173.0</v>
      </c>
      <c r="V116" s="31">
        <v>44187.0</v>
      </c>
      <c r="W116" s="135"/>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row>
    <row r="117">
      <c r="A117" s="19" t="s">
        <v>925</v>
      </c>
      <c r="B117" s="8"/>
      <c r="C117" s="8"/>
      <c r="D117" s="8"/>
      <c r="E117" s="8"/>
      <c r="F117" s="8"/>
      <c r="G117" s="8"/>
      <c r="H117" s="8"/>
      <c r="I117" s="8"/>
      <c r="J117" s="8"/>
      <c r="K117" s="8"/>
      <c r="L117" s="8"/>
      <c r="M117" s="8"/>
      <c r="N117" s="8"/>
      <c r="O117" s="8"/>
      <c r="P117" s="8"/>
      <c r="Q117" s="8"/>
      <c r="R117" s="8"/>
      <c r="S117" s="8"/>
      <c r="T117" s="8"/>
      <c r="U117" s="8"/>
      <c r="V117" s="8"/>
      <c r="W117" s="4"/>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row>
    <row r="118" ht="129.0" customHeight="1">
      <c r="A118" s="72">
        <f>C118-$A$1</f>
        <v>2740</v>
      </c>
      <c r="B118" s="72" t="str">
        <f>IF(A118&lt;60,"Vencendo","Em Vigência")</f>
        <v>Em Vigência</v>
      </c>
      <c r="C118" s="73">
        <v>48907.0</v>
      </c>
      <c r="D118" s="87" t="s">
        <v>926</v>
      </c>
      <c r="E118" s="122" t="s">
        <v>52</v>
      </c>
      <c r="F118" s="74" t="s">
        <v>927</v>
      </c>
      <c r="G118" s="75" t="s">
        <v>344</v>
      </c>
      <c r="H118" s="27" t="s">
        <v>928</v>
      </c>
      <c r="I118" s="27" t="s">
        <v>929</v>
      </c>
      <c r="J118" s="27" t="s">
        <v>930</v>
      </c>
      <c r="K118" s="76" t="s">
        <v>931</v>
      </c>
      <c r="L118" s="26" t="s">
        <v>932</v>
      </c>
      <c r="M118" s="26"/>
      <c r="N118" s="26" t="s">
        <v>933</v>
      </c>
      <c r="O118" s="27" t="s">
        <v>934</v>
      </c>
      <c r="P118" s="27" t="s">
        <v>935</v>
      </c>
      <c r="Q118" s="78">
        <v>2.02300000009E12</v>
      </c>
      <c r="R118" s="29" t="s">
        <v>936</v>
      </c>
      <c r="S118" s="78" t="s">
        <v>937</v>
      </c>
      <c r="T118" s="38" t="s">
        <v>938</v>
      </c>
      <c r="U118" s="31">
        <v>45131.0</v>
      </c>
      <c r="V118" s="31">
        <v>45146.0</v>
      </c>
      <c r="W118" s="58" t="s">
        <v>915</v>
      </c>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row>
    <row r="119" ht="147.75" customHeight="1">
      <c r="A119" s="79"/>
      <c r="B119" s="79"/>
      <c r="C119" s="79"/>
      <c r="D119" s="79"/>
      <c r="E119" s="45" t="s">
        <v>939</v>
      </c>
      <c r="F119" s="79"/>
      <c r="G119" s="79"/>
      <c r="H119" s="27" t="s">
        <v>940</v>
      </c>
      <c r="I119" s="27" t="s">
        <v>420</v>
      </c>
      <c r="J119" s="27" t="s">
        <v>941</v>
      </c>
      <c r="K119" s="79"/>
      <c r="L119" s="26" t="s">
        <v>942</v>
      </c>
      <c r="M119" s="26"/>
      <c r="N119" s="26" t="s">
        <v>943</v>
      </c>
      <c r="O119" s="27" t="s">
        <v>934</v>
      </c>
      <c r="P119" s="27" t="s">
        <v>935</v>
      </c>
      <c r="Q119" s="79"/>
      <c r="R119" s="29" t="s">
        <v>944</v>
      </c>
      <c r="S119" s="79"/>
      <c r="T119" s="38" t="s">
        <v>938</v>
      </c>
      <c r="U119" s="31">
        <v>45761.0</v>
      </c>
      <c r="V119" s="31">
        <v>45764.0</v>
      </c>
      <c r="W119" s="58" t="s">
        <v>945</v>
      </c>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row>
    <row r="120">
      <c r="A120" s="19" t="s">
        <v>946</v>
      </c>
      <c r="B120" s="8"/>
      <c r="C120" s="8"/>
      <c r="D120" s="8"/>
      <c r="E120" s="8"/>
      <c r="F120" s="8"/>
      <c r="G120" s="8"/>
      <c r="H120" s="8"/>
      <c r="I120" s="8"/>
      <c r="J120" s="8"/>
      <c r="K120" s="8"/>
      <c r="L120" s="8"/>
      <c r="M120" s="8"/>
      <c r="N120" s="8"/>
      <c r="O120" s="8"/>
      <c r="P120" s="8"/>
      <c r="Q120" s="8"/>
      <c r="R120" s="8"/>
      <c r="S120" s="8"/>
      <c r="T120" s="8"/>
      <c r="U120" s="8"/>
      <c r="V120" s="8"/>
      <c r="W120" s="4"/>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row>
    <row r="121">
      <c r="A121" s="21">
        <f>C121-$A$1</f>
        <v>2926</v>
      </c>
      <c r="B121" s="21" t="str">
        <f>IF(A121&lt;60,"Vencendo","Em Vigência")</f>
        <v>Em Vigência</v>
      </c>
      <c r="C121" s="22">
        <v>49093.0</v>
      </c>
      <c r="D121" s="23" t="s">
        <v>947</v>
      </c>
      <c r="E121" s="122" t="s">
        <v>52</v>
      </c>
      <c r="F121" s="35" t="s">
        <v>948</v>
      </c>
      <c r="G121" s="36" t="s">
        <v>65</v>
      </c>
      <c r="H121" s="27" t="s">
        <v>949</v>
      </c>
      <c r="I121" s="27" t="s">
        <v>67</v>
      </c>
      <c r="J121" s="27" t="s">
        <v>950</v>
      </c>
      <c r="K121" s="37" t="s">
        <v>951</v>
      </c>
      <c r="L121" s="26" t="s">
        <v>952</v>
      </c>
      <c r="M121" s="47">
        <v>45441.0</v>
      </c>
      <c r="N121" s="26" t="s">
        <v>953</v>
      </c>
      <c r="O121" s="27" t="s">
        <v>954</v>
      </c>
      <c r="P121" s="27" t="s">
        <v>955</v>
      </c>
      <c r="Q121" s="29">
        <v>2.024000000181E12</v>
      </c>
      <c r="R121" s="29">
        <v>2.024000000397E12</v>
      </c>
      <c r="S121" s="29" t="s">
        <v>956</v>
      </c>
      <c r="T121" s="38">
        <v>2.972434172E7</v>
      </c>
      <c r="U121" s="31">
        <v>45425.0</v>
      </c>
      <c r="V121" s="31">
        <v>45440.0</v>
      </c>
      <c r="W121" s="58"/>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row>
    <row r="122">
      <c r="A122" s="19" t="s">
        <v>957</v>
      </c>
      <c r="B122" s="8"/>
      <c r="C122" s="8"/>
      <c r="D122" s="8"/>
      <c r="E122" s="8"/>
      <c r="F122" s="8"/>
      <c r="G122" s="8"/>
      <c r="H122" s="8"/>
      <c r="I122" s="8"/>
      <c r="J122" s="8"/>
      <c r="K122" s="8"/>
      <c r="L122" s="8"/>
      <c r="M122" s="8"/>
      <c r="N122" s="8"/>
      <c r="O122" s="8"/>
      <c r="P122" s="8"/>
      <c r="Q122" s="8"/>
      <c r="R122" s="8"/>
      <c r="S122" s="8"/>
      <c r="T122" s="8"/>
      <c r="U122" s="8"/>
      <c r="V122" s="8"/>
      <c r="W122" s="4"/>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row>
    <row r="123">
      <c r="A123" s="21">
        <f>C123-$A$1</f>
        <v>5278</v>
      </c>
      <c r="B123" s="21" t="str">
        <f>IF(A123&lt;60,"Vencendo","Em Vigência")</f>
        <v>Em Vigência</v>
      </c>
      <c r="C123" s="22">
        <v>51445.0</v>
      </c>
      <c r="D123" s="60" t="s">
        <v>341</v>
      </c>
      <c r="E123" s="45" t="s">
        <v>958</v>
      </c>
      <c r="F123" s="25" t="s">
        <v>343</v>
      </c>
      <c r="G123" s="26" t="s">
        <v>344</v>
      </c>
      <c r="H123" s="27" t="s">
        <v>959</v>
      </c>
      <c r="I123" s="27" t="s">
        <v>960</v>
      </c>
      <c r="J123" s="27" t="s">
        <v>961</v>
      </c>
      <c r="K123" s="28" t="s">
        <v>962</v>
      </c>
      <c r="L123" s="26" t="s">
        <v>963</v>
      </c>
      <c r="M123" s="26"/>
      <c r="N123" s="26" t="s">
        <v>964</v>
      </c>
      <c r="O123" s="27" t="s">
        <v>351</v>
      </c>
      <c r="P123" s="27" t="s">
        <v>352</v>
      </c>
      <c r="Q123" s="29">
        <v>2.022000000019E12</v>
      </c>
      <c r="R123" s="29">
        <v>2.022000000104E12</v>
      </c>
      <c r="S123" s="111" t="s">
        <v>353</v>
      </c>
      <c r="T123" s="30">
        <v>2.5</v>
      </c>
      <c r="U123" s="112">
        <v>45966.0</v>
      </c>
      <c r="V123" s="31">
        <v>45996.0</v>
      </c>
      <c r="W123" s="51" t="s">
        <v>355</v>
      </c>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row>
  </sheetData>
  <mergeCells count="126">
    <mergeCell ref="D1:E1"/>
    <mergeCell ref="O1:V1"/>
    <mergeCell ref="A3:W3"/>
    <mergeCell ref="A5:W5"/>
    <mergeCell ref="A9:W9"/>
    <mergeCell ref="A16:W16"/>
    <mergeCell ref="A19:W19"/>
    <mergeCell ref="P23:P24"/>
    <mergeCell ref="Q23:Q24"/>
    <mergeCell ref="S23:S24"/>
    <mergeCell ref="A23:A24"/>
    <mergeCell ref="B23:B24"/>
    <mergeCell ref="C23:C24"/>
    <mergeCell ref="F23:F24"/>
    <mergeCell ref="G23:G24"/>
    <mergeCell ref="K23:K24"/>
    <mergeCell ref="O23:O24"/>
    <mergeCell ref="H27:H29"/>
    <mergeCell ref="I27:I29"/>
    <mergeCell ref="J27:J29"/>
    <mergeCell ref="K27:K29"/>
    <mergeCell ref="L27:L29"/>
    <mergeCell ref="M27:M29"/>
    <mergeCell ref="N27:N29"/>
    <mergeCell ref="W27:W29"/>
    <mergeCell ref="A30:W30"/>
    <mergeCell ref="O27:O29"/>
    <mergeCell ref="P27:P29"/>
    <mergeCell ref="Q27:Q29"/>
    <mergeCell ref="R27:R29"/>
    <mergeCell ref="S27:S29"/>
    <mergeCell ref="U27:U29"/>
    <mergeCell ref="V27:V29"/>
    <mergeCell ref="A27:A29"/>
    <mergeCell ref="B27:B29"/>
    <mergeCell ref="C27:C29"/>
    <mergeCell ref="D27:D29"/>
    <mergeCell ref="E27:E29"/>
    <mergeCell ref="F27:F29"/>
    <mergeCell ref="G27:G29"/>
    <mergeCell ref="M67:M68"/>
    <mergeCell ref="N67:N68"/>
    <mergeCell ref="O67:O68"/>
    <mergeCell ref="S67:S68"/>
    <mergeCell ref="A50:W50"/>
    <mergeCell ref="A55:W55"/>
    <mergeCell ref="A62:W62"/>
    <mergeCell ref="A66:W66"/>
    <mergeCell ref="A67:A68"/>
    <mergeCell ref="B67:B68"/>
    <mergeCell ref="C67:C68"/>
    <mergeCell ref="K77:K79"/>
    <mergeCell ref="Q77:Q79"/>
    <mergeCell ref="K67:K68"/>
    <mergeCell ref="L67:L68"/>
    <mergeCell ref="A75:W75"/>
    <mergeCell ref="A77:A79"/>
    <mergeCell ref="B77:B79"/>
    <mergeCell ref="C77:C79"/>
    <mergeCell ref="D77:D79"/>
    <mergeCell ref="S77:S79"/>
    <mergeCell ref="K85:K87"/>
    <mergeCell ref="O85:O87"/>
    <mergeCell ref="P85:P87"/>
    <mergeCell ref="Q85:Q87"/>
    <mergeCell ref="F77:F79"/>
    <mergeCell ref="G77:G79"/>
    <mergeCell ref="A84:W84"/>
    <mergeCell ref="A85:A87"/>
    <mergeCell ref="B85:B87"/>
    <mergeCell ref="C85:C87"/>
    <mergeCell ref="D85:D87"/>
    <mergeCell ref="S85:S87"/>
    <mergeCell ref="F85:F87"/>
    <mergeCell ref="G85:G87"/>
    <mergeCell ref="A92:W92"/>
    <mergeCell ref="A95:W95"/>
    <mergeCell ref="A98:W98"/>
    <mergeCell ref="A100:W100"/>
    <mergeCell ref="A102:W102"/>
    <mergeCell ref="A104:W104"/>
    <mergeCell ref="A106:W106"/>
    <mergeCell ref="A108:W108"/>
    <mergeCell ref="A110:W110"/>
    <mergeCell ref="A112:W112"/>
    <mergeCell ref="A114:W114"/>
    <mergeCell ref="A117:W117"/>
    <mergeCell ref="Q118:Q119"/>
    <mergeCell ref="S118:S119"/>
    <mergeCell ref="A118:A119"/>
    <mergeCell ref="B118:B119"/>
    <mergeCell ref="C118:C119"/>
    <mergeCell ref="D118:D119"/>
    <mergeCell ref="F118:F119"/>
    <mergeCell ref="G118:G119"/>
    <mergeCell ref="K118:K119"/>
    <mergeCell ref="O31:O32"/>
    <mergeCell ref="P31:P32"/>
    <mergeCell ref="S31:S32"/>
    <mergeCell ref="A31:A32"/>
    <mergeCell ref="B31:B32"/>
    <mergeCell ref="C31:C32"/>
    <mergeCell ref="D31:D32"/>
    <mergeCell ref="F31:F32"/>
    <mergeCell ref="G31:G32"/>
    <mergeCell ref="K31:K32"/>
    <mergeCell ref="A37:A39"/>
    <mergeCell ref="B37:B39"/>
    <mergeCell ref="C37:C39"/>
    <mergeCell ref="D37:D39"/>
    <mergeCell ref="E37:E39"/>
    <mergeCell ref="F37:F39"/>
    <mergeCell ref="G37:G39"/>
    <mergeCell ref="K37:K39"/>
    <mergeCell ref="O37:O39"/>
    <mergeCell ref="P37:P39"/>
    <mergeCell ref="Q37:Q39"/>
    <mergeCell ref="R37:R39"/>
    <mergeCell ref="S37:S39"/>
    <mergeCell ref="A42:W42"/>
    <mergeCell ref="G67:G68"/>
    <mergeCell ref="H67:H68"/>
    <mergeCell ref="I67:I68"/>
    <mergeCell ref="J67:J68"/>
    <mergeCell ref="A120:W120"/>
    <mergeCell ref="A122:W122"/>
  </mergeCells>
  <conditionalFormatting sqref="A35:F35">
    <cfRule type="cellIs" dxfId="0" priority="1" operator="equal">
      <formula>"Vencendo"</formula>
    </cfRule>
  </conditionalFormatting>
  <conditionalFormatting sqref="A35:F35">
    <cfRule type="cellIs" dxfId="0" priority="2" operator="equal">
      <formula>"Vencendo"</formula>
    </cfRule>
  </conditionalFormatting>
  <conditionalFormatting sqref="M35:T35">
    <cfRule type="notContainsBlanks" dxfId="1" priority="3">
      <formula>LEN(TRIM(M35))&gt;0</formula>
    </cfRule>
  </conditionalFormatting>
  <conditionalFormatting sqref="E35">
    <cfRule type="cellIs" dxfId="0" priority="4" operator="equal">
      <formula>"Vencendo"</formula>
    </cfRule>
  </conditionalFormatting>
  <conditionalFormatting sqref="Q35">
    <cfRule type="notContainsBlanks" dxfId="1" priority="5">
      <formula>LEN(TRIM(Q35))&gt;0</formula>
    </cfRule>
  </conditionalFormatting>
  <conditionalFormatting sqref="O64:R64">
    <cfRule type="notContainsBlanks" dxfId="1" priority="6">
      <formula>LEN(TRIM(O64))&gt;0</formula>
    </cfRule>
  </conditionalFormatting>
  <conditionalFormatting sqref="Q63 Q67:Q68 Q70:Q71">
    <cfRule type="notContainsBlanks" dxfId="1" priority="7">
      <formula>LEN(TRIM(Q63))&gt;0</formula>
    </cfRule>
  </conditionalFormatting>
  <conditionalFormatting sqref="A16:G18 K16:V18">
    <cfRule type="notContainsBlanks" dxfId="1" priority="8">
      <formula>LEN(TRIM(A16))&gt;0</formula>
    </cfRule>
  </conditionalFormatting>
  <conditionalFormatting sqref="A16:G18">
    <cfRule type="cellIs" dxfId="0" priority="9" operator="equal">
      <formula>"Vencendo"</formula>
    </cfRule>
  </conditionalFormatting>
  <conditionalFormatting sqref="G11:V12 G83:V83 G88:V88">
    <cfRule type="notContainsBlanks" dxfId="1" priority="10">
      <formula>LEN(TRIM(G11))&gt;0</formula>
    </cfRule>
  </conditionalFormatting>
  <conditionalFormatting sqref="A11:B12 D11:D12 F11:G12 E12 E64:E65 A83:B83 D83:G83 A88:B88 D88:G88">
    <cfRule type="cellIs" dxfId="0" priority="11" operator="equal">
      <formula>"Vencendo"</formula>
    </cfRule>
  </conditionalFormatting>
  <conditionalFormatting sqref="Q37:Q40">
    <cfRule type="notContainsBlanks" dxfId="1" priority="12">
      <formula>LEN(TRIM(Q37))&gt;0</formula>
    </cfRule>
  </conditionalFormatting>
  <conditionalFormatting sqref="A3:B124 D22:D24 C35:C41 D35:D36 D41 C46 D46:D114 C48:C114 C117:D117 C120:D120 C122:C123 D122">
    <cfRule type="cellIs" dxfId="0" priority="13" operator="equal">
      <formula>"Vencendo"</formula>
    </cfRule>
  </conditionalFormatting>
  <conditionalFormatting sqref="A3:B124 C35:C41 C46 D46:D114 C48:C114 C117:D117 C120:D120 C122:C123 D122">
    <cfRule type="cellIs" dxfId="0" priority="14" operator="equal">
      <formula>"Vencendo"</formula>
    </cfRule>
  </conditionalFormatting>
  <conditionalFormatting sqref="Q1 Q4 Q6:Q8 P7:P8 R7:S8 P10:S10 P13:P14 Q13:Q15 R13:S14 Q17:Q18 P18 R18:S18 P20:P25 Q20:Q29 R20:S25 Q31:Q34 P36:S39 P41:S41 Q43:Q49 R44 P49 R49:S49 P51:S54 P56:P59 Q56:Q61 R56:R60 S56:S59 S63 Q64:Q65 M67:M70 O67:T70 M72:M74 O72:T74 M76:M80 O76:O80 P76:S82 T76:T80 P85:P86 Q85:Q87 R85:S86 Q89:Q91 Q93:Q94 M96:M97 O96:T97 M99 O99:T99 M101 O101:T101 M103 O103:T103 M105 O105:T105 M107 O107:T107 M109 O109:T109 M111 O111:T111 Q113:R113 Q115:Q116 R115 Q118:Q119 Q121 P123 Q123:Q124 R123:S123">
    <cfRule type="notContainsBlanks" dxfId="1" priority="15">
      <formula>LEN(TRIM(Q1))&gt;0</formula>
    </cfRule>
  </conditionalFormatting>
  <printOptions horizontalCentered="1"/>
  <pageMargins bottom="0.11153812450709163" footer="0.0" header="0.0" left="0.13012781192494025" right="0.13012781192494025" top="0.018589687417848607"/>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3.43"/>
    <col customWidth="1" min="2" max="2" width="13.57"/>
    <col customWidth="1" min="3" max="3" width="12.0"/>
    <col customWidth="1" min="4" max="4" width="24.0"/>
    <col customWidth="1" min="5" max="5" width="13.0"/>
    <col customWidth="1" min="6" max="6" width="16.57"/>
    <col customWidth="1" min="7" max="7" width="17.71"/>
    <col customWidth="1" min="8" max="8" width="15.43"/>
    <col customWidth="1" min="9" max="9" width="31.0"/>
    <col customWidth="1" min="10" max="10" width="11.86"/>
    <col customWidth="1" min="11" max="11" width="12.43"/>
    <col customWidth="1" min="12" max="12" width="13.71"/>
    <col customWidth="1" min="13" max="13" width="14.43"/>
    <col customWidth="1" min="14" max="14" width="13.71"/>
    <col customWidth="1" min="15" max="15" width="15.71"/>
    <col customWidth="1" min="16" max="16" width="22.0"/>
    <col customWidth="1" min="17" max="17" width="17.29"/>
    <col customWidth="1" min="18" max="18" width="15.86"/>
    <col customWidth="1" min="19" max="19" width="14.57"/>
    <col customWidth="1" min="20" max="20" width="15.57"/>
    <col customWidth="1" min="21" max="21" width="19.0"/>
    <col customWidth="1" min="22" max="49" width="9.14"/>
  </cols>
  <sheetData>
    <row r="1">
      <c r="A1" s="136">
        <f>TODAY()</f>
        <v>46167</v>
      </c>
      <c r="B1" s="137"/>
      <c r="C1" s="138"/>
      <c r="D1" s="139"/>
      <c r="E1" s="140"/>
      <c r="F1" s="140"/>
      <c r="G1" s="141"/>
      <c r="H1" s="142"/>
      <c r="I1" s="143"/>
      <c r="J1" s="144"/>
      <c r="K1" s="142"/>
      <c r="L1" s="145"/>
      <c r="M1" s="140"/>
      <c r="N1" s="140"/>
      <c r="O1" s="140"/>
      <c r="P1" s="140"/>
      <c r="Q1" s="140"/>
      <c r="R1" s="146"/>
      <c r="S1" s="146"/>
      <c r="T1" s="146"/>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row>
    <row r="2">
      <c r="A2" s="148" t="s">
        <v>0</v>
      </c>
      <c r="B2" s="149" t="s">
        <v>1</v>
      </c>
      <c r="C2" s="150" t="s">
        <v>2</v>
      </c>
      <c r="D2" s="151" t="s">
        <v>3</v>
      </c>
      <c r="E2" s="152" t="s">
        <v>4</v>
      </c>
      <c r="F2" s="152" t="s">
        <v>5</v>
      </c>
      <c r="G2" s="13" t="s">
        <v>6</v>
      </c>
      <c r="H2" s="13" t="s">
        <v>7</v>
      </c>
      <c r="I2" s="152" t="s">
        <v>8</v>
      </c>
      <c r="J2" s="153" t="s">
        <v>965</v>
      </c>
      <c r="K2" s="154" t="s">
        <v>11</v>
      </c>
      <c r="L2" s="13" t="s">
        <v>12</v>
      </c>
      <c r="M2" s="13" t="s">
        <v>13</v>
      </c>
      <c r="N2" s="13" t="s">
        <v>14</v>
      </c>
      <c r="O2" s="15" t="s">
        <v>15</v>
      </c>
      <c r="P2" s="13" t="s">
        <v>16</v>
      </c>
      <c r="Q2" s="16" t="s">
        <v>17</v>
      </c>
      <c r="R2" s="17" t="s">
        <v>966</v>
      </c>
      <c r="S2" s="17" t="s">
        <v>19</v>
      </c>
      <c r="T2" s="155" t="s">
        <v>20</v>
      </c>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row>
    <row r="3" ht="89.25" customHeight="1">
      <c r="A3" s="22">
        <v>46161.0</v>
      </c>
      <c r="B3" s="23" t="s">
        <v>967</v>
      </c>
      <c r="C3" s="45" t="s">
        <v>52</v>
      </c>
      <c r="D3" s="25" t="s">
        <v>968</v>
      </c>
      <c r="E3" s="26" t="s">
        <v>188</v>
      </c>
      <c r="F3" s="27" t="s">
        <v>969</v>
      </c>
      <c r="G3" s="27" t="s">
        <v>191</v>
      </c>
      <c r="H3" s="27" t="s">
        <v>360</v>
      </c>
      <c r="I3" s="28" t="s">
        <v>970</v>
      </c>
      <c r="J3" s="26" t="s">
        <v>130</v>
      </c>
      <c r="K3" s="47"/>
      <c r="L3" s="26" t="s">
        <v>971</v>
      </c>
      <c r="M3" s="27" t="s">
        <v>972</v>
      </c>
      <c r="N3" s="27" t="s">
        <v>31</v>
      </c>
      <c r="O3" s="29" t="s">
        <v>31</v>
      </c>
      <c r="P3" s="29" t="s">
        <v>31</v>
      </c>
      <c r="Q3" s="29" t="s">
        <v>973</v>
      </c>
      <c r="R3" s="30">
        <v>3368.43</v>
      </c>
      <c r="S3" s="31">
        <v>45789.0</v>
      </c>
      <c r="T3" s="31">
        <v>45796.0</v>
      </c>
      <c r="U3" s="3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row>
    <row r="4" ht="89.25" customHeight="1">
      <c r="A4" s="22">
        <v>46155.0</v>
      </c>
      <c r="B4" s="23" t="s">
        <v>974</v>
      </c>
      <c r="C4" s="45" t="s">
        <v>1</v>
      </c>
      <c r="D4" s="25" t="s">
        <v>975</v>
      </c>
      <c r="E4" s="26" t="s">
        <v>976</v>
      </c>
      <c r="F4" s="61" t="s">
        <v>977</v>
      </c>
      <c r="G4" s="27" t="s">
        <v>191</v>
      </c>
      <c r="H4" s="27" t="s">
        <v>978</v>
      </c>
      <c r="I4" s="28" t="s">
        <v>979</v>
      </c>
      <c r="J4" s="26" t="s">
        <v>980</v>
      </c>
      <c r="K4" s="47"/>
      <c r="L4" s="26" t="s">
        <v>981</v>
      </c>
      <c r="M4" s="27" t="s">
        <v>982</v>
      </c>
      <c r="N4" s="27" t="s">
        <v>31</v>
      </c>
      <c r="O4" s="29">
        <v>2.026000000116E12</v>
      </c>
      <c r="P4" s="29">
        <v>2.026000000158E12</v>
      </c>
      <c r="Q4" s="29" t="s">
        <v>983</v>
      </c>
      <c r="R4" s="30" t="s">
        <v>984</v>
      </c>
      <c r="S4" s="31">
        <v>46126.0</v>
      </c>
      <c r="T4" s="31">
        <v>46128.0</v>
      </c>
      <c r="U4" s="3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row>
    <row r="5" ht="89.25" customHeight="1">
      <c r="A5" s="22">
        <v>46170.0</v>
      </c>
      <c r="B5" s="34" t="s">
        <v>985</v>
      </c>
      <c r="C5" s="45" t="s">
        <v>52</v>
      </c>
      <c r="D5" s="35" t="s">
        <v>986</v>
      </c>
      <c r="E5" s="36" t="s">
        <v>987</v>
      </c>
      <c r="F5" s="27" t="s">
        <v>988</v>
      </c>
      <c r="G5" s="27" t="s">
        <v>989</v>
      </c>
      <c r="H5" s="27" t="s">
        <v>990</v>
      </c>
      <c r="I5" s="37" t="s">
        <v>991</v>
      </c>
      <c r="J5" s="32" t="s">
        <v>58</v>
      </c>
      <c r="K5" s="47"/>
      <c r="L5" s="36" t="s">
        <v>992</v>
      </c>
      <c r="M5" s="27" t="s">
        <v>993</v>
      </c>
      <c r="N5" s="27" t="s">
        <v>994</v>
      </c>
      <c r="O5" s="29">
        <v>2.025000000149E12</v>
      </c>
      <c r="P5" s="29">
        <v>2.025000000407E12</v>
      </c>
      <c r="Q5" s="29" t="s">
        <v>995</v>
      </c>
      <c r="R5" s="38">
        <v>11200.0</v>
      </c>
      <c r="S5" s="31">
        <v>45805.0</v>
      </c>
      <c r="T5" s="31">
        <v>45819.0</v>
      </c>
      <c r="U5" s="39" t="s">
        <v>996</v>
      </c>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row>
    <row r="6" ht="77.25" customHeight="1">
      <c r="A6" s="73">
        <v>46094.0</v>
      </c>
      <c r="B6" s="87" t="s">
        <v>997</v>
      </c>
      <c r="C6" s="23" t="s">
        <v>52</v>
      </c>
      <c r="D6" s="97" t="s">
        <v>998</v>
      </c>
      <c r="E6" s="90" t="s">
        <v>65</v>
      </c>
      <c r="F6" s="27" t="s">
        <v>999</v>
      </c>
      <c r="G6" s="27" t="s">
        <v>999</v>
      </c>
      <c r="H6" s="27" t="s">
        <v>1000</v>
      </c>
      <c r="I6" s="98" t="s">
        <v>1001</v>
      </c>
      <c r="J6" s="26" t="s">
        <v>1002</v>
      </c>
      <c r="K6" s="47">
        <v>45425.0</v>
      </c>
      <c r="L6" s="26" t="s">
        <v>1003</v>
      </c>
      <c r="M6" s="77" t="s">
        <v>1004</v>
      </c>
      <c r="N6" s="77" t="s">
        <v>1005</v>
      </c>
      <c r="O6" s="29">
        <v>2.024000000138E12</v>
      </c>
      <c r="P6" s="29">
        <v>2.024000000188E12</v>
      </c>
      <c r="Q6" s="29" t="s">
        <v>1006</v>
      </c>
      <c r="R6" s="42">
        <v>210000.0</v>
      </c>
      <c r="S6" s="31">
        <v>45371.0</v>
      </c>
      <c r="T6" s="31">
        <v>45400.0</v>
      </c>
      <c r="U6" s="43"/>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row>
    <row r="7" ht="81.0" customHeight="1">
      <c r="A7" s="79"/>
      <c r="B7" s="79"/>
      <c r="C7" s="23" t="s">
        <v>488</v>
      </c>
      <c r="D7" s="79"/>
      <c r="E7" s="79"/>
      <c r="F7" s="27" t="s">
        <v>1007</v>
      </c>
      <c r="G7" s="27" t="s">
        <v>1008</v>
      </c>
      <c r="H7" s="27" t="s">
        <v>1009</v>
      </c>
      <c r="I7" s="79"/>
      <c r="J7" s="26" t="s">
        <v>1002</v>
      </c>
      <c r="K7" s="47"/>
      <c r="L7" s="26" t="s">
        <v>1010</v>
      </c>
      <c r="M7" s="79"/>
      <c r="N7" s="79"/>
      <c r="O7" s="29">
        <v>2.024000000138E12</v>
      </c>
      <c r="P7" s="29"/>
      <c r="Q7" s="29" t="s">
        <v>1006</v>
      </c>
      <c r="R7" s="42"/>
      <c r="S7" s="31">
        <v>45760.0</v>
      </c>
      <c r="T7" s="31">
        <v>45793.0</v>
      </c>
      <c r="U7" s="32" t="s">
        <v>1011</v>
      </c>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row>
    <row r="8" ht="146.25" customHeight="1">
      <c r="A8" s="22">
        <v>46082.0</v>
      </c>
      <c r="B8" s="23" t="s">
        <v>1012</v>
      </c>
      <c r="C8" s="45" t="s">
        <v>52</v>
      </c>
      <c r="D8" s="25" t="s">
        <v>1013</v>
      </c>
      <c r="E8" s="26" t="s">
        <v>1014</v>
      </c>
      <c r="F8" s="27" t="s">
        <v>1015</v>
      </c>
      <c r="G8" s="27" t="s">
        <v>1016</v>
      </c>
      <c r="H8" s="27" t="s">
        <v>1017</v>
      </c>
      <c r="I8" s="28" t="s">
        <v>1018</v>
      </c>
      <c r="J8" s="58" t="s">
        <v>1019</v>
      </c>
      <c r="K8" s="26"/>
      <c r="L8" s="26" t="s">
        <v>1020</v>
      </c>
      <c r="M8" s="27" t="s">
        <v>1021</v>
      </c>
      <c r="N8" s="27" t="s">
        <v>1022</v>
      </c>
      <c r="O8" s="29"/>
      <c r="P8" s="29" t="s">
        <v>1023</v>
      </c>
      <c r="Q8" s="29" t="s">
        <v>1024</v>
      </c>
      <c r="R8" s="30">
        <v>24888.88</v>
      </c>
      <c r="S8" s="31">
        <v>45992.0</v>
      </c>
      <c r="T8" s="31">
        <v>45992.0</v>
      </c>
      <c r="U8" s="32"/>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row>
    <row r="9" ht="84.75" customHeight="1">
      <c r="A9" s="22">
        <v>46073.0</v>
      </c>
      <c r="B9" s="34" t="s">
        <v>1025</v>
      </c>
      <c r="C9" s="45" t="s">
        <v>38</v>
      </c>
      <c r="D9" s="35" t="s">
        <v>605</v>
      </c>
      <c r="E9" s="26" t="s">
        <v>65</v>
      </c>
      <c r="F9" s="27" t="s">
        <v>606</v>
      </c>
      <c r="G9" s="61" t="s">
        <v>607</v>
      </c>
      <c r="H9" s="27" t="s">
        <v>606</v>
      </c>
      <c r="I9" s="37" t="s">
        <v>1026</v>
      </c>
      <c r="J9" s="36" t="s">
        <v>70</v>
      </c>
      <c r="K9" s="47">
        <v>45173.0</v>
      </c>
      <c r="L9" s="36" t="s">
        <v>1027</v>
      </c>
      <c r="M9" s="27" t="s">
        <v>1028</v>
      </c>
      <c r="N9" s="27" t="s">
        <v>1029</v>
      </c>
      <c r="O9" s="29">
        <v>2.023000000099E12</v>
      </c>
      <c r="P9" s="29" t="s">
        <v>1030</v>
      </c>
      <c r="Q9" s="29" t="s">
        <v>1031</v>
      </c>
      <c r="R9" s="38">
        <v>743798.67</v>
      </c>
      <c r="S9" s="31">
        <v>45803.0</v>
      </c>
      <c r="T9" s="31">
        <v>45834.0</v>
      </c>
      <c r="U9" s="71"/>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row>
    <row r="10" ht="234.75" customHeight="1">
      <c r="A10" s="22">
        <v>46066.0</v>
      </c>
      <c r="B10" s="34" t="s">
        <v>528</v>
      </c>
      <c r="C10" s="45" t="s">
        <v>52</v>
      </c>
      <c r="D10" s="35" t="s">
        <v>1032</v>
      </c>
      <c r="E10" s="36" t="s">
        <v>25</v>
      </c>
      <c r="F10" s="27" t="s">
        <v>1033</v>
      </c>
      <c r="G10" s="27" t="s">
        <v>1034</v>
      </c>
      <c r="H10" s="27" t="s">
        <v>1035</v>
      </c>
      <c r="I10" s="37" t="s">
        <v>1036</v>
      </c>
      <c r="J10" s="32" t="s">
        <v>1037</v>
      </c>
      <c r="K10" s="47">
        <v>45701.0</v>
      </c>
      <c r="L10" s="36" t="s">
        <v>1038</v>
      </c>
      <c r="M10" s="27" t="s">
        <v>1039</v>
      </c>
      <c r="N10" s="27" t="s">
        <v>1040</v>
      </c>
      <c r="O10" s="29">
        <v>2.025000000122E12</v>
      </c>
      <c r="P10" s="29">
        <v>2.025000000179E12</v>
      </c>
      <c r="Q10" s="29" t="s">
        <v>1041</v>
      </c>
      <c r="R10" s="38">
        <v>8317509.3</v>
      </c>
      <c r="S10" s="31">
        <v>45882.0</v>
      </c>
      <c r="T10" s="31">
        <v>45895.0</v>
      </c>
      <c r="U10" s="71"/>
    </row>
    <row r="11">
      <c r="A11" s="22">
        <v>46064.0</v>
      </c>
      <c r="B11" s="23" t="s">
        <v>1042</v>
      </c>
      <c r="C11" s="32" t="s">
        <v>23</v>
      </c>
      <c r="D11" s="46" t="s">
        <v>1043</v>
      </c>
      <c r="E11" s="157" t="s">
        <v>65</v>
      </c>
      <c r="F11" s="27" t="s">
        <v>66</v>
      </c>
      <c r="G11" s="27" t="s">
        <v>67</v>
      </c>
      <c r="H11" s="27" t="s">
        <v>1044</v>
      </c>
      <c r="I11" s="37" t="s">
        <v>1045</v>
      </c>
      <c r="J11" s="36" t="s">
        <v>1046</v>
      </c>
      <c r="K11" s="47"/>
      <c r="L11" s="36" t="s">
        <v>1047</v>
      </c>
      <c r="M11" s="27" t="s">
        <v>1048</v>
      </c>
      <c r="N11" s="27" t="s">
        <v>1049</v>
      </c>
      <c r="O11" s="29">
        <v>2.024000000234E12</v>
      </c>
      <c r="P11" s="29" t="s">
        <v>1050</v>
      </c>
      <c r="Q11" s="29" t="s">
        <v>1051</v>
      </c>
      <c r="R11" s="38">
        <v>814885.0</v>
      </c>
      <c r="S11" s="31">
        <v>45884.0</v>
      </c>
      <c r="T11" s="31"/>
      <c r="U11" s="32"/>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row>
    <row r="12">
      <c r="A12" s="22">
        <v>46272.0</v>
      </c>
      <c r="B12" s="60" t="s">
        <v>1052</v>
      </c>
      <c r="C12" s="32" t="s">
        <v>137</v>
      </c>
      <c r="D12" s="35" t="s">
        <v>1053</v>
      </c>
      <c r="E12" s="36" t="s">
        <v>188</v>
      </c>
      <c r="F12" s="27" t="s">
        <v>1054</v>
      </c>
      <c r="G12" s="27" t="s">
        <v>191</v>
      </c>
      <c r="H12" s="27" t="s">
        <v>360</v>
      </c>
      <c r="I12" s="37" t="s">
        <v>1055</v>
      </c>
      <c r="J12" s="36" t="s">
        <v>58</v>
      </c>
      <c r="K12" s="158" t="s">
        <v>1056</v>
      </c>
      <c r="L12" s="36" t="s">
        <v>1057</v>
      </c>
      <c r="M12" s="27" t="s">
        <v>1058</v>
      </c>
      <c r="N12" s="27" t="s">
        <v>1059</v>
      </c>
      <c r="O12" s="111"/>
      <c r="P12" s="29" t="s">
        <v>1060</v>
      </c>
      <c r="Q12" s="29" t="s">
        <v>1061</v>
      </c>
      <c r="R12" s="42">
        <v>72000.0</v>
      </c>
      <c r="S12" s="31">
        <v>45905.0</v>
      </c>
      <c r="T12" s="159">
        <v>45930.0</v>
      </c>
      <c r="U12" s="58" t="s">
        <v>1062</v>
      </c>
      <c r="V12" s="59"/>
      <c r="W12" s="40"/>
      <c r="X12" s="40"/>
      <c r="Y12" s="40"/>
      <c r="Z12" s="40"/>
      <c r="AA12" s="40"/>
      <c r="AB12" s="40"/>
      <c r="AC12" s="40"/>
      <c r="AD12" s="40"/>
      <c r="AE12" s="40"/>
      <c r="AF12" s="40"/>
      <c r="AG12" s="40"/>
      <c r="AH12" s="40"/>
      <c r="AI12" s="40"/>
      <c r="AJ12" s="40"/>
      <c r="AK12" s="40"/>
      <c r="AL12" s="40"/>
      <c r="AM12" s="40"/>
    </row>
    <row r="13" ht="99.75" customHeight="1">
      <c r="A13" s="22">
        <v>46018.0</v>
      </c>
      <c r="B13" s="23" t="s">
        <v>1063</v>
      </c>
      <c r="C13" s="122" t="s">
        <v>23</v>
      </c>
      <c r="D13" s="25" t="s">
        <v>1064</v>
      </c>
      <c r="E13" s="26" t="s">
        <v>65</v>
      </c>
      <c r="F13" s="27" t="s">
        <v>88</v>
      </c>
      <c r="G13" s="27" t="s">
        <v>1065</v>
      </c>
      <c r="H13" s="27" t="s">
        <v>88</v>
      </c>
      <c r="I13" s="28" t="s">
        <v>1066</v>
      </c>
      <c r="J13" s="26" t="s">
        <v>166</v>
      </c>
      <c r="K13" s="47">
        <v>45572.0</v>
      </c>
      <c r="L13" s="26" t="s">
        <v>1067</v>
      </c>
      <c r="M13" s="27" t="s">
        <v>1068</v>
      </c>
      <c r="N13" s="27" t="s">
        <v>1069</v>
      </c>
      <c r="O13" s="29">
        <v>2.024000000258E12</v>
      </c>
      <c r="P13" s="27">
        <v>2.024000000071E12</v>
      </c>
      <c r="Q13" s="29" t="s">
        <v>1070</v>
      </c>
      <c r="R13" s="42">
        <v>3959514.25</v>
      </c>
      <c r="S13" s="31">
        <v>45632.0</v>
      </c>
      <c r="T13" s="31">
        <v>45632.0</v>
      </c>
      <c r="U13" s="51"/>
      <c r="V13" s="20"/>
      <c r="W13" s="40"/>
      <c r="X13" s="40"/>
      <c r="Y13" s="40"/>
      <c r="Z13" s="40"/>
      <c r="AA13" s="40"/>
      <c r="AB13" s="40"/>
      <c r="AC13" s="40"/>
      <c r="AD13" s="40"/>
      <c r="AE13" s="40"/>
      <c r="AF13" s="40"/>
      <c r="AG13" s="40"/>
      <c r="AH13" s="40"/>
      <c r="AI13" s="40"/>
      <c r="AJ13" s="40"/>
      <c r="AK13" s="40"/>
      <c r="AL13" s="40"/>
      <c r="AM13" s="40"/>
      <c r="AN13" s="40"/>
      <c r="AO13" s="40"/>
    </row>
    <row r="14" ht="99.75" customHeight="1">
      <c r="A14" s="22">
        <v>46023.0</v>
      </c>
      <c r="B14" s="23" t="s">
        <v>1071</v>
      </c>
      <c r="C14" s="45" t="s">
        <v>1072</v>
      </c>
      <c r="D14" s="35" t="s">
        <v>1073</v>
      </c>
      <c r="E14" s="58" t="s">
        <v>25</v>
      </c>
      <c r="F14" s="61" t="s">
        <v>1074</v>
      </c>
      <c r="G14" s="61" t="s">
        <v>1075</v>
      </c>
      <c r="H14" s="61" t="s">
        <v>284</v>
      </c>
      <c r="I14" s="101" t="s">
        <v>1076</v>
      </c>
      <c r="J14" s="58" t="s">
        <v>1077</v>
      </c>
      <c r="K14" s="102"/>
      <c r="L14" s="58" t="s">
        <v>1078</v>
      </c>
      <c r="M14" s="61" t="s">
        <v>1079</v>
      </c>
      <c r="N14" s="61" t="s">
        <v>1080</v>
      </c>
      <c r="O14" s="32">
        <v>2.025000000201E12</v>
      </c>
      <c r="P14" s="32" t="s">
        <v>1081</v>
      </c>
      <c r="Q14" s="32" t="s">
        <v>1082</v>
      </c>
      <c r="R14" s="103">
        <v>23050.0</v>
      </c>
      <c r="S14" s="102">
        <v>45658.0</v>
      </c>
      <c r="T14" s="102">
        <v>45933.0</v>
      </c>
      <c r="U14" s="32" t="s">
        <v>1083</v>
      </c>
      <c r="V14" s="33"/>
      <c r="W14" s="40"/>
      <c r="X14" s="40"/>
      <c r="Y14" s="40"/>
      <c r="Z14" s="40"/>
      <c r="AA14" s="40"/>
      <c r="AB14" s="40"/>
      <c r="AC14" s="40"/>
      <c r="AD14" s="40"/>
      <c r="AE14" s="40"/>
      <c r="AF14" s="40"/>
      <c r="AG14" s="40"/>
      <c r="AH14" s="40"/>
      <c r="AI14" s="40"/>
      <c r="AJ14" s="40"/>
      <c r="AK14" s="40"/>
      <c r="AL14" s="40"/>
      <c r="AM14" s="40"/>
      <c r="AN14" s="40"/>
      <c r="AO14" s="40"/>
      <c r="AP14" s="40"/>
      <c r="AQ14" s="40"/>
    </row>
    <row r="15" ht="117.75" customHeight="1">
      <c r="A15" s="48">
        <v>46011.0</v>
      </c>
      <c r="B15" s="23" t="s">
        <v>1084</v>
      </c>
      <c r="C15" s="58" t="s">
        <v>1085</v>
      </c>
      <c r="D15" s="35" t="s">
        <v>1086</v>
      </c>
      <c r="E15" s="58" t="s">
        <v>475</v>
      </c>
      <c r="F15" s="61" t="s">
        <v>1087</v>
      </c>
      <c r="G15" s="61" t="s">
        <v>1088</v>
      </c>
      <c r="H15" s="61" t="s">
        <v>1089</v>
      </c>
      <c r="I15" s="128" t="s">
        <v>1090</v>
      </c>
      <c r="J15" s="58" t="s">
        <v>130</v>
      </c>
      <c r="K15" s="109">
        <v>44915.0</v>
      </c>
      <c r="L15" s="32" t="s">
        <v>1091</v>
      </c>
      <c r="M15" s="61" t="s">
        <v>1092</v>
      </c>
      <c r="N15" s="61" t="s">
        <v>1093</v>
      </c>
      <c r="O15" s="32" t="s">
        <v>1094</v>
      </c>
      <c r="P15" s="32" t="s">
        <v>1094</v>
      </c>
      <c r="Q15" s="32" t="s">
        <v>1095</v>
      </c>
      <c r="R15" s="103">
        <v>1.12019208E7</v>
      </c>
      <c r="S15" s="129"/>
      <c r="T15" s="109"/>
      <c r="U15" s="135"/>
      <c r="V15" s="100"/>
      <c r="W15" s="40"/>
      <c r="X15" s="40"/>
      <c r="Y15" s="40"/>
      <c r="Z15" s="40"/>
      <c r="AA15" s="40"/>
      <c r="AB15" s="40"/>
      <c r="AC15" s="40"/>
      <c r="AD15" s="40"/>
      <c r="AE15" s="40"/>
      <c r="AF15" s="40"/>
      <c r="AG15" s="40"/>
      <c r="AH15" s="40"/>
      <c r="AI15" s="40"/>
      <c r="AJ15" s="40"/>
      <c r="AK15" s="40"/>
      <c r="AL15" s="40"/>
      <c r="AM15" s="40"/>
      <c r="AN15" s="40"/>
      <c r="AO15" s="40"/>
      <c r="AP15" s="40"/>
      <c r="AQ15" s="40"/>
      <c r="AR15" s="40"/>
      <c r="AS15" s="40"/>
    </row>
    <row r="16">
      <c r="A16" s="22">
        <v>46009.0</v>
      </c>
      <c r="B16" s="23" t="s">
        <v>1096</v>
      </c>
      <c r="C16" s="45" t="s">
        <v>52</v>
      </c>
      <c r="D16" s="25" t="s">
        <v>1097</v>
      </c>
      <c r="E16" s="26" t="s">
        <v>25</v>
      </c>
      <c r="F16" s="61" t="s">
        <v>897</v>
      </c>
      <c r="G16" s="61" t="s">
        <v>1098</v>
      </c>
      <c r="H16" s="61" t="s">
        <v>1099</v>
      </c>
      <c r="I16" s="28" t="s">
        <v>1100</v>
      </c>
      <c r="J16" s="26" t="s">
        <v>130</v>
      </c>
      <c r="K16" s="26"/>
      <c r="L16" s="26" t="s">
        <v>1101</v>
      </c>
      <c r="M16" s="27" t="s">
        <v>1102</v>
      </c>
      <c r="N16" s="27"/>
      <c r="O16" s="29">
        <v>2.024000000297E12</v>
      </c>
      <c r="P16" s="29">
        <v>2.025000000003E12</v>
      </c>
      <c r="Q16" s="29" t="s">
        <v>1103</v>
      </c>
      <c r="R16" s="42">
        <v>849000.0</v>
      </c>
      <c r="S16" s="31">
        <v>45644.0</v>
      </c>
      <c r="T16" s="31">
        <v>45645.0</v>
      </c>
      <c r="U16" s="32"/>
      <c r="V16" s="33"/>
      <c r="W16" s="40"/>
      <c r="X16" s="40"/>
      <c r="Y16" s="40"/>
      <c r="Z16" s="40"/>
      <c r="AA16" s="40"/>
      <c r="AB16" s="40"/>
      <c r="AC16" s="40"/>
      <c r="AD16" s="40"/>
      <c r="AE16" s="40"/>
      <c r="AF16" s="40"/>
      <c r="AG16" s="40"/>
      <c r="AH16" s="40"/>
      <c r="AI16" s="40"/>
      <c r="AJ16" s="40"/>
      <c r="AK16" s="40"/>
      <c r="AL16" s="40"/>
      <c r="AM16" s="40"/>
      <c r="AN16" s="40"/>
      <c r="AO16" s="40"/>
      <c r="AP16" s="40"/>
      <c r="AQ16" s="40"/>
      <c r="AR16" s="40"/>
      <c r="AS16" s="40"/>
    </row>
    <row r="17" ht="105.0" customHeight="1">
      <c r="A17" s="22">
        <v>45983.0</v>
      </c>
      <c r="B17" s="34" t="s">
        <v>1104</v>
      </c>
      <c r="C17" s="32" t="s">
        <v>52</v>
      </c>
      <c r="D17" s="25" t="s">
        <v>1105</v>
      </c>
      <c r="E17" s="36" t="s">
        <v>1106</v>
      </c>
      <c r="F17" s="27" t="s">
        <v>1107</v>
      </c>
      <c r="G17" s="27" t="s">
        <v>1108</v>
      </c>
      <c r="H17" s="27" t="s">
        <v>1109</v>
      </c>
      <c r="I17" s="37" t="s">
        <v>1110</v>
      </c>
      <c r="J17" s="32" t="s">
        <v>1111</v>
      </c>
      <c r="K17" s="36"/>
      <c r="L17" s="36" t="s">
        <v>1111</v>
      </c>
      <c r="M17" s="27" t="s">
        <v>1112</v>
      </c>
      <c r="N17" s="27" t="s">
        <v>1113</v>
      </c>
      <c r="O17" s="29" t="s">
        <v>1114</v>
      </c>
      <c r="P17" s="29" t="s">
        <v>707</v>
      </c>
      <c r="Q17" s="29" t="s">
        <v>1115</v>
      </c>
      <c r="R17" s="160" t="s">
        <v>1116</v>
      </c>
      <c r="S17" s="31">
        <v>45618.0</v>
      </c>
      <c r="T17" s="31"/>
      <c r="U17" s="71"/>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row>
    <row r="18" ht="105.0" customHeight="1">
      <c r="A18" s="73">
        <v>45978.0</v>
      </c>
      <c r="B18" s="87" t="s">
        <v>1117</v>
      </c>
      <c r="C18" s="45" t="s">
        <v>52</v>
      </c>
      <c r="D18" s="97" t="s">
        <v>1118</v>
      </c>
      <c r="E18" s="94" t="s">
        <v>40</v>
      </c>
      <c r="F18" s="27" t="s">
        <v>1119</v>
      </c>
      <c r="G18" s="27" t="s">
        <v>1120</v>
      </c>
      <c r="H18" s="27" t="s">
        <v>1121</v>
      </c>
      <c r="I18" s="98" t="s">
        <v>1122</v>
      </c>
      <c r="J18" s="58" t="s">
        <v>1123</v>
      </c>
      <c r="K18" s="161">
        <v>44882.0</v>
      </c>
      <c r="L18" s="26" t="s">
        <v>1124</v>
      </c>
      <c r="M18" s="77" t="s">
        <v>1125</v>
      </c>
      <c r="N18" s="77" t="s">
        <v>1126</v>
      </c>
      <c r="O18" s="78" t="s">
        <v>1127</v>
      </c>
      <c r="P18" s="29">
        <v>2.022000000391E12</v>
      </c>
      <c r="Q18" s="78" t="s">
        <v>1128</v>
      </c>
      <c r="R18" s="162">
        <v>300000.0</v>
      </c>
      <c r="S18" s="31">
        <v>44882.0</v>
      </c>
      <c r="T18" s="31">
        <v>44900.0</v>
      </c>
      <c r="U18" s="58"/>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row>
    <row r="19" ht="105.0" customHeight="1">
      <c r="A19" s="95"/>
      <c r="B19" s="95"/>
      <c r="C19" s="45" t="s">
        <v>23</v>
      </c>
      <c r="D19" s="95"/>
      <c r="E19" s="95"/>
      <c r="F19" s="27" t="s">
        <v>1119</v>
      </c>
      <c r="G19" s="27" t="s">
        <v>1120</v>
      </c>
      <c r="H19" s="27" t="s">
        <v>1129</v>
      </c>
      <c r="I19" s="95"/>
      <c r="J19" s="58" t="s">
        <v>1123</v>
      </c>
      <c r="K19" s="95"/>
      <c r="L19" s="26" t="s">
        <v>1130</v>
      </c>
      <c r="M19" s="95"/>
      <c r="N19" s="95"/>
      <c r="O19" s="95"/>
      <c r="P19" s="29">
        <v>2.024000000002E12</v>
      </c>
      <c r="Q19" s="95"/>
      <c r="R19" s="95"/>
      <c r="S19" s="31">
        <v>45245.0</v>
      </c>
      <c r="T19" s="31">
        <v>45301.0</v>
      </c>
      <c r="U19" s="58" t="s">
        <v>1131</v>
      </c>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row>
    <row r="20" ht="105.0" customHeight="1">
      <c r="A20" s="79"/>
      <c r="B20" s="79"/>
      <c r="C20" s="45" t="s">
        <v>38</v>
      </c>
      <c r="D20" s="79"/>
      <c r="E20" s="79"/>
      <c r="F20" s="27" t="s">
        <v>1132</v>
      </c>
      <c r="G20" s="27" t="s">
        <v>1132</v>
      </c>
      <c r="H20" s="27" t="s">
        <v>1133</v>
      </c>
      <c r="I20" s="79"/>
      <c r="J20" s="58" t="s">
        <v>130</v>
      </c>
      <c r="K20" s="79"/>
      <c r="L20" s="26" t="s">
        <v>1134</v>
      </c>
      <c r="M20" s="79"/>
      <c r="N20" s="79"/>
      <c r="O20" s="79"/>
      <c r="P20" s="29">
        <v>2.024000000072E12</v>
      </c>
      <c r="Q20" s="79"/>
      <c r="R20" s="79"/>
      <c r="S20" s="31">
        <v>45610.0</v>
      </c>
      <c r="T20" s="31">
        <v>45629.0</v>
      </c>
      <c r="U20" s="58" t="s">
        <v>1131</v>
      </c>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row>
    <row r="21" ht="105.0" customHeight="1">
      <c r="A21" s="113" t="str">
        <f>#REF!-$A$1</f>
        <v>#REF!</v>
      </c>
      <c r="B21" s="60" t="s">
        <v>1135</v>
      </c>
      <c r="C21" s="32" t="s">
        <v>1136</v>
      </c>
      <c r="D21" s="163" t="s">
        <v>64</v>
      </c>
      <c r="E21" s="99" t="s">
        <v>65</v>
      </c>
      <c r="F21" s="21" t="s">
        <v>1137</v>
      </c>
      <c r="G21" s="21" t="s">
        <v>31</v>
      </c>
      <c r="H21" s="21" t="s">
        <v>31</v>
      </c>
      <c r="I21" s="164" t="s">
        <v>1138</v>
      </c>
      <c r="J21" s="165" t="s">
        <v>1139</v>
      </c>
      <c r="K21" s="135" t="s">
        <v>1140</v>
      </c>
      <c r="L21" s="135" t="s">
        <v>726</v>
      </c>
      <c r="M21" s="81" t="s">
        <v>1141</v>
      </c>
      <c r="N21" s="81" t="s">
        <v>1142</v>
      </c>
      <c r="O21" s="81">
        <v>2.024000000272E12</v>
      </c>
      <c r="P21" s="29">
        <v>2.024000000628E12</v>
      </c>
      <c r="Q21" s="116" t="s">
        <v>1143</v>
      </c>
      <c r="R21" s="83">
        <v>813280.0</v>
      </c>
      <c r="S21" s="84">
        <v>45980.0</v>
      </c>
      <c r="T21" s="166"/>
      <c r="U21" s="167"/>
      <c r="V21" s="168"/>
      <c r="W21" s="169"/>
      <c r="X21" s="169"/>
      <c r="Y21" s="169"/>
      <c r="Z21" s="169"/>
      <c r="AA21" s="169"/>
      <c r="AB21" s="169"/>
      <c r="AC21" s="169"/>
      <c r="AD21" s="169"/>
      <c r="AE21" s="169"/>
      <c r="AF21" s="169"/>
      <c r="AG21" s="169"/>
      <c r="AH21" s="169"/>
      <c r="AI21" s="169"/>
      <c r="AJ21" s="169"/>
      <c r="AK21" s="170"/>
      <c r="AL21" s="171"/>
      <c r="AM21" s="171"/>
      <c r="AN21" s="169"/>
      <c r="AO21" s="118"/>
      <c r="AP21" s="118"/>
      <c r="AQ21" s="118"/>
      <c r="AR21" s="118"/>
      <c r="AS21" s="118"/>
      <c r="AT21" s="172"/>
      <c r="AU21" s="172"/>
      <c r="AV21" s="173"/>
      <c r="AW21" s="173"/>
    </row>
    <row r="22" ht="105.0" customHeight="1">
      <c r="A22" s="174">
        <v>45939.0</v>
      </c>
      <c r="B22" s="175" t="s">
        <v>1144</v>
      </c>
      <c r="C22" s="123" t="s">
        <v>23</v>
      </c>
      <c r="D22" s="176" t="s">
        <v>1145</v>
      </c>
      <c r="E22" s="177" t="s">
        <v>344</v>
      </c>
      <c r="F22" s="178" t="s">
        <v>929</v>
      </c>
      <c r="G22" s="178" t="s">
        <v>1146</v>
      </c>
      <c r="H22" s="178" t="s">
        <v>372</v>
      </c>
      <c r="I22" s="179" t="s">
        <v>1147</v>
      </c>
      <c r="J22" s="177" t="s">
        <v>130</v>
      </c>
      <c r="K22" s="177" t="s">
        <v>1148</v>
      </c>
      <c r="L22" s="180" t="s">
        <v>1149</v>
      </c>
      <c r="M22" s="27" t="s">
        <v>1150</v>
      </c>
      <c r="N22" s="27" t="s">
        <v>1151</v>
      </c>
      <c r="O22" s="29" t="s">
        <v>1152</v>
      </c>
      <c r="P22" s="29">
        <v>2.025000000022E12</v>
      </c>
      <c r="Q22" s="29" t="s">
        <v>1153</v>
      </c>
      <c r="R22" s="42">
        <v>10310.4</v>
      </c>
      <c r="S22" s="31">
        <v>45573.0</v>
      </c>
      <c r="T22" s="31">
        <v>45744.0</v>
      </c>
      <c r="U22" s="181" t="s">
        <v>1154</v>
      </c>
      <c r="V22" s="59"/>
      <c r="W22" s="59"/>
      <c r="X22" s="59"/>
      <c r="Y22" s="59"/>
      <c r="Z22" s="59"/>
    </row>
    <row r="23" ht="105.0" customHeight="1">
      <c r="A23" s="48">
        <v>45930.0</v>
      </c>
      <c r="B23" s="23" t="s">
        <v>1155</v>
      </c>
      <c r="C23" s="32" t="s">
        <v>52</v>
      </c>
      <c r="D23" s="25" t="s">
        <v>772</v>
      </c>
      <c r="E23" s="26" t="s">
        <v>114</v>
      </c>
      <c r="F23" s="21" t="s">
        <v>1156</v>
      </c>
      <c r="G23" s="21" t="s">
        <v>1157</v>
      </c>
      <c r="H23" s="21" t="s">
        <v>1158</v>
      </c>
      <c r="I23" s="28" t="s">
        <v>691</v>
      </c>
      <c r="J23" s="110" t="s">
        <v>130</v>
      </c>
      <c r="K23" s="102">
        <v>45566.0</v>
      </c>
      <c r="L23" s="58" t="s">
        <v>1159</v>
      </c>
      <c r="M23" s="27" t="s">
        <v>777</v>
      </c>
      <c r="N23" s="27" t="s">
        <v>1160</v>
      </c>
      <c r="O23" s="29">
        <v>2.02400000014E12</v>
      </c>
      <c r="P23" s="29" t="s">
        <v>1161</v>
      </c>
      <c r="Q23" s="29" t="s">
        <v>1162</v>
      </c>
      <c r="R23" s="42">
        <v>480000.0</v>
      </c>
      <c r="S23" s="31">
        <v>45565.0</v>
      </c>
      <c r="T23" s="182"/>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row>
    <row r="24" ht="105.0" customHeight="1">
      <c r="A24" s="22">
        <v>45946.0</v>
      </c>
      <c r="B24" s="23" t="s">
        <v>1163</v>
      </c>
      <c r="C24" s="45" t="s">
        <v>52</v>
      </c>
      <c r="D24" s="25" t="s">
        <v>1164</v>
      </c>
      <c r="E24" s="58" t="s">
        <v>369</v>
      </c>
      <c r="F24" s="27" t="s">
        <v>1165</v>
      </c>
      <c r="G24" s="27" t="s">
        <v>723</v>
      </c>
      <c r="H24" s="27" t="s">
        <v>1166</v>
      </c>
      <c r="I24" s="28" t="s">
        <v>1167</v>
      </c>
      <c r="J24" s="26" t="s">
        <v>1168</v>
      </c>
      <c r="K24" s="26"/>
      <c r="L24" s="26"/>
      <c r="M24" s="27" t="s">
        <v>1169</v>
      </c>
      <c r="N24" s="27" t="s">
        <v>1170</v>
      </c>
      <c r="O24" s="29">
        <v>2.0244000000243E13</v>
      </c>
      <c r="P24" s="29" t="s">
        <v>1171</v>
      </c>
      <c r="Q24" s="29" t="s">
        <v>1172</v>
      </c>
      <c r="R24" s="30">
        <v>35750.0</v>
      </c>
      <c r="S24" s="31">
        <v>45561.0</v>
      </c>
      <c r="T24" s="31"/>
      <c r="U24" s="58"/>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row>
    <row r="25" ht="105.0" customHeight="1">
      <c r="A25" s="22">
        <v>45923.0</v>
      </c>
      <c r="B25" s="23" t="s">
        <v>1173</v>
      </c>
      <c r="C25" s="45" t="s">
        <v>52</v>
      </c>
      <c r="D25" s="25" t="s">
        <v>1174</v>
      </c>
      <c r="E25" s="26" t="s">
        <v>188</v>
      </c>
      <c r="F25" s="27" t="s">
        <v>126</v>
      </c>
      <c r="G25" s="27" t="s">
        <v>1175</v>
      </c>
      <c r="H25" s="27" t="s">
        <v>127</v>
      </c>
      <c r="I25" s="28" t="s">
        <v>1176</v>
      </c>
      <c r="J25" s="26" t="s">
        <v>1077</v>
      </c>
      <c r="K25" s="50"/>
      <c r="L25" s="26" t="s">
        <v>1177</v>
      </c>
      <c r="M25" s="27" t="s">
        <v>1178</v>
      </c>
      <c r="N25" s="27" t="s">
        <v>1179</v>
      </c>
      <c r="O25" s="29" t="s">
        <v>1180</v>
      </c>
      <c r="P25" s="29" t="s">
        <v>1180</v>
      </c>
      <c r="Q25" s="29" t="s">
        <v>1181</v>
      </c>
      <c r="R25" s="30">
        <v>1649.96</v>
      </c>
      <c r="S25" s="31">
        <v>45821.0</v>
      </c>
      <c r="T25" s="31">
        <v>45831.0</v>
      </c>
      <c r="U25" s="32"/>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row>
    <row r="26" ht="105.0" customHeight="1">
      <c r="A26" s="183">
        <v>45913.0</v>
      </c>
      <c r="B26" s="23" t="s">
        <v>1182</v>
      </c>
      <c r="C26" s="32" t="s">
        <v>52</v>
      </c>
      <c r="D26" s="35" t="s">
        <v>1183</v>
      </c>
      <c r="E26" s="36" t="s">
        <v>40</v>
      </c>
      <c r="F26" s="61" t="s">
        <v>1184</v>
      </c>
      <c r="G26" s="61" t="s">
        <v>861</v>
      </c>
      <c r="H26" s="61" t="s">
        <v>1185</v>
      </c>
      <c r="I26" s="37" t="s">
        <v>1186</v>
      </c>
      <c r="J26" s="58" t="s">
        <v>130</v>
      </c>
      <c r="K26" s="102">
        <v>45548.0</v>
      </c>
      <c r="L26" s="184" t="s">
        <v>1187</v>
      </c>
      <c r="M26" s="61" t="s">
        <v>1188</v>
      </c>
      <c r="N26" s="61" t="s">
        <v>1189</v>
      </c>
      <c r="O26" s="32">
        <v>2.02400000024E12</v>
      </c>
      <c r="P26" s="29">
        <v>2.024000000519E12</v>
      </c>
      <c r="Q26" s="29" t="s">
        <v>1190</v>
      </c>
      <c r="R26" s="103">
        <v>14950.0</v>
      </c>
      <c r="S26" s="129">
        <v>45545.0</v>
      </c>
      <c r="T26" s="129"/>
      <c r="U26" s="58"/>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row>
    <row r="27" ht="105.0" customHeight="1">
      <c r="A27" s="22">
        <v>45897.0</v>
      </c>
      <c r="B27" s="23" t="s">
        <v>1191</v>
      </c>
      <c r="C27" s="32" t="s">
        <v>52</v>
      </c>
      <c r="D27" s="25" t="s">
        <v>1192</v>
      </c>
      <c r="E27" s="26" t="s">
        <v>25</v>
      </c>
      <c r="F27" s="21" t="s">
        <v>897</v>
      </c>
      <c r="G27" s="27" t="s">
        <v>104</v>
      </c>
      <c r="H27" s="27" t="s">
        <v>1193</v>
      </c>
      <c r="I27" s="28" t="s">
        <v>1194</v>
      </c>
      <c r="J27" s="36" t="s">
        <v>58</v>
      </c>
      <c r="K27" s="26" t="s">
        <v>31</v>
      </c>
      <c r="L27" s="36" t="s">
        <v>1195</v>
      </c>
      <c r="M27" s="27" t="s">
        <v>1196</v>
      </c>
      <c r="N27" s="27" t="s">
        <v>1197</v>
      </c>
      <c r="O27" s="29">
        <v>2.024000000246E12</v>
      </c>
      <c r="P27" s="29">
        <v>2.02400000049E12</v>
      </c>
      <c r="Q27" s="29" t="s">
        <v>1198</v>
      </c>
      <c r="R27" s="42">
        <v>5400.0</v>
      </c>
      <c r="S27" s="31">
        <v>45532.0</v>
      </c>
      <c r="T27" s="31"/>
      <c r="U27" s="51"/>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row>
    <row r="28" ht="105.0" customHeight="1">
      <c r="A28" s="22">
        <v>45891.0</v>
      </c>
      <c r="B28" s="23" t="s">
        <v>1199</v>
      </c>
      <c r="C28" s="32" t="s">
        <v>52</v>
      </c>
      <c r="D28" s="25" t="s">
        <v>1200</v>
      </c>
      <c r="E28" s="26" t="s">
        <v>65</v>
      </c>
      <c r="F28" s="27" t="s">
        <v>1201</v>
      </c>
      <c r="G28" s="27" t="s">
        <v>949</v>
      </c>
      <c r="H28" s="27" t="s">
        <v>1202</v>
      </c>
      <c r="I28" s="28" t="s">
        <v>1203</v>
      </c>
      <c r="J28" s="36" t="s">
        <v>58</v>
      </c>
      <c r="K28" s="26"/>
      <c r="L28" s="26" t="s">
        <v>1204</v>
      </c>
      <c r="M28" s="27" t="s">
        <v>1205</v>
      </c>
      <c r="N28" s="27"/>
      <c r="O28" s="29"/>
      <c r="P28" s="29"/>
      <c r="Q28" s="29" t="s">
        <v>1206</v>
      </c>
      <c r="R28" s="30">
        <v>4370.0</v>
      </c>
      <c r="S28" s="31">
        <v>45526.0</v>
      </c>
      <c r="T28" s="31"/>
      <c r="U28" s="43"/>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row>
    <row r="29" ht="105.0" customHeight="1">
      <c r="A29" s="22">
        <v>45874.0</v>
      </c>
      <c r="B29" s="34" t="s">
        <v>1207</v>
      </c>
      <c r="C29" s="123" t="s">
        <v>23</v>
      </c>
      <c r="D29" s="35" t="s">
        <v>1208</v>
      </c>
      <c r="E29" s="36" t="s">
        <v>40</v>
      </c>
      <c r="F29" s="27" t="s">
        <v>1209</v>
      </c>
      <c r="G29" s="27" t="s">
        <v>1210</v>
      </c>
      <c r="H29" s="27" t="s">
        <v>1211</v>
      </c>
      <c r="I29" s="37" t="s">
        <v>1212</v>
      </c>
      <c r="J29" s="32" t="s">
        <v>1037</v>
      </c>
      <c r="K29" s="36"/>
      <c r="L29" s="36" t="s">
        <v>1213</v>
      </c>
      <c r="M29" s="27" t="s">
        <v>1214</v>
      </c>
      <c r="N29" s="27" t="s">
        <v>1215</v>
      </c>
      <c r="O29" s="29">
        <v>2.024000000223E12</v>
      </c>
      <c r="P29" s="27">
        <v>2.025000000069E12</v>
      </c>
      <c r="Q29" s="29" t="s">
        <v>1216</v>
      </c>
      <c r="R29" s="38">
        <v>162000.0</v>
      </c>
      <c r="S29" s="31">
        <v>45693.0</v>
      </c>
      <c r="T29" s="31">
        <v>45728.0</v>
      </c>
      <c r="U29" s="39" t="s">
        <v>1217</v>
      </c>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row>
    <row r="30" ht="105.0" customHeight="1">
      <c r="A30" s="22">
        <v>45868.0</v>
      </c>
      <c r="B30" s="60" t="s">
        <v>1218</v>
      </c>
      <c r="C30" s="45" t="s">
        <v>175</v>
      </c>
      <c r="D30" s="25" t="s">
        <v>1219</v>
      </c>
      <c r="E30" s="36" t="s">
        <v>344</v>
      </c>
      <c r="F30" s="27" t="s">
        <v>1220</v>
      </c>
      <c r="G30" s="27" t="s">
        <v>940</v>
      </c>
      <c r="H30" s="27" t="s">
        <v>1221</v>
      </c>
      <c r="I30" s="80" t="s">
        <v>1222</v>
      </c>
      <c r="J30" s="26" t="s">
        <v>1223</v>
      </c>
      <c r="K30" s="26"/>
      <c r="L30" s="26" t="s">
        <v>1224</v>
      </c>
      <c r="M30" s="134" t="s">
        <v>1225</v>
      </c>
      <c r="N30" s="134" t="s">
        <v>1226</v>
      </c>
      <c r="O30" s="29">
        <v>2.021000000097E12</v>
      </c>
      <c r="P30" s="29" t="s">
        <v>1227</v>
      </c>
      <c r="Q30" s="111" t="s">
        <v>1228</v>
      </c>
      <c r="R30" s="38">
        <v>48000.0</v>
      </c>
      <c r="S30" s="31">
        <v>45687.0</v>
      </c>
      <c r="T30" s="31">
        <v>45694.0</v>
      </c>
      <c r="U30" s="32"/>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row>
    <row r="31" ht="193.5" customHeight="1">
      <c r="A31" s="22">
        <v>45864.0</v>
      </c>
      <c r="B31" s="23" t="s">
        <v>1229</v>
      </c>
      <c r="C31" s="45" t="s">
        <v>23</v>
      </c>
      <c r="D31" s="25" t="s">
        <v>1230</v>
      </c>
      <c r="E31" s="26" t="s">
        <v>139</v>
      </c>
      <c r="F31" s="27" t="s">
        <v>140</v>
      </c>
      <c r="G31" s="61" t="s">
        <v>141</v>
      </c>
      <c r="H31" s="27" t="s">
        <v>142</v>
      </c>
      <c r="I31" s="28" t="s">
        <v>1231</v>
      </c>
      <c r="J31" s="26" t="s">
        <v>130</v>
      </c>
      <c r="K31" s="26"/>
      <c r="L31" s="26" t="s">
        <v>1232</v>
      </c>
      <c r="M31" s="27" t="s">
        <v>1233</v>
      </c>
      <c r="N31" s="27" t="s">
        <v>1234</v>
      </c>
      <c r="O31" s="29">
        <v>2.023000000095E12</v>
      </c>
      <c r="P31" s="29" t="s">
        <v>1235</v>
      </c>
      <c r="Q31" s="29" t="s">
        <v>1236</v>
      </c>
      <c r="R31" s="42">
        <v>170388.0</v>
      </c>
      <c r="S31" s="31">
        <v>45133.0</v>
      </c>
      <c r="T31" s="31">
        <v>45139.0</v>
      </c>
      <c r="U31" s="43"/>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row>
    <row r="32" ht="105.0" customHeight="1">
      <c r="A32" s="185">
        <v>45857.0</v>
      </c>
      <c r="B32" s="186" t="s">
        <v>1237</v>
      </c>
      <c r="C32" s="187" t="s">
        <v>1238</v>
      </c>
      <c r="D32" s="188" t="s">
        <v>1239</v>
      </c>
      <c r="E32" s="189" t="s">
        <v>1240</v>
      </c>
      <c r="F32" s="190" t="s">
        <v>1241</v>
      </c>
      <c r="G32" s="190" t="s">
        <v>1242</v>
      </c>
      <c r="H32" s="81" t="s">
        <v>1243</v>
      </c>
      <c r="I32" s="191" t="s">
        <v>1244</v>
      </c>
      <c r="J32" s="192" t="s">
        <v>30</v>
      </c>
      <c r="K32" s="75" t="s">
        <v>1245</v>
      </c>
      <c r="L32" s="190" t="s">
        <v>1246</v>
      </c>
      <c r="M32" s="81" t="s">
        <v>1247</v>
      </c>
      <c r="N32" s="190">
        <v>2.023000000102E12</v>
      </c>
      <c r="O32" s="193">
        <v>2.023000000357E12</v>
      </c>
      <c r="P32" s="193" t="s">
        <v>1248</v>
      </c>
      <c r="Q32" s="83">
        <v>361000.0</v>
      </c>
      <c r="R32" s="194">
        <v>45471.0</v>
      </c>
      <c r="S32" s="194">
        <v>45140.0</v>
      </c>
      <c r="T32" s="195" t="s">
        <v>1249</v>
      </c>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row>
    <row r="33" ht="182.25" customHeight="1">
      <c r="A33" s="95"/>
      <c r="B33" s="95"/>
      <c r="C33" s="95"/>
      <c r="D33" s="95"/>
      <c r="E33" s="95"/>
      <c r="F33" s="95"/>
      <c r="G33" s="95"/>
      <c r="H33" s="81" t="s">
        <v>1250</v>
      </c>
      <c r="I33" s="95"/>
      <c r="J33" s="95"/>
      <c r="K33" s="95"/>
      <c r="L33" s="95"/>
      <c r="M33" s="81" t="s">
        <v>1251</v>
      </c>
      <c r="N33" s="95"/>
      <c r="O33" s="95"/>
      <c r="P33" s="95"/>
      <c r="Q33" s="83">
        <v>193800.0</v>
      </c>
      <c r="R33" s="95"/>
      <c r="S33" s="95"/>
      <c r="T33" s="95"/>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row>
    <row r="34" ht="178.5" customHeight="1">
      <c r="A34" s="95"/>
      <c r="B34" s="95"/>
      <c r="C34" s="95"/>
      <c r="D34" s="95"/>
      <c r="E34" s="95"/>
      <c r="F34" s="95"/>
      <c r="G34" s="95"/>
      <c r="H34" s="81" t="s">
        <v>1252</v>
      </c>
      <c r="I34" s="95"/>
      <c r="J34" s="95"/>
      <c r="K34" s="95"/>
      <c r="L34" s="95"/>
      <c r="M34" s="81" t="s">
        <v>1253</v>
      </c>
      <c r="N34" s="95"/>
      <c r="O34" s="95"/>
      <c r="P34" s="95"/>
      <c r="Q34" s="83">
        <v>142500.0</v>
      </c>
      <c r="R34" s="95"/>
      <c r="S34" s="95"/>
      <c r="T34" s="95"/>
      <c r="U34" s="169"/>
      <c r="V34" s="169"/>
      <c r="W34" s="169"/>
      <c r="X34" s="169"/>
      <c r="Y34" s="169"/>
      <c r="Z34" s="169"/>
      <c r="AA34" s="169"/>
      <c r="AB34" s="169"/>
      <c r="AC34" s="169"/>
      <c r="AD34" s="169"/>
      <c r="AE34" s="169"/>
      <c r="AF34" s="169"/>
      <c r="AG34" s="169"/>
      <c r="AH34" s="169"/>
      <c r="AI34" s="169"/>
      <c r="AJ34" s="169"/>
      <c r="AK34" s="169"/>
      <c r="AL34" s="169"/>
      <c r="AM34" s="169"/>
      <c r="AN34" s="169"/>
      <c r="AO34" s="169"/>
      <c r="AP34" s="169"/>
      <c r="AQ34" s="169"/>
      <c r="AR34" s="169"/>
    </row>
    <row r="35" ht="144.0" customHeight="1">
      <c r="A35" s="95"/>
      <c r="B35" s="95"/>
      <c r="C35" s="95"/>
      <c r="D35" s="95"/>
      <c r="E35" s="95"/>
      <c r="F35" s="95"/>
      <c r="G35" s="95"/>
      <c r="H35" s="81" t="s">
        <v>1254</v>
      </c>
      <c r="I35" s="95"/>
      <c r="J35" s="95"/>
      <c r="K35" s="95"/>
      <c r="L35" s="95"/>
      <c r="M35" s="81" t="s">
        <v>1255</v>
      </c>
      <c r="N35" s="95"/>
      <c r="O35" s="95"/>
      <c r="P35" s="95"/>
      <c r="Q35" s="83">
        <v>486200.0</v>
      </c>
      <c r="R35" s="95"/>
      <c r="S35" s="95"/>
      <c r="T35" s="95"/>
      <c r="U35" s="169"/>
      <c r="V35" s="169"/>
      <c r="W35" s="169"/>
      <c r="X35" s="169"/>
      <c r="Y35" s="169"/>
      <c r="Z35" s="169"/>
      <c r="AA35" s="169"/>
      <c r="AB35" s="169"/>
      <c r="AC35" s="169"/>
      <c r="AD35" s="169"/>
      <c r="AE35" s="169"/>
      <c r="AF35" s="169"/>
      <c r="AG35" s="169"/>
      <c r="AH35" s="169"/>
      <c r="AI35" s="169"/>
      <c r="AJ35" s="169"/>
      <c r="AK35" s="169"/>
      <c r="AL35" s="169"/>
      <c r="AM35" s="169"/>
      <c r="AN35" s="169"/>
      <c r="AO35" s="169"/>
      <c r="AP35" s="169"/>
      <c r="AQ35" s="169"/>
      <c r="AR35" s="169"/>
    </row>
    <row r="36" ht="99.0" customHeight="1">
      <c r="A36" s="95"/>
      <c r="B36" s="95"/>
      <c r="C36" s="95"/>
      <c r="D36" s="95"/>
      <c r="E36" s="95"/>
      <c r="F36" s="95"/>
      <c r="G36" s="95"/>
      <c r="H36" s="81" t="s">
        <v>1256</v>
      </c>
      <c r="I36" s="95"/>
      <c r="J36" s="95"/>
      <c r="K36" s="95"/>
      <c r="L36" s="95"/>
      <c r="M36" s="81" t="s">
        <v>1257</v>
      </c>
      <c r="N36" s="95"/>
      <c r="O36" s="95"/>
      <c r="P36" s="95"/>
      <c r="Q36" s="83">
        <v>33250.0</v>
      </c>
      <c r="R36" s="95"/>
      <c r="S36" s="95"/>
      <c r="T36" s="95"/>
      <c r="U36" s="169"/>
      <c r="V36" s="169"/>
      <c r="W36" s="169"/>
      <c r="X36" s="169"/>
      <c r="Y36" s="169"/>
      <c r="Z36" s="169"/>
      <c r="AA36" s="169"/>
      <c r="AB36" s="169"/>
      <c r="AC36" s="169"/>
      <c r="AD36" s="169"/>
      <c r="AE36" s="169"/>
      <c r="AF36" s="169"/>
      <c r="AG36" s="169"/>
      <c r="AH36" s="169"/>
      <c r="AI36" s="169"/>
      <c r="AJ36" s="169"/>
      <c r="AK36" s="169"/>
      <c r="AL36" s="169"/>
      <c r="AM36" s="169"/>
      <c r="AN36" s="169"/>
      <c r="AO36" s="169"/>
      <c r="AP36" s="169"/>
      <c r="AQ36" s="169"/>
      <c r="AR36" s="169"/>
    </row>
    <row r="37" ht="97.5" customHeight="1">
      <c r="A37" s="95"/>
      <c r="B37" s="95"/>
      <c r="C37" s="95"/>
      <c r="D37" s="95"/>
      <c r="E37" s="95"/>
      <c r="F37" s="95"/>
      <c r="G37" s="95"/>
      <c r="H37" s="81" t="s">
        <v>1258</v>
      </c>
      <c r="I37" s="95"/>
      <c r="J37" s="95"/>
      <c r="K37" s="95"/>
      <c r="L37" s="95"/>
      <c r="M37" s="81" t="s">
        <v>1259</v>
      </c>
      <c r="N37" s="95"/>
      <c r="O37" s="95"/>
      <c r="P37" s="95"/>
      <c r="Q37" s="83">
        <v>47500.0</v>
      </c>
      <c r="R37" s="95"/>
      <c r="S37" s="95"/>
      <c r="T37" s="95"/>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row>
    <row r="38" ht="64.5" customHeight="1">
      <c r="A38" s="95"/>
      <c r="B38" s="95"/>
      <c r="C38" s="95"/>
      <c r="D38" s="95"/>
      <c r="E38" s="95"/>
      <c r="F38" s="95"/>
      <c r="G38" s="95"/>
      <c r="H38" s="81" t="s">
        <v>1260</v>
      </c>
      <c r="I38" s="95"/>
      <c r="J38" s="95"/>
      <c r="K38" s="95"/>
      <c r="L38" s="95"/>
      <c r="M38" s="81" t="s">
        <v>1261</v>
      </c>
      <c r="N38" s="95"/>
      <c r="O38" s="95"/>
      <c r="P38" s="95"/>
      <c r="Q38" s="83">
        <v>47500.0</v>
      </c>
      <c r="R38" s="95"/>
      <c r="S38" s="95"/>
      <c r="T38" s="95"/>
      <c r="U38" s="169"/>
      <c r="V38" s="169"/>
      <c r="W38" s="169"/>
      <c r="X38" s="169"/>
      <c r="Y38" s="169"/>
      <c r="Z38" s="169"/>
      <c r="AA38" s="169"/>
      <c r="AB38" s="169"/>
      <c r="AC38" s="169"/>
      <c r="AD38" s="169"/>
      <c r="AE38" s="169"/>
      <c r="AF38" s="169"/>
      <c r="AG38" s="169"/>
      <c r="AH38" s="169"/>
      <c r="AI38" s="169"/>
      <c r="AJ38" s="169"/>
      <c r="AK38" s="169"/>
      <c r="AL38" s="169"/>
      <c r="AM38" s="169"/>
      <c r="AN38" s="169"/>
      <c r="AO38" s="169"/>
      <c r="AP38" s="169"/>
      <c r="AQ38" s="169"/>
      <c r="AR38" s="169"/>
    </row>
    <row r="39" ht="92.25" customHeight="1">
      <c r="A39" s="95"/>
      <c r="B39" s="95"/>
      <c r="C39" s="95"/>
      <c r="D39" s="95"/>
      <c r="E39" s="95"/>
      <c r="F39" s="95"/>
      <c r="G39" s="95"/>
      <c r="H39" s="81" t="s">
        <v>1262</v>
      </c>
      <c r="I39" s="95"/>
      <c r="J39" s="95"/>
      <c r="K39" s="95"/>
      <c r="L39" s="95"/>
      <c r="M39" s="81" t="s">
        <v>1263</v>
      </c>
      <c r="N39" s="95"/>
      <c r="O39" s="95"/>
      <c r="P39" s="95"/>
      <c r="Q39" s="83">
        <v>60000.0</v>
      </c>
      <c r="R39" s="95"/>
      <c r="S39" s="95"/>
      <c r="T39" s="95"/>
      <c r="U39" s="169"/>
      <c r="V39" s="169"/>
      <c r="W39" s="169"/>
      <c r="X39" s="169"/>
      <c r="Y39" s="169"/>
      <c r="Z39" s="169"/>
      <c r="AA39" s="169"/>
      <c r="AB39" s="169"/>
      <c r="AC39" s="169"/>
      <c r="AD39" s="169"/>
      <c r="AE39" s="169"/>
      <c r="AF39" s="169"/>
      <c r="AG39" s="169"/>
      <c r="AH39" s="169"/>
      <c r="AI39" s="169"/>
      <c r="AJ39" s="169"/>
      <c r="AK39" s="169"/>
      <c r="AL39" s="169"/>
      <c r="AM39" s="169"/>
      <c r="AN39" s="169"/>
      <c r="AO39" s="169"/>
      <c r="AP39" s="169"/>
      <c r="AQ39" s="169"/>
      <c r="AR39" s="169"/>
    </row>
    <row r="40" ht="172.5" customHeight="1">
      <c r="A40" s="95"/>
      <c r="B40" s="95"/>
      <c r="C40" s="95"/>
      <c r="D40" s="95"/>
      <c r="E40" s="95"/>
      <c r="F40" s="95"/>
      <c r="G40" s="95"/>
      <c r="H40" s="190" t="s">
        <v>1264</v>
      </c>
      <c r="I40" s="95"/>
      <c r="J40" s="95"/>
      <c r="K40" s="95"/>
      <c r="L40" s="95"/>
      <c r="M40" s="190" t="s">
        <v>1265</v>
      </c>
      <c r="N40" s="95"/>
      <c r="O40" s="95"/>
      <c r="P40" s="95"/>
      <c r="Q40" s="83">
        <v>128250.0</v>
      </c>
      <c r="R40" s="95"/>
      <c r="S40" s="95"/>
      <c r="T40" s="95"/>
      <c r="U40" s="169"/>
      <c r="V40" s="169"/>
      <c r="W40" s="169"/>
      <c r="X40" s="169"/>
      <c r="Y40" s="169"/>
      <c r="Z40" s="169"/>
      <c r="AA40" s="169"/>
      <c r="AB40" s="169"/>
      <c r="AC40" s="169"/>
      <c r="AD40" s="169"/>
      <c r="AE40" s="169"/>
      <c r="AF40" s="169"/>
      <c r="AG40" s="169"/>
      <c r="AH40" s="169"/>
      <c r="AI40" s="169"/>
      <c r="AJ40" s="169"/>
      <c r="AK40" s="169"/>
      <c r="AL40" s="169"/>
      <c r="AM40" s="169"/>
      <c r="AN40" s="169"/>
      <c r="AO40" s="169"/>
      <c r="AP40" s="169"/>
      <c r="AQ40" s="169"/>
      <c r="AR40" s="169"/>
    </row>
    <row r="41" ht="97.5" customHeight="1">
      <c r="A41" s="79"/>
      <c r="B41" s="79"/>
      <c r="C41" s="79"/>
      <c r="D41" s="79"/>
      <c r="E41" s="79"/>
      <c r="F41" s="79"/>
      <c r="G41" s="79"/>
      <c r="H41" s="79"/>
      <c r="I41" s="79"/>
      <c r="J41" s="79"/>
      <c r="K41" s="79"/>
      <c r="L41" s="79"/>
      <c r="M41" s="79"/>
      <c r="N41" s="79"/>
      <c r="O41" s="79"/>
      <c r="P41" s="79"/>
      <c r="Q41" s="196">
        <f>SUM(Q32:Q40)</f>
        <v>1500000</v>
      </c>
      <c r="R41" s="79"/>
      <c r="S41" s="79"/>
      <c r="T41" s="79"/>
      <c r="U41" s="169"/>
      <c r="V41" s="169"/>
      <c r="W41" s="169"/>
      <c r="X41" s="169"/>
      <c r="Y41" s="169"/>
      <c r="Z41" s="169"/>
      <c r="AA41" s="169"/>
      <c r="AB41" s="169"/>
      <c r="AC41" s="169"/>
      <c r="AD41" s="169"/>
      <c r="AE41" s="169"/>
      <c r="AF41" s="169"/>
      <c r="AG41" s="169"/>
      <c r="AH41" s="169"/>
      <c r="AI41" s="169"/>
      <c r="AJ41" s="169"/>
      <c r="AK41" s="169"/>
      <c r="AL41" s="169"/>
      <c r="AM41" s="169"/>
      <c r="AN41" s="169"/>
      <c r="AO41" s="169"/>
      <c r="AP41" s="169"/>
      <c r="AQ41" s="169"/>
      <c r="AR41" s="169"/>
    </row>
    <row r="42" ht="172.5" customHeight="1">
      <c r="A42" s="22">
        <v>45851.0</v>
      </c>
      <c r="B42" s="23" t="s">
        <v>1266</v>
      </c>
      <c r="C42" s="23" t="s">
        <v>52</v>
      </c>
      <c r="D42" s="25" t="s">
        <v>1267</v>
      </c>
      <c r="E42" s="26" t="s">
        <v>1268</v>
      </c>
      <c r="F42" s="27" t="s">
        <v>1269</v>
      </c>
      <c r="G42" s="27" t="s">
        <v>1270</v>
      </c>
      <c r="H42" s="27" t="s">
        <v>1271</v>
      </c>
      <c r="I42" s="28" t="s">
        <v>1272</v>
      </c>
      <c r="J42" s="26" t="s">
        <v>980</v>
      </c>
      <c r="K42" s="26" t="s">
        <v>1273</v>
      </c>
      <c r="L42" s="27" t="s">
        <v>1274</v>
      </c>
      <c r="M42" s="27"/>
      <c r="N42" s="29" t="s">
        <v>134</v>
      </c>
      <c r="O42" s="29" t="s">
        <v>134</v>
      </c>
      <c r="P42" s="29" t="s">
        <v>1275</v>
      </c>
      <c r="Q42" s="42">
        <v>2500.0</v>
      </c>
      <c r="R42" s="31">
        <v>45821.0</v>
      </c>
      <c r="S42" s="31">
        <v>45845.0</v>
      </c>
      <c r="T42" s="43"/>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row>
    <row r="43" ht="172.5" customHeight="1">
      <c r="A43" s="22">
        <v>45851.0</v>
      </c>
      <c r="B43" s="23" t="s">
        <v>1276</v>
      </c>
      <c r="C43" s="23" t="s">
        <v>52</v>
      </c>
      <c r="D43" s="25" t="s">
        <v>1277</v>
      </c>
      <c r="E43" s="26" t="s">
        <v>1268</v>
      </c>
      <c r="F43" s="27" t="s">
        <v>1269</v>
      </c>
      <c r="G43" s="27" t="s">
        <v>1270</v>
      </c>
      <c r="H43" s="27" t="s">
        <v>1271</v>
      </c>
      <c r="I43" s="28" t="s">
        <v>1272</v>
      </c>
      <c r="J43" s="26" t="s">
        <v>980</v>
      </c>
      <c r="K43" s="26" t="s">
        <v>1273</v>
      </c>
      <c r="L43" s="27" t="s">
        <v>1274</v>
      </c>
      <c r="M43" s="27"/>
      <c r="N43" s="29" t="s">
        <v>134</v>
      </c>
      <c r="O43" s="29" t="s">
        <v>134</v>
      </c>
      <c r="P43" s="29" t="s">
        <v>1275</v>
      </c>
      <c r="Q43" s="42">
        <v>2500.0</v>
      </c>
      <c r="R43" s="31">
        <v>45821.0</v>
      </c>
      <c r="S43" s="31">
        <v>45831.0</v>
      </c>
      <c r="T43" s="43"/>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row>
    <row r="44" ht="172.5" customHeight="1">
      <c r="A44" s="22">
        <v>45851.0</v>
      </c>
      <c r="B44" s="23" t="s">
        <v>1278</v>
      </c>
      <c r="C44" s="23" t="s">
        <v>52</v>
      </c>
      <c r="D44" s="25" t="s">
        <v>1279</v>
      </c>
      <c r="E44" s="26" t="s">
        <v>1268</v>
      </c>
      <c r="F44" s="27" t="s">
        <v>1269</v>
      </c>
      <c r="G44" s="27" t="s">
        <v>1270</v>
      </c>
      <c r="H44" s="27" t="s">
        <v>1271</v>
      </c>
      <c r="I44" s="28" t="s">
        <v>1272</v>
      </c>
      <c r="J44" s="26" t="s">
        <v>980</v>
      </c>
      <c r="K44" s="26" t="s">
        <v>1273</v>
      </c>
      <c r="L44" s="27" t="s">
        <v>1274</v>
      </c>
      <c r="M44" s="27"/>
      <c r="N44" s="29" t="s">
        <v>134</v>
      </c>
      <c r="O44" s="29" t="s">
        <v>134</v>
      </c>
      <c r="P44" s="29" t="s">
        <v>1275</v>
      </c>
      <c r="Q44" s="42">
        <v>1000.0</v>
      </c>
      <c r="R44" s="31">
        <v>45821.0</v>
      </c>
      <c r="S44" s="31">
        <v>45831.0</v>
      </c>
      <c r="T44" s="43"/>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row>
    <row r="45" ht="172.5" customHeight="1">
      <c r="A45" s="22">
        <v>45851.0</v>
      </c>
      <c r="B45" s="23" t="s">
        <v>1280</v>
      </c>
      <c r="C45" s="23" t="s">
        <v>52</v>
      </c>
      <c r="D45" s="25" t="s">
        <v>1281</v>
      </c>
      <c r="E45" s="26" t="s">
        <v>1268</v>
      </c>
      <c r="F45" s="27" t="s">
        <v>1269</v>
      </c>
      <c r="G45" s="27" t="s">
        <v>1270</v>
      </c>
      <c r="H45" s="27" t="s">
        <v>1271</v>
      </c>
      <c r="I45" s="28" t="s">
        <v>1272</v>
      </c>
      <c r="J45" s="26" t="s">
        <v>980</v>
      </c>
      <c r="K45" s="26" t="s">
        <v>1273</v>
      </c>
      <c r="L45" s="27" t="s">
        <v>1274</v>
      </c>
      <c r="M45" s="27"/>
      <c r="N45" s="29" t="s">
        <v>134</v>
      </c>
      <c r="O45" s="29" t="s">
        <v>134</v>
      </c>
      <c r="P45" s="29" t="s">
        <v>1275</v>
      </c>
      <c r="Q45" s="42">
        <v>2500.0</v>
      </c>
      <c r="R45" s="31">
        <v>45821.0</v>
      </c>
      <c r="S45" s="31">
        <v>45831.0</v>
      </c>
      <c r="T45" s="43"/>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row>
    <row r="46" ht="172.5" customHeight="1">
      <c r="A46" s="22">
        <v>45851.0</v>
      </c>
      <c r="B46" s="23" t="s">
        <v>413</v>
      </c>
      <c r="C46" s="23" t="s">
        <v>52</v>
      </c>
      <c r="D46" s="25" t="s">
        <v>1282</v>
      </c>
      <c r="E46" s="26" t="s">
        <v>1268</v>
      </c>
      <c r="F46" s="27" t="s">
        <v>1269</v>
      </c>
      <c r="G46" s="27" t="s">
        <v>1270</v>
      </c>
      <c r="H46" s="27" t="s">
        <v>1271</v>
      </c>
      <c r="I46" s="28" t="s">
        <v>1272</v>
      </c>
      <c r="J46" s="26" t="s">
        <v>980</v>
      </c>
      <c r="K46" s="26" t="s">
        <v>1273</v>
      </c>
      <c r="L46" s="27" t="s">
        <v>1274</v>
      </c>
      <c r="M46" s="27"/>
      <c r="N46" s="29" t="s">
        <v>134</v>
      </c>
      <c r="O46" s="29" t="s">
        <v>134</v>
      </c>
      <c r="P46" s="29" t="s">
        <v>1275</v>
      </c>
      <c r="Q46" s="42">
        <v>2500.0</v>
      </c>
      <c r="R46" s="31">
        <v>45821.0</v>
      </c>
      <c r="S46" s="31">
        <v>45831.0</v>
      </c>
      <c r="T46" s="43"/>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row>
    <row r="47" ht="172.5" customHeight="1">
      <c r="A47" s="22">
        <v>45851.0</v>
      </c>
      <c r="B47" s="23" t="s">
        <v>1283</v>
      </c>
      <c r="C47" s="23" t="s">
        <v>52</v>
      </c>
      <c r="D47" s="25" t="s">
        <v>1284</v>
      </c>
      <c r="E47" s="26" t="s">
        <v>1268</v>
      </c>
      <c r="F47" s="27" t="s">
        <v>1269</v>
      </c>
      <c r="G47" s="27" t="s">
        <v>1270</v>
      </c>
      <c r="H47" s="27" t="s">
        <v>1271</v>
      </c>
      <c r="I47" s="28" t="s">
        <v>1272</v>
      </c>
      <c r="J47" s="26" t="s">
        <v>980</v>
      </c>
      <c r="K47" s="26" t="s">
        <v>1273</v>
      </c>
      <c r="L47" s="27" t="s">
        <v>1274</v>
      </c>
      <c r="M47" s="27"/>
      <c r="N47" s="29" t="s">
        <v>134</v>
      </c>
      <c r="O47" s="29" t="s">
        <v>134</v>
      </c>
      <c r="P47" s="29" t="s">
        <v>1275</v>
      </c>
      <c r="Q47" s="42">
        <v>2500.0</v>
      </c>
      <c r="R47" s="31">
        <v>45821.0</v>
      </c>
      <c r="S47" s="31">
        <v>45831.0</v>
      </c>
      <c r="T47" s="43"/>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row>
    <row r="48" ht="172.5" customHeight="1">
      <c r="A48" s="22">
        <v>45851.0</v>
      </c>
      <c r="B48" s="23" t="s">
        <v>1285</v>
      </c>
      <c r="C48" s="23" t="s">
        <v>52</v>
      </c>
      <c r="D48" s="25" t="s">
        <v>1286</v>
      </c>
      <c r="E48" s="26" t="s">
        <v>1268</v>
      </c>
      <c r="F48" s="27" t="s">
        <v>1269</v>
      </c>
      <c r="G48" s="27" t="s">
        <v>1270</v>
      </c>
      <c r="H48" s="27" t="s">
        <v>1271</v>
      </c>
      <c r="I48" s="28" t="s">
        <v>1272</v>
      </c>
      <c r="J48" s="26" t="s">
        <v>980</v>
      </c>
      <c r="K48" s="26" t="s">
        <v>1273</v>
      </c>
      <c r="L48" s="27" t="s">
        <v>1274</v>
      </c>
      <c r="M48" s="27"/>
      <c r="N48" s="29" t="s">
        <v>134</v>
      </c>
      <c r="O48" s="29" t="s">
        <v>134</v>
      </c>
      <c r="P48" s="29" t="s">
        <v>1275</v>
      </c>
      <c r="Q48" s="42">
        <v>2500.0</v>
      </c>
      <c r="R48" s="31">
        <v>45821.0</v>
      </c>
      <c r="S48" s="31">
        <v>45831.0</v>
      </c>
      <c r="T48" s="43"/>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row>
    <row r="49" ht="172.5" customHeight="1">
      <c r="A49" s="22">
        <v>45851.0</v>
      </c>
      <c r="B49" s="23" t="s">
        <v>1287</v>
      </c>
      <c r="C49" s="23" t="s">
        <v>52</v>
      </c>
      <c r="D49" s="25" t="s">
        <v>1288</v>
      </c>
      <c r="E49" s="26" t="s">
        <v>1268</v>
      </c>
      <c r="F49" s="27" t="s">
        <v>1269</v>
      </c>
      <c r="G49" s="27" t="s">
        <v>1270</v>
      </c>
      <c r="H49" s="27" t="s">
        <v>1271</v>
      </c>
      <c r="I49" s="28" t="s">
        <v>1272</v>
      </c>
      <c r="J49" s="26" t="s">
        <v>980</v>
      </c>
      <c r="K49" s="26" t="s">
        <v>1273</v>
      </c>
      <c r="L49" s="27" t="s">
        <v>1274</v>
      </c>
      <c r="M49" s="27"/>
      <c r="N49" s="29" t="s">
        <v>134</v>
      </c>
      <c r="O49" s="29" t="s">
        <v>134</v>
      </c>
      <c r="P49" s="29" t="s">
        <v>1275</v>
      </c>
      <c r="Q49" s="42">
        <v>2500.0</v>
      </c>
      <c r="R49" s="31">
        <v>45821.0</v>
      </c>
      <c r="S49" s="31">
        <v>45831.0</v>
      </c>
      <c r="T49" s="43"/>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row>
    <row r="50" ht="172.5" customHeight="1">
      <c r="A50" s="22">
        <v>45828.0</v>
      </c>
      <c r="B50" s="69" t="s">
        <v>1289</v>
      </c>
      <c r="C50" s="45" t="s">
        <v>137</v>
      </c>
      <c r="D50" s="25" t="s">
        <v>1290</v>
      </c>
      <c r="E50" s="26" t="s">
        <v>139</v>
      </c>
      <c r="F50" s="61" t="s">
        <v>140</v>
      </c>
      <c r="G50" s="61" t="s">
        <v>141</v>
      </c>
      <c r="H50" s="27" t="s">
        <v>142</v>
      </c>
      <c r="I50" s="197" t="s">
        <v>1291</v>
      </c>
      <c r="J50" s="32" t="s">
        <v>58</v>
      </c>
      <c r="K50" s="32" t="s">
        <v>1292</v>
      </c>
      <c r="L50" s="27" t="s">
        <v>1293</v>
      </c>
      <c r="M50" s="27" t="s">
        <v>1294</v>
      </c>
      <c r="N50" s="29" t="s">
        <v>1295</v>
      </c>
      <c r="O50" s="29" t="s">
        <v>1296</v>
      </c>
      <c r="P50" s="29" t="s">
        <v>1297</v>
      </c>
      <c r="Q50" s="198">
        <v>1510.68</v>
      </c>
      <c r="R50" s="31">
        <v>45455.0</v>
      </c>
      <c r="S50" s="66">
        <v>45253.0</v>
      </c>
      <c r="T50" s="67"/>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row>
    <row r="51" ht="172.5" customHeight="1">
      <c r="A51" s="22">
        <v>45813.0</v>
      </c>
      <c r="B51" s="23" t="s">
        <v>1298</v>
      </c>
      <c r="C51" s="122"/>
      <c r="D51" s="25" t="s">
        <v>1299</v>
      </c>
      <c r="E51" s="26" t="s">
        <v>40</v>
      </c>
      <c r="F51" s="27" t="s">
        <v>1300</v>
      </c>
      <c r="G51" s="27" t="s">
        <v>1301</v>
      </c>
      <c r="H51" s="27" t="s">
        <v>1302</v>
      </c>
      <c r="I51" s="28" t="s">
        <v>1303</v>
      </c>
      <c r="J51" s="110" t="s">
        <v>130</v>
      </c>
      <c r="K51" s="32" t="s">
        <v>1304</v>
      </c>
      <c r="L51" s="27" t="s">
        <v>1305</v>
      </c>
      <c r="M51" s="27" t="s">
        <v>1306</v>
      </c>
      <c r="N51" s="111"/>
      <c r="O51" s="29"/>
      <c r="P51" s="29" t="s">
        <v>1307</v>
      </c>
      <c r="Q51" s="42">
        <v>70744.32</v>
      </c>
      <c r="R51" s="31">
        <v>45448.0</v>
      </c>
      <c r="S51" s="31">
        <v>45089.0</v>
      </c>
      <c r="T51" s="51"/>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row>
    <row r="52" ht="172.5" customHeight="1">
      <c r="A52" s="22">
        <v>45804.0</v>
      </c>
      <c r="B52" s="23" t="s">
        <v>1308</v>
      </c>
      <c r="C52" s="45" t="s">
        <v>52</v>
      </c>
      <c r="D52" s="25" t="s">
        <v>1309</v>
      </c>
      <c r="E52" s="26" t="s">
        <v>65</v>
      </c>
      <c r="F52" s="27" t="s">
        <v>606</v>
      </c>
      <c r="G52" s="27" t="s">
        <v>67</v>
      </c>
      <c r="H52" s="27" t="s">
        <v>1202</v>
      </c>
      <c r="I52" s="28" t="s">
        <v>1310</v>
      </c>
      <c r="J52" s="32" t="s">
        <v>1311</v>
      </c>
      <c r="K52" s="26" t="s">
        <v>1312</v>
      </c>
      <c r="L52" s="27" t="s">
        <v>1313</v>
      </c>
      <c r="M52" s="27" t="s">
        <v>1314</v>
      </c>
      <c r="N52" s="29">
        <v>2.024000000205E12</v>
      </c>
      <c r="O52" s="27" t="s">
        <v>1315</v>
      </c>
      <c r="P52" s="29" t="s">
        <v>1316</v>
      </c>
      <c r="Q52" s="42">
        <v>1237268.22</v>
      </c>
      <c r="R52" s="31">
        <v>45478.0</v>
      </c>
      <c r="S52" s="31"/>
      <c r="T52" s="43"/>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row>
    <row r="53" ht="220.5" customHeight="1">
      <c r="A53" s="22">
        <v>45803.0</v>
      </c>
      <c r="B53" s="23" t="s">
        <v>1317</v>
      </c>
      <c r="C53" s="32" t="s">
        <v>52</v>
      </c>
      <c r="D53" s="25" t="s">
        <v>1318</v>
      </c>
      <c r="E53" s="26" t="s">
        <v>188</v>
      </c>
      <c r="F53" s="27" t="s">
        <v>1319</v>
      </c>
      <c r="G53" s="27" t="s">
        <v>1320</v>
      </c>
      <c r="H53" s="27" t="s">
        <v>191</v>
      </c>
      <c r="I53" s="28" t="s">
        <v>1321</v>
      </c>
      <c r="J53" s="26" t="s">
        <v>1322</v>
      </c>
      <c r="K53" s="26" t="s">
        <v>1323</v>
      </c>
      <c r="L53" s="27" t="s">
        <v>1324</v>
      </c>
      <c r="M53" s="27" t="s">
        <v>1325</v>
      </c>
      <c r="N53" s="29">
        <v>2.024000000165E12</v>
      </c>
      <c r="O53" s="29">
        <v>2.024000000243E12</v>
      </c>
      <c r="P53" s="29" t="s">
        <v>1326</v>
      </c>
      <c r="Q53" s="30">
        <v>83000.0</v>
      </c>
      <c r="R53" s="31">
        <v>45407.0</v>
      </c>
      <c r="S53" s="31">
        <v>45421.0</v>
      </c>
      <c r="T53" s="32"/>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row>
    <row r="54" ht="172.5" customHeight="1">
      <c r="A54" s="174">
        <v>45762.0</v>
      </c>
      <c r="B54" s="199">
        <v>45717.0</v>
      </c>
      <c r="C54" s="21" t="s">
        <v>52</v>
      </c>
      <c r="D54" s="25" t="s">
        <v>1327</v>
      </c>
      <c r="E54" s="26" t="s">
        <v>188</v>
      </c>
      <c r="F54" s="27" t="s">
        <v>1328</v>
      </c>
      <c r="G54" s="27" t="s">
        <v>1329</v>
      </c>
      <c r="H54" s="27" t="s">
        <v>1330</v>
      </c>
      <c r="I54" s="28" t="s">
        <v>1331</v>
      </c>
      <c r="J54" s="26" t="s">
        <v>130</v>
      </c>
      <c r="K54" s="26" t="s">
        <v>1332</v>
      </c>
      <c r="L54" s="27" t="s">
        <v>1333</v>
      </c>
      <c r="M54" s="27" t="s">
        <v>1334</v>
      </c>
      <c r="N54" s="29">
        <v>2.025000000125E12</v>
      </c>
      <c r="O54" s="29" t="s">
        <v>1335</v>
      </c>
      <c r="P54" s="29" t="s">
        <v>1336</v>
      </c>
      <c r="Q54" s="30" t="s">
        <v>1337</v>
      </c>
      <c r="R54" s="31">
        <v>45722.0</v>
      </c>
      <c r="S54" s="31">
        <v>45726.0</v>
      </c>
      <c r="T54" s="32" t="s">
        <v>1338</v>
      </c>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row>
    <row r="55" ht="172.5" customHeight="1">
      <c r="A55" s="200">
        <v>45691.0</v>
      </c>
      <c r="B55" s="201" t="s">
        <v>1339</v>
      </c>
      <c r="C55" s="202" t="s">
        <v>52</v>
      </c>
      <c r="D55" s="203" t="s">
        <v>1340</v>
      </c>
      <c r="E55" s="204" t="s">
        <v>40</v>
      </c>
      <c r="F55" s="178" t="s">
        <v>1341</v>
      </c>
      <c r="G55" s="27" t="s">
        <v>1342</v>
      </c>
      <c r="H55" s="27" t="s">
        <v>1343</v>
      </c>
      <c r="I55" s="205" t="s">
        <v>1344</v>
      </c>
      <c r="J55" s="204" t="s">
        <v>130</v>
      </c>
      <c r="K55" s="180" t="s">
        <v>1345</v>
      </c>
      <c r="L55" s="77" t="s">
        <v>1346</v>
      </c>
      <c r="M55" s="77" t="s">
        <v>1347</v>
      </c>
      <c r="N55" s="29" t="s">
        <v>1348</v>
      </c>
      <c r="O55" s="29" t="s">
        <v>1349</v>
      </c>
      <c r="P55" s="78" t="s">
        <v>1350</v>
      </c>
      <c r="Q55" s="162">
        <v>0.0</v>
      </c>
      <c r="R55" s="31">
        <v>44960.0</v>
      </c>
      <c r="S55" s="31">
        <v>44964.0</v>
      </c>
      <c r="T55" s="181"/>
      <c r="U55" s="20"/>
      <c r="V55" s="20"/>
      <c r="W55" s="20"/>
      <c r="X55" s="20"/>
      <c r="Y55" s="20"/>
      <c r="Z55" s="20"/>
      <c r="AA55" s="20"/>
      <c r="AB55" s="20"/>
      <c r="AC55" s="20"/>
      <c r="AD55" s="20"/>
      <c r="AE55" s="20"/>
      <c r="AF55" s="20"/>
      <c r="AG55" s="20"/>
      <c r="AH55" s="20"/>
      <c r="AI55" s="20"/>
      <c r="AJ55" s="20"/>
      <c r="AK55" s="20"/>
      <c r="AL55" s="20"/>
      <c r="AM55" s="20"/>
      <c r="AN55" s="20"/>
      <c r="AO55" s="20"/>
      <c r="AP55" s="20"/>
    </row>
    <row r="56">
      <c r="A56" s="79"/>
      <c r="B56" s="79"/>
      <c r="C56" s="206" t="s">
        <v>23</v>
      </c>
      <c r="D56" s="79"/>
      <c r="E56" s="207"/>
      <c r="F56" s="178" t="s">
        <v>1341</v>
      </c>
      <c r="G56" s="27" t="s">
        <v>1342</v>
      </c>
      <c r="H56" s="27" t="s">
        <v>1343</v>
      </c>
      <c r="I56" s="207"/>
      <c r="J56" s="207"/>
      <c r="K56" s="180" t="s">
        <v>1351</v>
      </c>
      <c r="L56" s="79"/>
      <c r="M56" s="79"/>
      <c r="N56" s="29" t="s">
        <v>1348</v>
      </c>
      <c r="O56" s="29" t="s">
        <v>1349</v>
      </c>
      <c r="P56" s="79"/>
      <c r="Q56" s="79"/>
      <c r="R56" s="31">
        <v>45325.0</v>
      </c>
      <c r="S56" s="31">
        <v>45370.0</v>
      </c>
      <c r="T56" s="181"/>
      <c r="U56" s="20"/>
      <c r="V56" s="20"/>
      <c r="W56" s="20"/>
      <c r="X56" s="20"/>
      <c r="Y56" s="20"/>
      <c r="Z56" s="20"/>
      <c r="AA56" s="20"/>
      <c r="AB56" s="20"/>
      <c r="AC56" s="20"/>
      <c r="AD56" s="20"/>
      <c r="AE56" s="20"/>
      <c r="AF56" s="20"/>
      <c r="AG56" s="20"/>
      <c r="AH56" s="20"/>
      <c r="AI56" s="20"/>
      <c r="AJ56" s="20"/>
      <c r="AK56" s="20"/>
      <c r="AL56" s="20"/>
      <c r="AM56" s="20"/>
      <c r="AN56" s="20"/>
      <c r="AO56" s="20"/>
      <c r="AP56" s="20"/>
    </row>
    <row r="57" ht="172.5" customHeight="1">
      <c r="A57" s="208">
        <v>45681.0</v>
      </c>
      <c r="B57" s="209" t="s">
        <v>1352</v>
      </c>
      <c r="C57" s="202" t="s">
        <v>38</v>
      </c>
      <c r="D57" s="176" t="s">
        <v>1353</v>
      </c>
      <c r="E57" s="210" t="s">
        <v>255</v>
      </c>
      <c r="F57" s="81" t="s">
        <v>1354</v>
      </c>
      <c r="G57" s="190" t="s">
        <v>1355</v>
      </c>
      <c r="H57" s="190" t="s">
        <v>1356</v>
      </c>
      <c r="I57" s="211" t="s">
        <v>1357</v>
      </c>
      <c r="J57" s="212" t="s">
        <v>349</v>
      </c>
      <c r="K57" s="213" t="s">
        <v>1358</v>
      </c>
      <c r="L57" s="214" t="s">
        <v>1359</v>
      </c>
      <c r="M57" s="214" t="s">
        <v>1360</v>
      </c>
      <c r="N57" s="81">
        <v>2.023000000091E12</v>
      </c>
      <c r="O57" s="99" t="s">
        <v>1361</v>
      </c>
      <c r="P57" s="215" t="s">
        <v>1362</v>
      </c>
      <c r="Q57" s="83">
        <v>8400.0</v>
      </c>
      <c r="R57" s="116">
        <v>45497.0</v>
      </c>
      <c r="S57" s="116">
        <v>45337.0</v>
      </c>
      <c r="T57" s="216"/>
      <c r="U57" s="169"/>
      <c r="V57" s="169"/>
      <c r="W57" s="169"/>
      <c r="X57" s="169"/>
      <c r="Y57" s="169"/>
      <c r="Z57" s="169"/>
      <c r="AA57" s="169"/>
      <c r="AB57" s="169"/>
      <c r="AC57" s="169"/>
      <c r="AD57" s="169"/>
      <c r="AE57" s="169"/>
      <c r="AF57" s="169"/>
      <c r="AG57" s="169"/>
      <c r="AH57" s="169"/>
      <c r="AI57" s="169"/>
      <c r="AJ57" s="169"/>
      <c r="AK57" s="169"/>
      <c r="AL57" s="169"/>
      <c r="AM57" s="169"/>
      <c r="AN57" s="169"/>
      <c r="AO57" s="169"/>
      <c r="AP57" s="169"/>
    </row>
    <row r="58" ht="172.5" customHeight="1">
      <c r="A58" s="174">
        <v>45676.0</v>
      </c>
      <c r="B58" s="175" t="s">
        <v>1363</v>
      </c>
      <c r="C58" s="217" t="s">
        <v>52</v>
      </c>
      <c r="D58" s="176" t="s">
        <v>1364</v>
      </c>
      <c r="E58" s="218" t="s">
        <v>54</v>
      </c>
      <c r="F58" s="27" t="s">
        <v>1365</v>
      </c>
      <c r="G58" s="77" t="s">
        <v>1365</v>
      </c>
      <c r="H58" s="77" t="s">
        <v>1366</v>
      </c>
      <c r="I58" s="179" t="s">
        <v>1367</v>
      </c>
      <c r="J58" s="177" t="s">
        <v>1368</v>
      </c>
      <c r="K58" s="180" t="s">
        <v>1369</v>
      </c>
      <c r="L58" s="27" t="s">
        <v>1370</v>
      </c>
      <c r="M58" s="27" t="s">
        <v>707</v>
      </c>
      <c r="N58" s="29">
        <v>2.024000000251E12</v>
      </c>
      <c r="O58" s="29">
        <v>2.024000000561E12</v>
      </c>
      <c r="P58" s="29" t="s">
        <v>1371</v>
      </c>
      <c r="Q58" s="38">
        <v>272000.0</v>
      </c>
      <c r="R58" s="31">
        <v>45554.0</v>
      </c>
      <c r="S58" s="31"/>
      <c r="T58" s="181"/>
      <c r="U58" s="33"/>
      <c r="V58" s="33"/>
      <c r="W58" s="33"/>
      <c r="X58" s="33"/>
      <c r="Y58" s="33"/>
      <c r="Z58" s="33"/>
      <c r="AA58" s="33"/>
      <c r="AB58" s="33"/>
      <c r="AC58" s="33"/>
      <c r="AD58" s="33"/>
      <c r="AE58" s="33"/>
      <c r="AF58" s="33"/>
      <c r="AG58" s="33"/>
      <c r="AH58" s="33"/>
      <c r="AI58" s="33"/>
      <c r="AJ58" s="33"/>
      <c r="AK58" s="33"/>
      <c r="AL58" s="33"/>
      <c r="AM58" s="33"/>
      <c r="AN58" s="33"/>
      <c r="AO58" s="33"/>
      <c r="AP58" s="33"/>
    </row>
    <row r="59" ht="151.5" customHeight="1">
      <c r="A59" s="174">
        <v>45661.0</v>
      </c>
      <c r="B59" s="175" t="s">
        <v>1372</v>
      </c>
      <c r="C59" s="219" t="s">
        <v>52</v>
      </c>
      <c r="D59" s="176" t="s">
        <v>1373</v>
      </c>
      <c r="E59" s="177" t="s">
        <v>114</v>
      </c>
      <c r="F59" s="27" t="s">
        <v>1374</v>
      </c>
      <c r="G59" s="27" t="s">
        <v>1374</v>
      </c>
      <c r="H59" s="27" t="s">
        <v>1374</v>
      </c>
      <c r="I59" s="179" t="s">
        <v>1375</v>
      </c>
      <c r="J59" s="177" t="s">
        <v>1376</v>
      </c>
      <c r="K59" s="180" t="s">
        <v>1377</v>
      </c>
      <c r="L59" s="27" t="s">
        <v>1378</v>
      </c>
      <c r="M59" s="27" t="s">
        <v>1378</v>
      </c>
      <c r="N59" s="29">
        <v>2.024000000005E12</v>
      </c>
      <c r="O59" s="29">
        <v>2.024000000036E12</v>
      </c>
      <c r="P59" s="29" t="s">
        <v>1379</v>
      </c>
      <c r="Q59" s="42">
        <v>14004.0</v>
      </c>
      <c r="R59" s="31">
        <v>45477.0</v>
      </c>
      <c r="S59" s="31">
        <v>45202.0</v>
      </c>
      <c r="T59" s="181" t="s">
        <v>160</v>
      </c>
      <c r="U59" s="33"/>
      <c r="V59" s="33"/>
      <c r="W59" s="33"/>
      <c r="X59" s="33"/>
      <c r="Y59" s="33"/>
      <c r="Z59" s="33"/>
      <c r="AA59" s="33"/>
      <c r="AB59" s="33"/>
      <c r="AC59" s="33"/>
      <c r="AD59" s="33"/>
      <c r="AE59" s="33"/>
      <c r="AF59" s="33"/>
      <c r="AG59" s="33"/>
      <c r="AH59" s="33"/>
      <c r="AI59" s="33"/>
      <c r="AJ59" s="33"/>
      <c r="AK59" s="33"/>
      <c r="AL59" s="33"/>
      <c r="AM59" s="33"/>
      <c r="AN59" s="33"/>
      <c r="AO59" s="33"/>
      <c r="AP59" s="33"/>
    </row>
    <row r="60" ht="104.25" customHeight="1">
      <c r="A60" s="22">
        <v>45657.0</v>
      </c>
      <c r="B60" s="34" t="s">
        <v>1380</v>
      </c>
      <c r="C60" s="45" t="s">
        <v>52</v>
      </c>
      <c r="D60" s="25" t="s">
        <v>1381</v>
      </c>
      <c r="E60" s="26" t="s">
        <v>54</v>
      </c>
      <c r="F60" s="27" t="s">
        <v>1382</v>
      </c>
      <c r="G60" s="27" t="s">
        <v>1382</v>
      </c>
      <c r="H60" s="27" t="s">
        <v>1383</v>
      </c>
      <c r="I60" s="28" t="s">
        <v>1384</v>
      </c>
      <c r="J60" s="32" t="s">
        <v>1385</v>
      </c>
      <c r="K60" s="65"/>
      <c r="L60" s="32" t="s">
        <v>1386</v>
      </c>
      <c r="M60" s="27" t="s">
        <v>1387</v>
      </c>
      <c r="N60" s="27" t="s">
        <v>707</v>
      </c>
      <c r="O60" s="29">
        <v>2.024000000248E12</v>
      </c>
      <c r="P60" s="29" t="s">
        <v>1388</v>
      </c>
      <c r="Q60" s="29" t="s">
        <v>1389</v>
      </c>
      <c r="R60" s="42">
        <v>10147.2</v>
      </c>
      <c r="S60" s="31">
        <v>45555.0</v>
      </c>
      <c r="T60" s="66"/>
      <c r="U60" s="67"/>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row>
    <row r="61" ht="151.5" customHeight="1">
      <c r="A61" s="174">
        <v>45657.0</v>
      </c>
      <c r="B61" s="209" t="s">
        <v>1390</v>
      </c>
      <c r="C61" s="219" t="s">
        <v>38</v>
      </c>
      <c r="D61" s="176" t="s">
        <v>1391</v>
      </c>
      <c r="E61" s="177" t="s">
        <v>475</v>
      </c>
      <c r="F61" s="27" t="s">
        <v>928</v>
      </c>
      <c r="G61" s="27" t="s">
        <v>928</v>
      </c>
      <c r="H61" s="27" t="s">
        <v>1392</v>
      </c>
      <c r="I61" s="211" t="s">
        <v>1393</v>
      </c>
      <c r="J61" s="177" t="s">
        <v>1394</v>
      </c>
      <c r="K61" s="177" t="s">
        <v>325</v>
      </c>
      <c r="L61" s="180" t="s">
        <v>1395</v>
      </c>
      <c r="M61" s="134" t="s">
        <v>1396</v>
      </c>
      <c r="N61" s="134" t="s">
        <v>1396</v>
      </c>
      <c r="O61" s="111"/>
      <c r="P61" s="111"/>
      <c r="Q61" s="111" t="s">
        <v>1397</v>
      </c>
      <c r="R61" s="42">
        <v>385200.0</v>
      </c>
      <c r="S61" s="220">
        <v>44267.0</v>
      </c>
      <c r="T61" s="31">
        <v>45021.0</v>
      </c>
      <c r="U61" s="221"/>
      <c r="V61" s="20"/>
      <c r="W61" s="20"/>
      <c r="X61" s="20"/>
      <c r="Y61" s="20"/>
      <c r="Z61" s="20"/>
      <c r="AA61" s="20"/>
      <c r="AB61" s="20"/>
      <c r="AC61" s="20"/>
      <c r="AD61" s="20"/>
      <c r="AE61" s="20"/>
      <c r="AF61" s="20"/>
      <c r="AG61" s="20"/>
      <c r="AH61" s="20"/>
      <c r="AI61" s="20"/>
      <c r="AJ61" s="20"/>
      <c r="AK61" s="20"/>
      <c r="AL61" s="20"/>
      <c r="AM61" s="20"/>
      <c r="AN61" s="20"/>
      <c r="AO61" s="20"/>
      <c r="AP61" s="20"/>
      <c r="AQ61" s="20"/>
    </row>
    <row r="62" ht="65.25" customHeight="1">
      <c r="A62" s="174">
        <v>45640.0</v>
      </c>
      <c r="B62" s="175" t="s">
        <v>1398</v>
      </c>
      <c r="C62" s="217" t="s">
        <v>52</v>
      </c>
      <c r="D62" s="176" t="s">
        <v>1399</v>
      </c>
      <c r="E62" s="177" t="s">
        <v>380</v>
      </c>
      <c r="F62" s="178" t="s">
        <v>1400</v>
      </c>
      <c r="G62" s="178" t="s">
        <v>1401</v>
      </c>
      <c r="H62" s="178" t="s">
        <v>1402</v>
      </c>
      <c r="I62" s="179" t="s">
        <v>1403</v>
      </c>
      <c r="J62" s="177" t="s">
        <v>1404</v>
      </c>
      <c r="K62" s="222">
        <v>45579.0</v>
      </c>
      <c r="L62" s="223">
        <v>45640.0</v>
      </c>
      <c r="M62" s="27" t="s">
        <v>1405</v>
      </c>
      <c r="N62" s="27" t="s">
        <v>707</v>
      </c>
      <c r="O62" s="29">
        <v>2.024000000238E12</v>
      </c>
      <c r="P62" s="29" t="s">
        <v>1406</v>
      </c>
      <c r="Q62" s="29" t="s">
        <v>1407</v>
      </c>
      <c r="R62" s="30">
        <v>59980.0</v>
      </c>
      <c r="S62" s="31">
        <v>45553.0</v>
      </c>
      <c r="T62" s="31"/>
      <c r="U62" s="181"/>
      <c r="V62" s="33"/>
      <c r="W62" s="33"/>
      <c r="X62" s="33"/>
      <c r="Y62" s="33"/>
      <c r="Z62" s="33"/>
      <c r="AA62" s="33"/>
      <c r="AB62" s="33"/>
      <c r="AC62" s="33"/>
      <c r="AD62" s="33"/>
      <c r="AE62" s="33"/>
      <c r="AF62" s="33"/>
      <c r="AG62" s="33"/>
      <c r="AH62" s="33"/>
      <c r="AI62" s="33"/>
      <c r="AJ62" s="33"/>
      <c r="AK62" s="33"/>
      <c r="AL62" s="33"/>
      <c r="AM62" s="33"/>
      <c r="AN62" s="33"/>
      <c r="AO62" s="33"/>
      <c r="AP62" s="33"/>
      <c r="AQ62" s="33"/>
    </row>
    <row r="63" ht="65.25" customHeight="1">
      <c r="A63" s="174">
        <v>45618.0</v>
      </c>
      <c r="B63" s="175" t="s">
        <v>1408</v>
      </c>
      <c r="C63" s="217" t="s">
        <v>52</v>
      </c>
      <c r="D63" s="176" t="s">
        <v>1409</v>
      </c>
      <c r="E63" s="177" t="s">
        <v>54</v>
      </c>
      <c r="F63" s="178"/>
      <c r="G63" s="27" t="s">
        <v>1365</v>
      </c>
      <c r="H63" s="27" t="s">
        <v>1410</v>
      </c>
      <c r="I63" s="179" t="s">
        <v>1411</v>
      </c>
      <c r="J63" s="177"/>
      <c r="K63" s="180" t="s">
        <v>1412</v>
      </c>
      <c r="L63" s="27" t="s">
        <v>1413</v>
      </c>
      <c r="M63" s="27" t="s">
        <v>1414</v>
      </c>
      <c r="N63" s="29" t="s">
        <v>1415</v>
      </c>
      <c r="O63" s="29" t="s">
        <v>1416</v>
      </c>
      <c r="P63" s="29" t="s">
        <v>1417</v>
      </c>
      <c r="Q63" s="30">
        <v>48000.0</v>
      </c>
      <c r="R63" s="31">
        <v>44887.0</v>
      </c>
      <c r="S63" s="31">
        <v>45264.0</v>
      </c>
      <c r="T63" s="221"/>
      <c r="U63" s="20"/>
      <c r="V63" s="20"/>
      <c r="W63" s="20"/>
      <c r="X63" s="20"/>
      <c r="Y63" s="20"/>
      <c r="Z63" s="20"/>
      <c r="AA63" s="20"/>
      <c r="AB63" s="20"/>
      <c r="AC63" s="20"/>
      <c r="AD63" s="20"/>
      <c r="AE63" s="20"/>
      <c r="AF63" s="20"/>
      <c r="AG63" s="20"/>
      <c r="AH63" s="20"/>
      <c r="AI63" s="20"/>
      <c r="AJ63" s="20"/>
      <c r="AK63" s="20"/>
      <c r="AL63" s="20"/>
      <c r="AM63" s="20"/>
      <c r="AN63" s="20"/>
      <c r="AO63" s="20"/>
      <c r="AP63" s="20"/>
    </row>
    <row r="64" ht="95.25" customHeight="1">
      <c r="A64" s="174">
        <v>45609.0</v>
      </c>
      <c r="B64" s="175" t="s">
        <v>1418</v>
      </c>
      <c r="C64" s="217" t="s">
        <v>38</v>
      </c>
      <c r="D64" s="176" t="s">
        <v>1419</v>
      </c>
      <c r="E64" s="177" t="s">
        <v>65</v>
      </c>
      <c r="F64" s="178" t="s">
        <v>1420</v>
      </c>
      <c r="G64" s="178" t="s">
        <v>1420</v>
      </c>
      <c r="H64" s="178" t="s">
        <v>1420</v>
      </c>
      <c r="I64" s="179" t="s">
        <v>1421</v>
      </c>
      <c r="J64" s="177" t="s">
        <v>154</v>
      </c>
      <c r="K64" s="177"/>
      <c r="L64" s="180" t="s">
        <v>1422</v>
      </c>
      <c r="M64" s="27" t="s">
        <v>1423</v>
      </c>
      <c r="N64" s="27" t="s">
        <v>1424</v>
      </c>
      <c r="O64" s="29">
        <v>2.023000000097E12</v>
      </c>
      <c r="P64" s="29" t="s">
        <v>1425</v>
      </c>
      <c r="Q64" s="29" t="s">
        <v>1426</v>
      </c>
      <c r="R64" s="42">
        <v>4003199.45</v>
      </c>
      <c r="S64" s="31">
        <v>45474.0</v>
      </c>
      <c r="T64" s="31">
        <v>45160.0</v>
      </c>
      <c r="U64" s="221"/>
      <c r="V64" s="20"/>
      <c r="W64" s="20"/>
      <c r="X64" s="20"/>
      <c r="Y64" s="20"/>
      <c r="Z64" s="20"/>
      <c r="AA64" s="20"/>
      <c r="AB64" s="20"/>
      <c r="AC64" s="20"/>
      <c r="AD64" s="20"/>
      <c r="AE64" s="20"/>
      <c r="AF64" s="20"/>
      <c r="AG64" s="20"/>
      <c r="AH64" s="20"/>
      <c r="AI64" s="20"/>
      <c r="AJ64" s="20"/>
      <c r="AK64" s="20"/>
      <c r="AL64" s="20"/>
      <c r="AM64" s="20"/>
      <c r="AN64" s="20"/>
      <c r="AO64" s="20"/>
      <c r="AP64" s="20"/>
      <c r="AQ64" s="20"/>
    </row>
    <row r="65">
      <c r="A65" s="174">
        <v>45606.0</v>
      </c>
      <c r="B65" s="175" t="s">
        <v>1427</v>
      </c>
      <c r="C65" s="202" t="s">
        <v>52</v>
      </c>
      <c r="D65" s="176" t="s">
        <v>1428</v>
      </c>
      <c r="E65" s="177" t="s">
        <v>1014</v>
      </c>
      <c r="F65" s="178" t="s">
        <v>1429</v>
      </c>
      <c r="G65" s="178" t="s">
        <v>1429</v>
      </c>
      <c r="H65" s="178" t="s">
        <v>1430</v>
      </c>
      <c r="I65" s="179" t="s">
        <v>1431</v>
      </c>
      <c r="J65" s="177" t="s">
        <v>1432</v>
      </c>
      <c r="K65" s="177"/>
      <c r="L65" s="180" t="s">
        <v>1433</v>
      </c>
      <c r="M65" s="27" t="s">
        <v>1434</v>
      </c>
      <c r="N65" s="27" t="s">
        <v>31</v>
      </c>
      <c r="O65" s="29">
        <v>2.024000000247E12</v>
      </c>
      <c r="P65" s="29">
        <v>2.024000000555E12</v>
      </c>
      <c r="Q65" s="29" t="s">
        <v>1435</v>
      </c>
      <c r="R65" s="42">
        <v>57300.0</v>
      </c>
      <c r="S65" s="31">
        <v>45551.0</v>
      </c>
      <c r="T65" s="31"/>
      <c r="U65" s="221"/>
      <c r="V65" s="20"/>
      <c r="W65" s="20"/>
      <c r="X65" s="20"/>
      <c r="Y65" s="20"/>
      <c r="Z65" s="20"/>
      <c r="AA65" s="20"/>
      <c r="AB65" s="20"/>
      <c r="AC65" s="20"/>
      <c r="AD65" s="20"/>
      <c r="AE65" s="20"/>
      <c r="AF65" s="20"/>
      <c r="AG65" s="20"/>
      <c r="AH65" s="20"/>
      <c r="AI65" s="20"/>
      <c r="AJ65" s="20"/>
      <c r="AK65" s="20"/>
      <c r="AL65" s="20"/>
      <c r="AM65" s="20"/>
      <c r="AN65" s="20"/>
      <c r="AO65" s="20"/>
      <c r="AP65" s="20"/>
      <c r="AQ65" s="20"/>
    </row>
    <row r="66">
      <c r="A66" s="200">
        <v>45601.0</v>
      </c>
      <c r="B66" s="201" t="s">
        <v>523</v>
      </c>
      <c r="C66" s="202" t="s">
        <v>52</v>
      </c>
      <c r="D66" s="203" t="s">
        <v>1436</v>
      </c>
      <c r="E66" s="204" t="s">
        <v>65</v>
      </c>
      <c r="F66" s="27" t="s">
        <v>1437</v>
      </c>
      <c r="G66" s="224" t="s">
        <v>1438</v>
      </c>
      <c r="H66" s="178" t="s">
        <v>1437</v>
      </c>
      <c r="I66" s="205" t="s">
        <v>1439</v>
      </c>
      <c r="J66" s="204" t="s">
        <v>1440</v>
      </c>
      <c r="K66" s="204" t="s">
        <v>1441</v>
      </c>
      <c r="L66" s="225" t="s">
        <v>1442</v>
      </c>
      <c r="M66" s="77" t="s">
        <v>1443</v>
      </c>
      <c r="N66" s="77" t="s">
        <v>1444</v>
      </c>
      <c r="O66" s="78">
        <v>2.023000000073E12</v>
      </c>
      <c r="P66" s="29">
        <v>2.023000000283E12</v>
      </c>
      <c r="Q66" s="78" t="s">
        <v>1445</v>
      </c>
      <c r="R66" s="42">
        <v>1299310.79</v>
      </c>
      <c r="S66" s="31">
        <v>45093.0</v>
      </c>
      <c r="T66" s="31">
        <v>45098.0</v>
      </c>
      <c r="U66" s="226"/>
      <c r="V66" s="20"/>
      <c r="W66" s="20"/>
      <c r="X66" s="20"/>
      <c r="Y66" s="20"/>
      <c r="Z66" s="20"/>
      <c r="AA66" s="20"/>
      <c r="AB66" s="20"/>
      <c r="AC66" s="20"/>
      <c r="AD66" s="20"/>
      <c r="AE66" s="20"/>
      <c r="AF66" s="20"/>
      <c r="AG66" s="20"/>
      <c r="AH66" s="20"/>
      <c r="AI66" s="20"/>
      <c r="AJ66" s="20"/>
      <c r="AK66" s="20"/>
      <c r="AL66" s="20"/>
      <c r="AM66" s="20"/>
      <c r="AN66" s="20"/>
      <c r="AO66" s="20"/>
      <c r="AP66" s="20"/>
      <c r="AQ66" s="20"/>
    </row>
    <row r="67" ht="69.0" customHeight="1">
      <c r="A67" s="79"/>
      <c r="B67" s="79"/>
      <c r="C67" s="217" t="s">
        <v>23</v>
      </c>
      <c r="D67" s="79"/>
      <c r="E67" s="207"/>
      <c r="F67" s="27" t="s">
        <v>1446</v>
      </c>
      <c r="G67" s="207"/>
      <c r="H67" s="27" t="s">
        <v>1446</v>
      </c>
      <c r="I67" s="207"/>
      <c r="J67" s="207"/>
      <c r="K67" s="207"/>
      <c r="L67" s="79"/>
      <c r="M67" s="79"/>
      <c r="N67" s="79"/>
      <c r="O67" s="79"/>
      <c r="P67" s="29">
        <v>2.024000000003E12</v>
      </c>
      <c r="Q67" s="79"/>
      <c r="R67" s="42">
        <v>1398349.88</v>
      </c>
      <c r="S67" s="31">
        <v>45341.0</v>
      </c>
      <c r="T67" s="31">
        <v>45350.0</v>
      </c>
      <c r="U67" s="79"/>
      <c r="V67" s="44"/>
      <c r="W67" s="44"/>
      <c r="X67" s="44"/>
      <c r="Y67" s="44"/>
      <c r="Z67" s="44"/>
      <c r="AA67" s="44"/>
      <c r="AB67" s="44"/>
      <c r="AC67" s="44"/>
      <c r="AD67" s="44"/>
      <c r="AE67" s="44"/>
      <c r="AF67" s="44"/>
      <c r="AG67" s="44"/>
      <c r="AH67" s="44"/>
      <c r="AI67" s="44"/>
      <c r="AJ67" s="44"/>
      <c r="AK67" s="44"/>
      <c r="AL67" s="44"/>
      <c r="AM67" s="44"/>
      <c r="AN67" s="44"/>
      <c r="AO67" s="44"/>
      <c r="AP67" s="44"/>
      <c r="AQ67" s="44"/>
    </row>
    <row r="68">
      <c r="A68" s="174">
        <v>45595.0</v>
      </c>
      <c r="B68" s="175" t="s">
        <v>1447</v>
      </c>
      <c r="C68" s="202" t="s">
        <v>52</v>
      </c>
      <c r="D68" s="176" t="s">
        <v>1448</v>
      </c>
      <c r="E68" s="177" t="s">
        <v>188</v>
      </c>
      <c r="F68" s="178" t="s">
        <v>1449</v>
      </c>
      <c r="G68" s="27" t="s">
        <v>1449</v>
      </c>
      <c r="H68" s="27" t="s">
        <v>1450</v>
      </c>
      <c r="I68" s="179" t="s">
        <v>1451</v>
      </c>
      <c r="J68" s="177" t="s">
        <v>130</v>
      </c>
      <c r="K68" s="177"/>
      <c r="L68" s="180" t="s">
        <v>1452</v>
      </c>
      <c r="M68" s="27" t="s">
        <v>1453</v>
      </c>
      <c r="N68" s="27" t="s">
        <v>1454</v>
      </c>
      <c r="O68" s="29" t="s">
        <v>31</v>
      </c>
      <c r="P68" s="29" t="s">
        <v>31</v>
      </c>
      <c r="Q68" s="29" t="s">
        <v>1455</v>
      </c>
      <c r="R68" s="30">
        <v>4760.0</v>
      </c>
      <c r="S68" s="31">
        <v>45229.0</v>
      </c>
      <c r="T68" s="31">
        <v>45243.0</v>
      </c>
      <c r="U68" s="181" t="s">
        <v>1456</v>
      </c>
      <c r="V68" s="33"/>
      <c r="W68" s="33"/>
      <c r="X68" s="33"/>
      <c r="Y68" s="33"/>
      <c r="Z68" s="33"/>
      <c r="AA68" s="33"/>
      <c r="AB68" s="33"/>
      <c r="AC68" s="33"/>
      <c r="AD68" s="33"/>
      <c r="AE68" s="33"/>
      <c r="AF68" s="33"/>
      <c r="AG68" s="33"/>
      <c r="AH68" s="33"/>
      <c r="AI68" s="33"/>
      <c r="AJ68" s="33"/>
      <c r="AK68" s="33"/>
      <c r="AL68" s="33"/>
      <c r="AM68" s="33"/>
      <c r="AN68" s="33"/>
      <c r="AO68" s="33"/>
      <c r="AP68" s="33"/>
      <c r="AQ68" s="33"/>
    </row>
    <row r="69">
      <c r="A69" s="174">
        <v>45553.0</v>
      </c>
      <c r="B69" s="175" t="s">
        <v>1457</v>
      </c>
      <c r="C69" s="227" t="s">
        <v>52</v>
      </c>
      <c r="D69" s="228" t="s">
        <v>1458</v>
      </c>
      <c r="E69" s="218" t="s">
        <v>188</v>
      </c>
      <c r="F69" s="229" t="s">
        <v>1459</v>
      </c>
      <c r="G69" s="61" t="s">
        <v>1460</v>
      </c>
      <c r="H69" s="61" t="s">
        <v>1461</v>
      </c>
      <c r="I69" s="230" t="s">
        <v>1462</v>
      </c>
      <c r="J69" s="231" t="s">
        <v>1463</v>
      </c>
      <c r="K69" s="231"/>
      <c r="L69" s="232" t="s">
        <v>1464</v>
      </c>
      <c r="M69" s="61" t="s">
        <v>1465</v>
      </c>
      <c r="N69" s="61" t="s">
        <v>31</v>
      </c>
      <c r="O69" s="32">
        <v>2.024000000212E12</v>
      </c>
      <c r="P69" s="29" t="s">
        <v>1466</v>
      </c>
      <c r="Q69" s="29" t="s">
        <v>1467</v>
      </c>
      <c r="R69" s="103">
        <v>34870.0</v>
      </c>
      <c r="S69" s="129">
        <v>45516.0</v>
      </c>
      <c r="T69" s="129"/>
      <c r="U69" s="232"/>
      <c r="V69" s="59"/>
      <c r="W69" s="59"/>
      <c r="X69" s="59"/>
      <c r="Y69" s="59"/>
      <c r="Z69" s="59"/>
      <c r="AA69" s="59"/>
      <c r="AB69" s="59"/>
      <c r="AC69" s="59"/>
      <c r="AD69" s="59"/>
      <c r="AE69" s="59"/>
      <c r="AF69" s="59"/>
      <c r="AG69" s="59"/>
      <c r="AH69" s="59"/>
      <c r="AI69" s="59"/>
      <c r="AJ69" s="59"/>
      <c r="AK69" s="59"/>
      <c r="AL69" s="59"/>
      <c r="AM69" s="59"/>
      <c r="AN69" s="59"/>
      <c r="AO69" s="59"/>
      <c r="AP69" s="59"/>
      <c r="AQ69" s="59"/>
    </row>
    <row r="70">
      <c r="A70" s="174">
        <v>45525.0</v>
      </c>
      <c r="B70" s="175" t="s">
        <v>1468</v>
      </c>
      <c r="C70" s="217" t="s">
        <v>38</v>
      </c>
      <c r="D70" s="228" t="s">
        <v>290</v>
      </c>
      <c r="E70" s="231" t="s">
        <v>65</v>
      </c>
      <c r="F70" s="61" t="s">
        <v>606</v>
      </c>
      <c r="G70" s="61" t="s">
        <v>607</v>
      </c>
      <c r="H70" s="61" t="s">
        <v>1469</v>
      </c>
      <c r="I70" s="179" t="s">
        <v>1470</v>
      </c>
      <c r="J70" s="177" t="s">
        <v>92</v>
      </c>
      <c r="K70" s="233">
        <v>45106.0</v>
      </c>
      <c r="L70" s="180" t="s">
        <v>1471</v>
      </c>
      <c r="M70" s="27" t="s">
        <v>1472</v>
      </c>
      <c r="N70" s="27" t="s">
        <v>1473</v>
      </c>
      <c r="O70" s="29">
        <v>2.023000000075E12</v>
      </c>
      <c r="P70" s="29">
        <v>2.02300000029E12</v>
      </c>
      <c r="Q70" s="29" t="s">
        <v>1474</v>
      </c>
      <c r="R70" s="38">
        <v>1222854.8</v>
      </c>
      <c r="S70" s="31">
        <v>45456.0</v>
      </c>
      <c r="T70" s="31">
        <v>45328.0</v>
      </c>
      <c r="U70" s="181"/>
      <c r="V70" s="33"/>
      <c r="W70" s="33"/>
      <c r="X70" s="33"/>
      <c r="Y70" s="33"/>
      <c r="Z70" s="33"/>
      <c r="AA70" s="33"/>
      <c r="AB70" s="33"/>
      <c r="AC70" s="33"/>
      <c r="AD70" s="33"/>
      <c r="AE70" s="33"/>
      <c r="AF70" s="33"/>
      <c r="AG70" s="33"/>
      <c r="AH70" s="33"/>
      <c r="AI70" s="33"/>
      <c r="AJ70" s="33"/>
      <c r="AK70" s="33"/>
      <c r="AL70" s="33"/>
      <c r="AM70" s="33"/>
      <c r="AN70" s="33"/>
      <c r="AO70" s="33"/>
      <c r="AP70" s="33"/>
      <c r="AQ70" s="33"/>
    </row>
    <row r="71">
      <c r="A71" s="200">
        <v>45514.0</v>
      </c>
      <c r="B71" s="209" t="s">
        <v>1475</v>
      </c>
      <c r="C71" s="219" t="s">
        <v>137</v>
      </c>
      <c r="D71" s="203" t="s">
        <v>1476</v>
      </c>
      <c r="E71" s="204" t="s">
        <v>139</v>
      </c>
      <c r="F71" s="178"/>
      <c r="G71" s="27" t="s">
        <v>1477</v>
      </c>
      <c r="H71" s="27" t="s">
        <v>1477</v>
      </c>
      <c r="I71" s="234" t="s">
        <v>1478</v>
      </c>
      <c r="J71" s="177" t="s">
        <v>58</v>
      </c>
      <c r="K71" s="177"/>
      <c r="L71" s="180" t="s">
        <v>1479</v>
      </c>
      <c r="M71" s="235" t="s">
        <v>1480</v>
      </c>
      <c r="N71" s="77" t="s">
        <v>1481</v>
      </c>
      <c r="O71" s="78">
        <v>2.023000000023E12</v>
      </c>
      <c r="P71" s="29">
        <v>2.023000000124E12</v>
      </c>
      <c r="Q71" s="236" t="s">
        <v>1482</v>
      </c>
      <c r="R71" s="42">
        <v>86776.08</v>
      </c>
      <c r="S71" s="220">
        <v>44256.0</v>
      </c>
      <c r="T71" s="31">
        <v>44998.0</v>
      </c>
      <c r="U71" s="237"/>
      <c r="V71" s="44"/>
      <c r="W71" s="44"/>
      <c r="X71" s="44"/>
      <c r="Y71" s="44"/>
      <c r="Z71" s="44"/>
      <c r="AA71" s="44"/>
      <c r="AB71" s="44"/>
      <c r="AC71" s="44"/>
      <c r="AD71" s="44"/>
      <c r="AE71" s="44"/>
      <c r="AF71" s="44"/>
      <c r="AG71" s="44"/>
      <c r="AH71" s="44"/>
      <c r="AI71" s="44"/>
      <c r="AJ71" s="44"/>
      <c r="AK71" s="44"/>
      <c r="AL71" s="44"/>
      <c r="AM71" s="44"/>
      <c r="AN71" s="44"/>
      <c r="AO71" s="44"/>
      <c r="AP71" s="44"/>
      <c r="AQ71" s="44"/>
    </row>
    <row r="72" ht="53.25" customHeight="1">
      <c r="A72" s="79"/>
      <c r="B72" s="175" t="s">
        <v>1475</v>
      </c>
      <c r="C72" s="238" t="s">
        <v>100</v>
      </c>
      <c r="D72" s="79"/>
      <c r="E72" s="207"/>
      <c r="F72" s="229" t="s">
        <v>1483</v>
      </c>
      <c r="G72" s="61" t="s">
        <v>1484</v>
      </c>
      <c r="H72" s="61" t="s">
        <v>1485</v>
      </c>
      <c r="I72" s="207"/>
      <c r="J72" s="231" t="s">
        <v>58</v>
      </c>
      <c r="K72" s="231"/>
      <c r="L72" s="232" t="s">
        <v>1486</v>
      </c>
      <c r="M72" s="79"/>
      <c r="N72" s="79"/>
      <c r="O72" s="79"/>
      <c r="P72" s="32">
        <v>2.024000000017E12</v>
      </c>
      <c r="Q72" s="79"/>
      <c r="R72" s="103">
        <v>90786.12</v>
      </c>
      <c r="S72" s="129">
        <v>45352.0</v>
      </c>
      <c r="T72" s="109">
        <v>45365.0</v>
      </c>
      <c r="U72" s="232"/>
      <c r="V72" s="59"/>
      <c r="W72" s="59"/>
      <c r="X72" s="59"/>
      <c r="Y72" s="59"/>
      <c r="Z72" s="59"/>
      <c r="AA72" s="59"/>
      <c r="AB72" s="59"/>
      <c r="AC72" s="59"/>
      <c r="AD72" s="59"/>
      <c r="AE72" s="59"/>
      <c r="AF72" s="59"/>
      <c r="AG72" s="59"/>
      <c r="AH72" s="59"/>
      <c r="AI72" s="59"/>
      <c r="AJ72" s="59"/>
      <c r="AK72" s="59"/>
      <c r="AL72" s="59"/>
      <c r="AM72" s="59"/>
      <c r="AN72" s="59"/>
      <c r="AO72" s="59"/>
      <c r="AP72" s="59"/>
      <c r="AQ72" s="59"/>
    </row>
    <row r="73">
      <c r="A73" s="174">
        <v>45508.0</v>
      </c>
      <c r="B73" s="239" t="s">
        <v>1487</v>
      </c>
      <c r="C73" s="217" t="s">
        <v>23</v>
      </c>
      <c r="D73" s="176" t="s">
        <v>1488</v>
      </c>
      <c r="E73" s="177" t="s">
        <v>1489</v>
      </c>
      <c r="F73" s="229" t="s">
        <v>1490</v>
      </c>
      <c r="G73" s="229" t="s">
        <v>67</v>
      </c>
      <c r="H73" s="229" t="s">
        <v>1044</v>
      </c>
      <c r="I73" s="179" t="s">
        <v>1491</v>
      </c>
      <c r="J73" s="219" t="s">
        <v>1463</v>
      </c>
      <c r="K73" s="240">
        <v>45446.0</v>
      </c>
      <c r="L73" s="181" t="s">
        <v>1492</v>
      </c>
      <c r="M73" s="27" t="s">
        <v>1493</v>
      </c>
      <c r="N73" s="27" t="s">
        <v>1494</v>
      </c>
      <c r="O73" s="29">
        <v>2.024000000178E12</v>
      </c>
      <c r="P73" s="29" t="s">
        <v>1495</v>
      </c>
      <c r="Q73" s="29" t="s">
        <v>1496</v>
      </c>
      <c r="R73" s="42">
        <v>583954.55</v>
      </c>
      <c r="S73" s="31">
        <v>45477.0</v>
      </c>
      <c r="T73" s="66">
        <v>45433.0</v>
      </c>
      <c r="U73" s="241"/>
      <c r="V73" s="68"/>
      <c r="W73" s="68"/>
      <c r="X73" s="68"/>
      <c r="Y73" s="68"/>
      <c r="Z73" s="68"/>
      <c r="AA73" s="68"/>
      <c r="AB73" s="68"/>
      <c r="AC73" s="68"/>
      <c r="AD73" s="68"/>
      <c r="AE73" s="68"/>
      <c r="AF73" s="68"/>
      <c r="AG73" s="68"/>
      <c r="AH73" s="68"/>
      <c r="AI73" s="68"/>
      <c r="AJ73" s="68"/>
      <c r="AK73" s="68"/>
      <c r="AL73" s="68"/>
      <c r="AM73" s="68"/>
      <c r="AN73" s="68"/>
      <c r="AO73" s="68"/>
      <c r="AP73" s="68"/>
      <c r="AQ73" s="68"/>
    </row>
    <row r="74">
      <c r="A74" s="200">
        <v>45506.0</v>
      </c>
      <c r="B74" s="201" t="s">
        <v>1497</v>
      </c>
      <c r="C74" s="206" t="s">
        <v>23</v>
      </c>
      <c r="D74" s="203" t="s">
        <v>1436</v>
      </c>
      <c r="E74" s="242" t="s">
        <v>65</v>
      </c>
      <c r="F74" s="27" t="s">
        <v>1498</v>
      </c>
      <c r="G74" s="27" t="s">
        <v>1498</v>
      </c>
      <c r="H74" s="27" t="s">
        <v>1437</v>
      </c>
      <c r="I74" s="243" t="s">
        <v>1499</v>
      </c>
      <c r="J74" s="177" t="s">
        <v>1500</v>
      </c>
      <c r="K74" s="177"/>
      <c r="L74" s="180" t="s">
        <v>1501</v>
      </c>
      <c r="M74" s="77" t="s">
        <v>1502</v>
      </c>
      <c r="N74" s="77" t="s">
        <v>1503</v>
      </c>
      <c r="O74" s="29"/>
      <c r="P74" s="29"/>
      <c r="Q74" s="78" t="s">
        <v>1504</v>
      </c>
      <c r="R74" s="162">
        <v>298724.04</v>
      </c>
      <c r="S74" s="244">
        <v>45127.0</v>
      </c>
      <c r="T74" s="31">
        <v>45259.0</v>
      </c>
      <c r="U74" s="232" t="s">
        <v>1505</v>
      </c>
      <c r="V74" s="59"/>
      <c r="W74" s="59"/>
      <c r="X74" s="59"/>
      <c r="Y74" s="59"/>
      <c r="Z74" s="59"/>
      <c r="AA74" s="59"/>
      <c r="AB74" s="59"/>
      <c r="AC74" s="59"/>
      <c r="AD74" s="59"/>
      <c r="AE74" s="59"/>
      <c r="AF74" s="59"/>
      <c r="AG74" s="59"/>
      <c r="AH74" s="59"/>
      <c r="AI74" s="59"/>
      <c r="AJ74" s="59"/>
      <c r="AK74" s="59"/>
      <c r="AL74" s="59"/>
      <c r="AM74" s="59"/>
      <c r="AN74" s="59"/>
      <c r="AO74" s="59"/>
      <c r="AP74" s="59"/>
      <c r="AQ74" s="59"/>
    </row>
    <row r="75" ht="57.75" customHeight="1">
      <c r="A75" s="79"/>
      <c r="B75" s="79"/>
      <c r="C75" s="217" t="s">
        <v>38</v>
      </c>
      <c r="D75" s="79"/>
      <c r="E75" s="207"/>
      <c r="F75" s="27" t="s">
        <v>1498</v>
      </c>
      <c r="G75" s="27" t="s">
        <v>1498</v>
      </c>
      <c r="H75" s="61" t="s">
        <v>1506</v>
      </c>
      <c r="I75" s="207"/>
      <c r="J75" s="177" t="s">
        <v>1507</v>
      </c>
      <c r="K75" s="177"/>
      <c r="L75" s="180" t="s">
        <v>1508</v>
      </c>
      <c r="M75" s="79"/>
      <c r="N75" s="79"/>
      <c r="O75" s="29"/>
      <c r="P75" s="29" t="s">
        <v>1509</v>
      </c>
      <c r="Q75" s="79"/>
      <c r="R75" s="79"/>
      <c r="S75" s="79"/>
      <c r="T75" s="31">
        <v>45369.0</v>
      </c>
      <c r="U75" s="181"/>
      <c r="V75" s="33"/>
      <c r="W75" s="33"/>
      <c r="X75" s="33"/>
      <c r="Y75" s="33"/>
      <c r="Z75" s="33"/>
      <c r="AA75" s="33"/>
      <c r="AB75" s="33"/>
      <c r="AC75" s="33"/>
      <c r="AD75" s="33"/>
      <c r="AE75" s="33"/>
      <c r="AF75" s="33"/>
      <c r="AG75" s="33"/>
      <c r="AH75" s="33"/>
      <c r="AI75" s="33"/>
      <c r="AJ75" s="33"/>
      <c r="AK75" s="33"/>
      <c r="AL75" s="33"/>
      <c r="AM75" s="33"/>
      <c r="AN75" s="33"/>
      <c r="AO75" s="33"/>
      <c r="AP75" s="33"/>
      <c r="AQ75" s="33"/>
    </row>
    <row r="76">
      <c r="A76" s="174">
        <v>45487.0</v>
      </c>
      <c r="B76" s="175" t="s">
        <v>1510</v>
      </c>
      <c r="C76" s="217" t="s">
        <v>52</v>
      </c>
      <c r="D76" s="176" t="s">
        <v>1511</v>
      </c>
      <c r="E76" s="177" t="s">
        <v>65</v>
      </c>
      <c r="F76" s="229" t="s">
        <v>1490</v>
      </c>
      <c r="G76" s="27" t="s">
        <v>1512</v>
      </c>
      <c r="H76" s="27" t="s">
        <v>1446</v>
      </c>
      <c r="I76" s="179" t="s">
        <v>1513</v>
      </c>
      <c r="J76" s="177" t="s">
        <v>1514</v>
      </c>
      <c r="K76" s="245">
        <v>45397.0</v>
      </c>
      <c r="L76" s="180" t="s">
        <v>1515</v>
      </c>
      <c r="M76" s="27" t="s">
        <v>1516</v>
      </c>
      <c r="N76" s="27" t="s">
        <v>1517</v>
      </c>
      <c r="O76" s="29">
        <v>2.024000000175E12</v>
      </c>
      <c r="P76" s="29"/>
      <c r="Q76" s="29" t="s">
        <v>1518</v>
      </c>
      <c r="R76" s="42">
        <v>83211.23</v>
      </c>
      <c r="S76" s="31">
        <v>45378.0</v>
      </c>
      <c r="T76" s="31">
        <v>45385.0</v>
      </c>
      <c r="U76" s="237"/>
      <c r="V76" s="44"/>
      <c r="W76" s="44"/>
      <c r="X76" s="44"/>
      <c r="Y76" s="44"/>
      <c r="Z76" s="44"/>
      <c r="AA76" s="44"/>
      <c r="AB76" s="44"/>
      <c r="AC76" s="44"/>
      <c r="AD76" s="44"/>
      <c r="AE76" s="44"/>
      <c r="AF76" s="44"/>
      <c r="AG76" s="44"/>
      <c r="AH76" s="44"/>
      <c r="AI76" s="44"/>
      <c r="AJ76" s="44"/>
      <c r="AK76" s="44"/>
      <c r="AL76" s="44"/>
      <c r="AM76" s="44"/>
      <c r="AN76" s="44"/>
      <c r="AO76" s="44"/>
      <c r="AP76" s="44"/>
      <c r="AQ76" s="44"/>
    </row>
    <row r="77">
      <c r="A77" s="174">
        <v>45483.0</v>
      </c>
      <c r="B77" s="175" t="s">
        <v>1519</v>
      </c>
      <c r="C77" s="202" t="s">
        <v>52</v>
      </c>
      <c r="D77" s="176" t="s">
        <v>1520</v>
      </c>
      <c r="E77" s="177" t="s">
        <v>65</v>
      </c>
      <c r="F77" s="229" t="s">
        <v>1490</v>
      </c>
      <c r="G77" s="27" t="s">
        <v>1157</v>
      </c>
      <c r="H77" s="27" t="s">
        <v>1521</v>
      </c>
      <c r="I77" s="179" t="s">
        <v>1522</v>
      </c>
      <c r="J77" s="177" t="s">
        <v>1514</v>
      </c>
      <c r="K77" s="245">
        <v>45393.0</v>
      </c>
      <c r="L77" s="180" t="s">
        <v>1523</v>
      </c>
      <c r="M77" s="27" t="s">
        <v>1524</v>
      </c>
      <c r="N77" s="27" t="s">
        <v>1525</v>
      </c>
      <c r="O77" s="29">
        <v>2.024000000377E12</v>
      </c>
      <c r="P77" s="29">
        <v>2.024000000174E12</v>
      </c>
      <c r="Q77" s="29" t="s">
        <v>1526</v>
      </c>
      <c r="R77" s="42">
        <v>88000.0</v>
      </c>
      <c r="S77" s="31">
        <v>45376.0</v>
      </c>
      <c r="T77" s="31">
        <v>45379.0</v>
      </c>
      <c r="U77" s="237"/>
      <c r="V77" s="44"/>
      <c r="W77" s="44"/>
      <c r="X77" s="44"/>
      <c r="Y77" s="44"/>
      <c r="Z77" s="44"/>
      <c r="AA77" s="44"/>
      <c r="AB77" s="44"/>
      <c r="AC77" s="44"/>
      <c r="AD77" s="44"/>
      <c r="AE77" s="44"/>
      <c r="AF77" s="44"/>
      <c r="AG77" s="44"/>
      <c r="AH77" s="44"/>
      <c r="AI77" s="44"/>
      <c r="AJ77" s="44"/>
      <c r="AK77" s="44"/>
      <c r="AL77" s="44"/>
      <c r="AM77" s="44"/>
      <c r="AN77" s="44"/>
      <c r="AO77" s="44"/>
      <c r="AP77" s="44"/>
      <c r="AQ77" s="44"/>
    </row>
    <row r="78">
      <c r="A78" s="246">
        <v>45352.0</v>
      </c>
      <c r="B78" s="201" t="s">
        <v>1527</v>
      </c>
      <c r="C78" s="238" t="s">
        <v>1</v>
      </c>
      <c r="D78" s="247" t="s">
        <v>1436</v>
      </c>
      <c r="E78" s="242" t="s">
        <v>65</v>
      </c>
      <c r="F78" s="61" t="s">
        <v>1528</v>
      </c>
      <c r="G78" s="61" t="s">
        <v>1529</v>
      </c>
      <c r="H78" s="61" t="s">
        <v>1528</v>
      </c>
      <c r="I78" s="248" t="s">
        <v>1530</v>
      </c>
      <c r="J78" s="231" t="s">
        <v>106</v>
      </c>
      <c r="K78" s="232" t="s">
        <v>1531</v>
      </c>
      <c r="L78" s="106" t="s">
        <v>1532</v>
      </c>
      <c r="M78" s="106" t="s">
        <v>1533</v>
      </c>
      <c r="N78" s="107">
        <v>2.023000000068E12</v>
      </c>
      <c r="O78" s="32">
        <v>2.023000000265E12</v>
      </c>
      <c r="P78" s="107" t="s">
        <v>1534</v>
      </c>
      <c r="Q78" s="249">
        <v>297446.22</v>
      </c>
      <c r="R78" s="250">
        <v>45077.0</v>
      </c>
      <c r="S78" s="109">
        <v>45083.0</v>
      </c>
      <c r="T78" s="251" t="s">
        <v>1535</v>
      </c>
      <c r="U78" s="59"/>
      <c r="V78" s="59"/>
      <c r="W78" s="59"/>
      <c r="X78" s="59"/>
      <c r="Y78" s="59"/>
      <c r="Z78" s="59"/>
      <c r="AA78" s="59"/>
      <c r="AB78" s="59"/>
      <c r="AC78" s="59"/>
      <c r="AD78" s="59"/>
      <c r="AE78" s="59"/>
      <c r="AF78" s="59"/>
      <c r="AG78" s="59"/>
      <c r="AH78" s="59"/>
      <c r="AI78" s="59"/>
      <c r="AJ78" s="59"/>
      <c r="AK78" s="59"/>
      <c r="AL78" s="59"/>
      <c r="AM78" s="59"/>
      <c r="AN78" s="59"/>
      <c r="AO78" s="59"/>
      <c r="AP78" s="59"/>
    </row>
    <row r="79" ht="54.75" customHeight="1">
      <c r="A79" s="79"/>
      <c r="B79" s="79"/>
      <c r="C79" s="206" t="s">
        <v>23</v>
      </c>
      <c r="D79" s="79"/>
      <c r="E79" s="207"/>
      <c r="F79" s="61" t="s">
        <v>1528</v>
      </c>
      <c r="G79" s="61" t="s">
        <v>1529</v>
      </c>
      <c r="H79" s="61" t="s">
        <v>1528</v>
      </c>
      <c r="I79" s="207"/>
      <c r="J79" s="231" t="s">
        <v>1404</v>
      </c>
      <c r="K79" s="232" t="s">
        <v>1536</v>
      </c>
      <c r="L79" s="79"/>
      <c r="M79" s="79"/>
      <c r="N79" s="79"/>
      <c r="O79" s="32">
        <v>2.023000000026E12</v>
      </c>
      <c r="P79" s="79"/>
      <c r="Q79" s="79"/>
      <c r="R79" s="79"/>
      <c r="S79" s="109">
        <v>45083.0</v>
      </c>
      <c r="T79" s="79"/>
      <c r="U79" s="59"/>
      <c r="V79" s="59"/>
      <c r="W79" s="59"/>
      <c r="X79" s="59"/>
      <c r="Y79" s="59"/>
      <c r="Z79" s="59"/>
      <c r="AA79" s="59"/>
      <c r="AB79" s="59"/>
      <c r="AC79" s="59"/>
      <c r="AD79" s="59"/>
      <c r="AE79" s="59"/>
      <c r="AF79" s="59"/>
      <c r="AG79" s="59"/>
      <c r="AH79" s="59"/>
      <c r="AI79" s="59"/>
      <c r="AJ79" s="59"/>
      <c r="AK79" s="59"/>
      <c r="AL79" s="59"/>
      <c r="AM79" s="59"/>
      <c r="AN79" s="59"/>
      <c r="AO79" s="59"/>
      <c r="AP79" s="59"/>
    </row>
    <row r="80">
      <c r="A80" s="252">
        <v>45641.0</v>
      </c>
      <c r="B80" s="209" t="s">
        <v>1537</v>
      </c>
      <c r="C80" s="231" t="s">
        <v>100</v>
      </c>
      <c r="D80" s="228" t="s">
        <v>1538</v>
      </c>
      <c r="E80" s="231" t="s">
        <v>65</v>
      </c>
      <c r="F80" s="229"/>
      <c r="G80" s="61" t="s">
        <v>1437</v>
      </c>
      <c r="H80" s="61" t="s">
        <v>1437</v>
      </c>
      <c r="I80" s="253" t="s">
        <v>1539</v>
      </c>
      <c r="J80" s="231" t="s">
        <v>130</v>
      </c>
      <c r="K80" s="232" t="s">
        <v>1540</v>
      </c>
      <c r="L80" s="254" t="s">
        <v>1541</v>
      </c>
      <c r="M80" s="254" t="s">
        <v>1542</v>
      </c>
      <c r="N80" s="32" t="s">
        <v>1543</v>
      </c>
      <c r="O80" s="255"/>
      <c r="P80" s="255" t="s">
        <v>1544</v>
      </c>
      <c r="Q80" s="103">
        <v>1730983.2</v>
      </c>
      <c r="R80" s="256">
        <v>44147.0</v>
      </c>
      <c r="S80" s="109">
        <v>45274.0</v>
      </c>
      <c r="T80" s="232" t="s">
        <v>1545</v>
      </c>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row>
    <row r="81" ht="139.5" customHeight="1">
      <c r="A81" s="174">
        <v>45424.0</v>
      </c>
      <c r="B81" s="209" t="s">
        <v>1546</v>
      </c>
      <c r="C81" s="217" t="s">
        <v>38</v>
      </c>
      <c r="D81" s="176" t="s">
        <v>1547</v>
      </c>
      <c r="E81" s="177" t="s">
        <v>987</v>
      </c>
      <c r="F81" s="257"/>
      <c r="G81" s="257" t="s">
        <v>1548</v>
      </c>
      <c r="H81" s="257" t="s">
        <v>1548</v>
      </c>
      <c r="I81" s="258" t="s">
        <v>1549</v>
      </c>
      <c r="J81" s="259"/>
      <c r="K81" s="181" t="s">
        <v>1550</v>
      </c>
      <c r="L81" s="134" t="s">
        <v>1551</v>
      </c>
      <c r="M81" s="134" t="s">
        <v>1552</v>
      </c>
      <c r="N81" s="111"/>
      <c r="O81" s="111"/>
      <c r="P81" s="111" t="s">
        <v>1553</v>
      </c>
      <c r="Q81" s="198" t="str">
        <f>#REF!*12</f>
        <v>#REF!</v>
      </c>
      <c r="R81" s="220">
        <v>44328.0</v>
      </c>
      <c r="S81" s="31">
        <v>45072.0</v>
      </c>
      <c r="T81" s="181"/>
      <c r="U81" s="33"/>
      <c r="V81" s="33"/>
      <c r="W81" s="33"/>
      <c r="X81" s="33"/>
      <c r="Y81" s="33"/>
      <c r="Z81" s="33"/>
      <c r="AA81" s="33"/>
      <c r="AB81" s="33"/>
      <c r="AC81" s="33"/>
      <c r="AD81" s="33"/>
      <c r="AE81" s="33"/>
      <c r="AF81" s="33"/>
      <c r="AG81" s="33"/>
      <c r="AH81" s="33"/>
      <c r="AI81" s="33"/>
      <c r="AJ81" s="33"/>
      <c r="AK81" s="33"/>
      <c r="AL81" s="33"/>
      <c r="AM81" s="33"/>
      <c r="AN81" s="33"/>
      <c r="AO81" s="33"/>
      <c r="AP81" s="33"/>
    </row>
    <row r="82">
      <c r="A82" s="174">
        <v>45414.0</v>
      </c>
      <c r="B82" s="175" t="s">
        <v>1554</v>
      </c>
      <c r="C82" s="217" t="s">
        <v>38</v>
      </c>
      <c r="D82" s="228" t="s">
        <v>1555</v>
      </c>
      <c r="E82" s="218" t="s">
        <v>475</v>
      </c>
      <c r="F82" s="178" t="s">
        <v>1374</v>
      </c>
      <c r="G82" s="27" t="s">
        <v>1556</v>
      </c>
      <c r="H82" s="27" t="s">
        <v>1557</v>
      </c>
      <c r="I82" s="260" t="s">
        <v>1558</v>
      </c>
      <c r="J82" s="218" t="s">
        <v>1385</v>
      </c>
      <c r="K82" s="261" t="s">
        <v>1559</v>
      </c>
      <c r="L82" s="27" t="s">
        <v>1560</v>
      </c>
      <c r="M82" s="27" t="s">
        <v>1560</v>
      </c>
      <c r="N82" s="29">
        <v>2.023000000017E12</v>
      </c>
      <c r="O82" s="29">
        <v>2.023000000109E12</v>
      </c>
      <c r="P82" s="29" t="s">
        <v>1561</v>
      </c>
      <c r="Q82" s="42">
        <v>412731.93</v>
      </c>
      <c r="R82" s="31">
        <v>44963.0</v>
      </c>
      <c r="S82" s="159">
        <v>45366.0</v>
      </c>
      <c r="T82" s="232" t="s">
        <v>1562</v>
      </c>
      <c r="U82" s="59"/>
      <c r="V82" s="59"/>
      <c r="W82" s="59"/>
      <c r="X82" s="59"/>
      <c r="Y82" s="59"/>
      <c r="Z82" s="59"/>
      <c r="AA82" s="59"/>
      <c r="AB82" s="59"/>
      <c r="AC82" s="59"/>
      <c r="AD82" s="59"/>
      <c r="AE82" s="59"/>
      <c r="AF82" s="59"/>
      <c r="AG82" s="59"/>
      <c r="AH82" s="59"/>
      <c r="AI82" s="59"/>
      <c r="AJ82" s="59"/>
      <c r="AK82" s="59"/>
      <c r="AL82" s="59"/>
      <c r="AM82" s="59"/>
      <c r="AN82" s="59"/>
      <c r="AO82" s="59"/>
      <c r="AP82" s="59"/>
    </row>
    <row r="83">
      <c r="A83" s="252">
        <v>45406.0</v>
      </c>
      <c r="B83" s="262" t="s">
        <v>1563</v>
      </c>
      <c r="C83" s="231" t="s">
        <v>1564</v>
      </c>
      <c r="D83" s="228" t="s">
        <v>772</v>
      </c>
      <c r="E83" s="231" t="s">
        <v>475</v>
      </c>
      <c r="F83" s="229"/>
      <c r="G83" s="61" t="s">
        <v>1565</v>
      </c>
      <c r="H83" s="61" t="s">
        <v>1566</v>
      </c>
      <c r="I83" s="230" t="s">
        <v>1567</v>
      </c>
      <c r="J83" s="231"/>
      <c r="K83" s="232" t="s">
        <v>1568</v>
      </c>
      <c r="L83" s="254" t="s">
        <v>1569</v>
      </c>
      <c r="M83" s="254" t="s">
        <v>1570</v>
      </c>
      <c r="N83" s="32" t="s">
        <v>1571</v>
      </c>
      <c r="O83" s="255"/>
      <c r="P83" s="255" t="s">
        <v>1572</v>
      </c>
      <c r="Q83" s="103">
        <v>4052843.16</v>
      </c>
      <c r="R83" s="256">
        <v>43040.0</v>
      </c>
      <c r="S83" s="66">
        <v>45044.0</v>
      </c>
      <c r="T83" s="263" t="s">
        <v>1573</v>
      </c>
      <c r="U83" s="264"/>
      <c r="V83" s="264"/>
      <c r="W83" s="264"/>
      <c r="X83" s="264"/>
      <c r="Y83" s="264"/>
      <c r="Z83" s="264"/>
      <c r="AA83" s="264"/>
      <c r="AB83" s="264"/>
      <c r="AC83" s="264"/>
      <c r="AD83" s="264"/>
      <c r="AE83" s="264"/>
      <c r="AF83" s="264"/>
      <c r="AG83" s="264"/>
      <c r="AH83" s="264"/>
      <c r="AI83" s="264"/>
      <c r="AJ83" s="264"/>
      <c r="AK83" s="264"/>
      <c r="AL83" s="264"/>
      <c r="AM83" s="264"/>
      <c r="AN83" s="264"/>
      <c r="AO83" s="264"/>
      <c r="AP83" s="264"/>
    </row>
    <row r="84">
      <c r="A84" s="200">
        <v>45397.0</v>
      </c>
      <c r="B84" s="201" t="s">
        <v>1574</v>
      </c>
      <c r="C84" s="231" t="s">
        <v>52</v>
      </c>
      <c r="D84" s="247" t="s">
        <v>290</v>
      </c>
      <c r="E84" s="75" t="s">
        <v>65</v>
      </c>
      <c r="F84" s="61" t="s">
        <v>1437</v>
      </c>
      <c r="G84" s="61" t="s">
        <v>1437</v>
      </c>
      <c r="H84" s="61" t="s">
        <v>1437</v>
      </c>
      <c r="I84" s="243" t="s">
        <v>1575</v>
      </c>
      <c r="J84" s="218" t="s">
        <v>309</v>
      </c>
      <c r="K84" s="261" t="s">
        <v>1576</v>
      </c>
      <c r="L84" s="77" t="s">
        <v>1577</v>
      </c>
      <c r="M84" s="77" t="s">
        <v>1578</v>
      </c>
      <c r="N84" s="78">
        <v>2.023000000014E12</v>
      </c>
      <c r="O84" s="29">
        <v>2.023000000105E12</v>
      </c>
      <c r="P84" s="78" t="s">
        <v>1579</v>
      </c>
      <c r="Q84" s="265">
        <v>244285.46</v>
      </c>
      <c r="R84" s="31">
        <v>44970.0</v>
      </c>
      <c r="S84" s="31">
        <v>44971.0</v>
      </c>
      <c r="T84" s="232" t="s">
        <v>1580</v>
      </c>
      <c r="U84" s="59"/>
      <c r="V84" s="59"/>
      <c r="W84" s="59"/>
      <c r="X84" s="59"/>
      <c r="Y84" s="59"/>
      <c r="Z84" s="59"/>
      <c r="AA84" s="59"/>
      <c r="AB84" s="59"/>
      <c r="AC84" s="59"/>
      <c r="AD84" s="59"/>
      <c r="AE84" s="59"/>
      <c r="AF84" s="59"/>
      <c r="AG84" s="59"/>
      <c r="AH84" s="59"/>
      <c r="AI84" s="59"/>
      <c r="AJ84" s="59"/>
      <c r="AK84" s="59"/>
      <c r="AL84" s="59"/>
      <c r="AM84" s="59"/>
      <c r="AN84" s="59"/>
      <c r="AO84" s="59"/>
      <c r="AP84" s="59"/>
    </row>
    <row r="85" ht="59.25" customHeight="1">
      <c r="A85" s="79"/>
      <c r="B85" s="79"/>
      <c r="C85" s="231" t="s">
        <v>23</v>
      </c>
      <c r="D85" s="79"/>
      <c r="E85" s="79"/>
      <c r="F85" s="61" t="s">
        <v>1437</v>
      </c>
      <c r="G85" s="61" t="s">
        <v>1437</v>
      </c>
      <c r="H85" s="61" t="s">
        <v>1437</v>
      </c>
      <c r="I85" s="207"/>
      <c r="J85" s="231" t="s">
        <v>309</v>
      </c>
      <c r="K85" s="232" t="s">
        <v>1581</v>
      </c>
      <c r="L85" s="79"/>
      <c r="M85" s="79"/>
      <c r="N85" s="79"/>
      <c r="O85" s="32">
        <v>2.023000000021E12</v>
      </c>
      <c r="P85" s="79"/>
      <c r="Q85" s="79"/>
      <c r="R85" s="129">
        <v>45184.0</v>
      </c>
      <c r="S85" s="66">
        <v>45202.0</v>
      </c>
      <c r="T85" s="263"/>
      <c r="U85" s="264"/>
      <c r="V85" s="264"/>
      <c r="W85" s="264"/>
      <c r="X85" s="264"/>
      <c r="Y85" s="264"/>
      <c r="Z85" s="264"/>
      <c r="AA85" s="264"/>
      <c r="AB85" s="264"/>
      <c r="AC85" s="264"/>
      <c r="AD85" s="264"/>
      <c r="AE85" s="264"/>
      <c r="AF85" s="264"/>
      <c r="AG85" s="264"/>
      <c r="AH85" s="264"/>
      <c r="AI85" s="264"/>
      <c r="AJ85" s="264"/>
      <c r="AK85" s="264"/>
      <c r="AL85" s="264"/>
      <c r="AM85" s="264"/>
      <c r="AN85" s="264"/>
      <c r="AO85" s="264"/>
      <c r="AP85" s="264"/>
    </row>
    <row r="86" ht="78.0" customHeight="1">
      <c r="A86" s="174">
        <v>45360.0</v>
      </c>
      <c r="B86" s="209" t="s">
        <v>1582</v>
      </c>
      <c r="C86" s="231" t="s">
        <v>137</v>
      </c>
      <c r="D86" s="228" t="s">
        <v>1583</v>
      </c>
      <c r="E86" s="218" t="s">
        <v>25</v>
      </c>
      <c r="F86" s="266"/>
      <c r="G86" s="133"/>
      <c r="H86" s="133"/>
      <c r="I86" s="267" t="s">
        <v>1584</v>
      </c>
      <c r="J86" s="218"/>
      <c r="K86" s="261" t="s">
        <v>1585</v>
      </c>
      <c r="L86" s="134" t="s">
        <v>1586</v>
      </c>
      <c r="M86" s="134" t="s">
        <v>1586</v>
      </c>
      <c r="N86" s="111"/>
      <c r="O86" s="111"/>
      <c r="P86" s="111" t="s">
        <v>1587</v>
      </c>
      <c r="Q86" s="38">
        <v>25361.88</v>
      </c>
      <c r="R86" s="220">
        <v>43899.0</v>
      </c>
      <c r="S86" s="31">
        <v>45008.0</v>
      </c>
      <c r="T86" s="268"/>
      <c r="U86" s="269"/>
      <c r="V86" s="269"/>
      <c r="W86" s="269"/>
      <c r="X86" s="269"/>
      <c r="Y86" s="269"/>
      <c r="Z86" s="269"/>
      <c r="AA86" s="269"/>
      <c r="AB86" s="269"/>
      <c r="AC86" s="269"/>
      <c r="AD86" s="269"/>
      <c r="AE86" s="269"/>
      <c r="AF86" s="269"/>
      <c r="AG86" s="269"/>
      <c r="AH86" s="269"/>
      <c r="AI86" s="269"/>
      <c r="AJ86" s="269"/>
      <c r="AK86" s="269"/>
      <c r="AL86" s="269"/>
      <c r="AM86" s="269"/>
      <c r="AN86" s="269"/>
      <c r="AO86" s="269"/>
      <c r="AP86" s="269"/>
    </row>
    <row r="87">
      <c r="A87" s="186"/>
      <c r="B87" s="270" t="s">
        <v>1588</v>
      </c>
      <c r="C87" s="271" t="s">
        <v>1589</v>
      </c>
      <c r="D87" s="272" t="s">
        <v>1590</v>
      </c>
      <c r="E87" s="251" t="s">
        <v>241</v>
      </c>
      <c r="F87" s="273" t="s">
        <v>1438</v>
      </c>
      <c r="G87" s="106" t="s">
        <v>662</v>
      </c>
      <c r="H87" s="106" t="s">
        <v>1591</v>
      </c>
      <c r="I87" s="274" t="s">
        <v>1592</v>
      </c>
      <c r="J87" s="242" t="s">
        <v>1593</v>
      </c>
      <c r="K87" s="251" t="s">
        <v>1594</v>
      </c>
      <c r="L87" s="275" t="s">
        <v>1595</v>
      </c>
      <c r="M87" s="275" t="s">
        <v>1596</v>
      </c>
      <c r="N87" s="107">
        <v>2.018000189217E12</v>
      </c>
      <c r="O87" s="276"/>
      <c r="P87" s="276" t="s">
        <v>1597</v>
      </c>
      <c r="Q87" s="277">
        <v>510898.8</v>
      </c>
      <c r="R87" s="278">
        <v>43132.0</v>
      </c>
      <c r="S87" s="250">
        <v>45209.0</v>
      </c>
      <c r="T87" s="226" t="s">
        <v>1598</v>
      </c>
      <c r="U87" s="33"/>
      <c r="V87" s="33"/>
      <c r="W87" s="33"/>
      <c r="X87" s="33"/>
      <c r="Y87" s="33"/>
      <c r="Z87" s="33"/>
      <c r="AA87" s="33"/>
      <c r="AB87" s="33"/>
      <c r="AC87" s="33"/>
      <c r="AD87" s="33"/>
      <c r="AE87" s="33"/>
      <c r="AF87" s="33"/>
      <c r="AG87" s="33"/>
      <c r="AH87" s="33"/>
      <c r="AI87" s="33"/>
      <c r="AJ87" s="33"/>
      <c r="AK87" s="33"/>
      <c r="AL87" s="33"/>
      <c r="AM87" s="33"/>
      <c r="AN87" s="33"/>
      <c r="AO87" s="33"/>
      <c r="AP87" s="33"/>
    </row>
    <row r="88">
      <c r="A88" s="95"/>
      <c r="B88" s="95"/>
      <c r="C88" s="279"/>
      <c r="D88" s="280"/>
      <c r="E88" s="95"/>
      <c r="F88" s="95"/>
      <c r="G88" s="95"/>
      <c r="H88" s="95"/>
      <c r="I88" s="279"/>
      <c r="J88" s="279"/>
      <c r="K88" s="95"/>
      <c r="L88" s="95"/>
      <c r="M88" s="95"/>
      <c r="N88" s="95"/>
      <c r="O88" s="95"/>
      <c r="P88" s="95"/>
      <c r="Q88" s="277">
        <v>76042.4</v>
      </c>
      <c r="R88" s="95"/>
      <c r="S88" s="95"/>
      <c r="T88" s="95"/>
      <c r="U88" s="33"/>
      <c r="V88" s="33"/>
      <c r="W88" s="33"/>
      <c r="X88" s="33"/>
      <c r="Y88" s="33"/>
      <c r="Z88" s="33"/>
      <c r="AA88" s="33"/>
      <c r="AB88" s="33"/>
      <c r="AC88" s="33"/>
      <c r="AD88" s="33"/>
      <c r="AE88" s="33"/>
      <c r="AF88" s="33"/>
      <c r="AG88" s="33"/>
      <c r="AH88" s="33"/>
      <c r="AI88" s="33"/>
      <c r="AJ88" s="33"/>
      <c r="AK88" s="33"/>
      <c r="AL88" s="33"/>
      <c r="AM88" s="33"/>
      <c r="AN88" s="33"/>
      <c r="AO88" s="33"/>
      <c r="AP88" s="33"/>
    </row>
    <row r="89" ht="56.25" customHeight="1">
      <c r="A89" s="95"/>
      <c r="B89" s="95"/>
      <c r="C89" s="279"/>
      <c r="D89" s="281"/>
      <c r="E89" s="95"/>
      <c r="F89" s="95"/>
      <c r="G89" s="95"/>
      <c r="H89" s="95"/>
      <c r="I89" s="279"/>
      <c r="J89" s="279"/>
      <c r="K89" s="95"/>
      <c r="L89" s="95"/>
      <c r="M89" s="95"/>
      <c r="N89" s="95"/>
      <c r="O89" s="95"/>
      <c r="P89" s="95"/>
      <c r="Q89" s="282">
        <f>SUM(Q87:Q88)</f>
        <v>586941.2</v>
      </c>
      <c r="R89" s="95"/>
      <c r="S89" s="95"/>
      <c r="T89" s="95"/>
      <c r="U89" s="33"/>
      <c r="V89" s="33"/>
      <c r="W89" s="33"/>
      <c r="X89" s="33"/>
      <c r="Y89" s="33"/>
      <c r="Z89" s="33"/>
      <c r="AA89" s="33"/>
      <c r="AB89" s="33"/>
      <c r="AC89" s="33"/>
      <c r="AD89" s="33"/>
      <c r="AE89" s="33"/>
      <c r="AF89" s="33"/>
      <c r="AG89" s="33"/>
      <c r="AH89" s="33"/>
      <c r="AI89" s="33"/>
      <c r="AJ89" s="33"/>
      <c r="AK89" s="33"/>
      <c r="AL89" s="33"/>
      <c r="AM89" s="33"/>
      <c r="AN89" s="33"/>
      <c r="AO89" s="33"/>
      <c r="AP89" s="33"/>
    </row>
    <row r="90" ht="56.25" customHeight="1">
      <c r="A90" s="95"/>
      <c r="B90" s="95"/>
      <c r="C90" s="279"/>
      <c r="D90" s="272" t="s">
        <v>1599</v>
      </c>
      <c r="E90" s="95"/>
      <c r="F90" s="95"/>
      <c r="G90" s="95"/>
      <c r="H90" s="95"/>
      <c r="I90" s="279"/>
      <c r="J90" s="279"/>
      <c r="K90" s="95"/>
      <c r="L90" s="95"/>
      <c r="M90" s="95"/>
      <c r="N90" s="95"/>
      <c r="O90" s="95"/>
      <c r="P90" s="95"/>
      <c r="Q90" s="277">
        <v>868944.6</v>
      </c>
      <c r="R90" s="95"/>
      <c r="S90" s="95"/>
      <c r="T90" s="95"/>
      <c r="U90" s="33"/>
      <c r="V90" s="33"/>
      <c r="W90" s="33"/>
      <c r="X90" s="33"/>
      <c r="Y90" s="33"/>
      <c r="Z90" s="33"/>
      <c r="AA90" s="33"/>
      <c r="AB90" s="33"/>
      <c r="AC90" s="33"/>
      <c r="AD90" s="33"/>
      <c r="AE90" s="33"/>
      <c r="AF90" s="33"/>
      <c r="AG90" s="33"/>
      <c r="AH90" s="33"/>
      <c r="AI90" s="33"/>
      <c r="AJ90" s="33"/>
      <c r="AK90" s="33"/>
      <c r="AL90" s="33"/>
      <c r="AM90" s="33"/>
      <c r="AN90" s="33"/>
      <c r="AO90" s="33"/>
      <c r="AP90" s="33"/>
    </row>
    <row r="91">
      <c r="A91" s="95"/>
      <c r="B91" s="95"/>
      <c r="C91" s="279"/>
      <c r="D91" s="280"/>
      <c r="E91" s="95"/>
      <c r="F91" s="95"/>
      <c r="G91" s="95"/>
      <c r="H91" s="95"/>
      <c r="I91" s="279"/>
      <c r="J91" s="279"/>
      <c r="K91" s="95"/>
      <c r="L91" s="95"/>
      <c r="M91" s="95"/>
      <c r="N91" s="95"/>
      <c r="O91" s="95"/>
      <c r="P91" s="95"/>
      <c r="Q91" s="277">
        <v>27720.0</v>
      </c>
      <c r="R91" s="95"/>
      <c r="S91" s="95"/>
      <c r="T91" s="95"/>
      <c r="U91" s="33"/>
      <c r="V91" s="33"/>
      <c r="W91" s="33"/>
      <c r="X91" s="33"/>
      <c r="Y91" s="33"/>
      <c r="Z91" s="33"/>
      <c r="AA91" s="33"/>
      <c r="AB91" s="33"/>
      <c r="AC91" s="33"/>
      <c r="AD91" s="33"/>
      <c r="AE91" s="33"/>
      <c r="AF91" s="33"/>
      <c r="AG91" s="33"/>
      <c r="AH91" s="33"/>
      <c r="AI91" s="33"/>
      <c r="AJ91" s="33"/>
      <c r="AK91" s="33"/>
      <c r="AL91" s="33"/>
      <c r="AM91" s="33"/>
      <c r="AN91" s="33"/>
      <c r="AO91" s="33"/>
      <c r="AP91" s="33"/>
    </row>
    <row r="92">
      <c r="A92" s="95"/>
      <c r="B92" s="95"/>
      <c r="C92" s="279"/>
      <c r="D92" s="280"/>
      <c r="E92" s="95"/>
      <c r="F92" s="95"/>
      <c r="G92" s="95"/>
      <c r="H92" s="95"/>
      <c r="I92" s="279"/>
      <c r="J92" s="279"/>
      <c r="K92" s="95"/>
      <c r="L92" s="95"/>
      <c r="M92" s="95"/>
      <c r="N92" s="95"/>
      <c r="O92" s="95"/>
      <c r="P92" s="95"/>
      <c r="Q92" s="282">
        <f>SUM(Q90:Q91)</f>
        <v>896664.6</v>
      </c>
      <c r="R92" s="95"/>
      <c r="S92" s="95"/>
      <c r="T92" s="95"/>
      <c r="U92" s="33"/>
      <c r="V92" s="33"/>
      <c r="W92" s="33"/>
      <c r="X92" s="33"/>
      <c r="Y92" s="33"/>
      <c r="Z92" s="33"/>
      <c r="AA92" s="33"/>
      <c r="AB92" s="33"/>
      <c r="AC92" s="33"/>
      <c r="AD92" s="33"/>
      <c r="AE92" s="33"/>
      <c r="AF92" s="33"/>
      <c r="AG92" s="33"/>
      <c r="AH92" s="33"/>
      <c r="AI92" s="33"/>
      <c r="AJ92" s="33"/>
      <c r="AK92" s="33"/>
      <c r="AL92" s="33"/>
      <c r="AM92" s="33"/>
      <c r="AN92" s="33"/>
      <c r="AO92" s="33"/>
      <c r="AP92" s="33"/>
    </row>
    <row r="93">
      <c r="A93" s="79"/>
      <c r="B93" s="79"/>
      <c r="C93" s="207"/>
      <c r="D93" s="281"/>
      <c r="E93" s="79"/>
      <c r="F93" s="79"/>
      <c r="G93" s="79"/>
      <c r="H93" s="79"/>
      <c r="I93" s="207"/>
      <c r="J93" s="207"/>
      <c r="K93" s="79"/>
      <c r="L93" s="79"/>
      <c r="M93" s="79"/>
      <c r="N93" s="79"/>
      <c r="O93" s="79"/>
      <c r="P93" s="79"/>
      <c r="Q93" s="283">
        <f>SUM(Q89,Q92)</f>
        <v>1483605.8</v>
      </c>
      <c r="R93" s="79"/>
      <c r="S93" s="79"/>
      <c r="T93" s="79"/>
      <c r="U93" s="33"/>
      <c r="V93" s="33"/>
      <c r="W93" s="33"/>
      <c r="X93" s="33"/>
      <c r="Y93" s="33"/>
      <c r="Z93" s="33"/>
      <c r="AA93" s="33"/>
      <c r="AB93" s="33"/>
      <c r="AC93" s="33"/>
      <c r="AD93" s="33"/>
      <c r="AE93" s="33"/>
      <c r="AF93" s="33"/>
      <c r="AG93" s="33"/>
      <c r="AH93" s="33"/>
      <c r="AI93" s="33"/>
      <c r="AJ93" s="33"/>
      <c r="AK93" s="33"/>
      <c r="AL93" s="33"/>
      <c r="AM93" s="33"/>
      <c r="AN93" s="33"/>
      <c r="AO93" s="33"/>
      <c r="AP93" s="33"/>
    </row>
    <row r="94">
      <c r="A94" s="174">
        <v>45351.0</v>
      </c>
      <c r="B94" s="175" t="s">
        <v>1600</v>
      </c>
      <c r="C94" s="202" t="s">
        <v>52</v>
      </c>
      <c r="D94" s="176" t="s">
        <v>1601</v>
      </c>
      <c r="E94" s="177" t="s">
        <v>40</v>
      </c>
      <c r="F94" s="178" t="s">
        <v>1341</v>
      </c>
      <c r="G94" s="178" t="s">
        <v>1341</v>
      </c>
      <c r="H94" s="178" t="s">
        <v>1341</v>
      </c>
      <c r="I94" s="179" t="s">
        <v>1602</v>
      </c>
      <c r="J94" s="177" t="s">
        <v>1603</v>
      </c>
      <c r="K94" s="233">
        <v>45323.0</v>
      </c>
      <c r="L94" s="180" t="s">
        <v>1604</v>
      </c>
      <c r="M94" s="27" t="s">
        <v>1605</v>
      </c>
      <c r="N94" s="27" t="s">
        <v>31</v>
      </c>
      <c r="O94" s="29" t="s">
        <v>1606</v>
      </c>
      <c r="P94" s="120" t="s">
        <v>1607</v>
      </c>
      <c r="Q94" s="29" t="s">
        <v>1608</v>
      </c>
      <c r="R94" s="42">
        <v>85447.12</v>
      </c>
      <c r="S94" s="31">
        <v>44945.0</v>
      </c>
      <c r="T94" s="31">
        <v>45330.0</v>
      </c>
      <c r="U94" s="181"/>
      <c r="V94" s="44"/>
      <c r="W94" s="44"/>
      <c r="X94" s="44"/>
      <c r="Y94" s="44"/>
      <c r="Z94" s="44"/>
      <c r="AA94" s="44"/>
      <c r="AB94" s="44"/>
      <c r="AC94" s="44"/>
      <c r="AD94" s="44"/>
      <c r="AE94" s="44"/>
      <c r="AF94" s="44"/>
      <c r="AG94" s="44"/>
      <c r="AH94" s="44"/>
      <c r="AI94" s="44"/>
      <c r="AJ94" s="44"/>
      <c r="AK94" s="44"/>
      <c r="AL94" s="44"/>
      <c r="AM94" s="44"/>
      <c r="AN94" s="44"/>
      <c r="AO94" s="44"/>
      <c r="AP94" s="44"/>
      <c r="AQ94" s="44"/>
    </row>
    <row r="95">
      <c r="A95" s="174">
        <v>45349.0</v>
      </c>
      <c r="B95" s="175" t="s">
        <v>1609</v>
      </c>
      <c r="C95" s="202" t="s">
        <v>52</v>
      </c>
      <c r="D95" s="176" t="s">
        <v>1610</v>
      </c>
      <c r="E95" s="231" t="s">
        <v>65</v>
      </c>
      <c r="F95" s="27" t="s">
        <v>1437</v>
      </c>
      <c r="G95" s="27" t="s">
        <v>1437</v>
      </c>
      <c r="H95" s="27" t="s">
        <v>1437</v>
      </c>
      <c r="I95" s="179" t="s">
        <v>1611</v>
      </c>
      <c r="J95" s="177" t="s">
        <v>1077</v>
      </c>
      <c r="K95" s="177"/>
      <c r="L95" s="180" t="s">
        <v>1612</v>
      </c>
      <c r="M95" s="27" t="s">
        <v>1613</v>
      </c>
      <c r="N95" s="27" t="s">
        <v>31</v>
      </c>
      <c r="O95" s="29" t="s">
        <v>1614</v>
      </c>
      <c r="P95" s="120" t="s">
        <v>1615</v>
      </c>
      <c r="Q95" s="29" t="s">
        <v>1616</v>
      </c>
      <c r="R95" s="42">
        <v>31500.0</v>
      </c>
      <c r="S95" s="31">
        <v>45259.0</v>
      </c>
      <c r="T95" s="31">
        <v>45265.0</v>
      </c>
      <c r="U95" s="181" t="s">
        <v>856</v>
      </c>
      <c r="V95" s="44"/>
      <c r="W95" s="44"/>
      <c r="X95" s="44"/>
      <c r="Y95" s="44"/>
      <c r="Z95" s="44"/>
      <c r="AA95" s="44"/>
      <c r="AB95" s="44"/>
      <c r="AC95" s="44"/>
      <c r="AD95" s="44"/>
      <c r="AE95" s="44"/>
      <c r="AF95" s="44"/>
      <c r="AG95" s="44"/>
      <c r="AH95" s="44"/>
      <c r="AI95" s="44"/>
      <c r="AJ95" s="44"/>
      <c r="AK95" s="44"/>
      <c r="AL95" s="44"/>
      <c r="AM95" s="44"/>
      <c r="AN95" s="44"/>
      <c r="AO95" s="44"/>
      <c r="AP95" s="44"/>
      <c r="AQ95" s="44"/>
    </row>
    <row r="96">
      <c r="A96" s="174">
        <v>45329.0</v>
      </c>
      <c r="B96" s="175" t="s">
        <v>1617</v>
      </c>
      <c r="C96" s="202" t="s">
        <v>52</v>
      </c>
      <c r="D96" s="176" t="s">
        <v>1618</v>
      </c>
      <c r="E96" s="231" t="s">
        <v>40</v>
      </c>
      <c r="F96" s="178" t="s">
        <v>1341</v>
      </c>
      <c r="G96" s="27" t="s">
        <v>1446</v>
      </c>
      <c r="H96" s="27" t="s">
        <v>1446</v>
      </c>
      <c r="I96" s="179" t="s">
        <v>1619</v>
      </c>
      <c r="J96" s="177" t="s">
        <v>1620</v>
      </c>
      <c r="K96" s="177"/>
      <c r="L96" s="180" t="s">
        <v>1621</v>
      </c>
      <c r="M96" s="27" t="s">
        <v>1622</v>
      </c>
      <c r="N96" s="27" t="s">
        <v>31</v>
      </c>
      <c r="O96" s="29" t="s">
        <v>1623</v>
      </c>
      <c r="P96" s="120" t="s">
        <v>1624</v>
      </c>
      <c r="Q96" s="29" t="s">
        <v>1625</v>
      </c>
      <c r="R96" s="42">
        <v>32896.0</v>
      </c>
      <c r="S96" s="31">
        <v>45267.0</v>
      </c>
      <c r="T96" s="31">
        <v>45278.0</v>
      </c>
      <c r="U96" s="181"/>
      <c r="V96" s="44"/>
      <c r="W96" s="44"/>
      <c r="X96" s="44"/>
      <c r="Y96" s="44"/>
      <c r="Z96" s="44"/>
      <c r="AA96" s="44"/>
      <c r="AB96" s="44"/>
      <c r="AC96" s="44"/>
      <c r="AD96" s="44"/>
      <c r="AE96" s="44"/>
      <c r="AF96" s="44"/>
      <c r="AG96" s="44"/>
      <c r="AH96" s="44"/>
      <c r="AI96" s="44"/>
      <c r="AJ96" s="44"/>
      <c r="AK96" s="44"/>
      <c r="AL96" s="44"/>
      <c r="AM96" s="44"/>
      <c r="AN96" s="44"/>
      <c r="AO96" s="44"/>
      <c r="AP96" s="44"/>
      <c r="AQ96" s="44"/>
    </row>
    <row r="97">
      <c r="A97" s="174">
        <v>45324.0</v>
      </c>
      <c r="B97" s="175" t="s">
        <v>1626</v>
      </c>
      <c r="C97" s="202" t="s">
        <v>52</v>
      </c>
      <c r="D97" s="176" t="s">
        <v>1627</v>
      </c>
      <c r="E97" s="218" t="s">
        <v>344</v>
      </c>
      <c r="F97" s="178"/>
      <c r="G97" s="27" t="s">
        <v>929</v>
      </c>
      <c r="H97" s="27" t="s">
        <v>1628</v>
      </c>
      <c r="I97" s="179" t="s">
        <v>1629</v>
      </c>
      <c r="J97" s="177"/>
      <c r="K97" s="177"/>
      <c r="L97" s="180" t="s">
        <v>1630</v>
      </c>
      <c r="M97" s="27" t="s">
        <v>1631</v>
      </c>
      <c r="N97" s="27" t="s">
        <v>1632</v>
      </c>
      <c r="O97" s="111"/>
      <c r="P97" s="29"/>
      <c r="Q97" s="29" t="s">
        <v>1633</v>
      </c>
      <c r="R97" s="42">
        <v>170400.0</v>
      </c>
      <c r="S97" s="31">
        <v>45140.0</v>
      </c>
      <c r="T97" s="31">
        <v>45155.0</v>
      </c>
      <c r="U97" s="237"/>
      <c r="V97" s="44"/>
      <c r="W97" s="44"/>
      <c r="X97" s="44"/>
      <c r="Y97" s="44"/>
      <c r="Z97" s="44"/>
      <c r="AA97" s="44"/>
      <c r="AB97" s="44"/>
      <c r="AC97" s="44"/>
      <c r="AD97" s="44"/>
      <c r="AE97" s="44"/>
      <c r="AF97" s="44"/>
      <c r="AG97" s="44"/>
      <c r="AH97" s="44"/>
      <c r="AI97" s="44"/>
      <c r="AJ97" s="44"/>
      <c r="AK97" s="44"/>
      <c r="AL97" s="44"/>
      <c r="AM97" s="44"/>
      <c r="AN97" s="44"/>
      <c r="AO97" s="44"/>
      <c r="AP97" s="44"/>
      <c r="AQ97" s="44"/>
    </row>
    <row r="98" ht="106.5" customHeight="1">
      <c r="A98" s="208">
        <v>45969.0</v>
      </c>
      <c r="B98" s="209" t="s">
        <v>1634</v>
      </c>
      <c r="C98" s="202" t="s">
        <v>52</v>
      </c>
      <c r="D98" s="228" t="s">
        <v>1635</v>
      </c>
      <c r="E98" s="218" t="s">
        <v>65</v>
      </c>
      <c r="F98" s="178"/>
      <c r="G98" s="27"/>
      <c r="H98" s="27"/>
      <c r="I98" s="260" t="s">
        <v>1636</v>
      </c>
      <c r="J98" s="284"/>
      <c r="K98" s="284"/>
      <c r="L98" s="284"/>
      <c r="M98" s="223">
        <v>44491.0</v>
      </c>
      <c r="N98" s="27" t="s">
        <v>1637</v>
      </c>
      <c r="O98" s="27" t="s">
        <v>31</v>
      </c>
      <c r="P98" s="29"/>
      <c r="Q98" s="29"/>
      <c r="R98" s="29" t="s">
        <v>1638</v>
      </c>
      <c r="S98" s="38">
        <v>20822.11</v>
      </c>
      <c r="T98" s="31">
        <v>44470.0</v>
      </c>
      <c r="U98" s="31">
        <v>44491.0</v>
      </c>
      <c r="V98" s="285" t="s">
        <v>1639</v>
      </c>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row>
    <row r="99">
      <c r="A99" s="252">
        <v>45291.0</v>
      </c>
      <c r="B99" s="209" t="s">
        <v>325</v>
      </c>
      <c r="C99" s="286" t="s">
        <v>325</v>
      </c>
      <c r="D99" s="228" t="s">
        <v>1640</v>
      </c>
      <c r="E99" s="231" t="s">
        <v>1641</v>
      </c>
      <c r="F99" s="229"/>
      <c r="G99" s="61" t="s">
        <v>134</v>
      </c>
      <c r="H99" s="61" t="s">
        <v>134</v>
      </c>
      <c r="I99" s="287" t="s">
        <v>1642</v>
      </c>
      <c r="J99" s="231"/>
      <c r="K99" s="231"/>
      <c r="L99" s="231"/>
      <c r="M99" s="232" t="s">
        <v>1643</v>
      </c>
      <c r="N99" s="61" t="s">
        <v>1644</v>
      </c>
      <c r="O99" s="61" t="s">
        <v>1645</v>
      </c>
      <c r="P99" s="32" t="s">
        <v>1646</v>
      </c>
      <c r="Q99" s="32"/>
      <c r="R99" s="32" t="s">
        <v>1647</v>
      </c>
      <c r="S99" s="103">
        <v>8500.0</v>
      </c>
      <c r="T99" s="32" t="s">
        <v>325</v>
      </c>
      <c r="U99" s="32" t="s">
        <v>325</v>
      </c>
      <c r="V99" s="268" t="s">
        <v>1648</v>
      </c>
      <c r="W99" s="288"/>
      <c r="X99" s="288"/>
      <c r="Y99" s="288"/>
      <c r="Z99" s="288"/>
      <c r="AA99" s="288"/>
      <c r="AB99" s="288"/>
      <c r="AC99" s="288"/>
      <c r="AD99" s="288"/>
      <c r="AE99" s="288"/>
      <c r="AF99" s="288"/>
      <c r="AG99" s="288"/>
      <c r="AH99" s="288"/>
      <c r="AI99" s="288"/>
      <c r="AJ99" s="288"/>
      <c r="AK99" s="288"/>
      <c r="AL99" s="59"/>
    </row>
    <row r="100">
      <c r="A100" s="174">
        <v>45289.0</v>
      </c>
      <c r="B100" s="175" t="s">
        <v>1649</v>
      </c>
      <c r="C100" s="206" t="s">
        <v>23</v>
      </c>
      <c r="D100" s="228" t="s">
        <v>1650</v>
      </c>
      <c r="E100" s="231" t="s">
        <v>188</v>
      </c>
      <c r="F100" s="229"/>
      <c r="G100" s="61" t="s">
        <v>1651</v>
      </c>
      <c r="H100" s="61" t="s">
        <v>191</v>
      </c>
      <c r="I100" s="230" t="s">
        <v>1652</v>
      </c>
      <c r="J100" s="231"/>
      <c r="K100" s="231"/>
      <c r="L100" s="231"/>
      <c r="M100" s="232" t="s">
        <v>1653</v>
      </c>
      <c r="N100" s="61" t="s">
        <v>1654</v>
      </c>
      <c r="O100" s="61" t="s">
        <v>1655</v>
      </c>
      <c r="P100" s="32" t="s">
        <v>1153</v>
      </c>
      <c r="Q100" s="103">
        <v>4500.0</v>
      </c>
      <c r="R100" s="129">
        <v>45121.0</v>
      </c>
      <c r="S100" s="129">
        <v>45253.0</v>
      </c>
      <c r="T100" s="232"/>
      <c r="U100" s="59"/>
      <c r="V100" s="59"/>
      <c r="W100" s="59"/>
      <c r="X100" s="59"/>
      <c r="Y100" s="59"/>
      <c r="Z100" s="59"/>
      <c r="AA100" s="59"/>
      <c r="AB100" s="59"/>
      <c r="AC100" s="59"/>
      <c r="AD100" s="59"/>
      <c r="AE100" s="59"/>
      <c r="AF100" s="59"/>
      <c r="AG100" s="59"/>
      <c r="AH100" s="59"/>
      <c r="AI100" s="59"/>
      <c r="AJ100" s="59"/>
      <c r="AK100" s="59"/>
      <c r="AL100" s="59"/>
    </row>
    <row r="101">
      <c r="A101" s="252">
        <v>45272.0</v>
      </c>
      <c r="B101" s="175" t="s">
        <v>1656</v>
      </c>
      <c r="C101" s="217" t="s">
        <v>52</v>
      </c>
      <c r="D101" s="228" t="s">
        <v>1657</v>
      </c>
      <c r="E101" s="231" t="s">
        <v>65</v>
      </c>
      <c r="F101" s="229"/>
      <c r="G101" s="61" t="s">
        <v>1437</v>
      </c>
      <c r="H101" s="61" t="s">
        <v>1658</v>
      </c>
      <c r="I101" s="230" t="s">
        <v>1659</v>
      </c>
      <c r="J101" s="231"/>
      <c r="K101" s="232" t="s">
        <v>1660</v>
      </c>
      <c r="L101" s="61" t="s">
        <v>1661</v>
      </c>
      <c r="M101" s="61" t="s">
        <v>1662</v>
      </c>
      <c r="N101" s="32"/>
      <c r="O101" s="32"/>
      <c r="P101" s="32" t="s">
        <v>1663</v>
      </c>
      <c r="Q101" s="103">
        <v>15000.0</v>
      </c>
      <c r="R101" s="129">
        <v>45182.0</v>
      </c>
      <c r="S101" s="109">
        <v>45190.0</v>
      </c>
      <c r="T101" s="232" t="s">
        <v>856</v>
      </c>
      <c r="U101" s="59"/>
      <c r="V101" s="59"/>
      <c r="W101" s="59"/>
      <c r="X101" s="59"/>
      <c r="Y101" s="59"/>
      <c r="Z101" s="59"/>
      <c r="AA101" s="59"/>
      <c r="AB101" s="59"/>
      <c r="AC101" s="59"/>
      <c r="AD101" s="59"/>
      <c r="AE101" s="59"/>
      <c r="AF101" s="59"/>
      <c r="AG101" s="59"/>
      <c r="AH101" s="59"/>
      <c r="AI101" s="59"/>
      <c r="AJ101" s="59"/>
      <c r="AK101" s="59"/>
      <c r="AL101" s="59"/>
    </row>
    <row r="102">
      <c r="A102" s="252">
        <v>45266.0</v>
      </c>
      <c r="B102" s="175" t="s">
        <v>1664</v>
      </c>
      <c r="C102" s="238" t="s">
        <v>23</v>
      </c>
      <c r="D102" s="228" t="s">
        <v>1665</v>
      </c>
      <c r="E102" s="231" t="s">
        <v>1666</v>
      </c>
      <c r="F102" s="229"/>
      <c r="G102" s="61" t="s">
        <v>1667</v>
      </c>
      <c r="H102" s="61" t="s">
        <v>1668</v>
      </c>
      <c r="I102" s="230" t="s">
        <v>1669</v>
      </c>
      <c r="J102" s="231"/>
      <c r="K102" s="232" t="s">
        <v>1670</v>
      </c>
      <c r="L102" s="61" t="s">
        <v>1671</v>
      </c>
      <c r="M102" s="61" t="s">
        <v>1672</v>
      </c>
      <c r="N102" s="32"/>
      <c r="O102" s="32"/>
      <c r="P102" s="32" t="s">
        <v>1673</v>
      </c>
      <c r="Q102" s="103">
        <v>33000.0</v>
      </c>
      <c r="R102" s="129">
        <v>45112.0</v>
      </c>
      <c r="S102" s="109">
        <v>45209.0</v>
      </c>
      <c r="T102" s="232" t="s">
        <v>1674</v>
      </c>
      <c r="U102" s="59"/>
      <c r="V102" s="59"/>
      <c r="W102" s="59"/>
      <c r="X102" s="59"/>
      <c r="Y102" s="59"/>
      <c r="Z102" s="59"/>
      <c r="AA102" s="59"/>
      <c r="AB102" s="59"/>
      <c r="AC102" s="59"/>
      <c r="AD102" s="59"/>
      <c r="AE102" s="59"/>
      <c r="AF102" s="59"/>
      <c r="AG102" s="59"/>
      <c r="AH102" s="59"/>
      <c r="AI102" s="59"/>
      <c r="AJ102" s="59"/>
      <c r="AK102" s="59"/>
      <c r="AL102" s="59"/>
    </row>
    <row r="103">
      <c r="A103" s="174">
        <v>45248.0</v>
      </c>
      <c r="B103" s="262" t="s">
        <v>1675</v>
      </c>
      <c r="C103" s="238" t="s">
        <v>175</v>
      </c>
      <c r="D103" s="228" t="s">
        <v>1676</v>
      </c>
      <c r="E103" s="218" t="s">
        <v>65</v>
      </c>
      <c r="F103" s="178"/>
      <c r="G103" s="27" t="s">
        <v>1677</v>
      </c>
      <c r="H103" s="27" t="s">
        <v>1677</v>
      </c>
      <c r="I103" s="260" t="s">
        <v>1678</v>
      </c>
      <c r="J103" s="218"/>
      <c r="K103" s="261" t="s">
        <v>1679</v>
      </c>
      <c r="L103" s="27" t="s">
        <v>1680</v>
      </c>
      <c r="M103" s="27" t="s">
        <v>1681</v>
      </c>
      <c r="N103" s="29" t="s">
        <v>1682</v>
      </c>
      <c r="O103" s="29"/>
      <c r="P103" s="29" t="s">
        <v>1683</v>
      </c>
      <c r="Q103" s="38">
        <v>741196.73</v>
      </c>
      <c r="R103" s="31">
        <v>44603.0</v>
      </c>
      <c r="S103" s="112">
        <v>45148.0</v>
      </c>
      <c r="T103" s="181"/>
      <c r="U103" s="31"/>
      <c r="V103" s="181"/>
      <c r="W103" s="288"/>
      <c r="X103" s="288"/>
      <c r="Y103" s="288"/>
      <c r="Z103" s="288"/>
      <c r="AA103" s="288"/>
      <c r="AB103" s="288"/>
      <c r="AC103" s="288"/>
      <c r="AD103" s="288"/>
      <c r="AE103" s="288"/>
      <c r="AF103" s="288"/>
      <c r="AG103" s="288"/>
      <c r="AH103" s="288"/>
      <c r="AI103" s="288"/>
      <c r="AJ103" s="288"/>
      <c r="AK103" s="288"/>
      <c r="AL103" s="288"/>
      <c r="AM103" s="288"/>
      <c r="AN103" s="288"/>
      <c r="AO103" s="288"/>
      <c r="AP103" s="288"/>
      <c r="AQ103" s="288"/>
      <c r="AR103" s="288"/>
      <c r="AS103" s="288"/>
      <c r="AT103" s="288"/>
      <c r="AU103" s="288"/>
      <c r="AV103" s="288"/>
      <c r="AW103" s="288"/>
    </row>
    <row r="104">
      <c r="A104" s="174">
        <v>45241.0</v>
      </c>
      <c r="B104" s="175" t="s">
        <v>1684</v>
      </c>
      <c r="C104" s="217" t="s">
        <v>52</v>
      </c>
      <c r="D104" s="228" t="s">
        <v>1685</v>
      </c>
      <c r="E104" s="231" t="s">
        <v>65</v>
      </c>
      <c r="F104" s="61" t="s">
        <v>1686</v>
      </c>
      <c r="G104" s="61" t="s">
        <v>1686</v>
      </c>
      <c r="H104" s="61" t="s">
        <v>1687</v>
      </c>
      <c r="I104" s="230" t="s">
        <v>1688</v>
      </c>
      <c r="J104" s="231" t="s">
        <v>1500</v>
      </c>
      <c r="K104" s="232" t="s">
        <v>1689</v>
      </c>
      <c r="L104" s="61" t="s">
        <v>1690</v>
      </c>
      <c r="M104" s="61" t="s">
        <v>1691</v>
      </c>
      <c r="N104" s="32"/>
      <c r="O104" s="32"/>
      <c r="P104" s="32" t="s">
        <v>1692</v>
      </c>
      <c r="Q104" s="103">
        <v>621304.31</v>
      </c>
      <c r="R104" s="129">
        <v>45181.0</v>
      </c>
      <c r="S104" s="129">
        <v>45182.0</v>
      </c>
      <c r="T104" s="232"/>
      <c r="U104" s="31"/>
      <c r="V104" s="181"/>
      <c r="W104" s="288"/>
      <c r="X104" s="288"/>
      <c r="Y104" s="288"/>
      <c r="Z104" s="288"/>
      <c r="AA104" s="288"/>
      <c r="AB104" s="288"/>
      <c r="AC104" s="288"/>
      <c r="AD104" s="288"/>
      <c r="AE104" s="288"/>
      <c r="AF104" s="288"/>
      <c r="AG104" s="288"/>
      <c r="AH104" s="288"/>
      <c r="AI104" s="288"/>
      <c r="AJ104" s="288"/>
      <c r="AK104" s="288"/>
      <c r="AL104" s="288"/>
      <c r="AM104" s="288"/>
      <c r="AN104" s="288"/>
      <c r="AO104" s="288"/>
      <c r="AP104" s="288"/>
      <c r="AQ104" s="288"/>
      <c r="AR104" s="288"/>
      <c r="AS104" s="288"/>
      <c r="AT104" s="288"/>
      <c r="AU104" s="288"/>
      <c r="AV104" s="288"/>
      <c r="AW104" s="288"/>
    </row>
    <row r="105" ht="105.0" customHeight="1">
      <c r="A105" s="174">
        <v>45179.0</v>
      </c>
      <c r="B105" s="209" t="s">
        <v>1693</v>
      </c>
      <c r="C105" s="231" t="s">
        <v>38</v>
      </c>
      <c r="D105" s="35" t="s">
        <v>1694</v>
      </c>
      <c r="E105" s="36" t="s">
        <v>65</v>
      </c>
      <c r="F105" s="133"/>
      <c r="G105" s="133"/>
      <c r="H105" s="133"/>
      <c r="I105" s="37" t="s">
        <v>1695</v>
      </c>
      <c r="J105" s="36"/>
      <c r="K105" s="36" t="s">
        <v>1696</v>
      </c>
      <c r="L105" s="27" t="s">
        <v>1697</v>
      </c>
      <c r="M105" s="27" t="s">
        <v>1698</v>
      </c>
      <c r="N105" s="289" t="s">
        <v>1699</v>
      </c>
      <c r="O105" s="29"/>
      <c r="P105" s="29" t="s">
        <v>1700</v>
      </c>
      <c r="Q105" s="42">
        <v>2137222.27</v>
      </c>
      <c r="R105" s="31">
        <v>44641.0</v>
      </c>
      <c r="S105" s="159">
        <v>44944.0</v>
      </c>
      <c r="T105" s="285" t="s">
        <v>1701</v>
      </c>
      <c r="U105" s="31"/>
      <c r="V105" s="181"/>
      <c r="W105" s="288"/>
      <c r="X105" s="288"/>
      <c r="Y105" s="288"/>
      <c r="Z105" s="288"/>
      <c r="AA105" s="288"/>
      <c r="AB105" s="288"/>
      <c r="AC105" s="288"/>
      <c r="AD105" s="288"/>
      <c r="AE105" s="288"/>
      <c r="AF105" s="288"/>
      <c r="AG105" s="288"/>
      <c r="AH105" s="288"/>
      <c r="AI105" s="288"/>
      <c r="AJ105" s="288"/>
      <c r="AK105" s="288"/>
      <c r="AL105" s="288"/>
      <c r="AM105" s="288"/>
      <c r="AN105" s="288"/>
      <c r="AO105" s="288"/>
      <c r="AP105" s="288"/>
      <c r="AQ105" s="288"/>
      <c r="AR105" s="288"/>
      <c r="AS105" s="288"/>
      <c r="AT105" s="288"/>
      <c r="AU105" s="288"/>
      <c r="AV105" s="288"/>
      <c r="AW105" s="288"/>
    </row>
    <row r="106">
      <c r="A106" s="174">
        <v>45223.0</v>
      </c>
      <c r="B106" s="175" t="s">
        <v>1702</v>
      </c>
      <c r="C106" s="217" t="s">
        <v>52</v>
      </c>
      <c r="D106" s="176" t="s">
        <v>1703</v>
      </c>
      <c r="E106" s="177" t="s">
        <v>25</v>
      </c>
      <c r="F106" s="178"/>
      <c r="G106" s="27" t="s">
        <v>1704</v>
      </c>
      <c r="H106" s="27" t="s">
        <v>1705</v>
      </c>
      <c r="I106" s="179" t="s">
        <v>1706</v>
      </c>
      <c r="J106" s="177"/>
      <c r="K106" s="180" t="s">
        <v>1707</v>
      </c>
      <c r="L106" s="27" t="s">
        <v>1708</v>
      </c>
      <c r="M106" s="27" t="s">
        <v>31</v>
      </c>
      <c r="N106" s="29">
        <v>2.022000000349E12</v>
      </c>
      <c r="O106" s="29"/>
      <c r="P106" s="29" t="s">
        <v>1709</v>
      </c>
      <c r="Q106" s="30">
        <v>54.0</v>
      </c>
      <c r="R106" s="31">
        <v>44858.0</v>
      </c>
      <c r="S106" s="31">
        <v>44874.0</v>
      </c>
      <c r="T106" s="221"/>
      <c r="U106" s="31"/>
      <c r="V106" s="181"/>
      <c r="W106" s="288"/>
      <c r="X106" s="288"/>
      <c r="Y106" s="288"/>
      <c r="Z106" s="288"/>
      <c r="AA106" s="288"/>
      <c r="AB106" s="288"/>
      <c r="AC106" s="288"/>
      <c r="AD106" s="288"/>
      <c r="AE106" s="288"/>
      <c r="AF106" s="288"/>
      <c r="AG106" s="288"/>
      <c r="AH106" s="288"/>
      <c r="AI106" s="288"/>
      <c r="AJ106" s="288"/>
      <c r="AK106" s="288"/>
      <c r="AL106" s="288"/>
      <c r="AM106" s="288"/>
      <c r="AN106" s="288"/>
      <c r="AO106" s="288"/>
      <c r="AP106" s="288"/>
      <c r="AQ106" s="288"/>
      <c r="AR106" s="288"/>
      <c r="AS106" s="288"/>
      <c r="AT106" s="288"/>
      <c r="AU106" s="288"/>
      <c r="AV106" s="288"/>
      <c r="AW106" s="288"/>
    </row>
    <row r="107">
      <c r="A107" s="174">
        <v>45220.0</v>
      </c>
      <c r="B107" s="175" t="s">
        <v>1710</v>
      </c>
      <c r="C107" s="227" t="s">
        <v>52</v>
      </c>
      <c r="D107" s="176" t="s">
        <v>1711</v>
      </c>
      <c r="E107" s="177" t="s">
        <v>561</v>
      </c>
      <c r="F107" s="178"/>
      <c r="G107" s="27" t="s">
        <v>1712</v>
      </c>
      <c r="H107" s="27" t="s">
        <v>1713</v>
      </c>
      <c r="I107" s="290" t="s">
        <v>1714</v>
      </c>
      <c r="J107" s="177"/>
      <c r="K107" s="180" t="s">
        <v>1715</v>
      </c>
      <c r="L107" s="27" t="s">
        <v>1716</v>
      </c>
      <c r="M107" s="27" t="s">
        <v>31</v>
      </c>
      <c r="N107" s="29">
        <v>2.023000000076E12</v>
      </c>
      <c r="O107" s="29"/>
      <c r="P107" s="29" t="s">
        <v>1717</v>
      </c>
      <c r="Q107" s="30">
        <v>30298.88</v>
      </c>
      <c r="R107" s="31">
        <v>45098.0</v>
      </c>
      <c r="S107" s="31">
        <v>45105.0</v>
      </c>
      <c r="T107" s="181" t="s">
        <v>856</v>
      </c>
      <c r="U107" s="31"/>
      <c r="V107" s="181"/>
      <c r="W107" s="288"/>
      <c r="X107" s="288"/>
      <c r="Y107" s="288"/>
      <c r="Z107" s="288"/>
      <c r="AA107" s="288"/>
      <c r="AB107" s="288"/>
      <c r="AC107" s="288"/>
      <c r="AD107" s="288"/>
      <c r="AE107" s="288"/>
      <c r="AF107" s="288"/>
      <c r="AG107" s="288"/>
      <c r="AH107" s="288"/>
      <c r="AI107" s="288"/>
      <c r="AJ107" s="288"/>
      <c r="AK107" s="288"/>
      <c r="AL107" s="288"/>
      <c r="AM107" s="288"/>
      <c r="AN107" s="288"/>
      <c r="AO107" s="288"/>
      <c r="AP107" s="288"/>
      <c r="AQ107" s="288"/>
      <c r="AR107" s="288"/>
      <c r="AS107" s="288"/>
      <c r="AT107" s="288"/>
      <c r="AU107" s="288"/>
      <c r="AV107" s="288"/>
      <c r="AW107" s="288"/>
    </row>
    <row r="108">
      <c r="A108" s="174">
        <v>45212.0</v>
      </c>
      <c r="B108" s="175" t="s">
        <v>1718</v>
      </c>
      <c r="C108" s="227" t="s">
        <v>52</v>
      </c>
      <c r="D108" s="176" t="s">
        <v>1555</v>
      </c>
      <c r="E108" s="177" t="s">
        <v>25</v>
      </c>
      <c r="F108" s="178"/>
      <c r="G108" s="27" t="s">
        <v>230</v>
      </c>
      <c r="H108" s="27" t="s">
        <v>1719</v>
      </c>
      <c r="I108" s="179" t="s">
        <v>1720</v>
      </c>
      <c r="J108" s="177"/>
      <c r="K108" s="180" t="s">
        <v>1721</v>
      </c>
      <c r="L108" s="27" t="s">
        <v>1722</v>
      </c>
      <c r="M108" s="27" t="s">
        <v>31</v>
      </c>
      <c r="N108" s="29"/>
      <c r="O108" s="29"/>
      <c r="P108" s="29" t="s">
        <v>1362</v>
      </c>
      <c r="Q108" s="30">
        <v>1260054.48</v>
      </c>
      <c r="R108" s="291">
        <f>Q108/6</f>
        <v>210009.08</v>
      </c>
      <c r="S108" s="31">
        <v>45029.0</v>
      </c>
      <c r="T108" s="31">
        <v>45029.0</v>
      </c>
      <c r="U108" s="31">
        <v>45035.0</v>
      </c>
      <c r="V108" s="181" t="s">
        <v>856</v>
      </c>
      <c r="W108" s="288"/>
      <c r="X108" s="288"/>
      <c r="Y108" s="288"/>
      <c r="Z108" s="288"/>
      <c r="AA108" s="288"/>
      <c r="AB108" s="288"/>
      <c r="AC108" s="288"/>
      <c r="AD108" s="288"/>
      <c r="AE108" s="288"/>
      <c r="AF108" s="288"/>
      <c r="AG108" s="288"/>
      <c r="AH108" s="288"/>
      <c r="AI108" s="288"/>
      <c r="AJ108" s="288"/>
      <c r="AK108" s="288"/>
      <c r="AL108" s="288"/>
      <c r="AM108" s="288"/>
      <c r="AN108" s="288"/>
      <c r="AO108" s="288"/>
      <c r="AP108" s="288"/>
      <c r="AQ108" s="288"/>
      <c r="AR108" s="288"/>
      <c r="AS108" s="288"/>
      <c r="AT108" s="288"/>
      <c r="AU108" s="288"/>
      <c r="AV108" s="288"/>
      <c r="AW108" s="288"/>
    </row>
    <row r="109">
      <c r="A109" s="292">
        <v>45204.0</v>
      </c>
      <c r="B109" s="270" t="s">
        <v>1723</v>
      </c>
      <c r="C109" s="293" t="s">
        <v>52</v>
      </c>
      <c r="D109" s="294" t="s">
        <v>240</v>
      </c>
      <c r="E109" s="295" t="s">
        <v>241</v>
      </c>
      <c r="F109" s="296"/>
      <c r="G109" s="297" t="s">
        <v>1724</v>
      </c>
      <c r="H109" s="298" t="s">
        <v>1725</v>
      </c>
      <c r="I109" s="299" t="s">
        <v>1726</v>
      </c>
      <c r="J109" s="212"/>
      <c r="K109" s="300" t="s">
        <v>1727</v>
      </c>
      <c r="L109" s="297" t="s">
        <v>1728</v>
      </c>
      <c r="M109" s="297" t="s">
        <v>1729</v>
      </c>
      <c r="N109" s="301"/>
      <c r="O109" s="302"/>
      <c r="P109" s="301" t="s">
        <v>1730</v>
      </c>
      <c r="Q109" s="303">
        <v>315350.0</v>
      </c>
      <c r="R109" s="304"/>
      <c r="S109" s="305"/>
      <c r="T109" s="305">
        <v>44839.0</v>
      </c>
      <c r="U109" s="305">
        <v>44841.0</v>
      </c>
      <c r="V109" s="306" t="s">
        <v>1731</v>
      </c>
      <c r="W109" s="288"/>
      <c r="X109" s="288"/>
      <c r="Y109" s="288"/>
      <c r="Z109" s="288"/>
      <c r="AA109" s="288"/>
      <c r="AB109" s="288"/>
      <c r="AC109" s="288"/>
      <c r="AD109" s="288"/>
      <c r="AE109" s="288"/>
      <c r="AF109" s="288"/>
      <c r="AG109" s="288"/>
      <c r="AH109" s="288"/>
      <c r="AI109" s="288"/>
      <c r="AJ109" s="288"/>
      <c r="AK109" s="288"/>
      <c r="AL109" s="288"/>
      <c r="AM109" s="288"/>
      <c r="AN109" s="288"/>
      <c r="AO109" s="288"/>
      <c r="AP109" s="288"/>
      <c r="AQ109" s="288"/>
      <c r="AR109" s="288"/>
      <c r="AS109" s="288"/>
      <c r="AT109" s="288"/>
      <c r="AU109" s="288"/>
      <c r="AV109" s="288"/>
      <c r="AW109" s="288"/>
    </row>
    <row r="110">
      <c r="A110" s="279"/>
      <c r="B110" s="95"/>
      <c r="C110" s="279"/>
      <c r="D110" s="279"/>
      <c r="E110" s="279"/>
      <c r="F110" s="296"/>
      <c r="G110" s="279"/>
      <c r="I110" s="95"/>
      <c r="J110" s="212"/>
      <c r="K110" s="279"/>
      <c r="L110" s="279"/>
      <c r="M110" s="279"/>
      <c r="N110" s="279"/>
      <c r="O110" s="302"/>
      <c r="P110" s="279"/>
      <c r="Q110" s="307">
        <v>338400.0</v>
      </c>
      <c r="R110" s="308"/>
      <c r="S110" s="279"/>
      <c r="T110" s="279"/>
      <c r="U110" s="279"/>
      <c r="V110" s="279"/>
      <c r="W110" s="288"/>
      <c r="X110" s="288"/>
      <c r="Y110" s="288"/>
      <c r="Z110" s="288"/>
      <c r="AA110" s="288"/>
      <c r="AB110" s="288"/>
      <c r="AC110" s="288"/>
      <c r="AD110" s="288"/>
      <c r="AE110" s="288"/>
      <c r="AF110" s="288"/>
      <c r="AG110" s="288"/>
      <c r="AH110" s="288"/>
      <c r="AI110" s="288"/>
      <c r="AJ110" s="288"/>
      <c r="AK110" s="288"/>
      <c r="AL110" s="288"/>
      <c r="AM110" s="288"/>
      <c r="AN110" s="288"/>
      <c r="AO110" s="288"/>
      <c r="AP110" s="288"/>
      <c r="AQ110" s="288"/>
      <c r="AR110" s="288"/>
      <c r="AS110" s="288"/>
      <c r="AT110" s="288"/>
      <c r="AU110" s="288"/>
      <c r="AV110" s="288"/>
      <c r="AW110" s="288"/>
    </row>
    <row r="111" ht="203.25" customHeight="1">
      <c r="A111" s="207"/>
      <c r="B111" s="79"/>
      <c r="C111" s="207"/>
      <c r="D111" s="207"/>
      <c r="E111" s="207"/>
      <c r="F111" s="296"/>
      <c r="G111" s="207"/>
      <c r="H111" s="309"/>
      <c r="I111" s="79"/>
      <c r="J111" s="212"/>
      <c r="K111" s="207"/>
      <c r="L111" s="207"/>
      <c r="M111" s="207"/>
      <c r="N111" s="207"/>
      <c r="O111" s="302"/>
      <c r="P111" s="207"/>
      <c r="Q111" s="310">
        <v>656750.0</v>
      </c>
      <c r="R111" s="308"/>
      <c r="S111" s="207"/>
      <c r="T111" s="207"/>
      <c r="U111" s="207"/>
      <c r="V111" s="207"/>
      <c r="W111" s="288"/>
      <c r="X111" s="288"/>
      <c r="Y111" s="288"/>
      <c r="Z111" s="288"/>
      <c r="AA111" s="288"/>
      <c r="AB111" s="288"/>
      <c r="AC111" s="288"/>
      <c r="AD111" s="288"/>
      <c r="AE111" s="288"/>
      <c r="AF111" s="288"/>
      <c r="AG111" s="288"/>
      <c r="AH111" s="288"/>
      <c r="AI111" s="288"/>
      <c r="AJ111" s="288"/>
      <c r="AK111" s="288"/>
      <c r="AL111" s="288"/>
      <c r="AM111" s="288"/>
      <c r="AN111" s="288"/>
      <c r="AO111" s="288"/>
      <c r="AP111" s="288"/>
      <c r="AQ111" s="288"/>
      <c r="AR111" s="288"/>
      <c r="AS111" s="288"/>
      <c r="AT111" s="288"/>
      <c r="AU111" s="288"/>
      <c r="AV111" s="288"/>
      <c r="AW111" s="288"/>
    </row>
    <row r="112">
      <c r="A112" s="311">
        <v>45205.0</v>
      </c>
      <c r="B112" s="175" t="s">
        <v>1732</v>
      </c>
      <c r="C112" s="227" t="s">
        <v>52</v>
      </c>
      <c r="D112" s="312" t="s">
        <v>1733</v>
      </c>
      <c r="E112" s="218" t="s">
        <v>241</v>
      </c>
      <c r="F112" s="257"/>
      <c r="G112" s="313" t="s">
        <v>1734</v>
      </c>
      <c r="H112" s="313" t="s">
        <v>1735</v>
      </c>
      <c r="I112" s="36" t="s">
        <v>1736</v>
      </c>
      <c r="J112" s="177"/>
      <c r="K112" s="177" t="s">
        <v>1737</v>
      </c>
      <c r="L112" s="313" t="s">
        <v>1738</v>
      </c>
      <c r="M112" s="313" t="s">
        <v>31</v>
      </c>
      <c r="N112" s="302"/>
      <c r="O112" s="314"/>
      <c r="P112" s="314" t="s">
        <v>1739</v>
      </c>
      <c r="Q112" s="315">
        <v>210400.0</v>
      </c>
      <c r="R112" s="304">
        <f>Q112/6</f>
        <v>35066.66667</v>
      </c>
      <c r="S112" s="316">
        <v>45013.0</v>
      </c>
      <c r="T112" s="316">
        <v>45013.0</v>
      </c>
      <c r="U112" s="316">
        <v>45022.0</v>
      </c>
      <c r="V112" s="232" t="s">
        <v>1562</v>
      </c>
      <c r="W112" s="288"/>
      <c r="X112" s="288"/>
      <c r="Y112" s="288"/>
      <c r="Z112" s="288"/>
      <c r="AA112" s="288"/>
      <c r="AB112" s="288"/>
      <c r="AC112" s="288"/>
      <c r="AD112" s="288"/>
      <c r="AE112" s="288"/>
      <c r="AF112" s="288"/>
      <c r="AG112" s="288"/>
      <c r="AH112" s="288"/>
      <c r="AI112" s="288"/>
      <c r="AJ112" s="288"/>
      <c r="AK112" s="288"/>
      <c r="AL112" s="288"/>
      <c r="AM112" s="288"/>
      <c r="AN112" s="288"/>
      <c r="AO112" s="288"/>
      <c r="AP112" s="288"/>
      <c r="AQ112" s="288"/>
      <c r="AR112" s="288"/>
      <c r="AS112" s="288"/>
      <c r="AT112" s="288"/>
      <c r="AU112" s="288"/>
      <c r="AV112" s="288"/>
      <c r="AW112" s="288"/>
    </row>
    <row r="113">
      <c r="A113" s="208">
        <v>45203.0</v>
      </c>
      <c r="B113" s="209" t="s">
        <v>1740</v>
      </c>
      <c r="C113" s="227" t="s">
        <v>52</v>
      </c>
      <c r="D113" s="228" t="s">
        <v>1741</v>
      </c>
      <c r="E113" s="218" t="s">
        <v>40</v>
      </c>
      <c r="F113" s="266"/>
      <c r="G113" s="133"/>
      <c r="H113" s="133"/>
      <c r="I113" s="267" t="s">
        <v>1742</v>
      </c>
      <c r="J113" s="210"/>
      <c r="K113" s="268" t="s">
        <v>1743</v>
      </c>
      <c r="L113" s="134" t="s">
        <v>1744</v>
      </c>
      <c r="M113" s="134" t="s">
        <v>1744</v>
      </c>
      <c r="N113" s="111"/>
      <c r="O113" s="111"/>
      <c r="P113" s="111" t="s">
        <v>1745</v>
      </c>
      <c r="Q113" s="317">
        <v>60000.0</v>
      </c>
      <c r="R113" s="291">
        <f>Q113/5/12</f>
        <v>1000</v>
      </c>
      <c r="S113" s="220">
        <v>43377.0</v>
      </c>
      <c r="T113" s="220">
        <v>43377.0</v>
      </c>
      <c r="U113" s="220">
        <v>43396.0</v>
      </c>
      <c r="V113" s="268" t="s">
        <v>1746</v>
      </c>
      <c r="W113" s="288"/>
      <c r="X113" s="288"/>
      <c r="Y113" s="288"/>
      <c r="Z113" s="288"/>
      <c r="AA113" s="288"/>
      <c r="AB113" s="288"/>
      <c r="AC113" s="288"/>
      <c r="AD113" s="288"/>
      <c r="AE113" s="288"/>
      <c r="AF113" s="288"/>
      <c r="AG113" s="288"/>
      <c r="AH113" s="288"/>
      <c r="AI113" s="288"/>
      <c r="AJ113" s="288"/>
      <c r="AK113" s="288"/>
      <c r="AL113" s="288"/>
      <c r="AM113" s="288"/>
      <c r="AN113" s="288"/>
      <c r="AO113" s="288"/>
      <c r="AP113" s="288"/>
      <c r="AQ113" s="288"/>
      <c r="AR113" s="288"/>
      <c r="AS113" s="288"/>
      <c r="AT113" s="288"/>
      <c r="AU113" s="288"/>
      <c r="AV113" s="288"/>
      <c r="AW113" s="288"/>
    </row>
    <row r="114">
      <c r="A114" s="174">
        <v>45202.0</v>
      </c>
      <c r="B114" s="239" t="s">
        <v>1747</v>
      </c>
      <c r="C114" s="217" t="s">
        <v>23</v>
      </c>
      <c r="D114" s="228" t="s">
        <v>1748</v>
      </c>
      <c r="E114" s="218" t="s">
        <v>40</v>
      </c>
      <c r="F114" s="178"/>
      <c r="G114" s="27" t="s">
        <v>1749</v>
      </c>
      <c r="H114" s="27" t="s">
        <v>1750</v>
      </c>
      <c r="I114" s="260" t="s">
        <v>1751</v>
      </c>
      <c r="J114" s="218"/>
      <c r="K114" s="261" t="s">
        <v>1752</v>
      </c>
      <c r="L114" s="27" t="s">
        <v>1753</v>
      </c>
      <c r="M114" s="27" t="s">
        <v>31</v>
      </c>
      <c r="N114" s="27"/>
      <c r="O114" s="29"/>
      <c r="P114" s="29" t="s">
        <v>1754</v>
      </c>
      <c r="Q114" s="38">
        <v>119000.0</v>
      </c>
      <c r="R114" s="318">
        <f>Q114/3</f>
        <v>39666.66667</v>
      </c>
      <c r="S114" s="31">
        <v>45050.0</v>
      </c>
      <c r="T114" s="31">
        <v>45142.0</v>
      </c>
      <c r="U114" s="31">
        <v>45154.0</v>
      </c>
      <c r="V114" s="319"/>
      <c r="W114" s="288"/>
      <c r="X114" s="288"/>
      <c r="Y114" s="288"/>
      <c r="Z114" s="288"/>
      <c r="AA114" s="288"/>
      <c r="AB114" s="288"/>
      <c r="AC114" s="288"/>
      <c r="AD114" s="288"/>
      <c r="AE114" s="288"/>
      <c r="AF114" s="288"/>
      <c r="AG114" s="288"/>
      <c r="AH114" s="288"/>
      <c r="AI114" s="288"/>
      <c r="AJ114" s="288"/>
      <c r="AK114" s="288"/>
      <c r="AL114" s="288"/>
      <c r="AM114" s="288"/>
      <c r="AN114" s="288"/>
      <c r="AO114" s="288"/>
      <c r="AP114" s="288"/>
      <c r="AQ114" s="288"/>
      <c r="AR114" s="288"/>
      <c r="AS114" s="288"/>
      <c r="AT114" s="288"/>
      <c r="AU114" s="288"/>
      <c r="AV114" s="288"/>
      <c r="AW114" s="288"/>
    </row>
    <row r="115">
      <c r="A115" s="320">
        <v>45172.0</v>
      </c>
      <c r="B115" s="321" t="s">
        <v>1755</v>
      </c>
      <c r="C115" s="322" t="s">
        <v>175</v>
      </c>
      <c r="D115" s="323" t="s">
        <v>1239</v>
      </c>
      <c r="E115" s="324" t="s">
        <v>1756</v>
      </c>
      <c r="F115" s="325"/>
      <c r="G115" s="326" t="s">
        <v>1757</v>
      </c>
      <c r="H115" s="326" t="s">
        <v>1758</v>
      </c>
      <c r="I115" s="327" t="s">
        <v>1759</v>
      </c>
      <c r="J115" s="328" t="s">
        <v>1760</v>
      </c>
      <c r="K115" s="329" t="s">
        <v>1761</v>
      </c>
      <c r="L115" s="329" t="s">
        <v>1762</v>
      </c>
      <c r="M115" s="330" t="s">
        <v>1763</v>
      </c>
      <c r="N115" s="331" t="s">
        <v>1764</v>
      </c>
      <c r="O115" s="332">
        <v>297434.52</v>
      </c>
      <c r="P115" s="333">
        <f t="shared" ref="P115:P117" si="1">O115/12</f>
        <v>24786.21</v>
      </c>
      <c r="Q115" s="334">
        <v>43346.0</v>
      </c>
      <c r="R115" s="335">
        <v>44917.0</v>
      </c>
      <c r="S115" s="335">
        <v>44942.0</v>
      </c>
      <c r="T115" s="288"/>
      <c r="U115" s="288"/>
      <c r="V115" s="288"/>
      <c r="W115" s="288"/>
      <c r="X115" s="288"/>
      <c r="Y115" s="288"/>
      <c r="Z115" s="288"/>
      <c r="AA115" s="288"/>
      <c r="AB115" s="288"/>
      <c r="AC115" s="288"/>
      <c r="AD115" s="288"/>
      <c r="AE115" s="288"/>
      <c r="AF115" s="288"/>
      <c r="AG115" s="288"/>
      <c r="AH115" s="288"/>
      <c r="AI115" s="288"/>
      <c r="AJ115" s="288"/>
      <c r="AK115" s="288"/>
      <c r="AL115" s="288"/>
      <c r="AM115" s="288"/>
      <c r="AN115" s="288"/>
      <c r="AO115" s="288"/>
      <c r="AP115" s="288"/>
      <c r="AQ115" s="288"/>
      <c r="AR115" s="288"/>
    </row>
    <row r="116">
      <c r="A116" s="95"/>
      <c r="B116" s="95"/>
      <c r="C116" s="279"/>
      <c r="D116" s="95"/>
      <c r="E116" s="336" t="s">
        <v>1765</v>
      </c>
      <c r="F116" s="337"/>
      <c r="G116" s="95"/>
      <c r="H116" s="95"/>
      <c r="I116" s="327"/>
      <c r="J116" s="95"/>
      <c r="K116" s="95"/>
      <c r="L116" s="95"/>
      <c r="M116" s="95"/>
      <c r="N116" s="95"/>
      <c r="O116" s="332">
        <v>198289.8</v>
      </c>
      <c r="P116" s="333">
        <f t="shared" si="1"/>
        <v>16524.15</v>
      </c>
      <c r="Q116" s="95"/>
      <c r="R116" s="95"/>
      <c r="S116" s="95"/>
      <c r="T116" s="288"/>
      <c r="U116" s="288"/>
      <c r="V116" s="288"/>
      <c r="W116" s="288"/>
      <c r="X116" s="288"/>
      <c r="Y116" s="288"/>
      <c r="Z116" s="288"/>
      <c r="AA116" s="288"/>
      <c r="AB116" s="288"/>
      <c r="AC116" s="288"/>
      <c r="AD116" s="288"/>
      <c r="AE116" s="288"/>
      <c r="AF116" s="288"/>
      <c r="AG116" s="288"/>
      <c r="AH116" s="288"/>
      <c r="AI116" s="288"/>
      <c r="AJ116" s="288"/>
      <c r="AK116" s="288"/>
      <c r="AL116" s="288"/>
      <c r="AM116" s="288"/>
      <c r="AN116" s="288"/>
      <c r="AO116" s="288"/>
      <c r="AP116" s="288"/>
      <c r="AQ116" s="288"/>
      <c r="AR116" s="288"/>
    </row>
    <row r="117">
      <c r="A117" s="79"/>
      <c r="B117" s="79"/>
      <c r="C117" s="207"/>
      <c r="D117" s="79"/>
      <c r="E117" s="338"/>
      <c r="F117" s="337"/>
      <c r="G117" s="79"/>
      <c r="H117" s="79"/>
      <c r="I117" s="339"/>
      <c r="J117" s="79"/>
      <c r="K117" s="79"/>
      <c r="L117" s="79"/>
      <c r="M117" s="79"/>
      <c r="N117" s="79"/>
      <c r="O117" s="340">
        <f>SUM(O115:O116)</f>
        <v>495724.32</v>
      </c>
      <c r="P117" s="341">
        <f t="shared" si="1"/>
        <v>41310.36</v>
      </c>
      <c r="Q117" s="79"/>
      <c r="R117" s="79"/>
      <c r="S117" s="79"/>
      <c r="T117" s="288"/>
      <c r="U117" s="288"/>
      <c r="V117" s="288"/>
      <c r="W117" s="288"/>
      <c r="X117" s="288"/>
      <c r="Y117" s="288"/>
      <c r="Z117" s="288"/>
      <c r="AA117" s="288"/>
      <c r="AB117" s="288"/>
      <c r="AC117" s="288"/>
      <c r="AD117" s="288"/>
      <c r="AE117" s="288"/>
      <c r="AF117" s="288"/>
      <c r="AG117" s="288"/>
      <c r="AH117" s="288"/>
      <c r="AI117" s="288"/>
      <c r="AJ117" s="288"/>
      <c r="AK117" s="288"/>
      <c r="AL117" s="288"/>
      <c r="AM117" s="288"/>
      <c r="AN117" s="288"/>
      <c r="AO117" s="288"/>
      <c r="AP117" s="288"/>
      <c r="AQ117" s="288"/>
      <c r="AR117" s="288"/>
    </row>
    <row r="118">
      <c r="A118" s="342">
        <v>45163.0</v>
      </c>
      <c r="B118" s="343" t="s">
        <v>1766</v>
      </c>
      <c r="C118" s="344" t="s">
        <v>52</v>
      </c>
      <c r="D118" s="345" t="s">
        <v>1694</v>
      </c>
      <c r="E118" s="346" t="s">
        <v>1767</v>
      </c>
      <c r="F118" s="347"/>
      <c r="G118" s="348" t="s">
        <v>1437</v>
      </c>
      <c r="H118" s="348" t="s">
        <v>1437</v>
      </c>
      <c r="I118" s="349" t="s">
        <v>1768</v>
      </c>
      <c r="J118" s="350" t="s">
        <v>1769</v>
      </c>
      <c r="K118" s="325" t="s">
        <v>1770</v>
      </c>
      <c r="L118" s="351"/>
      <c r="M118" s="352"/>
      <c r="N118" s="353" t="s">
        <v>1771</v>
      </c>
      <c r="O118" s="354">
        <v>535566.25</v>
      </c>
      <c r="P118" s="355">
        <f>O118/7</f>
        <v>76509.46429</v>
      </c>
      <c r="Q118" s="356">
        <v>44911.0</v>
      </c>
      <c r="R118" s="356">
        <v>44911.0</v>
      </c>
      <c r="S118" s="356">
        <v>44944.0</v>
      </c>
      <c r="T118" s="357"/>
      <c r="U118" s="357"/>
      <c r="V118" s="357"/>
      <c r="W118" s="357"/>
      <c r="X118" s="357"/>
      <c r="Y118" s="357"/>
      <c r="Z118" s="357"/>
      <c r="AA118" s="357"/>
      <c r="AB118" s="357"/>
      <c r="AC118" s="357"/>
      <c r="AD118" s="357"/>
      <c r="AE118" s="357"/>
      <c r="AF118" s="357"/>
      <c r="AG118" s="357"/>
      <c r="AH118" s="357"/>
      <c r="AI118" s="357"/>
    </row>
    <row r="119">
      <c r="A119" s="342">
        <v>45162.0</v>
      </c>
      <c r="B119" s="358" t="s">
        <v>1772</v>
      </c>
      <c r="C119" s="359" t="s">
        <v>52</v>
      </c>
      <c r="D119" s="360" t="s">
        <v>1773</v>
      </c>
      <c r="E119" s="336" t="s">
        <v>125</v>
      </c>
      <c r="F119" s="337"/>
      <c r="G119" s="325" t="s">
        <v>1774</v>
      </c>
      <c r="H119" s="325" t="s">
        <v>1775</v>
      </c>
      <c r="I119" s="361" t="s">
        <v>1776</v>
      </c>
      <c r="J119" s="362" t="s">
        <v>1777</v>
      </c>
      <c r="K119" s="325" t="s">
        <v>1778</v>
      </c>
      <c r="L119" s="325" t="s">
        <v>31</v>
      </c>
      <c r="M119" s="352"/>
      <c r="N119" s="353" t="s">
        <v>1779</v>
      </c>
      <c r="O119" s="354">
        <v>2000.0</v>
      </c>
      <c r="P119" s="363">
        <f>O119/1</f>
        <v>2000</v>
      </c>
      <c r="Q119" s="356">
        <v>44797.0</v>
      </c>
      <c r="R119" s="356">
        <v>44797.0</v>
      </c>
      <c r="S119" s="364">
        <v>44805.0</v>
      </c>
      <c r="T119" s="357"/>
      <c r="U119" s="357"/>
      <c r="V119" s="357"/>
      <c r="W119" s="357"/>
      <c r="X119" s="357"/>
      <c r="Y119" s="357"/>
      <c r="Z119" s="357"/>
      <c r="AA119" s="357"/>
      <c r="AB119" s="357"/>
      <c r="AC119" s="357"/>
      <c r="AD119" s="357"/>
      <c r="AE119" s="357"/>
      <c r="AF119" s="357"/>
      <c r="AG119" s="357"/>
      <c r="AH119" s="357"/>
      <c r="AI119" s="357"/>
    </row>
    <row r="120">
      <c r="A120" s="342">
        <v>45123.0</v>
      </c>
      <c r="B120" s="343" t="s">
        <v>1780</v>
      </c>
      <c r="C120" s="344" t="s">
        <v>52</v>
      </c>
      <c r="D120" s="345" t="s">
        <v>1781</v>
      </c>
      <c r="E120" s="346" t="s">
        <v>1782</v>
      </c>
      <c r="F120" s="337"/>
      <c r="G120" s="325" t="s">
        <v>1783</v>
      </c>
      <c r="H120" s="325" t="s">
        <v>1735</v>
      </c>
      <c r="I120" s="349" t="s">
        <v>1784</v>
      </c>
      <c r="J120" s="350" t="s">
        <v>1785</v>
      </c>
      <c r="K120" s="325" t="s">
        <v>1786</v>
      </c>
      <c r="L120" s="325" t="s">
        <v>31</v>
      </c>
      <c r="M120" s="352"/>
      <c r="N120" s="353" t="s">
        <v>1787</v>
      </c>
      <c r="O120" s="354">
        <v>171000.0</v>
      </c>
      <c r="P120" s="333">
        <f>O120/2</f>
        <v>85500</v>
      </c>
      <c r="Q120" s="356">
        <v>45054.0</v>
      </c>
      <c r="R120" s="356">
        <v>45054.0</v>
      </c>
      <c r="S120" s="356">
        <v>45062.0</v>
      </c>
      <c r="T120" s="357"/>
      <c r="U120" s="357"/>
      <c r="V120" s="357"/>
      <c r="W120" s="357"/>
      <c r="X120" s="357"/>
      <c r="Y120" s="357"/>
      <c r="Z120" s="357"/>
      <c r="AA120" s="357"/>
      <c r="AB120" s="357"/>
      <c r="AC120" s="357"/>
      <c r="AD120" s="357"/>
      <c r="AE120" s="357"/>
      <c r="AF120" s="357"/>
      <c r="AG120" s="357"/>
      <c r="AH120" s="357"/>
      <c r="AI120" s="357"/>
    </row>
    <row r="121" ht="88.5" customHeight="1">
      <c r="A121" s="342">
        <v>45122.0</v>
      </c>
      <c r="B121" s="358" t="s">
        <v>1788</v>
      </c>
      <c r="C121" s="344" t="s">
        <v>52</v>
      </c>
      <c r="D121" s="365" t="s">
        <v>254</v>
      </c>
      <c r="E121" s="366" t="s">
        <v>1789</v>
      </c>
      <c r="F121" s="367"/>
      <c r="G121" s="368"/>
      <c r="H121" s="368"/>
      <c r="I121" s="369" t="s">
        <v>259</v>
      </c>
      <c r="J121" s="370" t="s">
        <v>1790</v>
      </c>
      <c r="K121" s="325" t="s">
        <v>1791</v>
      </c>
      <c r="L121" s="325" t="s">
        <v>1792</v>
      </c>
      <c r="M121" s="353">
        <v>2.022000000083E12</v>
      </c>
      <c r="N121" s="353" t="s">
        <v>1793</v>
      </c>
      <c r="O121" s="332">
        <v>7800.0</v>
      </c>
      <c r="P121" s="355">
        <f>O121/12</f>
        <v>650</v>
      </c>
      <c r="Q121" s="356">
        <v>44757.0</v>
      </c>
      <c r="R121" s="356">
        <v>44757.0</v>
      </c>
      <c r="S121" s="356">
        <v>44764.0</v>
      </c>
      <c r="T121" s="357"/>
      <c r="U121" s="357"/>
      <c r="V121" s="357"/>
      <c r="W121" s="357"/>
      <c r="X121" s="357"/>
      <c r="Y121" s="357"/>
      <c r="Z121" s="357"/>
      <c r="AA121" s="357"/>
      <c r="AB121" s="357"/>
      <c r="AC121" s="357"/>
      <c r="AD121" s="357"/>
      <c r="AE121" s="357"/>
      <c r="AF121" s="357"/>
      <c r="AG121" s="357"/>
      <c r="AH121" s="357"/>
      <c r="AI121" s="357"/>
    </row>
    <row r="122">
      <c r="A122" s="371">
        <v>45108.0</v>
      </c>
      <c r="B122" s="372" t="s">
        <v>1794</v>
      </c>
      <c r="C122" s="373" t="s">
        <v>38</v>
      </c>
      <c r="D122" s="374" t="s">
        <v>219</v>
      </c>
      <c r="E122" s="375" t="s">
        <v>1795</v>
      </c>
      <c r="F122" s="376"/>
      <c r="G122" s="376"/>
      <c r="H122" s="376"/>
      <c r="I122" s="377" t="s">
        <v>223</v>
      </c>
      <c r="J122" s="378" t="s">
        <v>1796</v>
      </c>
      <c r="K122" s="379" t="s">
        <v>225</v>
      </c>
      <c r="L122" s="379" t="s">
        <v>1797</v>
      </c>
      <c r="M122" s="380"/>
      <c r="N122" s="302" t="s">
        <v>1798</v>
      </c>
      <c r="O122" s="381">
        <v>18145.56</v>
      </c>
      <c r="P122" s="381">
        <f>O122/12</f>
        <v>1512.13</v>
      </c>
      <c r="Q122" s="382">
        <v>44013.0</v>
      </c>
      <c r="R122" s="382">
        <v>44743.0</v>
      </c>
      <c r="S122" s="382">
        <v>44777.0</v>
      </c>
      <c r="T122" s="357"/>
      <c r="U122" s="357"/>
      <c r="V122" s="357"/>
      <c r="W122" s="357"/>
      <c r="X122" s="357"/>
      <c r="Y122" s="357"/>
      <c r="Z122" s="357"/>
      <c r="AA122" s="357"/>
      <c r="AB122" s="357"/>
      <c r="AC122" s="357"/>
      <c r="AD122" s="357"/>
      <c r="AE122" s="357"/>
      <c r="AF122" s="357"/>
      <c r="AG122" s="357"/>
      <c r="AH122" s="357"/>
      <c r="AI122" s="357"/>
    </row>
    <row r="123">
      <c r="A123" s="342">
        <v>45092.0</v>
      </c>
      <c r="B123" s="358" t="s">
        <v>1799</v>
      </c>
      <c r="C123" s="359" t="s">
        <v>100</v>
      </c>
      <c r="D123" s="345" t="s">
        <v>1800</v>
      </c>
      <c r="E123" s="383" t="s">
        <v>1801</v>
      </c>
      <c r="F123" s="384"/>
      <c r="G123" s="385"/>
      <c r="H123" s="385"/>
      <c r="I123" s="386" t="s">
        <v>1802</v>
      </c>
      <c r="J123" s="350" t="s">
        <v>1803</v>
      </c>
      <c r="K123" s="351" t="s">
        <v>1804</v>
      </c>
      <c r="L123" s="351" t="s">
        <v>1804</v>
      </c>
      <c r="M123" s="352"/>
      <c r="N123" s="352" t="s">
        <v>1805</v>
      </c>
      <c r="O123" s="363" t="s">
        <v>1806</v>
      </c>
      <c r="P123" s="333">
        <v>0.0</v>
      </c>
      <c r="Q123" s="387">
        <v>43266.0</v>
      </c>
      <c r="R123" s="387">
        <v>44357.0</v>
      </c>
      <c r="S123" s="356">
        <v>44715.0</v>
      </c>
      <c r="T123" s="357"/>
      <c r="U123" s="357"/>
      <c r="V123" s="357"/>
      <c r="W123" s="357"/>
      <c r="X123" s="357"/>
      <c r="Y123" s="357"/>
      <c r="Z123" s="357"/>
      <c r="AA123" s="357"/>
      <c r="AB123" s="357"/>
      <c r="AC123" s="357"/>
      <c r="AD123" s="357"/>
      <c r="AE123" s="357"/>
      <c r="AF123" s="357"/>
      <c r="AG123" s="357"/>
      <c r="AH123" s="357"/>
      <c r="AI123" s="357"/>
    </row>
    <row r="124">
      <c r="A124" s="342">
        <v>45087.0</v>
      </c>
      <c r="B124" s="388" t="s">
        <v>1807</v>
      </c>
      <c r="C124" s="389" t="s">
        <v>52</v>
      </c>
      <c r="D124" s="345" t="s">
        <v>1808</v>
      </c>
      <c r="E124" s="346" t="s">
        <v>1809</v>
      </c>
      <c r="F124" s="337"/>
      <c r="G124" s="325" t="s">
        <v>1810</v>
      </c>
      <c r="H124" s="325" t="s">
        <v>1811</v>
      </c>
      <c r="I124" s="349" t="s">
        <v>1812</v>
      </c>
      <c r="J124" s="350" t="s">
        <v>1813</v>
      </c>
      <c r="K124" s="325" t="s">
        <v>1814</v>
      </c>
      <c r="L124" s="325" t="s">
        <v>31</v>
      </c>
      <c r="M124" s="353">
        <v>2.023000000039E12</v>
      </c>
      <c r="N124" s="353" t="s">
        <v>1815</v>
      </c>
      <c r="O124" s="354">
        <v>49980.0</v>
      </c>
      <c r="P124" s="390" t="s">
        <v>31</v>
      </c>
      <c r="Q124" s="356">
        <v>45042.0</v>
      </c>
      <c r="R124" s="356">
        <v>45042.0</v>
      </c>
      <c r="S124" s="356">
        <v>45065.0</v>
      </c>
      <c r="T124" s="357"/>
      <c r="U124" s="357"/>
      <c r="V124" s="357"/>
      <c r="W124" s="357"/>
      <c r="X124" s="357"/>
      <c r="Y124" s="357"/>
      <c r="Z124" s="357"/>
      <c r="AA124" s="357"/>
      <c r="AB124" s="357"/>
      <c r="AC124" s="357"/>
      <c r="AD124" s="357"/>
      <c r="AE124" s="357"/>
      <c r="AF124" s="357"/>
      <c r="AG124" s="357"/>
      <c r="AH124" s="357"/>
      <c r="AI124" s="357"/>
    </row>
    <row r="125">
      <c r="A125" s="342">
        <v>45086.0</v>
      </c>
      <c r="B125" s="343" t="s">
        <v>1816</v>
      </c>
      <c r="C125" s="391" t="s">
        <v>23</v>
      </c>
      <c r="D125" s="345" t="s">
        <v>290</v>
      </c>
      <c r="E125" s="346" t="s">
        <v>1767</v>
      </c>
      <c r="F125" s="347"/>
      <c r="G125" s="348" t="s">
        <v>1437</v>
      </c>
      <c r="H125" s="348" t="s">
        <v>1437</v>
      </c>
      <c r="I125" s="349" t="s">
        <v>1817</v>
      </c>
      <c r="J125" s="392" t="s">
        <v>1818</v>
      </c>
      <c r="K125" s="325" t="s">
        <v>1819</v>
      </c>
      <c r="L125" s="325" t="s">
        <v>1820</v>
      </c>
      <c r="M125" s="325" t="s">
        <v>1821</v>
      </c>
      <c r="N125" s="353" t="s">
        <v>1822</v>
      </c>
      <c r="O125" s="354">
        <v>203396.14</v>
      </c>
      <c r="P125" s="355">
        <f t="shared" ref="P125:P126" si="2">O125/5</f>
        <v>40679.228</v>
      </c>
      <c r="Q125" s="356">
        <v>44911.0</v>
      </c>
      <c r="R125" s="393">
        <v>45019.0</v>
      </c>
      <c r="S125" s="393">
        <v>45028.0</v>
      </c>
      <c r="T125" s="357"/>
      <c r="U125" s="357"/>
      <c r="V125" s="357"/>
      <c r="W125" s="357"/>
      <c r="X125" s="357"/>
      <c r="Y125" s="357"/>
      <c r="Z125" s="357"/>
      <c r="AA125" s="357"/>
      <c r="AB125" s="357"/>
      <c r="AC125" s="357"/>
      <c r="AD125" s="357"/>
      <c r="AE125" s="357"/>
      <c r="AF125" s="357"/>
      <c r="AG125" s="357"/>
      <c r="AH125" s="357"/>
      <c r="AI125" s="357"/>
    </row>
    <row r="126">
      <c r="A126" s="342">
        <v>45086.0</v>
      </c>
      <c r="B126" s="388" t="s">
        <v>1823</v>
      </c>
      <c r="C126" s="359" t="s">
        <v>23</v>
      </c>
      <c r="D126" s="365" t="s">
        <v>1824</v>
      </c>
      <c r="E126" s="366" t="s">
        <v>1801</v>
      </c>
      <c r="F126" s="337"/>
      <c r="G126" s="337" t="s">
        <v>860</v>
      </c>
      <c r="H126" s="337" t="s">
        <v>860</v>
      </c>
      <c r="I126" s="394" t="s">
        <v>1825</v>
      </c>
      <c r="J126" s="370" t="s">
        <v>1826</v>
      </c>
      <c r="K126" s="325" t="s">
        <v>1827</v>
      </c>
      <c r="L126" s="325" t="s">
        <v>1828</v>
      </c>
      <c r="M126" s="353" t="s">
        <v>1829</v>
      </c>
      <c r="N126" s="353" t="s">
        <v>1830</v>
      </c>
      <c r="O126" s="354">
        <v>113765.12</v>
      </c>
      <c r="P126" s="363">
        <f t="shared" si="2"/>
        <v>22753.024</v>
      </c>
      <c r="Q126" s="356">
        <v>44909.0</v>
      </c>
      <c r="R126" s="356">
        <v>45057.0</v>
      </c>
      <c r="S126" s="364">
        <v>45061.0</v>
      </c>
      <c r="T126" s="357"/>
      <c r="U126" s="357"/>
      <c r="V126" s="357"/>
      <c r="W126" s="357"/>
      <c r="X126" s="357"/>
      <c r="Y126" s="357"/>
      <c r="Z126" s="357"/>
      <c r="AA126" s="357"/>
      <c r="AB126" s="357"/>
      <c r="AC126" s="357"/>
      <c r="AD126" s="357"/>
      <c r="AE126" s="357"/>
      <c r="AF126" s="357"/>
      <c r="AG126" s="357"/>
      <c r="AH126" s="357"/>
      <c r="AI126" s="357"/>
    </row>
    <row r="127">
      <c r="A127" s="342">
        <v>45081.0</v>
      </c>
      <c r="B127" s="388" t="s">
        <v>1831</v>
      </c>
      <c r="C127" s="395" t="s">
        <v>23</v>
      </c>
      <c r="D127" s="365" t="s">
        <v>1832</v>
      </c>
      <c r="E127" s="366" t="s">
        <v>1795</v>
      </c>
      <c r="F127" s="337"/>
      <c r="G127" s="325" t="s">
        <v>1833</v>
      </c>
      <c r="H127" s="325" t="s">
        <v>1834</v>
      </c>
      <c r="I127" s="369" t="s">
        <v>1835</v>
      </c>
      <c r="J127" s="370" t="s">
        <v>1836</v>
      </c>
      <c r="K127" s="325" t="s">
        <v>1837</v>
      </c>
      <c r="L127" s="325" t="s">
        <v>1837</v>
      </c>
      <c r="M127" s="353" t="s">
        <v>1838</v>
      </c>
      <c r="N127" s="353" t="s">
        <v>1839</v>
      </c>
      <c r="O127" s="332">
        <v>1303537.2</v>
      </c>
      <c r="P127" s="333">
        <f>O127/3</f>
        <v>434512.4</v>
      </c>
      <c r="Q127" s="356">
        <v>44901.0</v>
      </c>
      <c r="R127" s="356">
        <v>44991.0</v>
      </c>
      <c r="S127" s="356">
        <v>45007.0</v>
      </c>
      <c r="T127" s="357"/>
      <c r="U127" s="357"/>
      <c r="V127" s="357"/>
      <c r="W127" s="357"/>
      <c r="X127" s="357"/>
      <c r="Y127" s="357"/>
      <c r="Z127" s="357"/>
      <c r="AA127" s="357"/>
      <c r="AB127" s="357"/>
      <c r="AC127" s="357"/>
      <c r="AD127" s="357"/>
      <c r="AE127" s="357"/>
      <c r="AF127" s="357"/>
      <c r="AG127" s="357"/>
      <c r="AH127" s="357"/>
      <c r="AI127" s="357"/>
    </row>
    <row r="128">
      <c r="A128" s="342">
        <v>45076.0</v>
      </c>
      <c r="B128" s="358" t="s">
        <v>1840</v>
      </c>
      <c r="C128" s="359" t="s">
        <v>100</v>
      </c>
      <c r="D128" s="345" t="s">
        <v>1841</v>
      </c>
      <c r="E128" s="383" t="s">
        <v>1795</v>
      </c>
      <c r="F128" s="384"/>
      <c r="G128" s="385"/>
      <c r="H128" s="385"/>
      <c r="I128" s="386" t="s">
        <v>1842</v>
      </c>
      <c r="J128" s="350" t="s">
        <v>1843</v>
      </c>
      <c r="K128" s="351" t="s">
        <v>1844</v>
      </c>
      <c r="L128" s="351" t="s">
        <v>1845</v>
      </c>
      <c r="M128" s="352"/>
      <c r="N128" s="352" t="s">
        <v>1846</v>
      </c>
      <c r="O128" s="354">
        <v>161192.52</v>
      </c>
      <c r="P128" s="333">
        <f>O128/12</f>
        <v>13432.71</v>
      </c>
      <c r="Q128" s="387">
        <v>43250.0</v>
      </c>
      <c r="R128" s="356">
        <v>44712.0</v>
      </c>
      <c r="S128" s="356">
        <v>44715.0</v>
      </c>
      <c r="T128" s="357"/>
      <c r="U128" s="357"/>
      <c r="V128" s="357"/>
      <c r="W128" s="357"/>
      <c r="X128" s="357"/>
      <c r="Y128" s="357"/>
      <c r="Z128" s="357"/>
      <c r="AA128" s="357"/>
      <c r="AB128" s="357"/>
      <c r="AC128" s="357"/>
      <c r="AD128" s="357"/>
      <c r="AE128" s="357"/>
      <c r="AF128" s="357"/>
      <c r="AG128" s="357"/>
      <c r="AH128" s="357"/>
      <c r="AI128" s="357"/>
    </row>
    <row r="129">
      <c r="A129" s="342"/>
      <c r="B129" s="202"/>
      <c r="C129" s="202" t="s">
        <v>52</v>
      </c>
      <c r="D129" s="228" t="s">
        <v>1635</v>
      </c>
      <c r="E129" s="218" t="s">
        <v>65</v>
      </c>
      <c r="F129" s="178"/>
      <c r="G129" s="178"/>
      <c r="H129" s="27"/>
      <c r="I129" s="260" t="s">
        <v>1636</v>
      </c>
      <c r="J129" s="284"/>
      <c r="K129" s="284"/>
      <c r="L129" s="284"/>
      <c r="M129" s="223">
        <v>44491.0</v>
      </c>
      <c r="N129" s="27" t="s">
        <v>1637</v>
      </c>
      <c r="O129" s="27" t="s">
        <v>31</v>
      </c>
      <c r="P129" s="29"/>
      <c r="Q129" s="29"/>
      <c r="R129" s="29" t="s">
        <v>1638</v>
      </c>
      <c r="S129" s="38">
        <v>20822.11</v>
      </c>
      <c r="T129" s="31">
        <v>44470.0</v>
      </c>
      <c r="U129" s="31">
        <v>44491.0</v>
      </c>
      <c r="V129" s="285" t="s">
        <v>1639</v>
      </c>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row>
    <row r="130">
      <c r="A130" s="342">
        <v>45063.0</v>
      </c>
      <c r="B130" s="388" t="s">
        <v>1847</v>
      </c>
      <c r="C130" s="389" t="s">
        <v>52</v>
      </c>
      <c r="D130" s="365" t="s">
        <v>39</v>
      </c>
      <c r="E130" s="366" t="s">
        <v>1801</v>
      </c>
      <c r="F130" s="337"/>
      <c r="G130" s="337" t="s">
        <v>1848</v>
      </c>
      <c r="H130" s="337" t="s">
        <v>1848</v>
      </c>
      <c r="I130" s="369" t="s">
        <v>1849</v>
      </c>
      <c r="J130" s="370" t="s">
        <v>1850</v>
      </c>
      <c r="K130" s="325" t="s">
        <v>1851</v>
      </c>
      <c r="L130" s="325" t="s">
        <v>31</v>
      </c>
      <c r="M130" s="353"/>
      <c r="N130" s="325" t="s">
        <v>1852</v>
      </c>
      <c r="O130" s="354">
        <v>17550.0</v>
      </c>
      <c r="P130" s="363">
        <f>O130/3</f>
        <v>5850</v>
      </c>
      <c r="Q130" s="356">
        <v>44974.0</v>
      </c>
      <c r="R130" s="356">
        <v>44974.0</v>
      </c>
      <c r="S130" s="364">
        <v>44980.0</v>
      </c>
      <c r="T130" s="357"/>
      <c r="U130" s="357"/>
      <c r="V130" s="357"/>
      <c r="W130" s="357"/>
      <c r="X130" s="357"/>
      <c r="Y130" s="357"/>
      <c r="Z130" s="357"/>
      <c r="AA130" s="357"/>
      <c r="AB130" s="357"/>
      <c r="AC130" s="357"/>
      <c r="AD130" s="357"/>
      <c r="AE130" s="357"/>
      <c r="AF130" s="357"/>
      <c r="AG130" s="357"/>
      <c r="AH130" s="357"/>
      <c r="AI130" s="357"/>
    </row>
    <row r="131">
      <c r="A131" s="342">
        <v>45064.0</v>
      </c>
      <c r="B131" s="358" t="s">
        <v>1853</v>
      </c>
      <c r="C131" s="389" t="s">
        <v>137</v>
      </c>
      <c r="D131" s="360" t="s">
        <v>1854</v>
      </c>
      <c r="E131" s="324" t="s">
        <v>1767</v>
      </c>
      <c r="F131" s="325"/>
      <c r="G131" s="325" t="s">
        <v>1855</v>
      </c>
      <c r="H131" s="325" t="s">
        <v>1855</v>
      </c>
      <c r="I131" s="396" t="s">
        <v>1856</v>
      </c>
      <c r="J131" s="362" t="s">
        <v>1857</v>
      </c>
      <c r="K131" s="351" t="s">
        <v>1858</v>
      </c>
      <c r="L131" s="351" t="s">
        <v>1859</v>
      </c>
      <c r="M131" s="353" t="s">
        <v>1860</v>
      </c>
      <c r="N131" s="351" t="s">
        <v>1861</v>
      </c>
      <c r="O131" s="363">
        <v>1579625.7</v>
      </c>
      <c r="P131" s="363">
        <f>O131/6</f>
        <v>263270.95</v>
      </c>
      <c r="Q131" s="387">
        <v>44041.0</v>
      </c>
      <c r="R131" s="356">
        <v>44883.0</v>
      </c>
      <c r="S131" s="364">
        <v>44888.0</v>
      </c>
      <c r="T131" s="357"/>
      <c r="U131" s="357"/>
      <c r="V131" s="357"/>
      <c r="W131" s="357"/>
      <c r="X131" s="357"/>
      <c r="Y131" s="357"/>
      <c r="Z131" s="357"/>
      <c r="AA131" s="357"/>
      <c r="AB131" s="357"/>
      <c r="AC131" s="357"/>
      <c r="AD131" s="357"/>
      <c r="AE131" s="357"/>
      <c r="AF131" s="357"/>
      <c r="AG131" s="357"/>
      <c r="AH131" s="357"/>
      <c r="AI131" s="357"/>
    </row>
    <row r="132">
      <c r="A132" s="342">
        <v>45054.0</v>
      </c>
      <c r="B132" s="388" t="s">
        <v>1862</v>
      </c>
      <c r="C132" s="397" t="s">
        <v>52</v>
      </c>
      <c r="D132" s="345" t="s">
        <v>1863</v>
      </c>
      <c r="E132" s="346" t="s">
        <v>1795</v>
      </c>
      <c r="F132" s="398"/>
      <c r="G132" s="398" t="s">
        <v>1864</v>
      </c>
      <c r="H132" s="398" t="s">
        <v>1865</v>
      </c>
      <c r="I132" s="349" t="s">
        <v>1866</v>
      </c>
      <c r="J132" s="392" t="s">
        <v>1867</v>
      </c>
      <c r="K132" s="325" t="s">
        <v>1868</v>
      </c>
      <c r="L132" s="325" t="s">
        <v>1869</v>
      </c>
      <c r="M132" s="352"/>
      <c r="N132" s="325" t="s">
        <v>1870</v>
      </c>
      <c r="O132" s="354">
        <v>141000.0</v>
      </c>
      <c r="P132" s="390">
        <f t="shared" ref="P132:P133" si="3">O132/3</f>
        <v>47000</v>
      </c>
      <c r="Q132" s="356">
        <v>44965.0</v>
      </c>
      <c r="R132" s="356">
        <v>44965.0</v>
      </c>
      <c r="S132" s="356">
        <v>44970.0</v>
      </c>
      <c r="T132" s="357"/>
      <c r="U132" s="357"/>
      <c r="V132" s="357"/>
      <c r="W132" s="357"/>
      <c r="X132" s="357"/>
      <c r="Y132" s="357"/>
      <c r="Z132" s="357"/>
      <c r="AA132" s="357"/>
      <c r="AB132" s="357"/>
      <c r="AC132" s="357"/>
      <c r="AD132" s="357"/>
      <c r="AE132" s="357"/>
      <c r="AF132" s="357"/>
      <c r="AG132" s="357"/>
      <c r="AH132" s="357"/>
      <c r="AI132" s="357"/>
    </row>
    <row r="133">
      <c r="A133" s="342">
        <v>45052.0</v>
      </c>
      <c r="B133" s="388" t="s">
        <v>1871</v>
      </c>
      <c r="C133" s="397" t="s">
        <v>52</v>
      </c>
      <c r="D133" s="345" t="s">
        <v>1872</v>
      </c>
      <c r="E133" s="399" t="s">
        <v>1873</v>
      </c>
      <c r="F133" s="337"/>
      <c r="G133" s="325" t="s">
        <v>1184</v>
      </c>
      <c r="H133" s="398" t="s">
        <v>1874</v>
      </c>
      <c r="I133" s="349" t="s">
        <v>1875</v>
      </c>
      <c r="J133" s="392" t="s">
        <v>1876</v>
      </c>
      <c r="K133" s="325" t="s">
        <v>1877</v>
      </c>
      <c r="L133" s="325" t="s">
        <v>31</v>
      </c>
      <c r="M133" s="353" t="s">
        <v>1878</v>
      </c>
      <c r="N133" s="325" t="s">
        <v>1879</v>
      </c>
      <c r="O133" s="354">
        <v>389952.0</v>
      </c>
      <c r="P133" s="390">
        <f t="shared" si="3"/>
        <v>129984</v>
      </c>
      <c r="Q133" s="356">
        <v>44963.0</v>
      </c>
      <c r="R133" s="356">
        <v>44963.0</v>
      </c>
      <c r="S133" s="356">
        <v>44973.0</v>
      </c>
      <c r="T133" s="357"/>
      <c r="U133" s="357"/>
      <c r="V133" s="357"/>
      <c r="W133" s="357"/>
      <c r="X133" s="357"/>
      <c r="Y133" s="357"/>
      <c r="Z133" s="357"/>
      <c r="AA133" s="357"/>
      <c r="AB133" s="357"/>
      <c r="AC133" s="357"/>
      <c r="AD133" s="357"/>
      <c r="AE133" s="357"/>
      <c r="AF133" s="357"/>
      <c r="AG133" s="357"/>
      <c r="AH133" s="357"/>
      <c r="AI133" s="357"/>
    </row>
    <row r="134">
      <c r="A134" s="400">
        <v>45041.0</v>
      </c>
      <c r="B134" s="401" t="s">
        <v>1880</v>
      </c>
      <c r="C134" s="397" t="s">
        <v>52</v>
      </c>
      <c r="D134" s="402" t="s">
        <v>1881</v>
      </c>
      <c r="E134" s="403" t="s">
        <v>1801</v>
      </c>
      <c r="F134" s="325"/>
      <c r="G134" s="325" t="s">
        <v>860</v>
      </c>
      <c r="H134" s="325" t="s">
        <v>860</v>
      </c>
      <c r="I134" s="404" t="s">
        <v>1882</v>
      </c>
      <c r="J134" s="403" t="s">
        <v>1883</v>
      </c>
      <c r="K134" s="325" t="s">
        <v>1884</v>
      </c>
      <c r="L134" s="325" t="s">
        <v>1884</v>
      </c>
      <c r="M134" s="353"/>
      <c r="N134" s="325" t="s">
        <v>1885</v>
      </c>
      <c r="O134" s="332">
        <v>128970.0</v>
      </c>
      <c r="P134" s="405">
        <f>O134/6</f>
        <v>21495</v>
      </c>
      <c r="Q134" s="356">
        <v>44859.0</v>
      </c>
      <c r="R134" s="356">
        <v>44859.0</v>
      </c>
      <c r="S134" s="356">
        <v>44888.0</v>
      </c>
      <c r="T134" s="406"/>
      <c r="U134" s="357"/>
      <c r="V134" s="357"/>
      <c r="W134" s="357"/>
      <c r="X134" s="357"/>
      <c r="Y134" s="357"/>
      <c r="Z134" s="357"/>
      <c r="AA134" s="357"/>
      <c r="AB134" s="357"/>
      <c r="AC134" s="357"/>
      <c r="AD134" s="357"/>
      <c r="AE134" s="357"/>
      <c r="AF134" s="357"/>
      <c r="AG134" s="357"/>
      <c r="AH134" s="357"/>
      <c r="AI134" s="357"/>
      <c r="AJ134" s="357"/>
      <c r="AK134" s="357"/>
      <c r="AL134" s="357"/>
      <c r="AM134" s="357"/>
      <c r="AN134" s="357"/>
      <c r="AO134" s="357"/>
      <c r="AP134" s="357"/>
      <c r="AQ134" s="357"/>
      <c r="AR134" s="357"/>
    </row>
    <row r="135" ht="120.75" customHeight="1">
      <c r="A135" s="407">
        <v>44952.0</v>
      </c>
      <c r="B135" s="358" t="s">
        <v>1886</v>
      </c>
      <c r="C135" s="344" t="s">
        <v>52</v>
      </c>
      <c r="D135" s="365" t="s">
        <v>1887</v>
      </c>
      <c r="E135" s="408" t="s">
        <v>1873</v>
      </c>
      <c r="F135" s="409"/>
      <c r="G135" s="410"/>
      <c r="H135" s="410"/>
      <c r="I135" s="411" t="s">
        <v>1888</v>
      </c>
      <c r="J135" s="412" t="s">
        <v>1889</v>
      </c>
      <c r="K135" s="348" t="s">
        <v>1890</v>
      </c>
      <c r="L135" s="348" t="s">
        <v>1891</v>
      </c>
      <c r="M135" s="413"/>
      <c r="N135" s="348" t="s">
        <v>1892</v>
      </c>
      <c r="O135" s="414">
        <v>33789.96</v>
      </c>
      <c r="P135" s="355">
        <f>O135/12</f>
        <v>2815.83</v>
      </c>
      <c r="Q135" s="415">
        <v>44588.0</v>
      </c>
      <c r="R135" s="415">
        <v>44588.0</v>
      </c>
      <c r="S135" s="415">
        <v>44600.0</v>
      </c>
      <c r="T135" s="357"/>
      <c r="U135" s="357"/>
      <c r="V135" s="357"/>
      <c r="W135" s="357"/>
      <c r="X135" s="357"/>
      <c r="Y135" s="357"/>
      <c r="Z135" s="357"/>
      <c r="AA135" s="357"/>
      <c r="AB135" s="357"/>
      <c r="AC135" s="357"/>
      <c r="AD135" s="357"/>
      <c r="AE135" s="357"/>
      <c r="AF135" s="357"/>
      <c r="AG135" s="357"/>
      <c r="AH135" s="357"/>
      <c r="AI135" s="357"/>
      <c r="AJ135" s="357"/>
      <c r="AK135" s="357"/>
      <c r="AL135" s="357"/>
      <c r="AM135" s="357"/>
      <c r="AN135" s="357"/>
      <c r="AO135" s="357"/>
      <c r="AP135" s="357"/>
      <c r="AQ135" s="357"/>
      <c r="AR135" s="357"/>
    </row>
    <row r="136" ht="93.0" customHeight="1">
      <c r="A136" s="342">
        <v>44860.0</v>
      </c>
      <c r="B136" s="358" t="s">
        <v>1893</v>
      </c>
      <c r="C136" s="359" t="s">
        <v>52</v>
      </c>
      <c r="D136" s="345" t="s">
        <v>1894</v>
      </c>
      <c r="E136" s="346" t="s">
        <v>1873</v>
      </c>
      <c r="F136" s="337"/>
      <c r="G136" s="325"/>
      <c r="H136" s="325"/>
      <c r="I136" s="349" t="s">
        <v>1895</v>
      </c>
      <c r="J136" s="350" t="s">
        <v>1896</v>
      </c>
      <c r="K136" s="325" t="s">
        <v>1897</v>
      </c>
      <c r="L136" s="325" t="s">
        <v>1897</v>
      </c>
      <c r="M136" s="353"/>
      <c r="N136" s="325" t="s">
        <v>1898</v>
      </c>
      <c r="O136" s="390">
        <v>595520.0</v>
      </c>
      <c r="P136" s="333">
        <f>O136/12</f>
        <v>49626.66667</v>
      </c>
      <c r="Q136" s="356">
        <v>44496.0</v>
      </c>
      <c r="R136" s="356">
        <v>44496.0</v>
      </c>
      <c r="S136" s="356">
        <v>44498.0</v>
      </c>
      <c r="T136" s="357"/>
      <c r="U136" s="357"/>
      <c r="V136" s="357"/>
      <c r="W136" s="357"/>
      <c r="X136" s="357"/>
      <c r="Y136" s="357"/>
      <c r="Z136" s="357"/>
      <c r="AA136" s="357"/>
      <c r="AB136" s="357"/>
      <c r="AC136" s="357"/>
      <c r="AD136" s="357"/>
      <c r="AE136" s="357"/>
      <c r="AF136" s="357"/>
      <c r="AG136" s="357"/>
      <c r="AH136" s="357"/>
      <c r="AI136" s="357"/>
      <c r="AJ136" s="357"/>
      <c r="AK136" s="357"/>
      <c r="AL136" s="357"/>
      <c r="AM136" s="357"/>
      <c r="AN136" s="357"/>
      <c r="AO136" s="357"/>
      <c r="AP136" s="357"/>
      <c r="AQ136" s="357"/>
      <c r="AR136" s="357"/>
    </row>
    <row r="137">
      <c r="A137" s="416">
        <v>42910.0</v>
      </c>
      <c r="B137" s="417" t="s">
        <v>1899</v>
      </c>
      <c r="C137" s="418" t="s">
        <v>137</v>
      </c>
      <c r="D137" s="419" t="s">
        <v>1900</v>
      </c>
      <c r="E137" s="420" t="s">
        <v>1795</v>
      </c>
      <c r="F137" s="325"/>
      <c r="G137" s="325" t="s">
        <v>1774</v>
      </c>
      <c r="H137" s="325" t="s">
        <v>1775</v>
      </c>
      <c r="I137" s="421" t="s">
        <v>1901</v>
      </c>
      <c r="J137" s="422" t="s">
        <v>1902</v>
      </c>
      <c r="K137" s="420" t="s">
        <v>1903</v>
      </c>
      <c r="L137" s="420" t="s">
        <v>325</v>
      </c>
      <c r="M137" s="420" t="s">
        <v>1904</v>
      </c>
      <c r="N137" s="423">
        <v>454092.2</v>
      </c>
      <c r="O137" s="424">
        <v>41989.0</v>
      </c>
      <c r="P137" s="357"/>
      <c r="Q137" s="357"/>
      <c r="R137" s="357"/>
      <c r="S137" s="357"/>
      <c r="T137" s="357"/>
      <c r="U137" s="357"/>
      <c r="V137" s="357"/>
      <c r="W137" s="357"/>
      <c r="X137" s="357"/>
      <c r="Y137" s="357"/>
      <c r="Z137" s="357"/>
      <c r="AA137" s="357"/>
      <c r="AB137" s="357"/>
      <c r="AC137" s="357"/>
      <c r="AD137" s="357"/>
      <c r="AE137" s="357"/>
      <c r="AF137" s="357"/>
      <c r="AG137" s="357"/>
      <c r="AH137" s="357"/>
      <c r="AI137" s="357"/>
      <c r="AJ137" s="357"/>
      <c r="AK137" s="357"/>
      <c r="AL137" s="357"/>
      <c r="AM137" s="357"/>
      <c r="AN137" s="357"/>
      <c r="AO137" s="357"/>
      <c r="AP137" s="357"/>
      <c r="AQ137" s="357"/>
      <c r="AR137" s="357"/>
    </row>
    <row r="138">
      <c r="A138" s="416">
        <v>42959.0</v>
      </c>
      <c r="B138" s="425" t="s">
        <v>1905</v>
      </c>
      <c r="C138" s="426"/>
      <c r="D138" s="419" t="s">
        <v>1906</v>
      </c>
      <c r="E138" s="420" t="s">
        <v>1767</v>
      </c>
      <c r="F138" s="421"/>
      <c r="G138" s="421"/>
      <c r="H138" s="421"/>
      <c r="I138" s="421" t="s">
        <v>1907</v>
      </c>
      <c r="J138" s="422" t="s">
        <v>1908</v>
      </c>
      <c r="K138" s="420" t="s">
        <v>1909</v>
      </c>
      <c r="L138" s="420" t="s">
        <v>325</v>
      </c>
      <c r="M138" s="420"/>
      <c r="N138" s="427">
        <v>6240.0</v>
      </c>
      <c r="O138" s="424">
        <v>42928.0</v>
      </c>
      <c r="P138" s="357"/>
      <c r="Q138" s="357"/>
      <c r="R138" s="357"/>
      <c r="S138" s="357"/>
      <c r="T138" s="357"/>
      <c r="U138" s="357"/>
      <c r="V138" s="357"/>
      <c r="W138" s="357"/>
      <c r="X138" s="357"/>
      <c r="Y138" s="357"/>
      <c r="Z138" s="357"/>
      <c r="AA138" s="357"/>
      <c r="AB138" s="357"/>
      <c r="AC138" s="357"/>
      <c r="AD138" s="357"/>
      <c r="AE138" s="357"/>
      <c r="AF138" s="357"/>
      <c r="AG138" s="357"/>
      <c r="AH138" s="357"/>
      <c r="AI138" s="357"/>
      <c r="AJ138" s="357"/>
      <c r="AK138" s="357"/>
      <c r="AL138" s="357"/>
      <c r="AM138" s="357"/>
      <c r="AN138" s="357"/>
      <c r="AO138" s="357"/>
      <c r="AP138" s="357"/>
      <c r="AQ138" s="357"/>
      <c r="AR138" s="357"/>
    </row>
    <row r="139">
      <c r="A139" s="428">
        <v>43150.0</v>
      </c>
      <c r="B139" s="417" t="s">
        <v>1910</v>
      </c>
      <c r="C139" s="429" t="s">
        <v>100</v>
      </c>
      <c r="D139" s="419" t="s">
        <v>1911</v>
      </c>
      <c r="E139" s="430" t="s">
        <v>1912</v>
      </c>
      <c r="F139" s="431"/>
      <c r="G139" s="431"/>
      <c r="H139" s="431"/>
      <c r="I139" s="431" t="s">
        <v>1913</v>
      </c>
      <c r="J139" s="432" t="s">
        <v>1914</v>
      </c>
      <c r="K139" s="430" t="s">
        <v>1915</v>
      </c>
      <c r="L139" s="430" t="s">
        <v>1915</v>
      </c>
      <c r="M139" s="430" t="s">
        <v>1916</v>
      </c>
      <c r="N139" s="433">
        <v>16792.68</v>
      </c>
      <c r="O139" s="434">
        <v>41324.0</v>
      </c>
      <c r="P139" s="357"/>
      <c r="Q139" s="357"/>
      <c r="R139" s="357"/>
      <c r="S139" s="357"/>
      <c r="T139" s="357"/>
      <c r="U139" s="357"/>
      <c r="V139" s="357"/>
      <c r="W139" s="357"/>
      <c r="X139" s="357"/>
      <c r="Y139" s="357"/>
      <c r="Z139" s="357"/>
      <c r="AA139" s="357"/>
      <c r="AB139" s="357"/>
      <c r="AC139" s="357"/>
      <c r="AD139" s="357"/>
      <c r="AE139" s="357"/>
      <c r="AF139" s="357"/>
      <c r="AG139" s="357"/>
      <c r="AH139" s="357"/>
      <c r="AI139" s="357"/>
      <c r="AJ139" s="357"/>
      <c r="AK139" s="357"/>
      <c r="AL139" s="357"/>
      <c r="AM139" s="357"/>
      <c r="AN139" s="357"/>
      <c r="AO139" s="357"/>
      <c r="AP139" s="357"/>
      <c r="AQ139" s="357"/>
      <c r="AR139" s="357"/>
    </row>
    <row r="140">
      <c r="A140" s="428">
        <v>43032.0</v>
      </c>
      <c r="B140" s="435" t="s">
        <v>1917</v>
      </c>
      <c r="C140" s="429"/>
      <c r="D140" s="419" t="s">
        <v>1918</v>
      </c>
      <c r="E140" s="430" t="s">
        <v>125</v>
      </c>
      <c r="F140" s="431"/>
      <c r="G140" s="431"/>
      <c r="H140" s="431"/>
      <c r="I140" s="431" t="s">
        <v>1919</v>
      </c>
      <c r="J140" s="436" t="s">
        <v>1920</v>
      </c>
      <c r="K140" s="430" t="s">
        <v>1921</v>
      </c>
      <c r="L140" s="430" t="s">
        <v>325</v>
      </c>
      <c r="M140" s="430"/>
      <c r="N140" s="433">
        <v>75000.0</v>
      </c>
      <c r="O140" s="434">
        <v>41206.0</v>
      </c>
      <c r="P140" s="357"/>
      <c r="Q140" s="357"/>
      <c r="R140" s="357"/>
      <c r="S140" s="357"/>
      <c r="T140" s="357"/>
      <c r="U140" s="357"/>
      <c r="V140" s="357"/>
      <c r="W140" s="357"/>
      <c r="X140" s="357"/>
      <c r="Y140" s="357"/>
      <c r="Z140" s="357"/>
      <c r="AA140" s="357"/>
      <c r="AB140" s="357"/>
      <c r="AC140" s="357"/>
      <c r="AD140" s="357"/>
      <c r="AE140" s="357"/>
      <c r="AF140" s="357"/>
      <c r="AG140" s="357"/>
      <c r="AH140" s="357"/>
      <c r="AI140" s="357"/>
      <c r="AJ140" s="357"/>
      <c r="AK140" s="357"/>
      <c r="AL140" s="357"/>
      <c r="AM140" s="357"/>
      <c r="AN140" s="357"/>
      <c r="AO140" s="357"/>
      <c r="AP140" s="357"/>
      <c r="AQ140" s="357"/>
      <c r="AR140" s="357"/>
    </row>
    <row r="141">
      <c r="A141" s="416">
        <v>43102.0</v>
      </c>
      <c r="B141" s="435" t="s">
        <v>1922</v>
      </c>
      <c r="C141" s="418" t="s">
        <v>325</v>
      </c>
      <c r="D141" s="419" t="s">
        <v>1923</v>
      </c>
      <c r="E141" s="420" t="s">
        <v>1795</v>
      </c>
      <c r="F141" s="385"/>
      <c r="G141" s="385"/>
      <c r="H141" s="385"/>
      <c r="I141" s="421" t="s">
        <v>1924</v>
      </c>
      <c r="J141" s="436" t="s">
        <v>1925</v>
      </c>
      <c r="K141" s="420" t="s">
        <v>1926</v>
      </c>
      <c r="L141" s="420" t="s">
        <v>325</v>
      </c>
      <c r="M141" s="420"/>
      <c r="N141" s="427">
        <v>7920.0</v>
      </c>
      <c r="O141" s="424">
        <v>41641.0</v>
      </c>
      <c r="P141" s="357"/>
      <c r="Q141" s="357"/>
      <c r="R141" s="357"/>
      <c r="S141" s="357"/>
      <c r="T141" s="357"/>
      <c r="U141" s="357"/>
      <c r="V141" s="357"/>
      <c r="W141" s="357"/>
      <c r="X141" s="357"/>
      <c r="Y141" s="357"/>
      <c r="Z141" s="357"/>
      <c r="AA141" s="357"/>
      <c r="AB141" s="357"/>
      <c r="AC141" s="357"/>
      <c r="AD141" s="357"/>
      <c r="AE141" s="357"/>
      <c r="AF141" s="357"/>
      <c r="AG141" s="357"/>
      <c r="AH141" s="357"/>
      <c r="AI141" s="357"/>
      <c r="AJ141" s="357"/>
      <c r="AK141" s="357"/>
      <c r="AL141" s="357"/>
      <c r="AM141" s="357"/>
      <c r="AN141" s="357"/>
      <c r="AO141" s="357"/>
      <c r="AP141" s="357"/>
      <c r="AQ141" s="357"/>
      <c r="AR141" s="357"/>
    </row>
    <row r="142">
      <c r="A142" s="416">
        <v>43102.0</v>
      </c>
      <c r="B142" s="417" t="s">
        <v>1927</v>
      </c>
      <c r="C142" s="418" t="s">
        <v>52</v>
      </c>
      <c r="D142" s="437" t="s">
        <v>1928</v>
      </c>
      <c r="E142" s="420" t="s">
        <v>1789</v>
      </c>
      <c r="F142" s="421"/>
      <c r="G142" s="421"/>
      <c r="H142" s="421"/>
      <c r="I142" s="421" t="s">
        <v>1929</v>
      </c>
      <c r="J142" s="422" t="s">
        <v>1930</v>
      </c>
      <c r="K142" s="420" t="s">
        <v>1931</v>
      </c>
      <c r="L142" s="420" t="s">
        <v>1932</v>
      </c>
      <c r="M142" s="420" t="s">
        <v>1933</v>
      </c>
      <c r="N142" s="423">
        <v>82909.4</v>
      </c>
      <c r="O142" s="424">
        <v>42845.0</v>
      </c>
      <c r="P142" s="357"/>
      <c r="Q142" s="357"/>
      <c r="R142" s="357"/>
      <c r="S142" s="357"/>
      <c r="T142" s="357"/>
      <c r="U142" s="357"/>
      <c r="V142" s="357"/>
      <c r="W142" s="357"/>
      <c r="X142" s="357"/>
      <c r="Y142" s="357"/>
      <c r="Z142" s="357"/>
      <c r="AA142" s="357"/>
      <c r="AB142" s="357"/>
      <c r="AC142" s="357"/>
      <c r="AD142" s="357"/>
      <c r="AE142" s="357"/>
      <c r="AF142" s="357"/>
      <c r="AG142" s="357"/>
      <c r="AH142" s="357"/>
      <c r="AI142" s="357"/>
      <c r="AJ142" s="357"/>
      <c r="AK142" s="357"/>
      <c r="AL142" s="357"/>
      <c r="AM142" s="357"/>
      <c r="AN142" s="357"/>
      <c r="AO142" s="357"/>
      <c r="AP142" s="357"/>
      <c r="AQ142" s="357"/>
      <c r="AR142" s="357"/>
    </row>
    <row r="143">
      <c r="A143" s="428">
        <v>43233.0</v>
      </c>
      <c r="B143" s="417" t="s">
        <v>1934</v>
      </c>
      <c r="C143" s="429" t="s">
        <v>100</v>
      </c>
      <c r="D143" s="419" t="s">
        <v>1935</v>
      </c>
      <c r="E143" s="430" t="s">
        <v>1936</v>
      </c>
      <c r="F143" s="325"/>
      <c r="G143" s="325" t="s">
        <v>1937</v>
      </c>
      <c r="H143" s="325" t="s">
        <v>1775</v>
      </c>
      <c r="I143" s="431" t="s">
        <v>1938</v>
      </c>
      <c r="J143" s="436" t="s">
        <v>1939</v>
      </c>
      <c r="K143" s="430" t="s">
        <v>1940</v>
      </c>
      <c r="L143" s="430" t="s">
        <v>1940</v>
      </c>
      <c r="M143" s="430" t="s">
        <v>1941</v>
      </c>
      <c r="N143" s="433">
        <v>8279.04</v>
      </c>
      <c r="O143" s="434">
        <v>41407.0</v>
      </c>
      <c r="P143" s="357"/>
      <c r="Q143" s="357"/>
      <c r="R143" s="357"/>
      <c r="S143" s="357"/>
      <c r="T143" s="357"/>
      <c r="U143" s="357"/>
      <c r="V143" s="357"/>
      <c r="W143" s="357"/>
      <c r="X143" s="357"/>
      <c r="Y143" s="357"/>
      <c r="Z143" s="357"/>
      <c r="AA143" s="357"/>
      <c r="AB143" s="357"/>
      <c r="AC143" s="357"/>
      <c r="AD143" s="357"/>
      <c r="AE143" s="357"/>
      <c r="AF143" s="357"/>
      <c r="AG143" s="357"/>
      <c r="AH143" s="357"/>
      <c r="AI143" s="357"/>
      <c r="AJ143" s="357"/>
      <c r="AK143" s="357"/>
      <c r="AL143" s="357"/>
      <c r="AM143" s="357"/>
      <c r="AN143" s="357"/>
      <c r="AO143" s="357"/>
      <c r="AP143" s="357"/>
      <c r="AQ143" s="357"/>
      <c r="AR143" s="357"/>
    </row>
    <row r="144">
      <c r="A144" s="416">
        <v>43281.0</v>
      </c>
      <c r="B144" s="417" t="s">
        <v>1942</v>
      </c>
      <c r="C144" s="418" t="s">
        <v>23</v>
      </c>
      <c r="D144" s="437" t="s">
        <v>1943</v>
      </c>
      <c r="E144" s="420" t="s">
        <v>1873</v>
      </c>
      <c r="F144" s="421"/>
      <c r="G144" s="421"/>
      <c r="H144" s="421"/>
      <c r="I144" s="421" t="s">
        <v>1944</v>
      </c>
      <c r="J144" s="422" t="s">
        <v>1945</v>
      </c>
      <c r="K144" s="420" t="s">
        <v>1946</v>
      </c>
      <c r="L144" s="420" t="s">
        <v>1946</v>
      </c>
      <c r="M144" s="420" t="s">
        <v>1947</v>
      </c>
      <c r="N144" s="427">
        <v>2000920.88</v>
      </c>
      <c r="O144" s="424">
        <v>42552.0</v>
      </c>
      <c r="P144" s="357"/>
      <c r="Q144" s="357"/>
      <c r="R144" s="357"/>
      <c r="S144" s="357"/>
      <c r="T144" s="357"/>
      <c r="U144" s="357"/>
      <c r="V144" s="357"/>
      <c r="W144" s="357"/>
      <c r="X144" s="357"/>
      <c r="Y144" s="357"/>
      <c r="Z144" s="357"/>
      <c r="AA144" s="357"/>
      <c r="AB144" s="357"/>
      <c r="AC144" s="357"/>
      <c r="AD144" s="357"/>
      <c r="AE144" s="357"/>
      <c r="AF144" s="357"/>
      <c r="AG144" s="357"/>
      <c r="AH144" s="357"/>
      <c r="AI144" s="357"/>
      <c r="AJ144" s="357"/>
      <c r="AK144" s="357"/>
      <c r="AL144" s="357"/>
      <c r="AM144" s="357"/>
      <c r="AN144" s="357"/>
      <c r="AO144" s="357"/>
      <c r="AP144" s="357"/>
      <c r="AQ144" s="357"/>
      <c r="AR144" s="357"/>
    </row>
    <row r="145">
      <c r="A145" s="428">
        <v>43312.0</v>
      </c>
      <c r="B145" s="417" t="s">
        <v>1948</v>
      </c>
      <c r="C145" s="429" t="s">
        <v>175</v>
      </c>
      <c r="D145" s="419" t="s">
        <v>1949</v>
      </c>
      <c r="E145" s="430" t="s">
        <v>1873</v>
      </c>
      <c r="F145" s="431"/>
      <c r="G145" s="431"/>
      <c r="H145" s="431"/>
      <c r="I145" s="431" t="s">
        <v>1950</v>
      </c>
      <c r="J145" s="436" t="s">
        <v>1951</v>
      </c>
      <c r="K145" s="430" t="s">
        <v>1952</v>
      </c>
      <c r="L145" s="430" t="s">
        <v>1952</v>
      </c>
      <c r="M145" s="430" t="s">
        <v>1953</v>
      </c>
      <c r="N145" s="433">
        <v>2590339.36</v>
      </c>
      <c r="O145" s="434">
        <v>41486.0</v>
      </c>
      <c r="P145" s="357"/>
      <c r="Q145" s="357"/>
      <c r="R145" s="357"/>
      <c r="S145" s="357"/>
      <c r="T145" s="357"/>
      <c r="U145" s="357"/>
      <c r="V145" s="357"/>
      <c r="W145" s="357"/>
      <c r="X145" s="357"/>
      <c r="Y145" s="357"/>
      <c r="Z145" s="357"/>
      <c r="AA145" s="357"/>
      <c r="AB145" s="357"/>
      <c r="AC145" s="357"/>
      <c r="AD145" s="357"/>
      <c r="AE145" s="357"/>
      <c r="AF145" s="357"/>
      <c r="AG145" s="357"/>
      <c r="AH145" s="357"/>
      <c r="AI145" s="357"/>
      <c r="AJ145" s="357"/>
      <c r="AK145" s="357"/>
      <c r="AL145" s="357"/>
      <c r="AM145" s="357"/>
      <c r="AN145" s="357"/>
      <c r="AO145" s="357"/>
      <c r="AP145" s="357"/>
      <c r="AQ145" s="357"/>
      <c r="AR145" s="357"/>
    </row>
    <row r="146">
      <c r="A146" s="428">
        <v>43343.0</v>
      </c>
      <c r="B146" s="417" t="s">
        <v>1954</v>
      </c>
      <c r="C146" s="429" t="s">
        <v>137</v>
      </c>
      <c r="D146" s="437" t="s">
        <v>1955</v>
      </c>
      <c r="E146" s="430" t="s">
        <v>1801</v>
      </c>
      <c r="F146" s="431"/>
      <c r="G146" s="431"/>
      <c r="H146" s="431"/>
      <c r="I146" s="431" t="s">
        <v>1956</v>
      </c>
      <c r="J146" s="436" t="s">
        <v>1957</v>
      </c>
      <c r="K146" s="430" t="s">
        <v>1958</v>
      </c>
      <c r="L146" s="430" t="s">
        <v>325</v>
      </c>
      <c r="M146" s="430"/>
      <c r="N146" s="433">
        <v>279430.83</v>
      </c>
      <c r="O146" s="434">
        <v>41518.0</v>
      </c>
      <c r="P146" s="357"/>
      <c r="Q146" s="357"/>
      <c r="R146" s="357"/>
      <c r="S146" s="357"/>
      <c r="T146" s="357"/>
      <c r="U146" s="357"/>
      <c r="V146" s="357"/>
      <c r="W146" s="357"/>
      <c r="X146" s="357"/>
      <c r="Y146" s="357"/>
      <c r="Z146" s="357"/>
      <c r="AA146" s="357"/>
      <c r="AB146" s="357"/>
      <c r="AC146" s="357"/>
      <c r="AD146" s="357"/>
      <c r="AE146" s="357"/>
      <c r="AF146" s="357"/>
      <c r="AG146" s="357"/>
      <c r="AH146" s="357"/>
      <c r="AI146" s="357"/>
      <c r="AJ146" s="357"/>
      <c r="AK146" s="357"/>
      <c r="AL146" s="357"/>
      <c r="AM146" s="357"/>
      <c r="AN146" s="357"/>
      <c r="AO146" s="357"/>
      <c r="AP146" s="357"/>
      <c r="AQ146" s="357"/>
      <c r="AR146" s="357"/>
    </row>
    <row r="147">
      <c r="A147" s="428">
        <v>43352.0</v>
      </c>
      <c r="B147" s="417" t="s">
        <v>1959</v>
      </c>
      <c r="C147" s="429"/>
      <c r="D147" s="437" t="s">
        <v>1960</v>
      </c>
      <c r="E147" s="430" t="s">
        <v>1795</v>
      </c>
      <c r="F147" s="385"/>
      <c r="G147" s="385"/>
      <c r="H147" s="385"/>
      <c r="I147" s="431" t="s">
        <v>1961</v>
      </c>
      <c r="J147" s="436" t="s">
        <v>1962</v>
      </c>
      <c r="K147" s="430" t="s">
        <v>1963</v>
      </c>
      <c r="L147" s="430" t="s">
        <v>325</v>
      </c>
      <c r="M147" s="430"/>
      <c r="N147" s="433">
        <v>76200.0</v>
      </c>
      <c r="O147" s="434">
        <v>41526.0</v>
      </c>
      <c r="P147" s="357"/>
      <c r="Q147" s="357"/>
      <c r="R147" s="357"/>
      <c r="S147" s="357"/>
      <c r="T147" s="357"/>
      <c r="U147" s="357"/>
      <c r="V147" s="357"/>
      <c r="W147" s="357"/>
      <c r="X147" s="357"/>
      <c r="Y147" s="357"/>
      <c r="Z147" s="357"/>
      <c r="AA147" s="357"/>
      <c r="AB147" s="357"/>
      <c r="AC147" s="357"/>
      <c r="AD147" s="357"/>
      <c r="AE147" s="357"/>
      <c r="AF147" s="357"/>
      <c r="AG147" s="357"/>
      <c r="AH147" s="357"/>
      <c r="AI147" s="357"/>
      <c r="AJ147" s="357"/>
      <c r="AK147" s="357"/>
      <c r="AL147" s="357"/>
      <c r="AM147" s="357"/>
      <c r="AN147" s="357"/>
      <c r="AO147" s="357"/>
      <c r="AP147" s="357"/>
      <c r="AQ147" s="357"/>
      <c r="AR147" s="357"/>
    </row>
    <row r="148" ht="90.75" customHeight="1">
      <c r="A148" s="428">
        <v>43369.0</v>
      </c>
      <c r="B148" s="417" t="s">
        <v>1964</v>
      </c>
      <c r="C148" s="429"/>
      <c r="D148" s="437" t="s">
        <v>1965</v>
      </c>
      <c r="E148" s="430" t="s">
        <v>1789</v>
      </c>
      <c r="F148" s="431"/>
      <c r="G148" s="431"/>
      <c r="H148" s="431"/>
      <c r="I148" s="431" t="s">
        <v>1966</v>
      </c>
      <c r="J148" s="436" t="s">
        <v>1967</v>
      </c>
      <c r="K148" s="430" t="s">
        <v>1968</v>
      </c>
      <c r="L148" s="430" t="s">
        <v>1969</v>
      </c>
      <c r="M148" s="430"/>
      <c r="N148" s="433">
        <v>78320.0</v>
      </c>
      <c r="O148" s="434">
        <v>43004.0</v>
      </c>
      <c r="P148" s="147"/>
      <c r="Q148" s="147"/>
      <c r="R148" s="147"/>
      <c r="S148" s="147"/>
      <c r="T148" s="147"/>
      <c r="U148" s="147"/>
      <c r="V148" s="147"/>
      <c r="W148" s="147"/>
      <c r="X148" s="147"/>
      <c r="Y148" s="147"/>
      <c r="Z148" s="147"/>
      <c r="AA148" s="147"/>
      <c r="AB148" s="147"/>
      <c r="AC148" s="147"/>
      <c r="AD148" s="147"/>
      <c r="AE148" s="147"/>
      <c r="AF148" s="147"/>
      <c r="AG148" s="147"/>
      <c r="AH148" s="147"/>
      <c r="AI148" s="147"/>
      <c r="AJ148" s="147"/>
      <c r="AK148" s="147"/>
      <c r="AL148" s="147"/>
      <c r="AM148" s="147"/>
      <c r="AN148" s="147"/>
      <c r="AO148" s="147"/>
      <c r="AP148" s="147"/>
      <c r="AQ148" s="147"/>
      <c r="AR148" s="147"/>
    </row>
    <row r="149" ht="83.25" customHeight="1">
      <c r="A149" s="438">
        <v>43369.0</v>
      </c>
      <c r="B149" s="439" t="s">
        <v>1970</v>
      </c>
      <c r="C149" s="440" t="s">
        <v>52</v>
      </c>
      <c r="D149" s="437" t="s">
        <v>1971</v>
      </c>
      <c r="E149" s="441" t="s">
        <v>1767</v>
      </c>
      <c r="F149" s="421"/>
      <c r="G149" s="421"/>
      <c r="H149" s="421"/>
      <c r="I149" s="421" t="s">
        <v>1972</v>
      </c>
      <c r="J149" s="442"/>
      <c r="K149" s="352" t="s">
        <v>1973</v>
      </c>
      <c r="L149" s="352" t="s">
        <v>1974</v>
      </c>
      <c r="M149" s="352" t="s">
        <v>1975</v>
      </c>
      <c r="N149" s="439"/>
      <c r="O149" s="363" t="str">
        <f>#REF!/18</f>
        <v>#REF!</v>
      </c>
      <c r="P149" s="443"/>
      <c r="Q149" s="443"/>
      <c r="R149" s="443"/>
      <c r="S149" s="443"/>
      <c r="T149" s="443"/>
      <c r="U149" s="443"/>
      <c r="V149" s="443"/>
      <c r="W149" s="443"/>
      <c r="X149" s="443"/>
      <c r="Y149" s="443"/>
      <c r="Z149" s="443"/>
      <c r="AA149" s="443"/>
      <c r="AB149" s="443"/>
      <c r="AC149" s="443"/>
      <c r="AD149" s="443"/>
      <c r="AE149" s="443"/>
      <c r="AF149" s="443"/>
      <c r="AG149" s="443"/>
      <c r="AH149" s="443"/>
      <c r="AI149" s="443"/>
      <c r="AJ149" s="443"/>
      <c r="AK149" s="443"/>
      <c r="AL149" s="443"/>
      <c r="AM149" s="443"/>
      <c r="AN149" s="443"/>
      <c r="AO149" s="443"/>
      <c r="AP149" s="443"/>
      <c r="AQ149" s="443"/>
      <c r="AR149" s="443"/>
    </row>
    <row r="150" ht="84.0" customHeight="1">
      <c r="A150" s="428">
        <v>43377.0</v>
      </c>
      <c r="B150" s="417" t="s">
        <v>1976</v>
      </c>
      <c r="C150" s="429" t="s">
        <v>23</v>
      </c>
      <c r="D150" s="437" t="s">
        <v>1977</v>
      </c>
      <c r="E150" s="430" t="s">
        <v>1978</v>
      </c>
      <c r="F150" s="431"/>
      <c r="G150" s="431"/>
      <c r="H150" s="431"/>
      <c r="I150" s="431" t="s">
        <v>1979</v>
      </c>
      <c r="J150" s="436" t="s">
        <v>1980</v>
      </c>
      <c r="K150" s="430" t="s">
        <v>1981</v>
      </c>
      <c r="L150" s="430" t="s">
        <v>1982</v>
      </c>
      <c r="M150" s="430" t="s">
        <v>1983</v>
      </c>
      <c r="N150" s="433">
        <v>8750.0</v>
      </c>
      <c r="O150" s="434">
        <v>43012.0</v>
      </c>
      <c r="P150" s="147"/>
      <c r="Q150" s="147"/>
      <c r="R150" s="147"/>
      <c r="S150" s="147"/>
      <c r="T150" s="147"/>
      <c r="U150" s="147"/>
      <c r="V150" s="147"/>
      <c r="W150" s="147"/>
      <c r="X150" s="147"/>
      <c r="Y150" s="147"/>
      <c r="Z150" s="147"/>
      <c r="AA150" s="147"/>
      <c r="AB150" s="147"/>
      <c r="AC150" s="147"/>
      <c r="AD150" s="147"/>
      <c r="AE150" s="147"/>
      <c r="AF150" s="147"/>
      <c r="AG150" s="147"/>
      <c r="AH150" s="147"/>
      <c r="AI150" s="147"/>
      <c r="AJ150" s="147"/>
      <c r="AK150" s="147"/>
      <c r="AL150" s="147"/>
      <c r="AM150" s="147"/>
      <c r="AN150" s="147"/>
      <c r="AO150" s="147"/>
      <c r="AP150" s="147"/>
      <c r="AQ150" s="147"/>
      <c r="AR150" s="147"/>
    </row>
    <row r="151">
      <c r="A151" s="416">
        <v>43397.0</v>
      </c>
      <c r="B151" s="417" t="s">
        <v>1984</v>
      </c>
      <c r="C151" s="418" t="s">
        <v>52</v>
      </c>
      <c r="D151" s="437" t="s">
        <v>1985</v>
      </c>
      <c r="E151" s="420" t="s">
        <v>1767</v>
      </c>
      <c r="F151" s="421"/>
      <c r="G151" s="421"/>
      <c r="H151" s="421"/>
      <c r="I151" s="421" t="s">
        <v>1986</v>
      </c>
      <c r="J151" s="422" t="s">
        <v>1987</v>
      </c>
      <c r="K151" s="420" t="s">
        <v>1988</v>
      </c>
      <c r="L151" s="420" t="s">
        <v>1989</v>
      </c>
      <c r="M151" s="420" t="s">
        <v>1990</v>
      </c>
      <c r="N151" s="423">
        <v>42876.82</v>
      </c>
      <c r="O151" s="424">
        <v>43263.0</v>
      </c>
      <c r="P151" s="357"/>
      <c r="Q151" s="357"/>
      <c r="R151" s="357"/>
      <c r="S151" s="357"/>
      <c r="T151" s="357"/>
      <c r="U151" s="357"/>
      <c r="V151" s="357"/>
      <c r="W151" s="357"/>
      <c r="X151" s="357"/>
      <c r="Y151" s="357"/>
      <c r="Z151" s="357"/>
      <c r="AA151" s="357"/>
      <c r="AB151" s="357"/>
      <c r="AC151" s="357"/>
      <c r="AD151" s="357"/>
      <c r="AE151" s="357"/>
      <c r="AF151" s="357"/>
      <c r="AG151" s="357"/>
      <c r="AH151" s="357"/>
      <c r="AI151" s="357"/>
      <c r="AJ151" s="357"/>
      <c r="AK151" s="357"/>
      <c r="AL151" s="357"/>
      <c r="AM151" s="357"/>
      <c r="AN151" s="357"/>
      <c r="AO151" s="357"/>
      <c r="AP151" s="357"/>
      <c r="AQ151" s="357"/>
      <c r="AR151" s="357"/>
    </row>
    <row r="152">
      <c r="A152" s="428">
        <v>43443.0</v>
      </c>
      <c r="B152" s="435" t="s">
        <v>1991</v>
      </c>
      <c r="C152" s="429" t="s">
        <v>175</v>
      </c>
      <c r="D152" s="437" t="s">
        <v>1992</v>
      </c>
      <c r="E152" s="430" t="s">
        <v>1993</v>
      </c>
      <c r="F152" s="431"/>
      <c r="G152" s="431"/>
      <c r="H152" s="431"/>
      <c r="I152" s="431" t="s">
        <v>1994</v>
      </c>
      <c r="J152" s="436" t="s">
        <v>1995</v>
      </c>
      <c r="K152" s="430" t="s">
        <v>1996</v>
      </c>
      <c r="L152" s="430" t="s">
        <v>1996</v>
      </c>
      <c r="M152" s="430"/>
      <c r="N152" s="433">
        <v>3306862.56</v>
      </c>
      <c r="O152" s="434">
        <v>43078.0</v>
      </c>
      <c r="P152" s="147"/>
      <c r="Q152" s="147"/>
      <c r="R152" s="147"/>
      <c r="S152" s="147"/>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c r="AP152" s="147"/>
      <c r="AQ152" s="147"/>
      <c r="AR152" s="147"/>
    </row>
    <row r="153">
      <c r="A153" s="428">
        <v>43444.0</v>
      </c>
      <c r="B153" s="435" t="s">
        <v>1997</v>
      </c>
      <c r="C153" s="429" t="s">
        <v>52</v>
      </c>
      <c r="D153" s="437" t="s">
        <v>1998</v>
      </c>
      <c r="E153" s="430" t="s">
        <v>125</v>
      </c>
      <c r="F153" s="431"/>
      <c r="G153" s="431"/>
      <c r="H153" s="431"/>
      <c r="I153" s="431" t="s">
        <v>1999</v>
      </c>
      <c r="J153" s="436" t="s">
        <v>2000</v>
      </c>
      <c r="K153" s="430" t="s">
        <v>2001</v>
      </c>
      <c r="L153" s="430" t="s">
        <v>325</v>
      </c>
      <c r="M153" s="430" t="s">
        <v>2002</v>
      </c>
      <c r="N153" s="444">
        <v>32624.28</v>
      </c>
      <c r="O153" s="434">
        <v>43444.0</v>
      </c>
      <c r="P153" s="147"/>
      <c r="Q153" s="147"/>
      <c r="R153" s="147"/>
      <c r="S153" s="147"/>
      <c r="T153" s="147"/>
      <c r="U153" s="147"/>
      <c r="V153" s="147"/>
      <c r="W153" s="147"/>
      <c r="X153" s="147"/>
      <c r="Y153" s="147"/>
      <c r="Z153" s="147"/>
      <c r="AA153" s="147"/>
      <c r="AB153" s="147"/>
      <c r="AC153" s="147"/>
      <c r="AD153" s="147"/>
      <c r="AE153" s="147"/>
      <c r="AF153" s="147"/>
      <c r="AG153" s="147"/>
      <c r="AH153" s="147"/>
      <c r="AI153" s="147"/>
      <c r="AJ153" s="147"/>
      <c r="AK153" s="147"/>
      <c r="AL153" s="147"/>
      <c r="AM153" s="147"/>
      <c r="AN153" s="147"/>
      <c r="AO153" s="147"/>
      <c r="AP153" s="147"/>
      <c r="AQ153" s="147"/>
      <c r="AR153" s="147"/>
    </row>
    <row r="154">
      <c r="A154" s="428">
        <v>43505.0</v>
      </c>
      <c r="B154" s="417" t="s">
        <v>2003</v>
      </c>
      <c r="C154" s="429" t="s">
        <v>52</v>
      </c>
      <c r="D154" s="437" t="s">
        <v>2004</v>
      </c>
      <c r="E154" s="430" t="s">
        <v>1767</v>
      </c>
      <c r="F154" s="431"/>
      <c r="G154" s="431"/>
      <c r="H154" s="431"/>
      <c r="I154" s="431" t="s">
        <v>2005</v>
      </c>
      <c r="J154" s="436" t="s">
        <v>2006</v>
      </c>
      <c r="K154" s="430" t="s">
        <v>2007</v>
      </c>
      <c r="L154" s="430" t="s">
        <v>2008</v>
      </c>
      <c r="M154" s="430" t="s">
        <v>2009</v>
      </c>
      <c r="N154" s="433">
        <v>1339163.61</v>
      </c>
      <c r="O154" s="434">
        <v>43140.0</v>
      </c>
      <c r="P154" s="357"/>
      <c r="Q154" s="357"/>
      <c r="R154" s="357"/>
      <c r="S154" s="357"/>
      <c r="T154" s="357"/>
      <c r="U154" s="357"/>
      <c r="V154" s="357"/>
      <c r="W154" s="357"/>
      <c r="X154" s="357"/>
      <c r="Y154" s="357"/>
      <c r="Z154" s="357"/>
      <c r="AA154" s="357"/>
      <c r="AB154" s="357"/>
      <c r="AC154" s="357"/>
      <c r="AD154" s="357"/>
      <c r="AE154" s="357"/>
      <c r="AF154" s="357"/>
      <c r="AG154" s="357"/>
      <c r="AH154" s="357"/>
      <c r="AI154" s="357"/>
      <c r="AJ154" s="357"/>
      <c r="AK154" s="357"/>
      <c r="AL154" s="357"/>
      <c r="AM154" s="357"/>
      <c r="AN154" s="357"/>
      <c r="AO154" s="357"/>
      <c r="AP154" s="357"/>
      <c r="AQ154" s="357"/>
      <c r="AR154" s="357"/>
    </row>
    <row r="155">
      <c r="A155" s="416">
        <v>43494.0</v>
      </c>
      <c r="B155" s="417" t="s">
        <v>2010</v>
      </c>
      <c r="C155" s="418" t="s">
        <v>52</v>
      </c>
      <c r="D155" s="445" t="s">
        <v>2011</v>
      </c>
      <c r="E155" s="420" t="s">
        <v>1873</v>
      </c>
      <c r="F155" s="421"/>
      <c r="G155" s="421"/>
      <c r="H155" s="421"/>
      <c r="I155" s="421" t="s">
        <v>2012</v>
      </c>
      <c r="J155" s="422" t="s">
        <v>2013</v>
      </c>
      <c r="K155" s="420" t="s">
        <v>2014</v>
      </c>
      <c r="L155" s="420" t="s">
        <v>2015</v>
      </c>
      <c r="M155" s="420" t="s">
        <v>2016</v>
      </c>
      <c r="N155" s="427">
        <v>809449.3</v>
      </c>
      <c r="O155" s="424">
        <v>43312.0</v>
      </c>
      <c r="P155" s="357"/>
      <c r="Q155" s="357"/>
      <c r="R155" s="357"/>
      <c r="S155" s="357"/>
      <c r="T155" s="357"/>
      <c r="U155" s="357"/>
      <c r="V155" s="357"/>
      <c r="W155" s="357"/>
      <c r="X155" s="357"/>
      <c r="Y155" s="357"/>
      <c r="Z155" s="357"/>
      <c r="AA155" s="357"/>
      <c r="AB155" s="357"/>
      <c r="AC155" s="357"/>
      <c r="AD155" s="357"/>
      <c r="AE155" s="357"/>
      <c r="AF155" s="357"/>
      <c r="AG155" s="357"/>
      <c r="AH155" s="357"/>
      <c r="AI155" s="357"/>
      <c r="AJ155" s="357"/>
      <c r="AK155" s="357"/>
      <c r="AL155" s="357"/>
      <c r="AM155" s="357"/>
      <c r="AN155" s="357"/>
      <c r="AO155" s="357"/>
      <c r="AP155" s="357"/>
      <c r="AQ155" s="357"/>
      <c r="AR155" s="357"/>
    </row>
    <row r="156">
      <c r="A156" s="416">
        <v>43494.0</v>
      </c>
      <c r="B156" s="417" t="s">
        <v>2017</v>
      </c>
      <c r="C156" s="418" t="s">
        <v>52</v>
      </c>
      <c r="D156" s="437" t="s">
        <v>2018</v>
      </c>
      <c r="E156" s="420" t="s">
        <v>125</v>
      </c>
      <c r="F156" s="421"/>
      <c r="G156" s="421"/>
      <c r="H156" s="421"/>
      <c r="I156" s="421" t="s">
        <v>2019</v>
      </c>
      <c r="J156" s="422" t="s">
        <v>2013</v>
      </c>
      <c r="K156" s="420" t="s">
        <v>2014</v>
      </c>
      <c r="L156" s="420" t="s">
        <v>2020</v>
      </c>
      <c r="M156" s="420" t="s">
        <v>2016</v>
      </c>
      <c r="N156" s="427">
        <v>92160.0</v>
      </c>
      <c r="O156" s="424">
        <v>43312.0</v>
      </c>
      <c r="P156" s="357"/>
      <c r="Q156" s="357"/>
      <c r="R156" s="357"/>
      <c r="S156" s="357"/>
      <c r="T156" s="357"/>
      <c r="U156" s="357"/>
      <c r="V156" s="357"/>
      <c r="W156" s="357"/>
      <c r="X156" s="357"/>
      <c r="Y156" s="357"/>
      <c r="Z156" s="357"/>
      <c r="AA156" s="357"/>
      <c r="AB156" s="357"/>
      <c r="AC156" s="357"/>
      <c r="AD156" s="357"/>
      <c r="AE156" s="357"/>
      <c r="AF156" s="357"/>
      <c r="AG156" s="357"/>
      <c r="AH156" s="357"/>
      <c r="AI156" s="357"/>
      <c r="AJ156" s="357"/>
      <c r="AK156" s="357"/>
      <c r="AL156" s="357"/>
      <c r="AM156" s="357"/>
      <c r="AN156" s="357"/>
      <c r="AO156" s="357"/>
      <c r="AP156" s="357"/>
      <c r="AQ156" s="357"/>
      <c r="AR156" s="357"/>
    </row>
    <row r="157" ht="129.75" customHeight="1">
      <c r="A157" s="416">
        <v>43502.0</v>
      </c>
      <c r="B157" s="417" t="s">
        <v>2021</v>
      </c>
      <c r="C157" s="418" t="s">
        <v>100</v>
      </c>
      <c r="D157" s="437" t="s">
        <v>2022</v>
      </c>
      <c r="E157" s="420" t="s">
        <v>1795</v>
      </c>
      <c r="F157" s="385"/>
      <c r="G157" s="385"/>
      <c r="H157" s="385"/>
      <c r="I157" s="421" t="s">
        <v>2023</v>
      </c>
      <c r="J157" s="436" t="s">
        <v>2024</v>
      </c>
      <c r="K157" s="420" t="s">
        <v>2025</v>
      </c>
      <c r="L157" s="420" t="s">
        <v>2025</v>
      </c>
      <c r="M157" s="420" t="s">
        <v>2026</v>
      </c>
      <c r="N157" s="423">
        <v>72000.0</v>
      </c>
      <c r="O157" s="424">
        <v>41676.0</v>
      </c>
      <c r="P157" s="357"/>
      <c r="Q157" s="357"/>
      <c r="R157" s="357"/>
      <c r="S157" s="357"/>
      <c r="T157" s="357"/>
      <c r="U157" s="357"/>
      <c r="V157" s="357"/>
      <c r="W157" s="357"/>
      <c r="X157" s="357"/>
      <c r="Y157" s="357"/>
      <c r="Z157" s="357"/>
      <c r="AA157" s="357"/>
      <c r="AB157" s="357"/>
      <c r="AC157" s="357"/>
      <c r="AD157" s="357"/>
      <c r="AE157" s="357"/>
      <c r="AF157" s="357"/>
      <c r="AG157" s="357"/>
      <c r="AH157" s="357"/>
      <c r="AI157" s="357"/>
      <c r="AJ157" s="357"/>
      <c r="AK157" s="357"/>
      <c r="AL157" s="357"/>
      <c r="AM157" s="357"/>
      <c r="AN157" s="357"/>
      <c r="AO157" s="357"/>
      <c r="AP157" s="357"/>
      <c r="AQ157" s="357"/>
      <c r="AR157" s="357"/>
    </row>
    <row r="158">
      <c r="A158" s="416">
        <v>43505.0</v>
      </c>
      <c r="B158" s="417" t="s">
        <v>2027</v>
      </c>
      <c r="C158" s="418" t="s">
        <v>52</v>
      </c>
      <c r="D158" s="437" t="s">
        <v>2028</v>
      </c>
      <c r="E158" s="420" t="s">
        <v>1795</v>
      </c>
      <c r="F158" s="385"/>
      <c r="G158" s="385"/>
      <c r="H158" s="385"/>
      <c r="I158" s="421" t="s">
        <v>2029</v>
      </c>
      <c r="J158" s="436" t="s">
        <v>2030</v>
      </c>
      <c r="K158" s="420" t="s">
        <v>2031</v>
      </c>
      <c r="L158" s="420" t="s">
        <v>2032</v>
      </c>
      <c r="M158" s="420" t="s">
        <v>2033</v>
      </c>
      <c r="N158" s="423">
        <v>26640.0</v>
      </c>
      <c r="O158" s="424">
        <v>43321.0</v>
      </c>
      <c r="P158" s="357"/>
      <c r="Q158" s="357"/>
      <c r="R158" s="357"/>
      <c r="S158" s="357"/>
      <c r="T158" s="357"/>
      <c r="U158" s="357"/>
      <c r="V158" s="357"/>
      <c r="W158" s="357"/>
      <c r="X158" s="357"/>
      <c r="Y158" s="357"/>
      <c r="Z158" s="357"/>
      <c r="AA158" s="357"/>
      <c r="AB158" s="357"/>
      <c r="AC158" s="357"/>
      <c r="AD158" s="357"/>
      <c r="AE158" s="357"/>
      <c r="AF158" s="357"/>
      <c r="AG158" s="357"/>
      <c r="AH158" s="357"/>
      <c r="AI158" s="357"/>
      <c r="AJ158" s="357"/>
      <c r="AK158" s="357"/>
      <c r="AL158" s="357"/>
      <c r="AM158" s="357"/>
      <c r="AN158" s="357"/>
      <c r="AO158" s="357"/>
      <c r="AP158" s="357"/>
      <c r="AQ158" s="357"/>
      <c r="AR158" s="357"/>
    </row>
    <row r="159" ht="90.0" customHeight="1">
      <c r="A159" s="416">
        <v>43553.0</v>
      </c>
      <c r="B159" s="417" t="s">
        <v>2034</v>
      </c>
      <c r="C159" s="418" t="s">
        <v>137</v>
      </c>
      <c r="D159" s="437" t="s">
        <v>2035</v>
      </c>
      <c r="E159" s="420" t="s">
        <v>2036</v>
      </c>
      <c r="F159" s="421"/>
      <c r="G159" s="421"/>
      <c r="H159" s="421"/>
      <c r="I159" s="421" t="s">
        <v>2037</v>
      </c>
      <c r="J159" s="422" t="s">
        <v>2038</v>
      </c>
      <c r="K159" s="420" t="s">
        <v>2039</v>
      </c>
      <c r="L159" s="420" t="s">
        <v>2039</v>
      </c>
      <c r="M159" s="420" t="s">
        <v>2040</v>
      </c>
      <c r="N159" s="423">
        <v>42000.0</v>
      </c>
      <c r="O159" s="424">
        <v>42093.0</v>
      </c>
      <c r="P159" s="357"/>
      <c r="Q159" s="357"/>
      <c r="R159" s="357"/>
      <c r="S159" s="357"/>
      <c r="T159" s="357"/>
      <c r="U159" s="357"/>
      <c r="V159" s="357"/>
      <c r="W159" s="357"/>
      <c r="X159" s="357"/>
      <c r="Y159" s="357"/>
      <c r="Z159" s="357"/>
      <c r="AA159" s="357"/>
      <c r="AB159" s="357"/>
      <c r="AC159" s="357"/>
      <c r="AD159" s="357"/>
      <c r="AE159" s="357"/>
      <c r="AF159" s="357"/>
      <c r="AG159" s="357"/>
      <c r="AH159" s="357"/>
      <c r="AI159" s="357"/>
      <c r="AJ159" s="357"/>
      <c r="AK159" s="357"/>
      <c r="AL159" s="357"/>
      <c r="AM159" s="357"/>
      <c r="AN159" s="357"/>
      <c r="AO159" s="357"/>
      <c r="AP159" s="357"/>
      <c r="AQ159" s="357"/>
      <c r="AR159" s="357"/>
    </row>
    <row r="160" hidden="1">
      <c r="A160" s="442">
        <v>43630.0</v>
      </c>
      <c r="B160" s="439" t="s">
        <v>2041</v>
      </c>
      <c r="C160" s="440" t="s">
        <v>2042</v>
      </c>
      <c r="D160" s="419" t="s">
        <v>2043</v>
      </c>
      <c r="E160" s="441" t="s">
        <v>1767</v>
      </c>
      <c r="F160" s="421"/>
      <c r="G160" s="421"/>
      <c r="H160" s="421"/>
      <c r="I160" s="421" t="s">
        <v>2044</v>
      </c>
      <c r="J160" s="442">
        <v>41988.0</v>
      </c>
      <c r="K160" s="352" t="s">
        <v>2045</v>
      </c>
      <c r="L160" s="352" t="s">
        <v>2045</v>
      </c>
      <c r="M160" s="352" t="s">
        <v>2046</v>
      </c>
      <c r="N160" s="439"/>
      <c r="O160" s="333" t="str">
        <f>#REF!/9</f>
        <v>#REF!</v>
      </c>
      <c r="P160" s="446"/>
      <c r="Q160" s="443"/>
      <c r="R160" s="443"/>
      <c r="S160" s="443"/>
      <c r="T160" s="443"/>
      <c r="U160" s="443"/>
      <c r="V160" s="443"/>
      <c r="W160" s="443"/>
      <c r="X160" s="443"/>
      <c r="Y160" s="443"/>
      <c r="Z160" s="443"/>
      <c r="AA160" s="443"/>
      <c r="AB160" s="443"/>
      <c r="AC160" s="443"/>
      <c r="AD160" s="443"/>
      <c r="AE160" s="443"/>
      <c r="AF160" s="443"/>
      <c r="AG160" s="443"/>
      <c r="AH160" s="443"/>
      <c r="AI160" s="443"/>
      <c r="AJ160" s="443"/>
      <c r="AK160" s="443"/>
      <c r="AL160" s="443"/>
      <c r="AM160" s="443"/>
      <c r="AN160" s="443"/>
      <c r="AO160" s="443"/>
      <c r="AP160" s="443"/>
      <c r="AQ160" s="443"/>
      <c r="AR160" s="443"/>
    </row>
    <row r="161">
      <c r="A161" s="416">
        <v>43646.0</v>
      </c>
      <c r="B161" s="417" t="s">
        <v>2047</v>
      </c>
      <c r="C161" s="418" t="s">
        <v>38</v>
      </c>
      <c r="D161" s="437" t="s">
        <v>2048</v>
      </c>
      <c r="E161" s="420" t="s">
        <v>1767</v>
      </c>
      <c r="F161" s="421"/>
      <c r="G161" s="421"/>
      <c r="H161" s="421"/>
      <c r="I161" s="421" t="s">
        <v>2049</v>
      </c>
      <c r="J161" s="422" t="s">
        <v>2050</v>
      </c>
      <c r="K161" s="420" t="s">
        <v>2051</v>
      </c>
      <c r="L161" s="420" t="s">
        <v>2051</v>
      </c>
      <c r="M161" s="420" t="s">
        <v>1745</v>
      </c>
      <c r="N161" s="423">
        <v>569620.32</v>
      </c>
      <c r="O161" s="424">
        <v>43425.0</v>
      </c>
      <c r="P161" s="357"/>
      <c r="Q161" s="357"/>
      <c r="R161" s="357"/>
      <c r="S161" s="357"/>
      <c r="T161" s="357"/>
      <c r="U161" s="357"/>
      <c r="V161" s="357"/>
      <c r="W161" s="357"/>
      <c r="X161" s="357"/>
      <c r="Y161" s="357"/>
      <c r="Z161" s="357"/>
      <c r="AA161" s="357"/>
      <c r="AB161" s="357"/>
      <c r="AC161" s="357"/>
      <c r="AD161" s="357"/>
      <c r="AE161" s="357"/>
      <c r="AF161" s="357"/>
      <c r="AG161" s="357"/>
      <c r="AH161" s="357"/>
      <c r="AI161" s="357"/>
      <c r="AJ161" s="357"/>
      <c r="AK161" s="357"/>
      <c r="AL161" s="357"/>
      <c r="AM161" s="357"/>
      <c r="AN161" s="357"/>
      <c r="AO161" s="357"/>
      <c r="AP161" s="357"/>
      <c r="AQ161" s="357"/>
      <c r="AR161" s="357"/>
    </row>
    <row r="162">
      <c r="A162" s="447">
        <v>43646.0</v>
      </c>
      <c r="B162" s="417" t="s">
        <v>2052</v>
      </c>
      <c r="C162" s="418" t="s">
        <v>100</v>
      </c>
      <c r="D162" s="437" t="s">
        <v>2053</v>
      </c>
      <c r="E162" s="420" t="s">
        <v>1801</v>
      </c>
      <c r="F162" s="421"/>
      <c r="G162" s="421"/>
      <c r="H162" s="421"/>
      <c r="I162" s="421" t="s">
        <v>2054</v>
      </c>
      <c r="J162" s="422" t="s">
        <v>2055</v>
      </c>
      <c r="K162" s="420" t="s">
        <v>2056</v>
      </c>
      <c r="L162" s="420" t="s">
        <v>2056</v>
      </c>
      <c r="M162" s="420" t="s">
        <v>2057</v>
      </c>
      <c r="N162" s="423">
        <v>62000.0</v>
      </c>
      <c r="O162" s="448">
        <v>41820.0</v>
      </c>
      <c r="P162" s="357"/>
      <c r="Q162" s="357"/>
      <c r="R162" s="357"/>
      <c r="S162" s="357"/>
      <c r="T162" s="357"/>
      <c r="U162" s="357"/>
      <c r="V162" s="357"/>
      <c r="W162" s="357"/>
      <c r="X162" s="357"/>
      <c r="Y162" s="357"/>
      <c r="Z162" s="357"/>
      <c r="AA162" s="357"/>
      <c r="AB162" s="357"/>
      <c r="AC162" s="357"/>
      <c r="AD162" s="357"/>
      <c r="AE162" s="357"/>
      <c r="AF162" s="357"/>
      <c r="AG162" s="357"/>
      <c r="AH162" s="357"/>
      <c r="AI162" s="357"/>
      <c r="AJ162" s="357"/>
      <c r="AK162" s="357"/>
      <c r="AL162" s="357"/>
      <c r="AM162" s="357"/>
      <c r="AN162" s="357"/>
      <c r="AO162" s="357"/>
      <c r="AP162" s="357"/>
      <c r="AQ162" s="357"/>
      <c r="AR162" s="357"/>
    </row>
    <row r="163">
      <c r="A163" s="447">
        <v>43647.0</v>
      </c>
      <c r="B163" s="417" t="s">
        <v>2058</v>
      </c>
      <c r="C163" s="418" t="s">
        <v>137</v>
      </c>
      <c r="D163" s="437" t="s">
        <v>2059</v>
      </c>
      <c r="E163" s="420" t="s">
        <v>1873</v>
      </c>
      <c r="F163" s="421"/>
      <c r="G163" s="421"/>
      <c r="H163" s="421"/>
      <c r="I163" s="421" t="s">
        <v>2060</v>
      </c>
      <c r="J163" s="422" t="s">
        <v>2061</v>
      </c>
      <c r="K163" s="420" t="s">
        <v>2062</v>
      </c>
      <c r="L163" s="420" t="s">
        <v>2062</v>
      </c>
      <c r="M163" s="420" t="s">
        <v>2063</v>
      </c>
      <c r="N163" s="423">
        <v>17728.0</v>
      </c>
      <c r="O163" s="448">
        <v>42186.0</v>
      </c>
      <c r="P163" s="357"/>
      <c r="Q163" s="357"/>
      <c r="R163" s="357"/>
      <c r="S163" s="357"/>
      <c r="T163" s="357"/>
      <c r="U163" s="357"/>
      <c r="V163" s="357"/>
      <c r="W163" s="357"/>
      <c r="X163" s="357"/>
      <c r="Y163" s="357"/>
      <c r="Z163" s="357"/>
      <c r="AA163" s="357"/>
      <c r="AB163" s="357"/>
      <c r="AC163" s="357"/>
      <c r="AD163" s="357"/>
      <c r="AE163" s="357"/>
      <c r="AF163" s="357"/>
      <c r="AG163" s="357"/>
      <c r="AH163" s="357"/>
      <c r="AI163" s="357"/>
      <c r="AJ163" s="357"/>
      <c r="AK163" s="357"/>
      <c r="AL163" s="357"/>
      <c r="AM163" s="357"/>
      <c r="AN163" s="357"/>
      <c r="AO163" s="357"/>
      <c r="AP163" s="357"/>
      <c r="AQ163" s="357"/>
      <c r="AR163" s="357"/>
    </row>
    <row r="164">
      <c r="A164" s="449">
        <v>43685.0</v>
      </c>
      <c r="B164" s="450" t="s">
        <v>2064</v>
      </c>
      <c r="C164" s="451" t="s">
        <v>38</v>
      </c>
      <c r="D164" s="452" t="s">
        <v>2065</v>
      </c>
      <c r="E164" s="420" t="s">
        <v>1873</v>
      </c>
      <c r="F164" s="385"/>
      <c r="G164" s="385"/>
      <c r="H164" s="385"/>
      <c r="I164" s="453" t="s">
        <v>2066</v>
      </c>
      <c r="J164" s="454" t="s">
        <v>2067</v>
      </c>
      <c r="K164" s="455" t="s">
        <v>2068</v>
      </c>
      <c r="L164" s="455" t="s">
        <v>2068</v>
      </c>
      <c r="M164" s="455" t="s">
        <v>2069</v>
      </c>
      <c r="N164" s="427">
        <v>31999.98</v>
      </c>
      <c r="O164" s="456">
        <v>42866.0</v>
      </c>
      <c r="P164" s="457"/>
      <c r="Q164" s="458"/>
      <c r="R164" s="459"/>
      <c r="S164" s="459"/>
      <c r="T164" s="459"/>
      <c r="U164" s="459"/>
      <c r="V164" s="459"/>
      <c r="W164" s="459"/>
      <c r="X164" s="459"/>
      <c r="Y164" s="459"/>
      <c r="Z164" s="459"/>
      <c r="AA164" s="459"/>
      <c r="AB164" s="459"/>
      <c r="AC164" s="459"/>
      <c r="AD164" s="459"/>
      <c r="AE164" s="459"/>
      <c r="AF164" s="459"/>
      <c r="AG164" s="459"/>
      <c r="AH164" s="459"/>
      <c r="AI164" s="459"/>
      <c r="AJ164" s="459"/>
      <c r="AK164" s="459"/>
      <c r="AL164" s="459"/>
      <c r="AM164" s="459"/>
      <c r="AN164" s="459"/>
      <c r="AO164" s="459"/>
      <c r="AP164" s="459"/>
      <c r="AQ164" s="459"/>
      <c r="AR164" s="459"/>
    </row>
    <row r="165">
      <c r="A165" s="95"/>
      <c r="B165" s="95"/>
      <c r="C165" s="95"/>
      <c r="D165" s="95"/>
      <c r="E165" s="455" t="s">
        <v>2070</v>
      </c>
      <c r="F165" s="385"/>
      <c r="G165" s="385"/>
      <c r="H165" s="385"/>
      <c r="I165" s="95"/>
      <c r="J165" s="95"/>
      <c r="K165" s="95"/>
      <c r="L165" s="95"/>
      <c r="M165" s="95"/>
      <c r="N165" s="427">
        <v>16000.02</v>
      </c>
      <c r="O165" s="95"/>
      <c r="P165" s="457"/>
      <c r="Q165" s="458"/>
      <c r="R165" s="459"/>
      <c r="S165" s="459"/>
      <c r="T165" s="459"/>
      <c r="U165" s="459"/>
      <c r="V165" s="459"/>
      <c r="W165" s="459"/>
      <c r="X165" s="459"/>
      <c r="Y165" s="459"/>
      <c r="Z165" s="459"/>
      <c r="AA165" s="459"/>
      <c r="AB165" s="459"/>
      <c r="AC165" s="459"/>
      <c r="AD165" s="459"/>
      <c r="AE165" s="459"/>
      <c r="AF165" s="459"/>
      <c r="AG165" s="459"/>
      <c r="AH165" s="459"/>
      <c r="AI165" s="459"/>
      <c r="AJ165" s="459"/>
      <c r="AK165" s="459"/>
      <c r="AL165" s="459"/>
      <c r="AM165" s="459"/>
      <c r="AN165" s="459"/>
      <c r="AO165" s="459"/>
      <c r="AP165" s="459"/>
      <c r="AQ165" s="459"/>
      <c r="AR165" s="459"/>
    </row>
    <row r="166" ht="28.5" customHeight="1">
      <c r="A166" s="79"/>
      <c r="B166" s="79"/>
      <c r="C166" s="79"/>
      <c r="D166" s="79"/>
      <c r="E166" s="79"/>
      <c r="F166" s="325"/>
      <c r="G166" s="325"/>
      <c r="H166" s="325"/>
      <c r="I166" s="79"/>
      <c r="J166" s="79"/>
      <c r="K166" s="79"/>
      <c r="L166" s="79"/>
      <c r="M166" s="79"/>
      <c r="N166" s="460">
        <f>SUM(N164:N165)</f>
        <v>48000</v>
      </c>
      <c r="O166" s="79"/>
      <c r="P166" s="457"/>
      <c r="Q166" s="458"/>
      <c r="R166" s="459"/>
      <c r="S166" s="459"/>
      <c r="T166" s="459"/>
      <c r="U166" s="459"/>
      <c r="V166" s="459"/>
      <c r="W166" s="459"/>
      <c r="X166" s="459"/>
      <c r="Y166" s="459"/>
      <c r="Z166" s="459"/>
      <c r="AA166" s="459"/>
      <c r="AB166" s="459"/>
      <c r="AC166" s="459"/>
      <c r="AD166" s="459"/>
      <c r="AE166" s="459"/>
      <c r="AF166" s="459"/>
      <c r="AG166" s="459"/>
      <c r="AH166" s="459"/>
      <c r="AI166" s="459"/>
      <c r="AJ166" s="459"/>
      <c r="AK166" s="459"/>
      <c r="AL166" s="459"/>
      <c r="AM166" s="459"/>
      <c r="AN166" s="459"/>
      <c r="AO166" s="459"/>
      <c r="AP166" s="459"/>
      <c r="AQ166" s="459"/>
      <c r="AR166" s="459"/>
    </row>
    <row r="167">
      <c r="A167" s="442">
        <v>43700.0</v>
      </c>
      <c r="B167" s="439" t="s">
        <v>2071</v>
      </c>
      <c r="C167" s="440" t="s">
        <v>38</v>
      </c>
      <c r="D167" s="437" t="s">
        <v>2072</v>
      </c>
      <c r="E167" s="441" t="s">
        <v>1873</v>
      </c>
      <c r="F167" s="325"/>
      <c r="G167" s="325"/>
      <c r="H167" s="325"/>
      <c r="I167" s="421" t="s">
        <v>2073</v>
      </c>
      <c r="J167" s="442">
        <v>43619.0</v>
      </c>
      <c r="K167" s="352" t="s">
        <v>2074</v>
      </c>
      <c r="L167" s="352" t="s">
        <v>2075</v>
      </c>
      <c r="M167" s="352" t="s">
        <v>2076</v>
      </c>
      <c r="N167" s="439" t="s">
        <v>2077</v>
      </c>
      <c r="O167" s="333" t="str">
        <f>#REF!/12</f>
        <v>#REF!</v>
      </c>
      <c r="P167" s="446"/>
      <c r="Q167" s="446"/>
      <c r="R167" s="446"/>
      <c r="S167" s="446"/>
      <c r="T167" s="446"/>
      <c r="U167" s="446"/>
      <c r="V167" s="446"/>
      <c r="W167" s="446"/>
      <c r="X167" s="446"/>
      <c r="Y167" s="446"/>
      <c r="Z167" s="446"/>
      <c r="AA167" s="446"/>
      <c r="AB167" s="446"/>
      <c r="AC167" s="446"/>
      <c r="AD167" s="446"/>
      <c r="AE167" s="446"/>
      <c r="AF167" s="446"/>
      <c r="AG167" s="446"/>
      <c r="AH167" s="446"/>
      <c r="AI167" s="446"/>
      <c r="AJ167" s="446"/>
      <c r="AK167" s="446"/>
      <c r="AL167" s="446"/>
      <c r="AM167" s="446"/>
      <c r="AN167" s="446"/>
      <c r="AO167" s="446"/>
      <c r="AP167" s="446"/>
      <c r="AQ167" s="446"/>
      <c r="AR167" s="446"/>
    </row>
    <row r="168">
      <c r="A168" s="442">
        <v>43700.0</v>
      </c>
      <c r="B168" s="439" t="s">
        <v>2078</v>
      </c>
      <c r="C168" s="440" t="s">
        <v>52</v>
      </c>
      <c r="D168" s="437" t="s">
        <v>2079</v>
      </c>
      <c r="E168" s="441" t="s">
        <v>1782</v>
      </c>
      <c r="F168" s="325"/>
      <c r="G168" s="325"/>
      <c r="H168" s="325"/>
      <c r="I168" s="421" t="s">
        <v>2080</v>
      </c>
      <c r="J168" s="442">
        <v>43700.0</v>
      </c>
      <c r="K168" s="352" t="s">
        <v>2081</v>
      </c>
      <c r="L168" s="352" t="s">
        <v>2082</v>
      </c>
      <c r="M168" s="352" t="s">
        <v>2083</v>
      </c>
      <c r="N168" s="439"/>
      <c r="O168" s="333" t="str">
        <f>#REF!/4</f>
        <v>#REF!</v>
      </c>
      <c r="P168" s="446"/>
      <c r="Q168" s="443"/>
      <c r="R168" s="443"/>
      <c r="S168" s="443"/>
      <c r="T168" s="443"/>
      <c r="U168" s="443"/>
      <c r="V168" s="443"/>
      <c r="W168" s="443"/>
      <c r="X168" s="443"/>
      <c r="Y168" s="443"/>
      <c r="Z168" s="443"/>
      <c r="AA168" s="443"/>
      <c r="AB168" s="443"/>
      <c r="AC168" s="443"/>
      <c r="AD168" s="443"/>
      <c r="AE168" s="443"/>
      <c r="AF168" s="443"/>
      <c r="AG168" s="443"/>
      <c r="AH168" s="443"/>
      <c r="AI168" s="443"/>
      <c r="AJ168" s="443"/>
      <c r="AK168" s="443"/>
      <c r="AL168" s="443"/>
      <c r="AM168" s="443"/>
      <c r="AN168" s="443"/>
      <c r="AO168" s="443"/>
      <c r="AP168" s="443"/>
      <c r="AQ168" s="443"/>
      <c r="AR168" s="443"/>
    </row>
    <row r="169">
      <c r="A169" s="442">
        <v>43707.0</v>
      </c>
      <c r="B169" s="439" t="s">
        <v>2084</v>
      </c>
      <c r="C169" s="461" t="s">
        <v>175</v>
      </c>
      <c r="D169" s="437" t="s">
        <v>2085</v>
      </c>
      <c r="E169" s="441" t="s">
        <v>1795</v>
      </c>
      <c r="F169" s="325"/>
      <c r="G169" s="325"/>
      <c r="H169" s="325"/>
      <c r="I169" s="421" t="s">
        <v>1584</v>
      </c>
      <c r="J169" s="442">
        <v>43704.0</v>
      </c>
      <c r="K169" s="352" t="s">
        <v>2086</v>
      </c>
      <c r="L169" s="352" t="s">
        <v>2086</v>
      </c>
      <c r="M169" s="352" t="s">
        <v>2026</v>
      </c>
      <c r="N169" s="462">
        <v>9691.44</v>
      </c>
      <c r="O169" s="463">
        <v>41878.0</v>
      </c>
      <c r="P169" s="446"/>
      <c r="Q169" s="446"/>
      <c r="R169" s="446"/>
      <c r="S169" s="446"/>
      <c r="T169" s="446"/>
      <c r="U169" s="446"/>
      <c r="V169" s="446"/>
      <c r="W169" s="446"/>
      <c r="X169" s="446"/>
      <c r="Y169" s="446"/>
      <c r="Z169" s="446"/>
      <c r="AA169" s="446"/>
      <c r="AB169" s="446"/>
      <c r="AC169" s="446"/>
      <c r="AD169" s="446"/>
      <c r="AE169" s="446"/>
      <c r="AF169" s="446"/>
      <c r="AG169" s="446"/>
      <c r="AH169" s="446"/>
      <c r="AI169" s="446"/>
      <c r="AJ169" s="446"/>
      <c r="AK169" s="446"/>
      <c r="AL169" s="446"/>
      <c r="AM169" s="446"/>
      <c r="AN169" s="446"/>
      <c r="AO169" s="446"/>
      <c r="AP169" s="446"/>
      <c r="AQ169" s="446"/>
      <c r="AR169" s="446"/>
    </row>
    <row r="170">
      <c r="A170" s="438">
        <v>43934.0</v>
      </c>
      <c r="B170" s="439" t="s">
        <v>2087</v>
      </c>
      <c r="C170" s="440" t="s">
        <v>100</v>
      </c>
      <c r="D170" s="437" t="s">
        <v>2088</v>
      </c>
      <c r="E170" s="441" t="s">
        <v>2089</v>
      </c>
      <c r="F170" s="325"/>
      <c r="G170" s="325"/>
      <c r="H170" s="325"/>
      <c r="I170" s="421" t="s">
        <v>2090</v>
      </c>
      <c r="J170" s="442" t="s">
        <v>2091</v>
      </c>
      <c r="K170" s="352" t="s">
        <v>2092</v>
      </c>
      <c r="L170" s="352" t="s">
        <v>2092</v>
      </c>
      <c r="M170" s="352" t="s">
        <v>2093</v>
      </c>
      <c r="N170" s="462">
        <v>34240.0</v>
      </c>
      <c r="O170" s="463">
        <v>42107.0</v>
      </c>
      <c r="P170" s="443"/>
      <c r="Q170" s="443"/>
      <c r="R170" s="443"/>
      <c r="S170" s="443"/>
      <c r="T170" s="443"/>
      <c r="U170" s="443"/>
      <c r="V170" s="443"/>
      <c r="W170" s="443"/>
      <c r="X170" s="443"/>
      <c r="Y170" s="443"/>
      <c r="Z170" s="443"/>
      <c r="AA170" s="443"/>
      <c r="AB170" s="443"/>
      <c r="AC170" s="443"/>
      <c r="AD170" s="443"/>
      <c r="AE170" s="443"/>
      <c r="AF170" s="443"/>
      <c r="AG170" s="443"/>
      <c r="AH170" s="443"/>
      <c r="AI170" s="443"/>
      <c r="AJ170" s="443"/>
      <c r="AK170" s="443"/>
      <c r="AL170" s="443"/>
      <c r="AM170" s="443"/>
      <c r="AN170" s="443"/>
      <c r="AO170" s="443"/>
      <c r="AP170" s="443"/>
      <c r="AQ170" s="443"/>
      <c r="AR170" s="443"/>
    </row>
    <row r="171">
      <c r="A171" s="464">
        <v>43967.0</v>
      </c>
      <c r="B171" s="465" t="s">
        <v>2094</v>
      </c>
      <c r="C171" s="466" t="s">
        <v>38</v>
      </c>
      <c r="D171" s="467" t="s">
        <v>2095</v>
      </c>
      <c r="E171" s="468" t="s">
        <v>2096</v>
      </c>
      <c r="F171" s="469"/>
      <c r="G171" s="325"/>
      <c r="H171" s="325"/>
      <c r="I171" s="470" t="s">
        <v>2097</v>
      </c>
      <c r="J171" s="471" t="s">
        <v>2098</v>
      </c>
      <c r="K171" s="472" t="s">
        <v>2099</v>
      </c>
      <c r="L171" s="472" t="s">
        <v>2100</v>
      </c>
      <c r="M171" s="472" t="s">
        <v>2101</v>
      </c>
      <c r="N171" s="473">
        <v>6447.6</v>
      </c>
      <c r="O171" s="474" t="str">
        <f t="shared" ref="O171:O173" si="4">#REF!*2</f>
        <v>#REF!</v>
      </c>
      <c r="P171" s="475"/>
      <c r="Q171" s="475"/>
      <c r="R171" s="475"/>
      <c r="S171" s="475"/>
      <c r="T171" s="475"/>
      <c r="U171" s="475"/>
      <c r="V171" s="475"/>
      <c r="W171" s="475"/>
      <c r="X171" s="475"/>
      <c r="Y171" s="475"/>
      <c r="Z171" s="475"/>
      <c r="AA171" s="475"/>
      <c r="AB171" s="475"/>
      <c r="AC171" s="475"/>
      <c r="AD171" s="475"/>
      <c r="AE171" s="475"/>
      <c r="AF171" s="475"/>
      <c r="AG171" s="475"/>
      <c r="AH171" s="475"/>
      <c r="AI171" s="475"/>
      <c r="AJ171" s="475"/>
      <c r="AK171" s="475"/>
      <c r="AL171" s="475"/>
      <c r="AM171" s="475"/>
      <c r="AN171" s="475"/>
      <c r="AO171" s="475"/>
      <c r="AP171" s="475"/>
      <c r="AQ171" s="475"/>
      <c r="AR171" s="475"/>
    </row>
    <row r="172">
      <c r="A172" s="279"/>
      <c r="B172" s="279"/>
      <c r="C172" s="279"/>
      <c r="D172" s="279"/>
      <c r="E172" s="476" t="s">
        <v>2102</v>
      </c>
      <c r="F172" s="384"/>
      <c r="G172" s="385"/>
      <c r="H172" s="385"/>
      <c r="I172" s="279"/>
      <c r="J172" s="279"/>
      <c r="K172" s="279"/>
      <c r="L172" s="279"/>
      <c r="M172" s="279"/>
      <c r="N172" s="477">
        <v>17432.4</v>
      </c>
      <c r="O172" s="478" t="str">
        <f t="shared" si="4"/>
        <v>#REF!</v>
      </c>
      <c r="P172" s="475"/>
      <c r="Q172" s="475"/>
      <c r="R172" s="475"/>
      <c r="S172" s="475"/>
      <c r="T172" s="475"/>
      <c r="U172" s="475"/>
      <c r="V172" s="475"/>
      <c r="W172" s="475"/>
      <c r="X172" s="475"/>
      <c r="Y172" s="475"/>
      <c r="Z172" s="475"/>
      <c r="AA172" s="475"/>
      <c r="AB172" s="475"/>
      <c r="AC172" s="475"/>
      <c r="AD172" s="475"/>
      <c r="AE172" s="475"/>
      <c r="AF172" s="475"/>
      <c r="AG172" s="475"/>
      <c r="AH172" s="475"/>
      <c r="AI172" s="475"/>
      <c r="AJ172" s="475"/>
      <c r="AK172" s="475"/>
      <c r="AL172" s="475"/>
      <c r="AM172" s="475"/>
      <c r="AN172" s="475"/>
      <c r="AO172" s="475"/>
      <c r="AP172" s="475"/>
      <c r="AQ172" s="475"/>
      <c r="AR172" s="475"/>
    </row>
    <row r="173" ht="62.25" customHeight="1">
      <c r="A173" s="207"/>
      <c r="B173" s="207"/>
      <c r="C173" s="207"/>
      <c r="D173" s="207"/>
      <c r="E173" s="476" t="s">
        <v>1873</v>
      </c>
      <c r="F173" s="384"/>
      <c r="G173" s="385"/>
      <c r="H173" s="385"/>
      <c r="I173" s="207"/>
      <c r="J173" s="207"/>
      <c r="K173" s="207"/>
      <c r="L173" s="207"/>
      <c r="M173" s="207"/>
      <c r="N173" s="479">
        <f>SUM(N171:N172)</f>
        <v>23880</v>
      </c>
      <c r="O173" s="480" t="str">
        <f t="shared" si="4"/>
        <v>#REF!</v>
      </c>
      <c r="P173" s="475"/>
      <c r="Q173" s="475"/>
      <c r="R173" s="475"/>
      <c r="S173" s="475"/>
      <c r="T173" s="475"/>
      <c r="U173" s="475"/>
      <c r="V173" s="475"/>
      <c r="W173" s="475"/>
      <c r="X173" s="475"/>
      <c r="Y173" s="475"/>
      <c r="Z173" s="475"/>
      <c r="AA173" s="475"/>
      <c r="AB173" s="475"/>
      <c r="AC173" s="475"/>
      <c r="AD173" s="475"/>
      <c r="AE173" s="475"/>
      <c r="AF173" s="475"/>
      <c r="AG173" s="475"/>
      <c r="AH173" s="475"/>
      <c r="AI173" s="475"/>
      <c r="AJ173" s="475"/>
      <c r="AK173" s="475"/>
      <c r="AL173" s="475"/>
      <c r="AM173" s="475"/>
      <c r="AN173" s="475"/>
      <c r="AO173" s="475"/>
      <c r="AP173" s="475"/>
      <c r="AQ173" s="475"/>
      <c r="AR173" s="475"/>
    </row>
    <row r="174">
      <c r="A174" s="438">
        <v>43989.0</v>
      </c>
      <c r="B174" s="439" t="s">
        <v>2103</v>
      </c>
      <c r="C174" s="440" t="s">
        <v>52</v>
      </c>
      <c r="D174" s="437" t="s">
        <v>2104</v>
      </c>
      <c r="E174" s="441" t="s">
        <v>1767</v>
      </c>
      <c r="F174" s="385"/>
      <c r="G174" s="385"/>
      <c r="H174" s="385"/>
      <c r="I174" s="421" t="s">
        <v>2105</v>
      </c>
      <c r="J174" s="442" t="s">
        <v>2106</v>
      </c>
      <c r="K174" s="352" t="s">
        <v>2107</v>
      </c>
      <c r="L174" s="352" t="s">
        <v>2108</v>
      </c>
      <c r="M174" s="352" t="s">
        <v>2109</v>
      </c>
      <c r="N174" s="481">
        <v>2414796.84</v>
      </c>
      <c r="O174" s="463">
        <v>43651.0</v>
      </c>
      <c r="P174" s="446"/>
      <c r="Q174" s="446"/>
      <c r="R174" s="446"/>
      <c r="S174" s="446"/>
      <c r="T174" s="446"/>
      <c r="U174" s="446"/>
      <c r="V174" s="446"/>
      <c r="W174" s="446"/>
      <c r="X174" s="446"/>
      <c r="Y174" s="446"/>
      <c r="Z174" s="446"/>
      <c r="AA174" s="446"/>
      <c r="AB174" s="446"/>
      <c r="AC174" s="446"/>
      <c r="AD174" s="446"/>
      <c r="AE174" s="446"/>
      <c r="AF174" s="446"/>
      <c r="AG174" s="446"/>
      <c r="AH174" s="446"/>
      <c r="AI174" s="446"/>
      <c r="AJ174" s="446"/>
      <c r="AK174" s="446"/>
      <c r="AL174" s="446"/>
      <c r="AM174" s="446"/>
      <c r="AN174" s="446"/>
      <c r="AO174" s="446"/>
      <c r="AP174" s="446"/>
      <c r="AQ174" s="446"/>
      <c r="AR174" s="446"/>
    </row>
    <row r="175">
      <c r="A175" s="438">
        <v>44013.0</v>
      </c>
      <c r="B175" s="439" t="s">
        <v>2110</v>
      </c>
      <c r="C175" s="440" t="s">
        <v>100</v>
      </c>
      <c r="D175" s="437" t="s">
        <v>2111</v>
      </c>
      <c r="E175" s="441" t="s">
        <v>1795</v>
      </c>
      <c r="F175" s="482"/>
      <c r="G175" s="482"/>
      <c r="H175" s="482"/>
      <c r="I175" s="421" t="s">
        <v>2112</v>
      </c>
      <c r="J175" s="442" t="s">
        <v>2113</v>
      </c>
      <c r="K175" s="352" t="s">
        <v>2114</v>
      </c>
      <c r="L175" s="352" t="s">
        <v>2114</v>
      </c>
      <c r="M175" s="352" t="s">
        <v>2115</v>
      </c>
      <c r="N175" s="481">
        <v>52225.95</v>
      </c>
      <c r="O175" s="463">
        <v>42186.0</v>
      </c>
      <c r="P175" s="443"/>
      <c r="Q175" s="443"/>
      <c r="R175" s="443"/>
      <c r="S175" s="443"/>
      <c r="T175" s="443"/>
      <c r="U175" s="443"/>
      <c r="V175" s="443"/>
      <c r="W175" s="443"/>
      <c r="X175" s="443"/>
      <c r="Y175" s="443"/>
      <c r="Z175" s="443"/>
      <c r="AA175" s="443"/>
      <c r="AB175" s="443"/>
      <c r="AC175" s="443"/>
      <c r="AD175" s="443"/>
      <c r="AE175" s="443"/>
      <c r="AF175" s="443"/>
      <c r="AG175" s="443"/>
      <c r="AH175" s="443"/>
      <c r="AI175" s="443"/>
      <c r="AJ175" s="443"/>
      <c r="AK175" s="443"/>
      <c r="AL175" s="443"/>
      <c r="AM175" s="443"/>
      <c r="AN175" s="443"/>
      <c r="AO175" s="443"/>
      <c r="AP175" s="443"/>
      <c r="AQ175" s="443"/>
      <c r="AR175" s="443"/>
    </row>
    <row r="176">
      <c r="A176" s="483">
        <v>44016.0</v>
      </c>
      <c r="B176" s="484" t="s">
        <v>2116</v>
      </c>
      <c r="C176" s="485" t="s">
        <v>23</v>
      </c>
      <c r="D176" s="486" t="s">
        <v>2117</v>
      </c>
      <c r="E176" s="487" t="s">
        <v>2118</v>
      </c>
      <c r="F176" s="488"/>
      <c r="G176" s="482"/>
      <c r="H176" s="482"/>
      <c r="I176" s="489" t="s">
        <v>2119</v>
      </c>
      <c r="J176" s="490" t="s">
        <v>2120</v>
      </c>
      <c r="K176" s="487" t="s">
        <v>2121</v>
      </c>
      <c r="L176" s="487" t="s">
        <v>2122</v>
      </c>
      <c r="M176" s="487" t="s">
        <v>2123</v>
      </c>
      <c r="N176" s="473">
        <v>82800.0</v>
      </c>
      <c r="O176" s="491">
        <v>43285.0</v>
      </c>
      <c r="P176" s="492"/>
      <c r="Q176" s="492"/>
      <c r="R176" s="492"/>
      <c r="S176" s="492"/>
      <c r="T176" s="492"/>
      <c r="U176" s="492"/>
      <c r="V176" s="492"/>
      <c r="W176" s="492"/>
      <c r="X176" s="492"/>
      <c r="Y176" s="492"/>
      <c r="Z176" s="492"/>
      <c r="AA176" s="492"/>
      <c r="AB176" s="492"/>
      <c r="AC176" s="492"/>
      <c r="AD176" s="492"/>
      <c r="AE176" s="492"/>
      <c r="AF176" s="492"/>
      <c r="AG176" s="492"/>
      <c r="AH176" s="492"/>
      <c r="AI176" s="492"/>
      <c r="AJ176" s="492"/>
      <c r="AK176" s="492"/>
      <c r="AL176" s="492"/>
      <c r="AM176" s="492"/>
      <c r="AN176" s="492"/>
      <c r="AO176" s="492"/>
      <c r="AP176" s="492"/>
      <c r="AQ176" s="492"/>
      <c r="AR176" s="492"/>
    </row>
    <row r="177">
      <c r="A177" s="438">
        <v>44075.0</v>
      </c>
      <c r="B177" s="493" t="s">
        <v>2124</v>
      </c>
      <c r="C177" s="494" t="s">
        <v>137</v>
      </c>
      <c r="D177" s="437" t="s">
        <v>2125</v>
      </c>
      <c r="E177" s="441" t="s">
        <v>1912</v>
      </c>
      <c r="F177" s="482"/>
      <c r="G177" s="482"/>
      <c r="H177" s="482"/>
      <c r="I177" s="421" t="s">
        <v>2126</v>
      </c>
      <c r="J177" s="442" t="s">
        <v>2127</v>
      </c>
      <c r="K177" s="352" t="s">
        <v>1480</v>
      </c>
      <c r="L177" s="352" t="s">
        <v>1480</v>
      </c>
      <c r="M177" s="352" t="s">
        <v>2128</v>
      </c>
      <c r="N177" s="462">
        <v>58791.24</v>
      </c>
      <c r="O177" s="463">
        <v>43721.0</v>
      </c>
      <c r="P177" s="443"/>
      <c r="Q177" s="443"/>
      <c r="R177" s="443"/>
      <c r="S177" s="443"/>
      <c r="T177" s="443"/>
      <c r="U177" s="443"/>
      <c r="V177" s="443"/>
      <c r="W177" s="443"/>
      <c r="X177" s="443"/>
      <c r="Y177" s="443"/>
      <c r="Z177" s="443"/>
      <c r="AA177" s="443"/>
      <c r="AB177" s="443"/>
      <c r="AC177" s="443"/>
      <c r="AD177" s="443"/>
      <c r="AE177" s="443"/>
      <c r="AF177" s="443"/>
      <c r="AG177" s="443"/>
      <c r="AH177" s="443"/>
      <c r="AI177" s="443"/>
      <c r="AJ177" s="443"/>
      <c r="AK177" s="443"/>
      <c r="AL177" s="443"/>
      <c r="AM177" s="443"/>
      <c r="AN177" s="443"/>
      <c r="AO177" s="443"/>
      <c r="AP177" s="443"/>
      <c r="AQ177" s="443"/>
      <c r="AR177" s="443"/>
    </row>
    <row r="178">
      <c r="A178" s="438">
        <v>44088.0</v>
      </c>
      <c r="B178" s="439" t="s">
        <v>2129</v>
      </c>
      <c r="C178" s="440" t="s">
        <v>52</v>
      </c>
      <c r="D178" s="437" t="s">
        <v>2130</v>
      </c>
      <c r="E178" s="352" t="s">
        <v>1782</v>
      </c>
      <c r="F178" s="482"/>
      <c r="G178" s="482"/>
      <c r="H178" s="482"/>
      <c r="I178" s="421" t="s">
        <v>2131</v>
      </c>
      <c r="J178" s="442" t="s">
        <v>2132</v>
      </c>
      <c r="K178" s="352" t="s">
        <v>2133</v>
      </c>
      <c r="L178" s="352" t="s">
        <v>2134</v>
      </c>
      <c r="M178" s="352" t="s">
        <v>2135</v>
      </c>
      <c r="N178" s="462">
        <v>495000.0</v>
      </c>
      <c r="O178" s="463">
        <v>43357.0</v>
      </c>
      <c r="P178" s="446"/>
      <c r="Q178" s="446"/>
      <c r="R178" s="446"/>
      <c r="S178" s="446"/>
      <c r="T178" s="446"/>
      <c r="U178" s="446"/>
      <c r="V178" s="446"/>
      <c r="W178" s="446"/>
      <c r="X178" s="446"/>
      <c r="Y178" s="446"/>
      <c r="Z178" s="446"/>
      <c r="AA178" s="446"/>
      <c r="AB178" s="446"/>
      <c r="AC178" s="446"/>
      <c r="AD178" s="446"/>
      <c r="AE178" s="446"/>
      <c r="AF178" s="446"/>
      <c r="AG178" s="446"/>
      <c r="AH178" s="446"/>
      <c r="AI178" s="446"/>
      <c r="AJ178" s="446"/>
      <c r="AK178" s="446"/>
      <c r="AL178" s="446"/>
      <c r="AM178" s="446"/>
      <c r="AN178" s="446"/>
      <c r="AO178" s="446"/>
      <c r="AP178" s="446"/>
      <c r="AQ178" s="446"/>
      <c r="AR178" s="446"/>
    </row>
    <row r="179" ht="83.25" customHeight="1">
      <c r="A179" s="438">
        <v>44092.0</v>
      </c>
      <c r="B179" s="439" t="s">
        <v>2136</v>
      </c>
      <c r="C179" s="440" t="s">
        <v>100</v>
      </c>
      <c r="D179" s="437" t="s">
        <v>2137</v>
      </c>
      <c r="E179" s="441" t="s">
        <v>1873</v>
      </c>
      <c r="F179" s="482"/>
      <c r="G179" s="482"/>
      <c r="H179" s="482"/>
      <c r="I179" s="421" t="s">
        <v>2138</v>
      </c>
      <c r="J179" s="442" t="s">
        <v>2139</v>
      </c>
      <c r="K179" s="352" t="s">
        <v>2140</v>
      </c>
      <c r="L179" s="352" t="s">
        <v>2140</v>
      </c>
      <c r="M179" s="352" t="s">
        <v>2141</v>
      </c>
      <c r="N179" s="481">
        <v>28707.47</v>
      </c>
      <c r="O179" s="463">
        <v>42265.0</v>
      </c>
      <c r="P179" s="147"/>
      <c r="Q179" s="147"/>
      <c r="R179" s="147"/>
      <c r="S179" s="147"/>
      <c r="T179" s="147"/>
      <c r="U179" s="147"/>
      <c r="V179" s="147"/>
      <c r="W179" s="147"/>
      <c r="X179" s="147"/>
      <c r="Y179" s="147"/>
      <c r="Z179" s="147"/>
      <c r="AA179" s="147"/>
      <c r="AB179" s="147"/>
      <c r="AC179" s="147"/>
      <c r="AD179" s="147"/>
      <c r="AE179" s="147"/>
      <c r="AF179" s="147"/>
      <c r="AG179" s="147"/>
      <c r="AH179" s="147"/>
      <c r="AI179" s="147"/>
      <c r="AJ179" s="147"/>
      <c r="AK179" s="147"/>
      <c r="AL179" s="147"/>
      <c r="AM179" s="147"/>
      <c r="AN179" s="147"/>
      <c r="AO179" s="147"/>
      <c r="AP179" s="147"/>
      <c r="AQ179" s="147"/>
      <c r="AR179" s="147"/>
    </row>
    <row r="180">
      <c r="A180" s="438">
        <v>44108.0</v>
      </c>
      <c r="B180" s="439" t="s">
        <v>2142</v>
      </c>
      <c r="C180" s="440" t="s">
        <v>23</v>
      </c>
      <c r="D180" s="437" t="s">
        <v>2143</v>
      </c>
      <c r="E180" s="441" t="s">
        <v>1795</v>
      </c>
      <c r="F180" s="482"/>
      <c r="G180" s="482"/>
      <c r="H180" s="482"/>
      <c r="I180" s="421" t="s">
        <v>2144</v>
      </c>
      <c r="J180" s="442" t="s">
        <v>2145</v>
      </c>
      <c r="K180" s="352" t="s">
        <v>2146</v>
      </c>
      <c r="L180" s="352" t="s">
        <v>2147</v>
      </c>
      <c r="M180" s="352" t="s">
        <v>2148</v>
      </c>
      <c r="N180" s="462">
        <v>114920.22</v>
      </c>
      <c r="O180" s="463">
        <v>43377.0</v>
      </c>
      <c r="P180" s="446"/>
      <c r="Q180" s="446"/>
      <c r="R180" s="446"/>
      <c r="S180" s="446"/>
      <c r="T180" s="446"/>
      <c r="U180" s="446"/>
      <c r="V180" s="446"/>
      <c r="W180" s="446"/>
      <c r="X180" s="446"/>
      <c r="Y180" s="446"/>
      <c r="Z180" s="446"/>
      <c r="AA180" s="446"/>
      <c r="AB180" s="446"/>
      <c r="AC180" s="446"/>
      <c r="AD180" s="446"/>
      <c r="AE180" s="446"/>
      <c r="AF180" s="446"/>
      <c r="AG180" s="446"/>
      <c r="AH180" s="446"/>
      <c r="AI180" s="446"/>
      <c r="AJ180" s="446"/>
      <c r="AK180" s="446"/>
      <c r="AL180" s="446"/>
      <c r="AM180" s="446"/>
      <c r="AN180" s="446"/>
      <c r="AO180" s="446"/>
      <c r="AP180" s="446"/>
      <c r="AQ180" s="446"/>
      <c r="AR180" s="446"/>
    </row>
    <row r="181">
      <c r="A181" s="495">
        <v>44113.0</v>
      </c>
      <c r="B181" s="496" t="s">
        <v>2149</v>
      </c>
      <c r="C181" s="497" t="s">
        <v>23</v>
      </c>
      <c r="D181" s="452" t="s">
        <v>2150</v>
      </c>
      <c r="E181" s="498" t="s">
        <v>1767</v>
      </c>
      <c r="F181" s="482"/>
      <c r="G181" s="482"/>
      <c r="H181" s="482"/>
      <c r="I181" s="453" t="s">
        <v>2151</v>
      </c>
      <c r="J181" s="499" t="s">
        <v>2152</v>
      </c>
      <c r="K181" s="331" t="s">
        <v>2153</v>
      </c>
      <c r="L181" s="331" t="s">
        <v>2154</v>
      </c>
      <c r="M181" s="331" t="s">
        <v>2155</v>
      </c>
      <c r="N181" s="481">
        <v>222857.14</v>
      </c>
      <c r="O181" s="500">
        <v>43658.0</v>
      </c>
      <c r="P181" s="443"/>
      <c r="Q181" s="443"/>
      <c r="R181" s="443"/>
      <c r="S181" s="443"/>
      <c r="T181" s="443"/>
      <c r="U181" s="443"/>
      <c r="V181" s="443"/>
      <c r="W181" s="443"/>
      <c r="X181" s="443"/>
      <c r="Y181" s="443"/>
      <c r="Z181" s="443"/>
      <c r="AA181" s="443"/>
      <c r="AB181" s="443"/>
      <c r="AC181" s="443"/>
      <c r="AD181" s="443"/>
      <c r="AE181" s="443"/>
      <c r="AF181" s="443"/>
      <c r="AG181" s="443"/>
      <c r="AH181" s="443"/>
      <c r="AI181" s="443"/>
      <c r="AJ181" s="443"/>
      <c r="AK181" s="443"/>
      <c r="AL181" s="443"/>
      <c r="AM181" s="443"/>
      <c r="AN181" s="443"/>
      <c r="AO181" s="443"/>
      <c r="AP181" s="443"/>
      <c r="AQ181" s="443"/>
      <c r="AR181" s="443"/>
    </row>
    <row r="182">
      <c r="A182" s="95"/>
      <c r="B182" s="95"/>
      <c r="C182" s="95"/>
      <c r="D182" s="95"/>
      <c r="E182" s="95"/>
      <c r="F182" s="482"/>
      <c r="G182" s="482"/>
      <c r="H182" s="482"/>
      <c r="I182" s="95"/>
      <c r="J182" s="95"/>
      <c r="K182" s="95"/>
      <c r="L182" s="95"/>
      <c r="M182" s="95"/>
      <c r="N182" s="481">
        <v>25964.46</v>
      </c>
      <c r="O182" s="95"/>
      <c r="P182" s="443"/>
      <c r="Q182" s="443"/>
      <c r="R182" s="443"/>
      <c r="S182" s="443"/>
      <c r="T182" s="443"/>
      <c r="U182" s="443"/>
      <c r="V182" s="443"/>
      <c r="W182" s="443"/>
      <c r="X182" s="443"/>
      <c r="Y182" s="443"/>
      <c r="Z182" s="443"/>
      <c r="AA182" s="443"/>
      <c r="AB182" s="443"/>
      <c r="AC182" s="443"/>
      <c r="AD182" s="443"/>
      <c r="AE182" s="443"/>
      <c r="AF182" s="443"/>
      <c r="AG182" s="443"/>
      <c r="AH182" s="443"/>
      <c r="AI182" s="443"/>
      <c r="AJ182" s="443"/>
      <c r="AK182" s="443"/>
      <c r="AL182" s="443"/>
      <c r="AM182" s="443"/>
      <c r="AN182" s="443"/>
      <c r="AO182" s="443"/>
      <c r="AP182" s="443"/>
      <c r="AQ182" s="443"/>
      <c r="AR182" s="443"/>
    </row>
    <row r="183" ht="54.75" customHeight="1">
      <c r="A183" s="79"/>
      <c r="B183" s="79"/>
      <c r="C183" s="79"/>
      <c r="D183" s="79"/>
      <c r="E183" s="79"/>
      <c r="F183" s="482"/>
      <c r="G183" s="482"/>
      <c r="H183" s="482"/>
      <c r="I183" s="79"/>
      <c r="J183" s="79"/>
      <c r="K183" s="79"/>
      <c r="L183" s="79"/>
      <c r="M183" s="79"/>
      <c r="N183" s="501">
        <f>SUM(N181:N182)</f>
        <v>248821.6</v>
      </c>
      <c r="O183" s="79"/>
      <c r="P183" s="443"/>
      <c r="Q183" s="443"/>
      <c r="R183" s="443"/>
      <c r="S183" s="443"/>
      <c r="T183" s="443"/>
      <c r="U183" s="443"/>
      <c r="V183" s="443"/>
      <c r="W183" s="443"/>
      <c r="X183" s="443"/>
      <c r="Y183" s="443"/>
      <c r="Z183" s="443"/>
      <c r="AA183" s="443"/>
      <c r="AB183" s="443"/>
      <c r="AC183" s="443"/>
      <c r="AD183" s="443"/>
      <c r="AE183" s="443"/>
      <c r="AF183" s="443"/>
      <c r="AG183" s="443"/>
      <c r="AH183" s="443"/>
      <c r="AI183" s="443"/>
      <c r="AJ183" s="443"/>
      <c r="AK183" s="443"/>
      <c r="AL183" s="443"/>
      <c r="AM183" s="443"/>
      <c r="AN183" s="443"/>
      <c r="AO183" s="443"/>
      <c r="AP183" s="443"/>
      <c r="AQ183" s="443"/>
      <c r="AR183" s="443"/>
    </row>
    <row r="184">
      <c r="A184" s="502">
        <v>44122.0</v>
      </c>
      <c r="B184" s="439" t="s">
        <v>2156</v>
      </c>
      <c r="C184" s="503" t="s">
        <v>38</v>
      </c>
      <c r="D184" s="419" t="s">
        <v>2157</v>
      </c>
      <c r="E184" s="504" t="s">
        <v>1912</v>
      </c>
      <c r="F184" s="482"/>
      <c r="G184" s="482"/>
      <c r="H184" s="482"/>
      <c r="I184" s="431" t="s">
        <v>2158</v>
      </c>
      <c r="J184" s="505" t="s">
        <v>2159</v>
      </c>
      <c r="K184" s="506" t="s">
        <v>2160</v>
      </c>
      <c r="L184" s="506" t="s">
        <v>2161</v>
      </c>
      <c r="M184" s="506" t="s">
        <v>2162</v>
      </c>
      <c r="N184" s="507">
        <v>6000.0</v>
      </c>
      <c r="O184" s="508">
        <v>43026.0</v>
      </c>
      <c r="P184" s="446"/>
      <c r="Q184" s="446"/>
      <c r="R184" s="446"/>
      <c r="S184" s="446"/>
      <c r="T184" s="446"/>
      <c r="U184" s="446"/>
      <c r="V184" s="446"/>
      <c r="W184" s="446"/>
      <c r="X184" s="446"/>
      <c r="Y184" s="446"/>
      <c r="Z184" s="446"/>
      <c r="AA184" s="446"/>
      <c r="AB184" s="446"/>
      <c r="AC184" s="446"/>
      <c r="AD184" s="446"/>
      <c r="AE184" s="446"/>
      <c r="AF184" s="446"/>
      <c r="AG184" s="446"/>
      <c r="AH184" s="446"/>
      <c r="AI184" s="446"/>
      <c r="AJ184" s="446"/>
      <c r="AK184" s="446"/>
      <c r="AL184" s="446"/>
      <c r="AM184" s="446"/>
      <c r="AN184" s="446"/>
      <c r="AO184" s="446"/>
      <c r="AP184" s="446"/>
      <c r="AQ184" s="446"/>
      <c r="AR184" s="446"/>
    </row>
    <row r="185">
      <c r="A185" s="502">
        <v>44136.0</v>
      </c>
      <c r="B185" s="439" t="s">
        <v>2163</v>
      </c>
      <c r="C185" s="503" t="s">
        <v>52</v>
      </c>
      <c r="D185" s="437" t="s">
        <v>2164</v>
      </c>
      <c r="E185" s="504" t="s">
        <v>1795</v>
      </c>
      <c r="F185" s="482"/>
      <c r="G185" s="482"/>
      <c r="H185" s="482"/>
      <c r="I185" s="431" t="s">
        <v>2165</v>
      </c>
      <c r="J185" s="505" t="s">
        <v>2166</v>
      </c>
      <c r="K185" s="506" t="s">
        <v>2167</v>
      </c>
      <c r="L185" s="506" t="s">
        <v>2167</v>
      </c>
      <c r="M185" s="506" t="s">
        <v>2168</v>
      </c>
      <c r="N185" s="507">
        <v>464400.0</v>
      </c>
      <c r="O185" s="508">
        <v>43948.0</v>
      </c>
      <c r="P185" s="446"/>
      <c r="Q185" s="446"/>
      <c r="R185" s="446"/>
      <c r="S185" s="446"/>
      <c r="T185" s="446"/>
      <c r="U185" s="446"/>
      <c r="V185" s="446"/>
      <c r="W185" s="446"/>
      <c r="X185" s="446"/>
      <c r="Y185" s="446"/>
      <c r="Z185" s="446"/>
      <c r="AA185" s="446"/>
      <c r="AB185" s="446"/>
      <c r="AC185" s="446"/>
      <c r="AD185" s="446"/>
      <c r="AE185" s="446"/>
      <c r="AF185" s="446"/>
      <c r="AG185" s="446"/>
      <c r="AH185" s="446"/>
      <c r="AI185" s="446"/>
      <c r="AJ185" s="446"/>
      <c r="AK185" s="446"/>
      <c r="AL185" s="446"/>
      <c r="AM185" s="446"/>
      <c r="AN185" s="446"/>
      <c r="AO185" s="446"/>
      <c r="AP185" s="446"/>
      <c r="AQ185" s="446"/>
      <c r="AR185" s="446"/>
    </row>
    <row r="186">
      <c r="A186" s="509">
        <v>44162.0</v>
      </c>
      <c r="B186" s="510" t="s">
        <v>2169</v>
      </c>
      <c r="C186" s="511" t="s">
        <v>52</v>
      </c>
      <c r="D186" s="512" t="s">
        <v>2170</v>
      </c>
      <c r="E186" s="513" t="s">
        <v>1795</v>
      </c>
      <c r="F186" s="514"/>
      <c r="G186" s="482"/>
      <c r="H186" s="482"/>
      <c r="I186" s="515" t="s">
        <v>2171</v>
      </c>
      <c r="J186" s="516" t="s">
        <v>2172</v>
      </c>
      <c r="K186" s="517" t="s">
        <v>2173</v>
      </c>
      <c r="L186" s="517" t="s">
        <v>2173</v>
      </c>
      <c r="M186" s="517" t="s">
        <v>2174</v>
      </c>
      <c r="N186" s="481">
        <v>152000.0</v>
      </c>
      <c r="O186" s="518">
        <v>43979.0</v>
      </c>
      <c r="P186" s="443"/>
      <c r="Q186" s="443"/>
      <c r="R186" s="443"/>
      <c r="S186" s="443"/>
      <c r="T186" s="443"/>
      <c r="U186" s="443"/>
      <c r="V186" s="443"/>
      <c r="W186" s="443"/>
      <c r="X186" s="443"/>
      <c r="Y186" s="443"/>
      <c r="Z186" s="443"/>
      <c r="AA186" s="443"/>
      <c r="AB186" s="443"/>
      <c r="AC186" s="443"/>
      <c r="AD186" s="443"/>
      <c r="AE186" s="443"/>
      <c r="AF186" s="443"/>
      <c r="AG186" s="443"/>
      <c r="AH186" s="443"/>
      <c r="AI186" s="443"/>
      <c r="AJ186" s="443"/>
      <c r="AK186" s="443"/>
      <c r="AL186" s="443"/>
      <c r="AM186" s="443"/>
      <c r="AN186" s="443"/>
      <c r="AO186" s="443"/>
      <c r="AP186" s="443"/>
      <c r="AQ186" s="443"/>
      <c r="AR186" s="443"/>
    </row>
    <row r="187">
      <c r="A187" s="495">
        <v>44167.0</v>
      </c>
      <c r="B187" s="519" t="s">
        <v>2175</v>
      </c>
      <c r="C187" s="520" t="s">
        <v>38</v>
      </c>
      <c r="D187" s="452" t="s">
        <v>2176</v>
      </c>
      <c r="E187" s="498" t="s">
        <v>1767</v>
      </c>
      <c r="F187" s="482"/>
      <c r="G187" s="482"/>
      <c r="H187" s="482"/>
      <c r="I187" s="453" t="s">
        <v>2177</v>
      </c>
      <c r="J187" s="499" t="s">
        <v>2178</v>
      </c>
      <c r="K187" s="331" t="s">
        <v>2179</v>
      </c>
      <c r="L187" s="331" t="s">
        <v>2180</v>
      </c>
      <c r="M187" s="331" t="s">
        <v>2181</v>
      </c>
      <c r="N187" s="462">
        <v>250000.0</v>
      </c>
      <c r="O187" s="500">
        <v>43556.0</v>
      </c>
      <c r="P187" s="147"/>
      <c r="Q187" s="147"/>
      <c r="R187" s="147"/>
      <c r="S187" s="147"/>
      <c r="T187" s="147"/>
      <c r="U187" s="147"/>
      <c r="V187" s="147"/>
      <c r="W187" s="147"/>
      <c r="X187" s="147"/>
      <c r="Y187" s="147"/>
      <c r="Z187" s="147"/>
      <c r="AA187" s="147"/>
      <c r="AB187" s="147"/>
      <c r="AC187" s="147"/>
      <c r="AD187" s="147"/>
      <c r="AE187" s="147"/>
      <c r="AF187" s="147"/>
      <c r="AG187" s="147"/>
      <c r="AH187" s="147"/>
      <c r="AI187" s="147"/>
      <c r="AJ187" s="147"/>
      <c r="AK187" s="147"/>
      <c r="AL187" s="147"/>
      <c r="AM187" s="147"/>
      <c r="AN187" s="147"/>
      <c r="AO187" s="147"/>
      <c r="AP187" s="147"/>
      <c r="AQ187" s="147"/>
      <c r="AR187" s="147"/>
    </row>
    <row r="188">
      <c r="A188" s="95"/>
      <c r="B188" s="95"/>
      <c r="C188" s="95"/>
      <c r="D188" s="95"/>
      <c r="E188" s="95"/>
      <c r="F188" s="385"/>
      <c r="G188" s="385"/>
      <c r="H188" s="385"/>
      <c r="I188" s="95"/>
      <c r="J188" s="95"/>
      <c r="K188" s="95"/>
      <c r="L188" s="95"/>
      <c r="M188" s="95"/>
      <c r="N188" s="462">
        <f>N189-N187</f>
        <v>37127.39</v>
      </c>
      <c r="O188" s="95"/>
      <c r="P188" s="147"/>
      <c r="Q188" s="147"/>
      <c r="R188" s="147"/>
      <c r="S188" s="147"/>
      <c r="T188" s="147"/>
      <c r="U188" s="147"/>
      <c r="V188" s="147"/>
      <c r="W188" s="147"/>
      <c r="X188" s="147"/>
      <c r="Y188" s="147"/>
      <c r="Z188" s="147"/>
      <c r="AA188" s="147"/>
      <c r="AB188" s="147"/>
      <c r="AC188" s="147"/>
      <c r="AD188" s="147"/>
      <c r="AE188" s="147"/>
      <c r="AF188" s="147"/>
      <c r="AG188" s="147"/>
      <c r="AH188" s="147"/>
      <c r="AI188" s="147"/>
      <c r="AJ188" s="147"/>
      <c r="AK188" s="147"/>
      <c r="AL188" s="147"/>
      <c r="AM188" s="147"/>
      <c r="AN188" s="147"/>
      <c r="AO188" s="147"/>
      <c r="AP188" s="147"/>
      <c r="AQ188" s="147"/>
      <c r="AR188" s="147"/>
    </row>
    <row r="189" ht="25.5" customHeight="1">
      <c r="A189" s="79"/>
      <c r="B189" s="79"/>
      <c r="C189" s="79"/>
      <c r="D189" s="79"/>
      <c r="E189" s="79"/>
      <c r="F189" s="348"/>
      <c r="G189" s="348"/>
      <c r="H189" s="348"/>
      <c r="I189" s="79"/>
      <c r="J189" s="79"/>
      <c r="K189" s="79"/>
      <c r="L189" s="79"/>
      <c r="M189" s="79"/>
      <c r="N189" s="340">
        <v>287127.39</v>
      </c>
      <c r="O189" s="79"/>
      <c r="P189" s="147"/>
      <c r="Q189" s="147"/>
      <c r="R189" s="147"/>
      <c r="S189" s="147"/>
      <c r="T189" s="147"/>
      <c r="U189" s="147"/>
      <c r="V189" s="147"/>
      <c r="W189" s="147"/>
      <c r="X189" s="147"/>
      <c r="Y189" s="147"/>
      <c r="Z189" s="147"/>
      <c r="AA189" s="147"/>
      <c r="AB189" s="147"/>
      <c r="AC189" s="147"/>
      <c r="AD189" s="147"/>
      <c r="AE189" s="147"/>
      <c r="AF189" s="147"/>
      <c r="AG189" s="147"/>
      <c r="AH189" s="147"/>
      <c r="AI189" s="147"/>
      <c r="AJ189" s="147"/>
      <c r="AK189" s="147"/>
      <c r="AL189" s="147"/>
      <c r="AM189" s="147"/>
      <c r="AN189" s="147"/>
      <c r="AO189" s="147"/>
      <c r="AP189" s="147"/>
      <c r="AQ189" s="147"/>
      <c r="AR189" s="147"/>
    </row>
    <row r="190">
      <c r="A190" s="495">
        <v>44180.0</v>
      </c>
      <c r="B190" s="519" t="s">
        <v>2182</v>
      </c>
      <c r="C190" s="520" t="s">
        <v>23</v>
      </c>
      <c r="D190" s="452" t="s">
        <v>2183</v>
      </c>
      <c r="E190" s="498" t="s">
        <v>1767</v>
      </c>
      <c r="F190" s="348"/>
      <c r="G190" s="348"/>
      <c r="H190" s="348"/>
      <c r="I190" s="453" t="s">
        <v>2184</v>
      </c>
      <c r="J190" s="499" t="s">
        <v>2185</v>
      </c>
      <c r="K190" s="331" t="s">
        <v>2186</v>
      </c>
      <c r="L190" s="331" t="s">
        <v>2187</v>
      </c>
      <c r="M190" s="331" t="s">
        <v>2188</v>
      </c>
      <c r="N190" s="462">
        <v>447098.56</v>
      </c>
      <c r="O190" s="500">
        <v>43677.0</v>
      </c>
      <c r="P190" s="446"/>
      <c r="Q190" s="446"/>
      <c r="R190" s="446"/>
      <c r="S190" s="446"/>
      <c r="T190" s="446"/>
      <c r="U190" s="446"/>
      <c r="V190" s="446"/>
      <c r="W190" s="446"/>
      <c r="X190" s="446"/>
      <c r="Y190" s="446"/>
      <c r="Z190" s="446"/>
      <c r="AA190" s="446"/>
      <c r="AB190" s="446"/>
      <c r="AC190" s="446"/>
      <c r="AD190" s="446"/>
      <c r="AE190" s="446"/>
      <c r="AF190" s="446"/>
      <c r="AG190" s="446"/>
      <c r="AH190" s="446"/>
      <c r="AI190" s="446"/>
      <c r="AJ190" s="446"/>
      <c r="AK190" s="446"/>
      <c r="AL190" s="446"/>
      <c r="AM190" s="446"/>
      <c r="AN190" s="446"/>
      <c r="AO190" s="446"/>
      <c r="AP190" s="446"/>
      <c r="AQ190" s="446"/>
      <c r="AR190" s="446"/>
    </row>
    <row r="191">
      <c r="A191" s="95"/>
      <c r="B191" s="95"/>
      <c r="C191" s="95"/>
      <c r="D191" s="95"/>
      <c r="E191" s="95"/>
      <c r="F191" s="410"/>
      <c r="G191" s="410"/>
      <c r="H191" s="410"/>
      <c r="I191" s="95"/>
      <c r="J191" s="95"/>
      <c r="K191" s="95"/>
      <c r="L191" s="95"/>
      <c r="M191" s="95"/>
      <c r="N191" s="462">
        <v>8837.76</v>
      </c>
      <c r="O191" s="95"/>
      <c r="P191" s="446"/>
      <c r="Q191" s="446"/>
      <c r="R191" s="446"/>
      <c r="S191" s="446"/>
      <c r="T191" s="446"/>
      <c r="U191" s="446"/>
      <c r="V191" s="446"/>
      <c r="W191" s="446"/>
      <c r="X191" s="446"/>
      <c r="Y191" s="446"/>
      <c r="Z191" s="446"/>
      <c r="AA191" s="446"/>
      <c r="AB191" s="446"/>
      <c r="AC191" s="446"/>
      <c r="AD191" s="446"/>
      <c r="AE191" s="446"/>
      <c r="AF191" s="446"/>
      <c r="AG191" s="446"/>
      <c r="AH191" s="446"/>
      <c r="AI191" s="446"/>
      <c r="AJ191" s="446"/>
      <c r="AK191" s="446"/>
      <c r="AL191" s="446"/>
      <c r="AM191" s="446"/>
      <c r="AN191" s="446"/>
      <c r="AO191" s="446"/>
      <c r="AP191" s="446"/>
      <c r="AQ191" s="446"/>
      <c r="AR191" s="446"/>
    </row>
    <row r="192" ht="51.75" customHeight="1">
      <c r="A192" s="79"/>
      <c r="B192" s="79"/>
      <c r="C192" s="79"/>
      <c r="D192" s="79"/>
      <c r="E192" s="79"/>
      <c r="F192" s="482"/>
      <c r="G192" s="482"/>
      <c r="H192" s="482"/>
      <c r="I192" s="79"/>
      <c r="J192" s="79"/>
      <c r="K192" s="79"/>
      <c r="L192" s="79"/>
      <c r="M192" s="79"/>
      <c r="N192" s="340">
        <f>SUM(N190:N191)</f>
        <v>455936.32</v>
      </c>
      <c r="O192" s="79"/>
      <c r="P192" s="446"/>
      <c r="Q192" s="446"/>
      <c r="R192" s="446"/>
      <c r="S192" s="446"/>
      <c r="T192" s="446"/>
      <c r="U192" s="446"/>
      <c r="V192" s="446"/>
      <c r="W192" s="446"/>
      <c r="X192" s="446"/>
      <c r="Y192" s="446"/>
      <c r="Z192" s="446"/>
      <c r="AA192" s="446"/>
      <c r="AB192" s="446"/>
      <c r="AC192" s="446"/>
      <c r="AD192" s="446"/>
      <c r="AE192" s="446"/>
      <c r="AF192" s="446"/>
      <c r="AG192" s="446"/>
      <c r="AH192" s="446"/>
      <c r="AI192" s="446"/>
      <c r="AJ192" s="446"/>
      <c r="AK192" s="446"/>
      <c r="AL192" s="446"/>
      <c r="AM192" s="446"/>
      <c r="AN192" s="446"/>
      <c r="AO192" s="446"/>
      <c r="AP192" s="446"/>
      <c r="AQ192" s="446"/>
      <c r="AR192" s="446"/>
    </row>
    <row r="193">
      <c r="A193" s="521">
        <v>44191.0</v>
      </c>
      <c r="B193" s="496" t="s">
        <v>2189</v>
      </c>
      <c r="C193" s="522" t="s">
        <v>38</v>
      </c>
      <c r="D193" s="452" t="s">
        <v>2190</v>
      </c>
      <c r="E193" s="523" t="s">
        <v>1873</v>
      </c>
      <c r="F193" s="482"/>
      <c r="G193" s="482"/>
      <c r="H193" s="482"/>
      <c r="I193" s="524" t="s">
        <v>2191</v>
      </c>
      <c r="J193" s="525" t="s">
        <v>2192</v>
      </c>
      <c r="K193" s="526" t="s">
        <v>2193</v>
      </c>
      <c r="L193" s="526" t="s">
        <v>2193</v>
      </c>
      <c r="M193" s="526" t="s">
        <v>2194</v>
      </c>
      <c r="N193" s="507">
        <v>180069.12</v>
      </c>
      <c r="O193" s="527">
        <v>43977.0</v>
      </c>
      <c r="P193" s="446"/>
      <c r="Q193" s="446"/>
      <c r="R193" s="446"/>
      <c r="S193" s="446"/>
      <c r="T193" s="446"/>
      <c r="U193" s="446"/>
      <c r="V193" s="446"/>
      <c r="W193" s="446"/>
      <c r="X193" s="446"/>
      <c r="Y193" s="446"/>
      <c r="Z193" s="446"/>
      <c r="AA193" s="446"/>
      <c r="AB193" s="446"/>
      <c r="AC193" s="446"/>
      <c r="AD193" s="446"/>
      <c r="AE193" s="446"/>
      <c r="AF193" s="446"/>
      <c r="AG193" s="446"/>
      <c r="AH193" s="446"/>
      <c r="AI193" s="446"/>
      <c r="AJ193" s="446"/>
      <c r="AK193" s="446"/>
      <c r="AL193" s="446"/>
      <c r="AM193" s="446"/>
      <c r="AN193" s="446"/>
      <c r="AO193" s="446"/>
      <c r="AP193" s="446"/>
      <c r="AQ193" s="446"/>
      <c r="AR193" s="446"/>
    </row>
    <row r="194">
      <c r="A194" s="95"/>
      <c r="B194" s="95"/>
      <c r="C194" s="95"/>
      <c r="D194" s="95"/>
      <c r="E194" s="95"/>
      <c r="F194" s="482"/>
      <c r="G194" s="482"/>
      <c r="H194" s="482"/>
      <c r="I194" s="95"/>
      <c r="J194" s="95"/>
      <c r="K194" s="95"/>
      <c r="L194" s="95"/>
      <c r="M194" s="95"/>
      <c r="N194" s="507">
        <v>270103.69</v>
      </c>
      <c r="O194" s="95"/>
      <c r="P194" s="446"/>
      <c r="Q194" s="446"/>
      <c r="R194" s="446"/>
      <c r="S194" s="446"/>
      <c r="T194" s="446"/>
      <c r="U194" s="446"/>
      <c r="V194" s="446"/>
      <c r="W194" s="446"/>
      <c r="X194" s="446"/>
      <c r="Y194" s="446"/>
      <c r="Z194" s="446"/>
      <c r="AA194" s="446"/>
      <c r="AB194" s="446"/>
      <c r="AC194" s="446"/>
      <c r="AD194" s="446"/>
      <c r="AE194" s="446"/>
      <c r="AF194" s="446"/>
      <c r="AG194" s="446"/>
      <c r="AH194" s="446"/>
      <c r="AI194" s="446"/>
      <c r="AJ194" s="446"/>
      <c r="AK194" s="446"/>
      <c r="AL194" s="446"/>
      <c r="AM194" s="446"/>
      <c r="AN194" s="446"/>
      <c r="AO194" s="446"/>
      <c r="AP194" s="446"/>
      <c r="AQ194" s="446"/>
      <c r="AR194" s="446"/>
    </row>
    <row r="195">
      <c r="A195" s="95"/>
      <c r="B195" s="95"/>
      <c r="C195" s="95"/>
      <c r="D195" s="95"/>
      <c r="E195" s="95"/>
      <c r="F195" s="482"/>
      <c r="G195" s="482"/>
      <c r="H195" s="482"/>
      <c r="I195" s="95"/>
      <c r="J195" s="95"/>
      <c r="K195" s="95"/>
      <c r="L195" s="95"/>
      <c r="M195" s="95"/>
      <c r="N195" s="507">
        <v>8232.0</v>
      </c>
      <c r="O195" s="95"/>
      <c r="P195" s="446"/>
      <c r="Q195" s="446"/>
      <c r="R195" s="446"/>
      <c r="S195" s="446"/>
      <c r="T195" s="446"/>
      <c r="U195" s="446"/>
      <c r="V195" s="446"/>
      <c r="W195" s="446"/>
      <c r="X195" s="446"/>
      <c r="Y195" s="446"/>
      <c r="Z195" s="446"/>
      <c r="AA195" s="446"/>
      <c r="AB195" s="446"/>
      <c r="AC195" s="446"/>
      <c r="AD195" s="446"/>
      <c r="AE195" s="446"/>
      <c r="AF195" s="446"/>
      <c r="AG195" s="446"/>
      <c r="AH195" s="446"/>
      <c r="AI195" s="446"/>
      <c r="AJ195" s="446"/>
      <c r="AK195" s="446"/>
      <c r="AL195" s="446"/>
      <c r="AM195" s="446"/>
      <c r="AN195" s="446"/>
      <c r="AO195" s="446"/>
      <c r="AP195" s="446"/>
      <c r="AQ195" s="446"/>
      <c r="AR195" s="446"/>
    </row>
    <row r="196">
      <c r="A196" s="79"/>
      <c r="B196" s="79"/>
      <c r="C196" s="79"/>
      <c r="D196" s="79"/>
      <c r="E196" s="79"/>
      <c r="F196" s="482"/>
      <c r="G196" s="482"/>
      <c r="H196" s="482"/>
      <c r="I196" s="79"/>
      <c r="J196" s="79"/>
      <c r="K196" s="79"/>
      <c r="L196" s="79"/>
      <c r="M196" s="79"/>
      <c r="N196" s="340">
        <f>SUM(N193:N195)</f>
        <v>458404.81</v>
      </c>
      <c r="O196" s="79"/>
      <c r="P196" s="446"/>
      <c r="Q196" s="446"/>
      <c r="R196" s="446"/>
      <c r="S196" s="446"/>
      <c r="T196" s="446"/>
      <c r="U196" s="446"/>
      <c r="V196" s="446"/>
      <c r="W196" s="446"/>
      <c r="X196" s="446"/>
      <c r="Y196" s="446"/>
      <c r="Z196" s="446"/>
      <c r="AA196" s="446"/>
      <c r="AB196" s="446"/>
      <c r="AC196" s="446"/>
      <c r="AD196" s="446"/>
      <c r="AE196" s="446"/>
      <c r="AF196" s="446"/>
      <c r="AG196" s="446"/>
      <c r="AH196" s="446"/>
      <c r="AI196" s="446"/>
      <c r="AJ196" s="446"/>
      <c r="AK196" s="446"/>
      <c r="AL196" s="446"/>
      <c r="AM196" s="446"/>
      <c r="AN196" s="446"/>
      <c r="AO196" s="446"/>
      <c r="AP196" s="446"/>
      <c r="AQ196" s="446"/>
      <c r="AR196" s="446"/>
    </row>
    <row r="197">
      <c r="A197" s="495">
        <v>44376.0</v>
      </c>
      <c r="B197" s="496" t="s">
        <v>2195</v>
      </c>
      <c r="C197" s="497" t="s">
        <v>52</v>
      </c>
      <c r="D197" s="452" t="s">
        <v>2196</v>
      </c>
      <c r="E197" s="498" t="s">
        <v>1873</v>
      </c>
      <c r="F197" s="482"/>
      <c r="G197" s="482"/>
      <c r="H197" s="482"/>
      <c r="I197" s="453" t="s">
        <v>2197</v>
      </c>
      <c r="J197" s="499" t="s">
        <v>2198</v>
      </c>
      <c r="K197" s="331" t="s">
        <v>2199</v>
      </c>
      <c r="L197" s="331" t="s">
        <v>2199</v>
      </c>
      <c r="M197" s="331" t="s">
        <v>2200</v>
      </c>
      <c r="N197" s="481">
        <v>280000.0</v>
      </c>
      <c r="O197" s="528">
        <v>44011.0</v>
      </c>
      <c r="P197" s="446"/>
      <c r="Q197" s="446"/>
      <c r="R197" s="446"/>
      <c r="S197" s="446"/>
      <c r="T197" s="446"/>
      <c r="U197" s="446"/>
      <c r="V197" s="446"/>
      <c r="W197" s="446"/>
      <c r="X197" s="446"/>
      <c r="Y197" s="446"/>
      <c r="Z197" s="446"/>
      <c r="AA197" s="446"/>
      <c r="AB197" s="446"/>
      <c r="AC197" s="446"/>
      <c r="AD197" s="446"/>
      <c r="AE197" s="446"/>
      <c r="AF197" s="446"/>
      <c r="AG197" s="446"/>
      <c r="AH197" s="446"/>
      <c r="AI197" s="446"/>
      <c r="AJ197" s="446"/>
      <c r="AK197" s="446"/>
      <c r="AL197" s="446"/>
      <c r="AM197" s="446"/>
      <c r="AN197" s="446"/>
      <c r="AO197" s="446"/>
      <c r="AP197" s="446"/>
      <c r="AQ197" s="446"/>
      <c r="AR197" s="446"/>
    </row>
    <row r="198">
      <c r="A198" s="95"/>
      <c r="B198" s="95"/>
      <c r="C198" s="95"/>
      <c r="D198" s="95"/>
      <c r="E198" s="95"/>
      <c r="F198" s="482"/>
      <c r="G198" s="482"/>
      <c r="H198" s="482"/>
      <c r="I198" s="95"/>
      <c r="J198" s="95"/>
      <c r="K198" s="95"/>
      <c r="L198" s="95"/>
      <c r="M198" s="95"/>
      <c r="N198" s="481">
        <v>13000.0</v>
      </c>
      <c r="O198" s="528">
        <v>44011.0</v>
      </c>
      <c r="P198" s="446"/>
      <c r="Q198" s="446"/>
      <c r="R198" s="446"/>
      <c r="S198" s="446"/>
      <c r="T198" s="446"/>
      <c r="U198" s="446"/>
      <c r="V198" s="446"/>
      <c r="W198" s="446"/>
      <c r="X198" s="446"/>
      <c r="Y198" s="446"/>
      <c r="Z198" s="446"/>
      <c r="AA198" s="446"/>
      <c r="AB198" s="446"/>
      <c r="AC198" s="446"/>
      <c r="AD198" s="446"/>
      <c r="AE198" s="446"/>
      <c r="AF198" s="446"/>
      <c r="AG198" s="446"/>
      <c r="AH198" s="446"/>
      <c r="AI198" s="446"/>
      <c r="AJ198" s="446"/>
      <c r="AK198" s="446"/>
      <c r="AL198" s="446"/>
      <c r="AM198" s="446"/>
      <c r="AN198" s="446"/>
      <c r="AO198" s="446"/>
      <c r="AP198" s="446"/>
      <c r="AQ198" s="446"/>
      <c r="AR198" s="446"/>
    </row>
    <row r="199" ht="18.75" customHeight="1">
      <c r="A199" s="79"/>
      <c r="B199" s="79"/>
      <c r="C199" s="79"/>
      <c r="D199" s="79"/>
      <c r="E199" s="79"/>
      <c r="F199" s="482"/>
      <c r="G199" s="482"/>
      <c r="H199" s="482"/>
      <c r="I199" s="79"/>
      <c r="J199" s="79"/>
      <c r="K199" s="79"/>
      <c r="L199" s="79"/>
      <c r="M199" s="79"/>
      <c r="N199" s="501">
        <f>SUM(N197:N198)</f>
        <v>293000</v>
      </c>
      <c r="O199" s="529"/>
      <c r="P199" s="446"/>
      <c r="Q199" s="446"/>
      <c r="R199" s="446"/>
      <c r="S199" s="446"/>
      <c r="T199" s="446"/>
      <c r="U199" s="446"/>
      <c r="V199" s="446"/>
      <c r="W199" s="446"/>
      <c r="X199" s="446"/>
      <c r="Y199" s="446"/>
      <c r="Z199" s="446"/>
      <c r="AA199" s="446"/>
      <c r="AB199" s="446"/>
      <c r="AC199" s="446"/>
      <c r="AD199" s="446"/>
      <c r="AE199" s="446"/>
      <c r="AF199" s="446"/>
      <c r="AG199" s="446"/>
      <c r="AH199" s="446"/>
      <c r="AI199" s="446"/>
      <c r="AJ199" s="446"/>
      <c r="AK199" s="446"/>
      <c r="AL199" s="446"/>
      <c r="AM199" s="446"/>
      <c r="AN199" s="446"/>
      <c r="AO199" s="446"/>
      <c r="AP199" s="446"/>
      <c r="AQ199" s="446"/>
      <c r="AR199" s="446"/>
    </row>
    <row r="200">
      <c r="A200" s="438">
        <v>44196.0</v>
      </c>
      <c r="B200" s="439" t="s">
        <v>2201</v>
      </c>
      <c r="C200" s="440" t="s">
        <v>52</v>
      </c>
      <c r="D200" s="437" t="s">
        <v>2202</v>
      </c>
      <c r="E200" s="352" t="s">
        <v>2203</v>
      </c>
      <c r="F200" s="348"/>
      <c r="G200" s="348"/>
      <c r="H200" s="348"/>
      <c r="I200" s="421" t="s">
        <v>2204</v>
      </c>
      <c r="J200" s="442" t="s">
        <v>2205</v>
      </c>
      <c r="K200" s="352" t="s">
        <v>2206</v>
      </c>
      <c r="L200" s="352" t="s">
        <v>2206</v>
      </c>
      <c r="M200" s="352" t="s">
        <v>2181</v>
      </c>
      <c r="N200" s="481">
        <v>62200.0</v>
      </c>
      <c r="O200" s="463">
        <v>43564.0</v>
      </c>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7"/>
      <c r="AQ200" s="147"/>
      <c r="AR200" s="147"/>
    </row>
    <row r="201">
      <c r="A201" s="495">
        <v>44196.0</v>
      </c>
      <c r="B201" s="496" t="s">
        <v>2207</v>
      </c>
      <c r="C201" s="497" t="s">
        <v>52</v>
      </c>
      <c r="D201" s="452" t="s">
        <v>2208</v>
      </c>
      <c r="E201" s="352" t="s">
        <v>2209</v>
      </c>
      <c r="F201" s="368"/>
      <c r="G201" s="368"/>
      <c r="H201" s="368"/>
      <c r="I201" s="453" t="s">
        <v>2210</v>
      </c>
      <c r="J201" s="499" t="s">
        <v>2211</v>
      </c>
      <c r="K201" s="331" t="s">
        <v>1396</v>
      </c>
      <c r="L201" s="331" t="s">
        <v>1396</v>
      </c>
      <c r="M201" s="331" t="s">
        <v>2212</v>
      </c>
      <c r="N201" s="481">
        <v>157500.0</v>
      </c>
      <c r="O201" s="530"/>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c r="AN201" s="147"/>
      <c r="AO201" s="147"/>
      <c r="AP201" s="147"/>
      <c r="AQ201" s="147"/>
      <c r="AR201" s="147"/>
    </row>
    <row r="202">
      <c r="A202" s="95"/>
      <c r="B202" s="95"/>
      <c r="C202" s="95"/>
      <c r="D202" s="95"/>
      <c r="E202" s="352" t="s">
        <v>2213</v>
      </c>
      <c r="F202" s="385"/>
      <c r="G202" s="385"/>
      <c r="H202" s="385"/>
      <c r="I202" s="95"/>
      <c r="J202" s="95"/>
      <c r="K202" s="95"/>
      <c r="L202" s="95"/>
      <c r="M202" s="95"/>
      <c r="N202" s="481">
        <v>157500.0</v>
      </c>
      <c r="O202" s="95"/>
      <c r="P202" s="147"/>
      <c r="Q202" s="147"/>
      <c r="R202" s="147"/>
      <c r="S202" s="147"/>
      <c r="T202" s="147"/>
      <c r="U202" s="147"/>
      <c r="V202" s="147"/>
      <c r="W202" s="147"/>
      <c r="X202" s="147"/>
      <c r="Y202" s="147"/>
      <c r="Z202" s="147"/>
      <c r="AA202" s="147"/>
      <c r="AB202" s="147"/>
      <c r="AC202" s="147"/>
      <c r="AD202" s="147"/>
      <c r="AE202" s="147"/>
      <c r="AF202" s="147"/>
      <c r="AG202" s="147"/>
      <c r="AH202" s="147"/>
      <c r="AI202" s="147"/>
      <c r="AJ202" s="147"/>
      <c r="AK202" s="147"/>
      <c r="AL202" s="147"/>
      <c r="AM202" s="147"/>
      <c r="AN202" s="147"/>
      <c r="AO202" s="147"/>
      <c r="AP202" s="147"/>
      <c r="AQ202" s="147"/>
      <c r="AR202" s="147"/>
    </row>
    <row r="203" ht="44.25" customHeight="1">
      <c r="A203" s="79"/>
      <c r="B203" s="79"/>
      <c r="C203" s="79"/>
      <c r="D203" s="79"/>
      <c r="E203" s="441" t="s">
        <v>1873</v>
      </c>
      <c r="F203" s="385"/>
      <c r="G203" s="385"/>
      <c r="H203" s="385"/>
      <c r="I203" s="79"/>
      <c r="J203" s="79"/>
      <c r="K203" s="79"/>
      <c r="L203" s="79"/>
      <c r="M203" s="79"/>
      <c r="N203" s="501">
        <f>SUM(N201:N202)</f>
        <v>315000</v>
      </c>
      <c r="O203" s="79"/>
      <c r="P203" s="147"/>
      <c r="Q203" s="147"/>
      <c r="R203" s="147"/>
      <c r="S203" s="147"/>
      <c r="T203" s="147"/>
      <c r="U203" s="147"/>
      <c r="V203" s="147"/>
      <c r="W203" s="147"/>
      <c r="X203" s="147"/>
      <c r="Y203" s="147"/>
      <c r="Z203" s="147"/>
      <c r="AA203" s="147"/>
      <c r="AB203" s="147"/>
      <c r="AC203" s="147"/>
      <c r="AD203" s="147"/>
      <c r="AE203" s="147"/>
      <c r="AF203" s="147"/>
      <c r="AG203" s="147"/>
      <c r="AH203" s="147"/>
      <c r="AI203" s="147"/>
      <c r="AJ203" s="147"/>
      <c r="AK203" s="147"/>
      <c r="AL203" s="147"/>
      <c r="AM203" s="147"/>
      <c r="AN203" s="147"/>
      <c r="AO203" s="147"/>
      <c r="AP203" s="147"/>
      <c r="AQ203" s="147"/>
      <c r="AR203" s="147"/>
    </row>
    <row r="204">
      <c r="A204" s="438">
        <v>44196.0</v>
      </c>
      <c r="B204" s="439" t="s">
        <v>325</v>
      </c>
      <c r="C204" s="440" t="s">
        <v>2214</v>
      </c>
      <c r="D204" s="419" t="s">
        <v>2215</v>
      </c>
      <c r="E204" s="441" t="s">
        <v>2118</v>
      </c>
      <c r="F204" s="385"/>
      <c r="G204" s="385"/>
      <c r="H204" s="385"/>
      <c r="I204" s="421" t="s">
        <v>2216</v>
      </c>
      <c r="J204" s="442" t="s">
        <v>2217</v>
      </c>
      <c r="K204" s="352" t="s">
        <v>2218</v>
      </c>
      <c r="L204" s="352" t="s">
        <v>2218</v>
      </c>
      <c r="M204" s="352" t="s">
        <v>325</v>
      </c>
      <c r="N204" s="462">
        <v>5000.0</v>
      </c>
      <c r="O204" s="463" t="s">
        <v>325</v>
      </c>
      <c r="P204" s="147"/>
      <c r="Q204" s="147"/>
      <c r="R204" s="147"/>
      <c r="S204" s="147"/>
      <c r="T204" s="147"/>
      <c r="U204" s="147"/>
      <c r="V204" s="147"/>
      <c r="W204" s="147"/>
      <c r="X204" s="147"/>
      <c r="Y204" s="147"/>
      <c r="Z204" s="147"/>
      <c r="AA204" s="147"/>
      <c r="AB204" s="147"/>
      <c r="AC204" s="147"/>
      <c r="AD204" s="147"/>
      <c r="AE204" s="147"/>
      <c r="AF204" s="147"/>
      <c r="AG204" s="147"/>
      <c r="AH204" s="147"/>
      <c r="AI204" s="147"/>
      <c r="AJ204" s="147"/>
      <c r="AK204" s="147"/>
      <c r="AL204" s="147"/>
      <c r="AM204" s="147"/>
      <c r="AN204" s="147"/>
      <c r="AO204" s="147"/>
      <c r="AP204" s="147"/>
      <c r="AQ204" s="147"/>
      <c r="AR204" s="147"/>
    </row>
    <row r="205">
      <c r="A205" s="438">
        <v>44196.0</v>
      </c>
      <c r="B205" s="439" t="s">
        <v>325</v>
      </c>
      <c r="C205" s="440" t="s">
        <v>2214</v>
      </c>
      <c r="D205" s="445" t="s">
        <v>1741</v>
      </c>
      <c r="E205" s="441" t="s">
        <v>2118</v>
      </c>
      <c r="F205" s="531"/>
      <c r="G205" s="531"/>
      <c r="H205" s="532"/>
      <c r="I205" s="421" t="s">
        <v>2219</v>
      </c>
      <c r="J205" s="442" t="s">
        <v>2220</v>
      </c>
      <c r="K205" s="352" t="s">
        <v>1744</v>
      </c>
      <c r="L205" s="352" t="s">
        <v>2221</v>
      </c>
      <c r="M205" s="352" t="s">
        <v>325</v>
      </c>
      <c r="N205" s="462">
        <v>6000.0</v>
      </c>
      <c r="O205" s="463" t="s">
        <v>325</v>
      </c>
      <c r="P205" s="147"/>
      <c r="Q205" s="147"/>
      <c r="R205" s="147"/>
      <c r="S205" s="147"/>
      <c r="T205" s="147"/>
      <c r="U205" s="147"/>
      <c r="V205" s="147"/>
      <c r="W205" s="147"/>
      <c r="X205" s="147"/>
      <c r="Y205" s="147"/>
      <c r="Z205" s="147"/>
      <c r="AA205" s="147"/>
      <c r="AB205" s="147"/>
      <c r="AC205" s="147"/>
      <c r="AD205" s="147"/>
      <c r="AE205" s="147"/>
      <c r="AF205" s="147"/>
      <c r="AG205" s="147"/>
      <c r="AH205" s="147"/>
      <c r="AI205" s="147"/>
      <c r="AJ205" s="147"/>
      <c r="AK205" s="147"/>
      <c r="AL205" s="147"/>
      <c r="AM205" s="147"/>
      <c r="AN205" s="147"/>
      <c r="AO205" s="147"/>
      <c r="AP205" s="147"/>
      <c r="AQ205" s="147"/>
      <c r="AR205" s="147"/>
    </row>
    <row r="206">
      <c r="A206" s="502">
        <v>44198.0</v>
      </c>
      <c r="B206" s="439" t="s">
        <v>2222</v>
      </c>
      <c r="C206" s="503" t="s">
        <v>137</v>
      </c>
      <c r="D206" s="437" t="s">
        <v>2223</v>
      </c>
      <c r="E206" s="504" t="s">
        <v>1789</v>
      </c>
      <c r="F206" s="533"/>
      <c r="G206" s="533"/>
      <c r="H206" s="533"/>
      <c r="I206" s="431" t="s">
        <v>2224</v>
      </c>
      <c r="J206" s="505" t="s">
        <v>2225</v>
      </c>
      <c r="K206" s="506" t="s">
        <v>2226</v>
      </c>
      <c r="L206" s="506" t="s">
        <v>2227</v>
      </c>
      <c r="M206" s="506" t="s">
        <v>2228</v>
      </c>
      <c r="N206" s="507">
        <v>155250.0</v>
      </c>
      <c r="O206" s="355" t="s">
        <v>325</v>
      </c>
      <c r="P206" s="147"/>
      <c r="Q206" s="147"/>
      <c r="R206" s="147"/>
      <c r="S206" s="147"/>
      <c r="T206" s="147"/>
      <c r="U206" s="147"/>
      <c r="V206" s="147"/>
      <c r="W206" s="147"/>
      <c r="X206" s="147"/>
      <c r="Y206" s="147"/>
      <c r="Z206" s="147"/>
      <c r="AA206" s="147"/>
      <c r="AB206" s="147"/>
      <c r="AC206" s="147"/>
      <c r="AD206" s="147"/>
      <c r="AE206" s="147"/>
      <c r="AF206" s="147"/>
      <c r="AG206" s="147"/>
      <c r="AH206" s="147"/>
      <c r="AI206" s="147"/>
      <c r="AJ206" s="147"/>
      <c r="AK206" s="147"/>
      <c r="AL206" s="147"/>
      <c r="AM206" s="147"/>
      <c r="AN206" s="147"/>
      <c r="AO206" s="147"/>
      <c r="AP206" s="147"/>
      <c r="AQ206" s="147"/>
      <c r="AR206" s="147"/>
    </row>
    <row r="207">
      <c r="A207" s="502">
        <v>44206.0</v>
      </c>
      <c r="B207" s="439" t="s">
        <v>1997</v>
      </c>
      <c r="C207" s="503" t="s">
        <v>38</v>
      </c>
      <c r="D207" s="437" t="s">
        <v>2229</v>
      </c>
      <c r="E207" s="504" t="s">
        <v>125</v>
      </c>
      <c r="F207" s="385"/>
      <c r="G207" s="385"/>
      <c r="H207" s="385"/>
      <c r="I207" s="431" t="s">
        <v>2230</v>
      </c>
      <c r="J207" s="505" t="s">
        <v>2231</v>
      </c>
      <c r="K207" s="506" t="s">
        <v>2232</v>
      </c>
      <c r="L207" s="506" t="s">
        <v>2232</v>
      </c>
      <c r="M207" s="506" t="s">
        <v>2233</v>
      </c>
      <c r="N207" s="507">
        <v>3509.63</v>
      </c>
      <c r="O207" s="355" t="s">
        <v>325</v>
      </c>
      <c r="P207" s="147"/>
      <c r="Q207" s="147"/>
      <c r="R207" s="147"/>
      <c r="S207" s="147"/>
      <c r="T207" s="147"/>
      <c r="U207" s="147"/>
      <c r="V207" s="147"/>
      <c r="W207" s="147"/>
      <c r="X207" s="147"/>
      <c r="Y207" s="147"/>
      <c r="Z207" s="147"/>
      <c r="AA207" s="147"/>
      <c r="AB207" s="147"/>
      <c r="AC207" s="147"/>
      <c r="AD207" s="147"/>
      <c r="AE207" s="147"/>
      <c r="AF207" s="147"/>
      <c r="AG207" s="147"/>
      <c r="AH207" s="147"/>
      <c r="AI207" s="147"/>
      <c r="AJ207" s="147"/>
      <c r="AK207" s="147"/>
      <c r="AL207" s="147"/>
      <c r="AM207" s="147"/>
      <c r="AN207" s="147"/>
      <c r="AO207" s="147"/>
      <c r="AP207" s="147"/>
      <c r="AQ207" s="147"/>
      <c r="AR207" s="147"/>
    </row>
    <row r="208">
      <c r="A208" s="495">
        <v>44208.0</v>
      </c>
      <c r="B208" s="496" t="s">
        <v>2234</v>
      </c>
      <c r="C208" s="497" t="s">
        <v>23</v>
      </c>
      <c r="D208" s="452" t="s">
        <v>2235</v>
      </c>
      <c r="E208" s="498" t="s">
        <v>2236</v>
      </c>
      <c r="F208" s="385"/>
      <c r="G208" s="385"/>
      <c r="H208" s="385"/>
      <c r="I208" s="453" t="s">
        <v>2237</v>
      </c>
      <c r="J208" s="499" t="s">
        <v>2238</v>
      </c>
      <c r="K208" s="331" t="s">
        <v>2239</v>
      </c>
      <c r="L208" s="331" t="s">
        <v>2240</v>
      </c>
      <c r="M208" s="331" t="s">
        <v>2241</v>
      </c>
      <c r="N208" s="481">
        <v>250000.0</v>
      </c>
      <c r="O208" s="500">
        <v>44048.0</v>
      </c>
      <c r="P208" s="443"/>
      <c r="Q208" s="443"/>
      <c r="R208" s="443"/>
      <c r="S208" s="443"/>
      <c r="T208" s="443"/>
      <c r="U208" s="443"/>
      <c r="V208" s="443"/>
      <c r="W208" s="443"/>
      <c r="X208" s="443"/>
      <c r="Y208" s="443"/>
      <c r="Z208" s="443"/>
      <c r="AA208" s="443"/>
      <c r="AB208" s="443"/>
      <c r="AC208" s="443"/>
      <c r="AD208" s="443"/>
      <c r="AE208" s="443"/>
      <c r="AF208" s="443"/>
      <c r="AG208" s="443"/>
      <c r="AH208" s="443"/>
      <c r="AI208" s="443"/>
      <c r="AJ208" s="443"/>
      <c r="AK208" s="443"/>
      <c r="AL208" s="443"/>
      <c r="AM208" s="443"/>
      <c r="AN208" s="443"/>
      <c r="AO208" s="443"/>
      <c r="AP208" s="443"/>
      <c r="AQ208" s="443"/>
      <c r="AR208" s="443"/>
    </row>
    <row r="209">
      <c r="A209" s="95"/>
      <c r="B209" s="95"/>
      <c r="C209" s="95"/>
      <c r="D209" s="95"/>
      <c r="E209" s="95"/>
      <c r="F209" s="531"/>
      <c r="G209" s="531"/>
      <c r="H209" s="532"/>
      <c r="I209" s="95"/>
      <c r="J209" s="95"/>
      <c r="K209" s="95"/>
      <c r="L209" s="95"/>
      <c r="M209" s="95"/>
      <c r="N209" s="481">
        <v>3966.65</v>
      </c>
      <c r="O209" s="95"/>
      <c r="P209" s="443"/>
      <c r="Q209" s="443"/>
      <c r="R209" s="443"/>
      <c r="S209" s="443"/>
      <c r="T209" s="443"/>
      <c r="U209" s="443"/>
      <c r="V209" s="443"/>
      <c r="W209" s="443"/>
      <c r="X209" s="443"/>
      <c r="Y209" s="443"/>
      <c r="Z209" s="443"/>
      <c r="AA209" s="443"/>
      <c r="AB209" s="443"/>
      <c r="AC209" s="443"/>
      <c r="AD209" s="443"/>
      <c r="AE209" s="443"/>
      <c r="AF209" s="443"/>
      <c r="AG209" s="443"/>
      <c r="AH209" s="443"/>
      <c r="AI209" s="443"/>
      <c r="AJ209" s="443"/>
      <c r="AK209" s="443"/>
      <c r="AL209" s="443"/>
      <c r="AM209" s="443"/>
      <c r="AN209" s="443"/>
      <c r="AO209" s="443"/>
      <c r="AP209" s="443"/>
      <c r="AQ209" s="443"/>
      <c r="AR209" s="443"/>
    </row>
    <row r="210" ht="54.75" customHeight="1">
      <c r="A210" s="79"/>
      <c r="B210" s="79"/>
      <c r="C210" s="79"/>
      <c r="D210" s="79"/>
      <c r="E210" s="79"/>
      <c r="F210" s="368"/>
      <c r="G210" s="368"/>
      <c r="H210" s="368"/>
      <c r="I210" s="79"/>
      <c r="J210" s="79"/>
      <c r="K210" s="79"/>
      <c r="L210" s="79"/>
      <c r="M210" s="79"/>
      <c r="N210" s="501">
        <v>253966.65</v>
      </c>
      <c r="O210" s="79"/>
      <c r="P210" s="443"/>
      <c r="Q210" s="443"/>
      <c r="R210" s="443"/>
      <c r="S210" s="443"/>
      <c r="T210" s="443"/>
      <c r="U210" s="443"/>
      <c r="V210" s="443"/>
      <c r="W210" s="443"/>
      <c r="X210" s="443"/>
      <c r="Y210" s="443"/>
      <c r="Z210" s="443"/>
      <c r="AA210" s="443"/>
      <c r="AB210" s="443"/>
      <c r="AC210" s="443"/>
      <c r="AD210" s="443"/>
      <c r="AE210" s="443"/>
      <c r="AF210" s="443"/>
      <c r="AG210" s="443"/>
      <c r="AH210" s="443"/>
      <c r="AI210" s="443"/>
      <c r="AJ210" s="443"/>
      <c r="AK210" s="443"/>
      <c r="AL210" s="443"/>
      <c r="AM210" s="443"/>
      <c r="AN210" s="443"/>
      <c r="AO210" s="443"/>
      <c r="AP210" s="443"/>
      <c r="AQ210" s="443"/>
      <c r="AR210" s="443"/>
    </row>
    <row r="211">
      <c r="A211" s="521">
        <v>44211.0</v>
      </c>
      <c r="B211" s="496" t="s">
        <v>2242</v>
      </c>
      <c r="C211" s="522" t="s">
        <v>23</v>
      </c>
      <c r="D211" s="452" t="s">
        <v>2243</v>
      </c>
      <c r="E211" s="504" t="s">
        <v>2096</v>
      </c>
      <c r="F211" s="534"/>
      <c r="G211" s="534"/>
      <c r="H211" s="534"/>
      <c r="I211" s="524" t="s">
        <v>2244</v>
      </c>
      <c r="J211" s="525" t="s">
        <v>2245</v>
      </c>
      <c r="K211" s="526" t="s">
        <v>2246</v>
      </c>
      <c r="L211" s="526" t="s">
        <v>2247</v>
      </c>
      <c r="M211" s="526" t="s">
        <v>2248</v>
      </c>
      <c r="N211" s="507">
        <v>113957.4</v>
      </c>
      <c r="O211" s="527">
        <v>43480.0</v>
      </c>
      <c r="P211" s="147"/>
      <c r="Q211" s="147"/>
      <c r="R211" s="147"/>
      <c r="S211" s="147"/>
      <c r="T211" s="147"/>
      <c r="U211" s="147"/>
      <c r="V211" s="147"/>
      <c r="W211" s="147"/>
      <c r="X211" s="147"/>
      <c r="Y211" s="147"/>
      <c r="Z211" s="147"/>
      <c r="AA211" s="147"/>
      <c r="AB211" s="147"/>
      <c r="AC211" s="147"/>
      <c r="AD211" s="147"/>
      <c r="AE211" s="147"/>
      <c r="AF211" s="147"/>
      <c r="AG211" s="147"/>
      <c r="AH211" s="147"/>
      <c r="AI211" s="147"/>
      <c r="AJ211" s="147"/>
      <c r="AK211" s="147"/>
      <c r="AL211" s="147"/>
      <c r="AM211" s="147"/>
      <c r="AN211" s="147"/>
      <c r="AO211" s="147"/>
      <c r="AP211" s="147"/>
      <c r="AQ211" s="147"/>
      <c r="AR211" s="147"/>
    </row>
    <row r="212">
      <c r="A212" s="95"/>
      <c r="B212" s="95"/>
      <c r="C212" s="95"/>
      <c r="D212" s="95"/>
      <c r="E212" s="504" t="s">
        <v>2102</v>
      </c>
      <c r="F212" s="368"/>
      <c r="G212" s="368"/>
      <c r="H212" s="368"/>
      <c r="I212" s="95"/>
      <c r="J212" s="95"/>
      <c r="K212" s="95"/>
      <c r="L212" s="95"/>
      <c r="M212" s="95"/>
      <c r="N212" s="507">
        <v>123453.84</v>
      </c>
      <c r="O212" s="95"/>
      <c r="P212" s="147"/>
      <c r="Q212" s="147"/>
      <c r="R212" s="147"/>
      <c r="S212" s="147"/>
      <c r="T212" s="147"/>
      <c r="U212" s="147"/>
      <c r="V212" s="147"/>
      <c r="W212" s="147"/>
      <c r="X212" s="147"/>
      <c r="Y212" s="147"/>
      <c r="Z212" s="147"/>
      <c r="AA212" s="147"/>
      <c r="AB212" s="147"/>
      <c r="AC212" s="147"/>
      <c r="AD212" s="147"/>
      <c r="AE212" s="147"/>
      <c r="AF212" s="147"/>
      <c r="AG212" s="147"/>
      <c r="AH212" s="147"/>
      <c r="AI212" s="147"/>
      <c r="AJ212" s="147"/>
      <c r="AK212" s="147"/>
      <c r="AL212" s="147"/>
      <c r="AM212" s="147"/>
      <c r="AN212" s="147"/>
      <c r="AO212" s="147"/>
      <c r="AP212" s="147"/>
      <c r="AQ212" s="147"/>
      <c r="AR212" s="147"/>
    </row>
    <row r="213" ht="33.75" customHeight="1">
      <c r="A213" s="79"/>
      <c r="B213" s="79"/>
      <c r="C213" s="79"/>
      <c r="D213" s="79"/>
      <c r="E213" s="504" t="s">
        <v>1873</v>
      </c>
      <c r="F213" s="385"/>
      <c r="G213" s="385"/>
      <c r="H213" s="385"/>
      <c r="I213" s="79"/>
      <c r="J213" s="79"/>
      <c r="K213" s="79"/>
      <c r="L213" s="79"/>
      <c r="M213" s="79"/>
      <c r="N213" s="340">
        <f>SUM(N211,N212)</f>
        <v>237411.24</v>
      </c>
      <c r="O213" s="79"/>
      <c r="P213" s="147"/>
      <c r="Q213" s="147"/>
      <c r="R213" s="147"/>
      <c r="S213" s="147"/>
      <c r="T213" s="147"/>
      <c r="U213" s="147"/>
      <c r="V213" s="147"/>
      <c r="W213" s="147"/>
      <c r="X213" s="147"/>
      <c r="Y213" s="147"/>
      <c r="Z213" s="147"/>
      <c r="AA213" s="147"/>
      <c r="AB213" s="147"/>
      <c r="AC213" s="147"/>
      <c r="AD213" s="147"/>
      <c r="AE213" s="147"/>
      <c r="AF213" s="147"/>
      <c r="AG213" s="147"/>
      <c r="AH213" s="147"/>
      <c r="AI213" s="147"/>
      <c r="AJ213" s="147"/>
      <c r="AK213" s="147"/>
      <c r="AL213" s="147"/>
      <c r="AM213" s="147"/>
      <c r="AN213" s="147"/>
      <c r="AO213" s="147"/>
      <c r="AP213" s="147"/>
      <c r="AQ213" s="147"/>
      <c r="AR213" s="147"/>
    </row>
    <row r="214">
      <c r="A214" s="521">
        <v>44218.0</v>
      </c>
      <c r="B214" s="496" t="s">
        <v>2249</v>
      </c>
      <c r="C214" s="522" t="s">
        <v>52</v>
      </c>
      <c r="D214" s="452" t="s">
        <v>2250</v>
      </c>
      <c r="E214" s="523" t="s">
        <v>1767</v>
      </c>
      <c r="F214" s="368"/>
      <c r="G214" s="368"/>
      <c r="H214" s="368"/>
      <c r="I214" s="524" t="s">
        <v>2251</v>
      </c>
      <c r="J214" s="525" t="s">
        <v>2252</v>
      </c>
      <c r="K214" s="526" t="s">
        <v>2253</v>
      </c>
      <c r="L214" s="526" t="s">
        <v>2253</v>
      </c>
      <c r="M214" s="526" t="s">
        <v>2254</v>
      </c>
      <c r="N214" s="462">
        <v>288057.49</v>
      </c>
      <c r="O214" s="527">
        <v>44151.0</v>
      </c>
      <c r="P214" s="147"/>
      <c r="Q214" s="147"/>
      <c r="R214" s="147"/>
      <c r="S214" s="147"/>
      <c r="T214" s="147"/>
      <c r="U214" s="147"/>
      <c r="V214" s="147"/>
      <c r="W214" s="147"/>
      <c r="X214" s="147"/>
      <c r="Y214" s="147"/>
      <c r="Z214" s="147"/>
      <c r="AA214" s="147"/>
      <c r="AB214" s="147"/>
      <c r="AC214" s="147"/>
      <c r="AD214" s="147"/>
      <c r="AE214" s="147"/>
      <c r="AF214" s="147"/>
      <c r="AG214" s="147"/>
      <c r="AH214" s="147"/>
      <c r="AI214" s="147"/>
      <c r="AJ214" s="147"/>
      <c r="AK214" s="147"/>
      <c r="AL214" s="147"/>
      <c r="AM214" s="147"/>
      <c r="AN214" s="147"/>
      <c r="AO214" s="147"/>
      <c r="AP214" s="147"/>
      <c r="AQ214" s="147"/>
      <c r="AR214" s="147"/>
    </row>
    <row r="215">
      <c r="A215" s="95"/>
      <c r="B215" s="95"/>
      <c r="C215" s="95"/>
      <c r="D215" s="95"/>
      <c r="E215" s="95"/>
      <c r="F215" s="385"/>
      <c r="G215" s="385"/>
      <c r="H215" s="385"/>
      <c r="I215" s="95"/>
      <c r="J215" s="95"/>
      <c r="K215" s="95"/>
      <c r="L215" s="95"/>
      <c r="M215" s="95"/>
      <c r="N215" s="462">
        <v>30990.93</v>
      </c>
      <c r="O215" s="95"/>
      <c r="P215" s="147"/>
      <c r="Q215" s="147"/>
      <c r="R215" s="147"/>
      <c r="S215" s="147"/>
      <c r="T215" s="147"/>
      <c r="U215" s="147"/>
      <c r="V215" s="147"/>
      <c r="W215" s="147"/>
      <c r="X215" s="147"/>
      <c r="Y215" s="147"/>
      <c r="Z215" s="147"/>
      <c r="AA215" s="147"/>
      <c r="AB215" s="147"/>
      <c r="AC215" s="147"/>
      <c r="AD215" s="147"/>
      <c r="AE215" s="147"/>
      <c r="AF215" s="147"/>
      <c r="AG215" s="147"/>
      <c r="AH215" s="147"/>
      <c r="AI215" s="147"/>
      <c r="AJ215" s="147"/>
      <c r="AK215" s="147"/>
      <c r="AL215" s="147"/>
      <c r="AM215" s="147"/>
      <c r="AN215" s="147"/>
      <c r="AO215" s="147"/>
      <c r="AP215" s="147"/>
      <c r="AQ215" s="147"/>
      <c r="AR215" s="147"/>
    </row>
    <row r="216" ht="50.25" customHeight="1">
      <c r="A216" s="79"/>
      <c r="B216" s="79"/>
      <c r="C216" s="79"/>
      <c r="D216" s="79"/>
      <c r="E216" s="79"/>
      <c r="F216" s="385"/>
      <c r="G216" s="385"/>
      <c r="H216" s="385"/>
      <c r="I216" s="79"/>
      <c r="J216" s="79"/>
      <c r="K216" s="79"/>
      <c r="L216" s="79"/>
      <c r="M216" s="79"/>
      <c r="N216" s="340">
        <f>SUM(N214:N215)</f>
        <v>319048.42</v>
      </c>
      <c r="O216" s="79"/>
      <c r="P216" s="147"/>
      <c r="Q216" s="147"/>
      <c r="R216" s="147"/>
      <c r="S216" s="147"/>
      <c r="T216" s="147"/>
      <c r="U216" s="147"/>
      <c r="V216" s="147"/>
      <c r="W216" s="147"/>
      <c r="X216" s="147"/>
      <c r="Y216" s="147"/>
      <c r="Z216" s="147"/>
      <c r="AA216" s="147"/>
      <c r="AB216" s="147"/>
      <c r="AC216" s="147"/>
      <c r="AD216" s="147"/>
      <c r="AE216" s="147"/>
      <c r="AF216" s="147"/>
      <c r="AG216" s="147"/>
      <c r="AH216" s="147"/>
      <c r="AI216" s="147"/>
      <c r="AJ216" s="147"/>
      <c r="AK216" s="147"/>
      <c r="AL216" s="147"/>
      <c r="AM216" s="147"/>
      <c r="AN216" s="147"/>
      <c r="AO216" s="147"/>
      <c r="AP216" s="147"/>
      <c r="AQ216" s="147"/>
      <c r="AR216" s="147"/>
    </row>
    <row r="217">
      <c r="A217" s="495">
        <v>44219.0</v>
      </c>
      <c r="B217" s="496" t="s">
        <v>2255</v>
      </c>
      <c r="C217" s="497" t="s">
        <v>100</v>
      </c>
      <c r="D217" s="535" t="s">
        <v>240</v>
      </c>
      <c r="E217" s="441" t="s">
        <v>2256</v>
      </c>
      <c r="F217" s="410"/>
      <c r="G217" s="410"/>
      <c r="H217" s="410"/>
      <c r="I217" s="453" t="s">
        <v>2257</v>
      </c>
      <c r="J217" s="499" t="s">
        <v>2258</v>
      </c>
      <c r="K217" s="331" t="s">
        <v>2259</v>
      </c>
      <c r="L217" s="331" t="s">
        <v>2260</v>
      </c>
      <c r="M217" s="331" t="s">
        <v>2261</v>
      </c>
      <c r="N217" s="481">
        <v>1326.84</v>
      </c>
      <c r="O217" s="500">
        <v>42758.0</v>
      </c>
      <c r="P217" s="147"/>
      <c r="Q217" s="147"/>
      <c r="R217" s="147"/>
      <c r="S217" s="147"/>
      <c r="T217" s="147"/>
      <c r="U217" s="147"/>
      <c r="V217" s="147"/>
      <c r="W217" s="147"/>
      <c r="X217" s="147"/>
      <c r="Y217" s="147"/>
      <c r="Z217" s="147"/>
      <c r="AA217" s="147"/>
      <c r="AB217" s="147"/>
      <c r="AC217" s="147"/>
      <c r="AD217" s="147"/>
      <c r="AE217" s="147"/>
      <c r="AF217" s="147"/>
      <c r="AG217" s="147"/>
      <c r="AH217" s="147"/>
      <c r="AI217" s="147"/>
      <c r="AJ217" s="147"/>
      <c r="AK217" s="147"/>
      <c r="AL217" s="147"/>
      <c r="AM217" s="147"/>
      <c r="AN217" s="147"/>
      <c r="AO217" s="147"/>
      <c r="AP217" s="147"/>
      <c r="AQ217" s="147"/>
      <c r="AR217" s="147"/>
    </row>
    <row r="218">
      <c r="A218" s="95"/>
      <c r="B218" s="95"/>
      <c r="C218" s="95"/>
      <c r="D218" s="95"/>
      <c r="E218" s="441" t="s">
        <v>1912</v>
      </c>
      <c r="F218" s="410"/>
      <c r="G218" s="410"/>
      <c r="H218" s="410"/>
      <c r="I218" s="95"/>
      <c r="J218" s="95"/>
      <c r="K218" s="95"/>
      <c r="L218" s="95"/>
      <c r="M218" s="95"/>
      <c r="N218" s="481">
        <v>3607.62</v>
      </c>
      <c r="O218" s="95"/>
      <c r="P218" s="147"/>
      <c r="Q218" s="147"/>
      <c r="R218" s="147"/>
      <c r="S218" s="147"/>
      <c r="T218" s="147"/>
      <c r="U218" s="147"/>
      <c r="V218" s="147"/>
      <c r="W218" s="147"/>
      <c r="X218" s="147"/>
      <c r="Y218" s="147"/>
      <c r="Z218" s="147"/>
      <c r="AA218" s="147"/>
      <c r="AB218" s="147"/>
      <c r="AC218" s="147"/>
      <c r="AD218" s="147"/>
      <c r="AE218" s="147"/>
      <c r="AF218" s="147"/>
      <c r="AG218" s="147"/>
      <c r="AH218" s="147"/>
      <c r="AI218" s="147"/>
      <c r="AJ218" s="147"/>
      <c r="AK218" s="147"/>
      <c r="AL218" s="147"/>
      <c r="AM218" s="147"/>
      <c r="AN218" s="147"/>
      <c r="AO218" s="147"/>
      <c r="AP218" s="147"/>
      <c r="AQ218" s="147"/>
      <c r="AR218" s="147"/>
    </row>
    <row r="219">
      <c r="A219" s="95"/>
      <c r="B219" s="95"/>
      <c r="C219" s="95"/>
      <c r="D219" s="95"/>
      <c r="E219" s="441" t="s">
        <v>2262</v>
      </c>
      <c r="F219" s="325"/>
      <c r="G219" s="325"/>
      <c r="H219" s="325"/>
      <c r="I219" s="95"/>
      <c r="J219" s="95"/>
      <c r="K219" s="95"/>
      <c r="L219" s="95"/>
      <c r="M219" s="95"/>
      <c r="N219" s="481">
        <v>1741.37</v>
      </c>
      <c r="O219" s="95"/>
      <c r="P219" s="147"/>
      <c r="Q219" s="147"/>
      <c r="R219" s="147"/>
      <c r="S219" s="147"/>
      <c r="T219" s="147"/>
      <c r="U219" s="147"/>
      <c r="V219" s="147"/>
      <c r="W219" s="147"/>
      <c r="X219" s="147"/>
      <c r="Y219" s="147"/>
      <c r="Z219" s="147"/>
      <c r="AA219" s="147"/>
      <c r="AB219" s="147"/>
      <c r="AC219" s="147"/>
      <c r="AD219" s="147"/>
      <c r="AE219" s="147"/>
      <c r="AF219" s="147"/>
      <c r="AG219" s="147"/>
      <c r="AH219" s="147"/>
      <c r="AI219" s="147"/>
      <c r="AJ219" s="147"/>
      <c r="AK219" s="147"/>
      <c r="AL219" s="147"/>
      <c r="AM219" s="147"/>
      <c r="AN219" s="147"/>
      <c r="AO219" s="147"/>
      <c r="AP219" s="147"/>
      <c r="AQ219" s="147"/>
      <c r="AR219" s="147"/>
    </row>
    <row r="220">
      <c r="A220" s="95"/>
      <c r="B220" s="95"/>
      <c r="C220" s="95"/>
      <c r="D220" s="95"/>
      <c r="E220" s="441" t="s">
        <v>1801</v>
      </c>
      <c r="F220" s="325"/>
      <c r="G220" s="325"/>
      <c r="H220" s="325"/>
      <c r="I220" s="95"/>
      <c r="J220" s="95"/>
      <c r="K220" s="95"/>
      <c r="L220" s="95"/>
      <c r="M220" s="95"/>
      <c r="N220" s="481">
        <v>7671.4</v>
      </c>
      <c r="O220" s="95"/>
      <c r="P220" s="147"/>
      <c r="Q220" s="147"/>
      <c r="R220" s="147"/>
      <c r="S220" s="147"/>
      <c r="T220" s="147"/>
      <c r="U220" s="147"/>
      <c r="V220" s="147"/>
      <c r="W220" s="147"/>
      <c r="X220" s="147"/>
      <c r="Y220" s="147"/>
      <c r="Z220" s="147"/>
      <c r="AA220" s="147"/>
      <c r="AB220" s="147"/>
      <c r="AC220" s="147"/>
      <c r="AD220" s="147"/>
      <c r="AE220" s="147"/>
      <c r="AF220" s="147"/>
      <c r="AG220" s="147"/>
      <c r="AH220" s="147"/>
      <c r="AI220" s="147"/>
      <c r="AJ220" s="147"/>
      <c r="AK220" s="147"/>
      <c r="AL220" s="147"/>
      <c r="AM220" s="147"/>
      <c r="AN220" s="147"/>
      <c r="AO220" s="147"/>
      <c r="AP220" s="147"/>
      <c r="AQ220" s="147"/>
      <c r="AR220" s="147"/>
    </row>
    <row r="221">
      <c r="A221" s="95"/>
      <c r="B221" s="95"/>
      <c r="C221" s="95"/>
      <c r="D221" s="95"/>
      <c r="E221" s="441" t="s">
        <v>2118</v>
      </c>
      <c r="F221" s="531"/>
      <c r="G221" s="531"/>
      <c r="H221" s="536"/>
      <c r="I221" s="95"/>
      <c r="J221" s="95"/>
      <c r="K221" s="95"/>
      <c r="L221" s="95"/>
      <c r="M221" s="95"/>
      <c r="N221" s="481">
        <v>5390.61</v>
      </c>
      <c r="O221" s="95"/>
      <c r="P221" s="147"/>
      <c r="Q221" s="147"/>
      <c r="R221" s="147"/>
      <c r="S221" s="147"/>
      <c r="T221" s="147"/>
      <c r="U221" s="147"/>
      <c r="V221" s="147"/>
      <c r="W221" s="147"/>
      <c r="X221" s="147"/>
      <c r="Y221" s="147"/>
      <c r="Z221" s="147"/>
      <c r="AA221" s="147"/>
      <c r="AB221" s="147"/>
      <c r="AC221" s="147"/>
      <c r="AD221" s="147"/>
      <c r="AE221" s="147"/>
      <c r="AF221" s="147"/>
      <c r="AG221" s="147"/>
      <c r="AH221" s="147"/>
      <c r="AI221" s="147"/>
      <c r="AJ221" s="147"/>
      <c r="AK221" s="147"/>
      <c r="AL221" s="147"/>
      <c r="AM221" s="147"/>
      <c r="AN221" s="147"/>
      <c r="AO221" s="147"/>
      <c r="AP221" s="147"/>
      <c r="AQ221" s="147"/>
      <c r="AR221" s="147"/>
    </row>
    <row r="222">
      <c r="A222" s="95"/>
      <c r="B222" s="95"/>
      <c r="C222" s="95"/>
      <c r="D222" s="95"/>
      <c r="E222" s="441" t="s">
        <v>1809</v>
      </c>
      <c r="F222" s="531"/>
      <c r="G222" s="531"/>
      <c r="H222" s="536"/>
      <c r="I222" s="95"/>
      <c r="J222" s="95"/>
      <c r="K222" s="95"/>
      <c r="L222" s="95"/>
      <c r="M222" s="95"/>
      <c r="N222" s="481">
        <v>1326.84</v>
      </c>
      <c r="O222" s="95"/>
      <c r="P222" s="147"/>
      <c r="Q222" s="147"/>
      <c r="R222" s="147"/>
      <c r="S222" s="147"/>
      <c r="T222" s="147"/>
      <c r="U222" s="147"/>
      <c r="V222" s="147"/>
      <c r="W222" s="147"/>
      <c r="X222" s="147"/>
      <c r="Y222" s="147"/>
      <c r="Z222" s="147"/>
      <c r="AA222" s="147"/>
      <c r="AB222" s="147"/>
      <c r="AC222" s="147"/>
      <c r="AD222" s="147"/>
      <c r="AE222" s="147"/>
      <c r="AF222" s="147"/>
      <c r="AG222" s="147"/>
      <c r="AH222" s="147"/>
      <c r="AI222" s="147"/>
      <c r="AJ222" s="147"/>
      <c r="AK222" s="147"/>
      <c r="AL222" s="147"/>
      <c r="AM222" s="147"/>
      <c r="AN222" s="147"/>
      <c r="AO222" s="147"/>
      <c r="AP222" s="147"/>
      <c r="AQ222" s="147"/>
      <c r="AR222" s="147"/>
    </row>
    <row r="223">
      <c r="A223" s="95"/>
      <c r="B223" s="95"/>
      <c r="C223" s="95"/>
      <c r="D223" s="95"/>
      <c r="E223" s="441" t="s">
        <v>1767</v>
      </c>
      <c r="F223" s="531"/>
      <c r="G223" s="531"/>
      <c r="H223" s="536"/>
      <c r="I223" s="95"/>
      <c r="J223" s="95"/>
      <c r="K223" s="95"/>
      <c r="L223" s="95"/>
      <c r="M223" s="95"/>
      <c r="N223" s="481">
        <v>7671.4</v>
      </c>
      <c r="O223" s="95"/>
      <c r="P223" s="147"/>
      <c r="Q223" s="147"/>
      <c r="R223" s="147"/>
      <c r="S223" s="147"/>
      <c r="T223" s="147"/>
      <c r="U223" s="147"/>
      <c r="V223" s="147"/>
      <c r="W223" s="147"/>
      <c r="X223" s="147"/>
      <c r="Y223" s="147"/>
      <c r="Z223" s="147"/>
      <c r="AA223" s="147"/>
      <c r="AB223" s="147"/>
      <c r="AC223" s="147"/>
      <c r="AD223" s="147"/>
      <c r="AE223" s="147"/>
      <c r="AF223" s="147"/>
      <c r="AG223" s="147"/>
      <c r="AH223" s="147"/>
      <c r="AI223" s="147"/>
      <c r="AJ223" s="147"/>
      <c r="AK223" s="147"/>
      <c r="AL223" s="147"/>
      <c r="AM223" s="147"/>
      <c r="AN223" s="147"/>
      <c r="AO223" s="147"/>
      <c r="AP223" s="147"/>
      <c r="AQ223" s="147"/>
      <c r="AR223" s="147"/>
    </row>
    <row r="224">
      <c r="A224" s="95"/>
      <c r="B224" s="95"/>
      <c r="C224" s="95"/>
      <c r="D224" s="95"/>
      <c r="E224" s="441" t="s">
        <v>2036</v>
      </c>
      <c r="F224" s="531"/>
      <c r="G224" s="531"/>
      <c r="H224" s="536"/>
      <c r="I224" s="95"/>
      <c r="J224" s="95"/>
      <c r="K224" s="95"/>
      <c r="L224" s="95"/>
      <c r="M224" s="95"/>
      <c r="N224" s="481">
        <v>14716.58</v>
      </c>
      <c r="O224" s="95"/>
      <c r="P224" s="147"/>
      <c r="Q224" s="147"/>
      <c r="R224" s="147"/>
      <c r="S224" s="147"/>
      <c r="T224" s="147"/>
      <c r="U224" s="147"/>
      <c r="V224" s="147"/>
      <c r="W224" s="147"/>
      <c r="X224" s="147"/>
      <c r="Y224" s="147"/>
      <c r="Z224" s="147"/>
      <c r="AA224" s="147"/>
      <c r="AB224" s="147"/>
      <c r="AC224" s="147"/>
      <c r="AD224" s="147"/>
      <c r="AE224" s="147"/>
      <c r="AF224" s="147"/>
      <c r="AG224" s="147"/>
      <c r="AH224" s="147"/>
      <c r="AI224" s="147"/>
      <c r="AJ224" s="147"/>
      <c r="AK224" s="147"/>
      <c r="AL224" s="147"/>
      <c r="AM224" s="147"/>
      <c r="AN224" s="147"/>
      <c r="AO224" s="147"/>
      <c r="AP224" s="147"/>
      <c r="AQ224" s="147"/>
      <c r="AR224" s="147"/>
    </row>
    <row r="225">
      <c r="A225" s="95"/>
      <c r="B225" s="95"/>
      <c r="C225" s="95"/>
      <c r="D225" s="95"/>
      <c r="E225" s="441" t="s">
        <v>1782</v>
      </c>
      <c r="F225" s="531"/>
      <c r="G225" s="531"/>
      <c r="H225" s="536"/>
      <c r="I225" s="95"/>
      <c r="J225" s="95"/>
      <c r="K225" s="95"/>
      <c r="L225" s="95"/>
      <c r="M225" s="95"/>
      <c r="N225" s="481">
        <v>213507.73</v>
      </c>
      <c r="O225" s="95"/>
      <c r="P225" s="147"/>
      <c r="Q225" s="147"/>
      <c r="R225" s="147"/>
      <c r="S225" s="147"/>
      <c r="T225" s="147"/>
      <c r="U225" s="147"/>
      <c r="V225" s="147"/>
      <c r="W225" s="147"/>
      <c r="X225" s="147"/>
      <c r="Y225" s="147"/>
      <c r="Z225" s="147"/>
      <c r="AA225" s="147"/>
      <c r="AB225" s="147"/>
      <c r="AC225" s="147"/>
      <c r="AD225" s="147"/>
      <c r="AE225" s="147"/>
      <c r="AF225" s="147"/>
      <c r="AG225" s="147"/>
      <c r="AH225" s="147"/>
      <c r="AI225" s="147"/>
      <c r="AJ225" s="147"/>
      <c r="AK225" s="147"/>
      <c r="AL225" s="147"/>
      <c r="AM225" s="147"/>
      <c r="AN225" s="147"/>
      <c r="AO225" s="147"/>
      <c r="AP225" s="147"/>
      <c r="AQ225" s="147"/>
      <c r="AR225" s="147"/>
    </row>
    <row r="226">
      <c r="A226" s="95"/>
      <c r="B226" s="95"/>
      <c r="C226" s="95"/>
      <c r="D226" s="95"/>
      <c r="E226" s="441" t="s">
        <v>2263</v>
      </c>
      <c r="F226" s="531"/>
      <c r="G226" s="531"/>
      <c r="H226" s="536"/>
      <c r="I226" s="95"/>
      <c r="J226" s="95"/>
      <c r="K226" s="95"/>
      <c r="L226" s="95"/>
      <c r="M226" s="95"/>
      <c r="N226" s="481">
        <v>9306.92</v>
      </c>
      <c r="O226" s="95"/>
      <c r="P226" s="147"/>
      <c r="Q226" s="147"/>
      <c r="R226" s="147"/>
      <c r="S226" s="147"/>
      <c r="T226" s="147"/>
      <c r="U226" s="147"/>
      <c r="V226" s="147"/>
      <c r="W226" s="147"/>
      <c r="X226" s="147"/>
      <c r="Y226" s="147"/>
      <c r="Z226" s="147"/>
      <c r="AA226" s="147"/>
      <c r="AB226" s="147"/>
      <c r="AC226" s="147"/>
      <c r="AD226" s="147"/>
      <c r="AE226" s="147"/>
      <c r="AF226" s="147"/>
      <c r="AG226" s="147"/>
      <c r="AH226" s="147"/>
      <c r="AI226" s="147"/>
      <c r="AJ226" s="147"/>
      <c r="AK226" s="147"/>
      <c r="AL226" s="147"/>
      <c r="AM226" s="147"/>
      <c r="AN226" s="147"/>
      <c r="AO226" s="147"/>
      <c r="AP226" s="147"/>
      <c r="AQ226" s="147"/>
      <c r="AR226" s="147"/>
    </row>
    <row r="227">
      <c r="A227" s="95"/>
      <c r="B227" s="95"/>
      <c r="C227" s="95"/>
      <c r="D227" s="95"/>
      <c r="E227" s="441" t="s">
        <v>2264</v>
      </c>
      <c r="F227" s="531"/>
      <c r="G227" s="531"/>
      <c r="H227" s="536"/>
      <c r="I227" s="95"/>
      <c r="J227" s="95"/>
      <c r="K227" s="95"/>
      <c r="L227" s="95"/>
      <c r="M227" s="95"/>
      <c r="N227" s="481">
        <v>9306.92</v>
      </c>
      <c r="O227" s="95"/>
      <c r="P227" s="147"/>
      <c r="Q227" s="147"/>
      <c r="R227" s="147"/>
      <c r="S227" s="147"/>
      <c r="T227" s="147"/>
      <c r="U227" s="147"/>
      <c r="V227" s="147"/>
      <c r="W227" s="147"/>
      <c r="X227" s="147"/>
      <c r="Y227" s="147"/>
      <c r="Z227" s="147"/>
      <c r="AA227" s="147"/>
      <c r="AB227" s="147"/>
      <c r="AC227" s="147"/>
      <c r="AD227" s="147"/>
      <c r="AE227" s="147"/>
      <c r="AF227" s="147"/>
      <c r="AG227" s="147"/>
      <c r="AH227" s="147"/>
      <c r="AI227" s="147"/>
      <c r="AJ227" s="147"/>
      <c r="AK227" s="147"/>
      <c r="AL227" s="147"/>
      <c r="AM227" s="147"/>
      <c r="AN227" s="147"/>
      <c r="AO227" s="147"/>
      <c r="AP227" s="147"/>
      <c r="AQ227" s="147"/>
      <c r="AR227" s="147"/>
    </row>
    <row r="228">
      <c r="A228" s="95"/>
      <c r="B228" s="95"/>
      <c r="C228" s="95"/>
      <c r="D228" s="95"/>
      <c r="E228" s="441" t="s">
        <v>2265</v>
      </c>
      <c r="F228" s="531"/>
      <c r="G228" s="531"/>
      <c r="H228" s="536"/>
      <c r="I228" s="95"/>
      <c r="J228" s="95"/>
      <c r="K228" s="95"/>
      <c r="L228" s="95"/>
      <c r="M228" s="95"/>
      <c r="N228" s="481">
        <v>18613.84</v>
      </c>
      <c r="O228" s="95"/>
      <c r="P228" s="147"/>
      <c r="Q228" s="147"/>
      <c r="R228" s="147"/>
      <c r="S228" s="147"/>
      <c r="T228" s="147"/>
      <c r="U228" s="147"/>
      <c r="V228" s="147"/>
      <c r="W228" s="147"/>
      <c r="X228" s="147"/>
      <c r="Y228" s="147"/>
      <c r="Z228" s="147"/>
      <c r="AA228" s="147"/>
      <c r="AB228" s="147"/>
      <c r="AC228" s="147"/>
      <c r="AD228" s="147"/>
      <c r="AE228" s="147"/>
      <c r="AF228" s="147"/>
      <c r="AG228" s="147"/>
      <c r="AH228" s="147"/>
      <c r="AI228" s="147"/>
      <c r="AJ228" s="147"/>
      <c r="AK228" s="147"/>
      <c r="AL228" s="147"/>
      <c r="AM228" s="147"/>
      <c r="AN228" s="147"/>
      <c r="AO228" s="147"/>
      <c r="AP228" s="147"/>
      <c r="AQ228" s="147"/>
      <c r="AR228" s="147"/>
    </row>
    <row r="229">
      <c r="A229" s="95"/>
      <c r="B229" s="95"/>
      <c r="C229" s="95"/>
      <c r="D229" s="95"/>
      <c r="E229" s="441" t="s">
        <v>2209</v>
      </c>
      <c r="F229" s="531"/>
      <c r="G229" s="531"/>
      <c r="H229" s="536"/>
      <c r="I229" s="95"/>
      <c r="J229" s="95"/>
      <c r="K229" s="95"/>
      <c r="L229" s="95"/>
      <c r="M229" s="95"/>
      <c r="N229" s="481">
        <v>48195.35</v>
      </c>
      <c r="O229" s="95"/>
      <c r="P229" s="147"/>
      <c r="Q229" s="147"/>
      <c r="R229" s="147"/>
      <c r="S229" s="147"/>
      <c r="T229" s="147"/>
      <c r="U229" s="147"/>
      <c r="V229" s="147"/>
      <c r="W229" s="147"/>
      <c r="X229" s="147"/>
      <c r="Y229" s="147"/>
      <c r="Z229" s="147"/>
      <c r="AA229" s="147"/>
      <c r="AB229" s="147"/>
      <c r="AC229" s="147"/>
      <c r="AD229" s="147"/>
      <c r="AE229" s="147"/>
      <c r="AF229" s="147"/>
      <c r="AG229" s="147"/>
      <c r="AH229" s="147"/>
      <c r="AI229" s="147"/>
      <c r="AJ229" s="147"/>
      <c r="AK229" s="147"/>
      <c r="AL229" s="147"/>
      <c r="AM229" s="147"/>
      <c r="AN229" s="147"/>
      <c r="AO229" s="147"/>
      <c r="AP229" s="147"/>
      <c r="AQ229" s="147"/>
      <c r="AR229" s="147"/>
    </row>
    <row r="230">
      <c r="A230" s="95"/>
      <c r="B230" s="95"/>
      <c r="C230" s="95"/>
      <c r="D230" s="95"/>
      <c r="E230" s="441" t="s">
        <v>2096</v>
      </c>
      <c r="F230" s="531"/>
      <c r="G230" s="531"/>
      <c r="H230" s="536"/>
      <c r="I230" s="95"/>
      <c r="J230" s="95"/>
      <c r="K230" s="95"/>
      <c r="L230" s="95"/>
      <c r="M230" s="95"/>
      <c r="N230" s="481">
        <v>3213.02</v>
      </c>
      <c r="O230" s="95"/>
      <c r="P230" s="147"/>
      <c r="Q230" s="147"/>
      <c r="R230" s="147"/>
      <c r="S230" s="147"/>
      <c r="T230" s="147"/>
      <c r="U230" s="147"/>
      <c r="V230" s="147"/>
      <c r="W230" s="147"/>
      <c r="X230" s="147"/>
      <c r="Y230" s="147"/>
      <c r="Z230" s="147"/>
      <c r="AA230" s="147"/>
      <c r="AB230" s="147"/>
      <c r="AC230" s="147"/>
      <c r="AD230" s="147"/>
      <c r="AE230" s="147"/>
      <c r="AF230" s="147"/>
      <c r="AG230" s="147"/>
      <c r="AH230" s="147"/>
      <c r="AI230" s="147"/>
      <c r="AJ230" s="147"/>
      <c r="AK230" s="147"/>
      <c r="AL230" s="147"/>
      <c r="AM230" s="147"/>
      <c r="AN230" s="147"/>
      <c r="AO230" s="147"/>
      <c r="AP230" s="147"/>
      <c r="AQ230" s="147"/>
      <c r="AR230" s="147"/>
    </row>
    <row r="231">
      <c r="A231" s="95"/>
      <c r="B231" s="95"/>
      <c r="C231" s="95"/>
      <c r="D231" s="95"/>
      <c r="E231" s="441" t="s">
        <v>2102</v>
      </c>
      <c r="F231" s="531"/>
      <c r="G231" s="531"/>
      <c r="H231" s="536"/>
      <c r="I231" s="95"/>
      <c r="J231" s="95"/>
      <c r="K231" s="95"/>
      <c r="L231" s="95"/>
      <c r="M231" s="95"/>
      <c r="N231" s="481">
        <v>3213.02</v>
      </c>
      <c r="O231" s="95"/>
      <c r="P231" s="147"/>
      <c r="Q231" s="147"/>
      <c r="R231" s="147"/>
      <c r="S231" s="147"/>
      <c r="T231" s="147"/>
      <c r="U231" s="147"/>
      <c r="V231" s="147"/>
      <c r="W231" s="147"/>
      <c r="X231" s="147"/>
      <c r="Y231" s="147"/>
      <c r="Z231" s="147"/>
      <c r="AA231" s="147"/>
      <c r="AB231" s="147"/>
      <c r="AC231" s="147"/>
      <c r="AD231" s="147"/>
      <c r="AE231" s="147"/>
      <c r="AF231" s="147"/>
      <c r="AG231" s="147"/>
      <c r="AH231" s="147"/>
      <c r="AI231" s="147"/>
      <c r="AJ231" s="147"/>
      <c r="AK231" s="147"/>
      <c r="AL231" s="147"/>
      <c r="AM231" s="147"/>
      <c r="AN231" s="147"/>
      <c r="AO231" s="147"/>
      <c r="AP231" s="147"/>
      <c r="AQ231" s="147"/>
      <c r="AR231" s="147"/>
    </row>
    <row r="232">
      <c r="A232" s="95"/>
      <c r="B232" s="95"/>
      <c r="C232" s="95"/>
      <c r="D232" s="95"/>
      <c r="E232" s="441" t="s">
        <v>2213</v>
      </c>
      <c r="F232" s="531"/>
      <c r="G232" s="531"/>
      <c r="H232" s="536"/>
      <c r="I232" s="95"/>
      <c r="J232" s="95"/>
      <c r="K232" s="95"/>
      <c r="L232" s="95"/>
      <c r="M232" s="95"/>
      <c r="N232" s="481">
        <v>9639.07</v>
      </c>
      <c r="O232" s="95"/>
      <c r="P232" s="147"/>
      <c r="Q232" s="147"/>
      <c r="R232" s="147"/>
      <c r="S232" s="147"/>
      <c r="T232" s="147"/>
      <c r="U232" s="147"/>
      <c r="V232" s="147"/>
      <c r="W232" s="147"/>
      <c r="X232" s="147"/>
      <c r="Y232" s="147"/>
      <c r="Z232" s="147"/>
      <c r="AA232" s="147"/>
      <c r="AB232" s="147"/>
      <c r="AC232" s="147"/>
      <c r="AD232" s="147"/>
      <c r="AE232" s="147"/>
      <c r="AF232" s="147"/>
      <c r="AG232" s="147"/>
      <c r="AH232" s="147"/>
      <c r="AI232" s="147"/>
      <c r="AJ232" s="147"/>
      <c r="AK232" s="147"/>
      <c r="AL232" s="147"/>
      <c r="AM232" s="147"/>
      <c r="AN232" s="147"/>
      <c r="AO232" s="147"/>
      <c r="AP232" s="147"/>
      <c r="AQ232" s="147"/>
      <c r="AR232" s="147"/>
    </row>
    <row r="233">
      <c r="A233" s="95"/>
      <c r="B233" s="95"/>
      <c r="C233" s="95"/>
      <c r="D233" s="95"/>
      <c r="E233" s="441" t="s">
        <v>2266</v>
      </c>
      <c r="F233" s="531"/>
      <c r="G233" s="531"/>
      <c r="H233" s="536"/>
      <c r="I233" s="95"/>
      <c r="J233" s="95"/>
      <c r="K233" s="95"/>
      <c r="L233" s="95"/>
      <c r="M233" s="95"/>
      <c r="N233" s="481">
        <v>11299.83</v>
      </c>
      <c r="O233" s="95"/>
      <c r="P233" s="147"/>
      <c r="Q233" s="147"/>
      <c r="R233" s="147"/>
      <c r="S233" s="147"/>
      <c r="T233" s="147"/>
      <c r="U233" s="147"/>
      <c r="V233" s="147"/>
      <c r="W233" s="147"/>
      <c r="X233" s="147"/>
      <c r="Y233" s="147"/>
      <c r="Z233" s="147"/>
      <c r="AA233" s="147"/>
      <c r="AB233" s="147"/>
      <c r="AC233" s="147"/>
      <c r="AD233" s="147"/>
      <c r="AE233" s="147"/>
      <c r="AF233" s="147"/>
      <c r="AG233" s="147"/>
      <c r="AH233" s="147"/>
      <c r="AI233" s="147"/>
      <c r="AJ233" s="147"/>
      <c r="AK233" s="147"/>
      <c r="AL233" s="147"/>
      <c r="AM233" s="147"/>
      <c r="AN233" s="147"/>
      <c r="AO233" s="147"/>
      <c r="AP233" s="147"/>
      <c r="AQ233" s="147"/>
      <c r="AR233" s="147"/>
    </row>
    <row r="234">
      <c r="A234" s="95"/>
      <c r="B234" s="95"/>
      <c r="C234" s="95"/>
      <c r="D234" s="95"/>
      <c r="E234" s="441" t="s">
        <v>2267</v>
      </c>
      <c r="F234" s="531"/>
      <c r="G234" s="531"/>
      <c r="H234" s="536"/>
      <c r="I234" s="95"/>
      <c r="J234" s="95"/>
      <c r="K234" s="95"/>
      <c r="L234" s="95"/>
      <c r="M234" s="95"/>
      <c r="N234" s="481">
        <v>24859.63</v>
      </c>
      <c r="O234" s="95"/>
      <c r="P234" s="147"/>
      <c r="Q234" s="147"/>
      <c r="R234" s="147"/>
      <c r="S234" s="147"/>
      <c r="T234" s="147"/>
      <c r="U234" s="147"/>
      <c r="V234" s="147"/>
      <c r="W234" s="147"/>
      <c r="X234" s="147"/>
      <c r="Y234" s="147"/>
      <c r="Z234" s="147"/>
      <c r="AA234" s="147"/>
      <c r="AB234" s="147"/>
      <c r="AC234" s="147"/>
      <c r="AD234" s="147"/>
      <c r="AE234" s="147"/>
      <c r="AF234" s="147"/>
      <c r="AG234" s="147"/>
      <c r="AH234" s="147"/>
      <c r="AI234" s="147"/>
      <c r="AJ234" s="147"/>
      <c r="AK234" s="147"/>
      <c r="AL234" s="147"/>
      <c r="AM234" s="147"/>
      <c r="AN234" s="147"/>
      <c r="AO234" s="147"/>
      <c r="AP234" s="147"/>
      <c r="AQ234" s="147"/>
      <c r="AR234" s="147"/>
    </row>
    <row r="235">
      <c r="A235" s="95"/>
      <c r="B235" s="95"/>
      <c r="C235" s="95"/>
      <c r="D235" s="95"/>
      <c r="E235" s="441" t="s">
        <v>2268</v>
      </c>
      <c r="F235" s="531"/>
      <c r="G235" s="531"/>
      <c r="H235" s="536"/>
      <c r="I235" s="95"/>
      <c r="J235" s="95"/>
      <c r="K235" s="95"/>
      <c r="L235" s="95"/>
      <c r="M235" s="95"/>
      <c r="N235" s="481">
        <v>4519.93</v>
      </c>
      <c r="O235" s="95"/>
      <c r="P235" s="147"/>
      <c r="Q235" s="147"/>
      <c r="R235" s="147"/>
      <c r="S235" s="147"/>
      <c r="T235" s="147"/>
      <c r="U235" s="147"/>
      <c r="V235" s="147"/>
      <c r="W235" s="147"/>
      <c r="X235" s="147"/>
      <c r="Y235" s="147"/>
      <c r="Z235" s="147"/>
      <c r="AA235" s="147"/>
      <c r="AB235" s="147"/>
      <c r="AC235" s="147"/>
      <c r="AD235" s="147"/>
      <c r="AE235" s="147"/>
      <c r="AF235" s="147"/>
      <c r="AG235" s="147"/>
      <c r="AH235" s="147"/>
      <c r="AI235" s="147"/>
      <c r="AJ235" s="147"/>
      <c r="AK235" s="147"/>
      <c r="AL235" s="147"/>
      <c r="AM235" s="147"/>
      <c r="AN235" s="147"/>
      <c r="AO235" s="147"/>
      <c r="AP235" s="147"/>
      <c r="AQ235" s="147"/>
      <c r="AR235" s="147"/>
    </row>
    <row r="236">
      <c r="A236" s="95"/>
      <c r="B236" s="95"/>
      <c r="C236" s="95"/>
      <c r="D236" s="95"/>
      <c r="E236" s="441" t="s">
        <v>2269</v>
      </c>
      <c r="F236" s="531"/>
      <c r="G236" s="531"/>
      <c r="H236" s="536"/>
      <c r="I236" s="95"/>
      <c r="J236" s="95"/>
      <c r="K236" s="95"/>
      <c r="L236" s="95"/>
      <c r="M236" s="95"/>
      <c r="N236" s="481">
        <v>4519.93</v>
      </c>
      <c r="O236" s="95"/>
      <c r="P236" s="147"/>
      <c r="Q236" s="147"/>
      <c r="R236" s="147"/>
      <c r="S236" s="147"/>
      <c r="T236" s="147"/>
      <c r="U236" s="147"/>
      <c r="V236" s="147"/>
      <c r="W236" s="147"/>
      <c r="X236" s="147"/>
      <c r="Y236" s="147"/>
      <c r="Z236" s="147"/>
      <c r="AA236" s="147"/>
      <c r="AB236" s="147"/>
      <c r="AC236" s="147"/>
      <c r="AD236" s="147"/>
      <c r="AE236" s="147"/>
      <c r="AF236" s="147"/>
      <c r="AG236" s="147"/>
      <c r="AH236" s="147"/>
      <c r="AI236" s="147"/>
      <c r="AJ236" s="147"/>
      <c r="AK236" s="147"/>
      <c r="AL236" s="147"/>
      <c r="AM236" s="147"/>
      <c r="AN236" s="147"/>
      <c r="AO236" s="147"/>
      <c r="AP236" s="147"/>
      <c r="AQ236" s="147"/>
      <c r="AR236" s="147"/>
    </row>
    <row r="237">
      <c r="A237" s="95"/>
      <c r="B237" s="95"/>
      <c r="C237" s="95"/>
      <c r="D237" s="95"/>
      <c r="E237" s="441" t="s">
        <v>2270</v>
      </c>
      <c r="F237" s="531"/>
      <c r="G237" s="531"/>
      <c r="H237" s="536"/>
      <c r="I237" s="95"/>
      <c r="J237" s="95"/>
      <c r="K237" s="95"/>
      <c r="L237" s="95"/>
      <c r="M237" s="95"/>
      <c r="N237" s="481">
        <v>35160.35</v>
      </c>
      <c r="O237" s="95"/>
      <c r="P237" s="147"/>
      <c r="Q237" s="147"/>
      <c r="R237" s="147"/>
      <c r="S237" s="147"/>
      <c r="T237" s="147"/>
      <c r="U237" s="147"/>
      <c r="V237" s="147"/>
      <c r="W237" s="147"/>
      <c r="X237" s="147"/>
      <c r="Y237" s="147"/>
      <c r="Z237" s="147"/>
      <c r="AA237" s="147"/>
      <c r="AB237" s="147"/>
      <c r="AC237" s="147"/>
      <c r="AD237" s="147"/>
      <c r="AE237" s="147"/>
      <c r="AF237" s="147"/>
      <c r="AG237" s="147"/>
      <c r="AH237" s="147"/>
      <c r="AI237" s="147"/>
      <c r="AJ237" s="147"/>
      <c r="AK237" s="147"/>
      <c r="AL237" s="147"/>
      <c r="AM237" s="147"/>
      <c r="AN237" s="147"/>
      <c r="AO237" s="147"/>
      <c r="AP237" s="147"/>
      <c r="AQ237" s="147"/>
      <c r="AR237" s="147"/>
    </row>
    <row r="238">
      <c r="A238" s="95"/>
      <c r="B238" s="95"/>
      <c r="C238" s="95"/>
      <c r="D238" s="95"/>
      <c r="E238" s="441" t="s">
        <v>2271</v>
      </c>
      <c r="F238" s="531"/>
      <c r="G238" s="531"/>
      <c r="H238" s="536"/>
      <c r="I238" s="95"/>
      <c r="J238" s="95"/>
      <c r="K238" s="95"/>
      <c r="L238" s="95"/>
      <c r="M238" s="95"/>
      <c r="N238" s="481">
        <v>87900.87</v>
      </c>
      <c r="O238" s="95"/>
      <c r="P238" s="147"/>
      <c r="Q238" s="147"/>
      <c r="R238" s="147"/>
      <c r="S238" s="147"/>
      <c r="T238" s="147"/>
      <c r="U238" s="147"/>
      <c r="V238" s="147"/>
      <c r="W238" s="147"/>
      <c r="X238" s="147"/>
      <c r="Y238" s="147"/>
      <c r="Z238" s="147"/>
      <c r="AA238" s="147"/>
      <c r="AB238" s="147"/>
      <c r="AC238" s="147"/>
      <c r="AD238" s="147"/>
      <c r="AE238" s="147"/>
      <c r="AF238" s="147"/>
      <c r="AG238" s="147"/>
      <c r="AH238" s="147"/>
      <c r="AI238" s="147"/>
      <c r="AJ238" s="147"/>
      <c r="AK238" s="147"/>
      <c r="AL238" s="147"/>
      <c r="AM238" s="147"/>
      <c r="AN238" s="147"/>
      <c r="AO238" s="147"/>
      <c r="AP238" s="147"/>
      <c r="AQ238" s="147"/>
      <c r="AR238" s="147"/>
    </row>
    <row r="239">
      <c r="A239" s="95"/>
      <c r="B239" s="95"/>
      <c r="C239" s="95"/>
      <c r="D239" s="95"/>
      <c r="E239" s="441" t="s">
        <v>2272</v>
      </c>
      <c r="F239" s="531"/>
      <c r="G239" s="531"/>
      <c r="H239" s="536"/>
      <c r="I239" s="95"/>
      <c r="J239" s="95"/>
      <c r="K239" s="95"/>
      <c r="L239" s="95"/>
      <c r="M239" s="95"/>
      <c r="N239" s="481">
        <v>87900.87</v>
      </c>
      <c r="O239" s="95"/>
      <c r="P239" s="147"/>
      <c r="Q239" s="147"/>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147"/>
      <c r="AP239" s="147"/>
      <c r="AQ239" s="147"/>
      <c r="AR239" s="147"/>
    </row>
    <row r="240">
      <c r="A240" s="95"/>
      <c r="B240" s="95"/>
      <c r="C240" s="95"/>
      <c r="D240" s="95"/>
      <c r="E240" s="441" t="s">
        <v>2273</v>
      </c>
      <c r="F240" s="531"/>
      <c r="G240" s="531"/>
      <c r="H240" s="536"/>
      <c r="I240" s="95"/>
      <c r="J240" s="95"/>
      <c r="K240" s="95"/>
      <c r="L240" s="95"/>
      <c r="M240" s="95"/>
      <c r="N240" s="481">
        <v>8790.06</v>
      </c>
      <c r="O240" s="95"/>
      <c r="P240" s="147"/>
      <c r="Q240" s="147"/>
      <c r="R240" s="147"/>
      <c r="S240" s="147"/>
      <c r="T240" s="147"/>
      <c r="U240" s="147"/>
      <c r="V240" s="147"/>
      <c r="W240" s="147"/>
      <c r="X240" s="147"/>
      <c r="Y240" s="147"/>
      <c r="Z240" s="147"/>
      <c r="AA240" s="147"/>
      <c r="AB240" s="147"/>
      <c r="AC240" s="147"/>
      <c r="AD240" s="147"/>
      <c r="AE240" s="147"/>
      <c r="AF240" s="147"/>
      <c r="AG240" s="147"/>
      <c r="AH240" s="147"/>
      <c r="AI240" s="147"/>
      <c r="AJ240" s="147"/>
      <c r="AK240" s="147"/>
      <c r="AL240" s="147"/>
      <c r="AM240" s="147"/>
      <c r="AN240" s="147"/>
      <c r="AO240" s="147"/>
      <c r="AP240" s="147"/>
      <c r="AQ240" s="147"/>
      <c r="AR240" s="147"/>
    </row>
    <row r="241">
      <c r="A241" s="79"/>
      <c r="B241" s="79"/>
      <c r="C241" s="79"/>
      <c r="D241" s="79"/>
      <c r="E241" s="537"/>
      <c r="F241" s="531"/>
      <c r="G241" s="531"/>
      <c r="H241" s="536"/>
      <c r="I241" s="79"/>
      <c r="J241" s="79"/>
      <c r="K241" s="79"/>
      <c r="L241" s="79"/>
      <c r="M241" s="79"/>
      <c r="N241" s="501">
        <f>SUM(N217:N240)</f>
        <v>623400</v>
      </c>
      <c r="O241" s="79"/>
      <c r="P241" s="147"/>
      <c r="Q241" s="147"/>
      <c r="R241" s="147"/>
      <c r="S241" s="147"/>
      <c r="T241" s="147"/>
      <c r="U241" s="147"/>
      <c r="V241" s="147"/>
      <c r="W241" s="147"/>
      <c r="X241" s="147"/>
      <c r="Y241" s="147"/>
      <c r="Z241" s="147"/>
      <c r="AA241" s="147"/>
      <c r="AB241" s="147"/>
      <c r="AC241" s="147"/>
      <c r="AD241" s="147"/>
      <c r="AE241" s="147"/>
      <c r="AF241" s="147"/>
      <c r="AG241" s="147"/>
      <c r="AH241" s="147"/>
      <c r="AI241" s="147"/>
      <c r="AJ241" s="147"/>
      <c r="AK241" s="147"/>
      <c r="AL241" s="147"/>
      <c r="AM241" s="147"/>
      <c r="AN241" s="147"/>
      <c r="AO241" s="147"/>
      <c r="AP241" s="147"/>
      <c r="AQ241" s="147"/>
      <c r="AR241" s="147"/>
    </row>
    <row r="242">
      <c r="A242" s="438">
        <v>44225.0</v>
      </c>
      <c r="B242" s="439" t="s">
        <v>2274</v>
      </c>
      <c r="C242" s="440" t="s">
        <v>52</v>
      </c>
      <c r="D242" s="437" t="s">
        <v>2275</v>
      </c>
      <c r="E242" s="441" t="s">
        <v>125</v>
      </c>
      <c r="F242" s="531"/>
      <c r="G242" s="531"/>
      <c r="H242" s="536"/>
      <c r="I242" s="421" t="s">
        <v>2276</v>
      </c>
      <c r="J242" s="442" t="s">
        <v>2277</v>
      </c>
      <c r="K242" s="352" t="s">
        <v>2278</v>
      </c>
      <c r="L242" s="352" t="s">
        <v>2278</v>
      </c>
      <c r="M242" s="352" t="s">
        <v>2279</v>
      </c>
      <c r="N242" s="481">
        <v>55728.0</v>
      </c>
      <c r="O242" s="463">
        <v>44104.0</v>
      </c>
      <c r="P242" s="147"/>
      <c r="Q242" s="147"/>
      <c r="R242" s="147"/>
      <c r="S242" s="147"/>
      <c r="T242" s="147"/>
      <c r="U242" s="147"/>
      <c r="V242" s="147"/>
      <c r="W242" s="147"/>
      <c r="X242" s="147"/>
      <c r="Y242" s="147"/>
      <c r="Z242" s="147"/>
      <c r="AA242" s="147"/>
      <c r="AB242" s="147"/>
      <c r="AC242" s="147"/>
      <c r="AD242" s="147"/>
      <c r="AE242" s="147"/>
      <c r="AF242" s="147"/>
      <c r="AG242" s="147"/>
      <c r="AH242" s="147"/>
      <c r="AI242" s="147"/>
      <c r="AJ242" s="147"/>
      <c r="AK242" s="147"/>
      <c r="AL242" s="147"/>
      <c r="AM242" s="147"/>
      <c r="AN242" s="147"/>
      <c r="AO242" s="147"/>
      <c r="AP242" s="147"/>
      <c r="AQ242" s="147"/>
      <c r="AR242" s="147"/>
    </row>
    <row r="243">
      <c r="A243" s="521">
        <v>44228.0</v>
      </c>
      <c r="B243" s="496" t="s">
        <v>2280</v>
      </c>
      <c r="C243" s="522" t="s">
        <v>23</v>
      </c>
      <c r="D243" s="452" t="s">
        <v>2281</v>
      </c>
      <c r="E243" s="523" t="s">
        <v>125</v>
      </c>
      <c r="F243" s="531"/>
      <c r="G243" s="531"/>
      <c r="H243" s="536"/>
      <c r="I243" s="524" t="s">
        <v>2282</v>
      </c>
      <c r="J243" s="525" t="s">
        <v>2283</v>
      </c>
      <c r="K243" s="526" t="s">
        <v>2284</v>
      </c>
      <c r="L243" s="526" t="s">
        <v>2285</v>
      </c>
      <c r="M243" s="526" t="s">
        <v>2286</v>
      </c>
      <c r="N243" s="538">
        <v>226608.03</v>
      </c>
      <c r="O243" s="527">
        <v>43495.0</v>
      </c>
      <c r="P243" s="147"/>
      <c r="Q243" s="147"/>
      <c r="R243" s="147"/>
      <c r="S243" s="147"/>
      <c r="T243" s="147"/>
      <c r="U243" s="147"/>
      <c r="V243" s="147"/>
      <c r="W243" s="147"/>
      <c r="X243" s="147"/>
      <c r="Y243" s="147"/>
      <c r="Z243" s="147"/>
      <c r="AA243" s="147"/>
      <c r="AB243" s="147"/>
      <c r="AC243" s="147"/>
      <c r="AD243" s="147"/>
      <c r="AE243" s="147"/>
      <c r="AF243" s="147"/>
      <c r="AG243" s="147"/>
      <c r="AH243" s="147"/>
      <c r="AI243" s="147"/>
      <c r="AJ243" s="147"/>
      <c r="AK243" s="147"/>
      <c r="AL243" s="147"/>
      <c r="AM243" s="147"/>
      <c r="AN243" s="147"/>
      <c r="AO243" s="147"/>
      <c r="AP243" s="147"/>
      <c r="AQ243" s="147"/>
      <c r="AR243" s="147"/>
    </row>
    <row r="244">
      <c r="A244" s="95"/>
      <c r="B244" s="95"/>
      <c r="C244" s="95"/>
      <c r="D244" s="95"/>
      <c r="E244" s="95"/>
      <c r="F244" s="531"/>
      <c r="G244" s="531"/>
      <c r="H244" s="536"/>
      <c r="I244" s="95"/>
      <c r="J244" s="95"/>
      <c r="K244" s="95"/>
      <c r="L244" s="95"/>
      <c r="M244" s="95"/>
      <c r="N244" s="95"/>
      <c r="O244" s="95"/>
      <c r="P244" s="147"/>
      <c r="Q244" s="147"/>
      <c r="R244" s="147"/>
      <c r="S244" s="147"/>
      <c r="T244" s="147"/>
      <c r="U244" s="147"/>
      <c r="V244" s="147"/>
      <c r="W244" s="147"/>
      <c r="X244" s="147"/>
      <c r="Y244" s="147"/>
      <c r="Z244" s="147"/>
      <c r="AA244" s="147"/>
      <c r="AB244" s="147"/>
      <c r="AC244" s="147"/>
      <c r="AD244" s="147"/>
      <c r="AE244" s="147"/>
      <c r="AF244" s="147"/>
      <c r="AG244" s="147"/>
      <c r="AH244" s="147"/>
      <c r="AI244" s="147"/>
      <c r="AJ244" s="147"/>
      <c r="AK244" s="147"/>
      <c r="AL244" s="147"/>
      <c r="AM244" s="147"/>
      <c r="AN244" s="147"/>
      <c r="AO244" s="147"/>
      <c r="AP244" s="147"/>
      <c r="AQ244" s="147"/>
      <c r="AR244" s="147"/>
    </row>
    <row r="245">
      <c r="A245" s="95"/>
      <c r="B245" s="95"/>
      <c r="C245" s="95"/>
      <c r="D245" s="95"/>
      <c r="E245" s="95"/>
      <c r="F245" s="531"/>
      <c r="G245" s="531"/>
      <c r="H245" s="536"/>
      <c r="I245" s="95"/>
      <c r="J245" s="95"/>
      <c r="K245" s="95"/>
      <c r="L245" s="95"/>
      <c r="M245" s="95"/>
      <c r="N245" s="95"/>
      <c r="O245" s="95"/>
      <c r="P245" s="147"/>
      <c r="Q245" s="147"/>
      <c r="R245" s="147"/>
      <c r="S245" s="147"/>
      <c r="T245" s="147"/>
      <c r="U245" s="147"/>
      <c r="V245" s="147"/>
      <c r="W245" s="147"/>
      <c r="X245" s="147"/>
      <c r="Y245" s="147"/>
      <c r="Z245" s="147"/>
      <c r="AA245" s="147"/>
      <c r="AB245" s="147"/>
      <c r="AC245" s="147"/>
      <c r="AD245" s="147"/>
      <c r="AE245" s="147"/>
      <c r="AF245" s="147"/>
      <c r="AG245" s="147"/>
      <c r="AH245" s="147"/>
      <c r="AI245" s="147"/>
      <c r="AJ245" s="147"/>
      <c r="AK245" s="147"/>
      <c r="AL245" s="147"/>
      <c r="AM245" s="147"/>
      <c r="AN245" s="147"/>
      <c r="AO245" s="147"/>
      <c r="AP245" s="147"/>
      <c r="AQ245" s="147"/>
      <c r="AR245" s="147"/>
    </row>
    <row r="246">
      <c r="A246" s="95"/>
      <c r="B246" s="79"/>
      <c r="C246" s="79"/>
      <c r="D246" s="95"/>
      <c r="E246" s="79"/>
      <c r="F246" s="531"/>
      <c r="G246" s="531"/>
      <c r="H246" s="536"/>
      <c r="I246" s="79"/>
      <c r="J246" s="95"/>
      <c r="K246" s="95"/>
      <c r="L246" s="95"/>
      <c r="M246" s="95"/>
      <c r="N246" s="79"/>
      <c r="O246" s="79"/>
      <c r="P246" s="147"/>
      <c r="Q246" s="147"/>
      <c r="R246" s="147"/>
      <c r="S246" s="147"/>
      <c r="T246" s="147"/>
      <c r="U246" s="147"/>
      <c r="V246" s="147"/>
      <c r="W246" s="147"/>
      <c r="X246" s="147"/>
      <c r="Y246" s="147"/>
      <c r="Z246" s="147"/>
      <c r="AA246" s="147"/>
      <c r="AB246" s="147"/>
      <c r="AC246" s="147"/>
      <c r="AD246" s="147"/>
      <c r="AE246" s="147"/>
      <c r="AF246" s="147"/>
      <c r="AG246" s="147"/>
      <c r="AH246" s="147"/>
      <c r="AI246" s="147"/>
      <c r="AJ246" s="147"/>
      <c r="AK246" s="147"/>
      <c r="AL246" s="147"/>
      <c r="AM246" s="147"/>
      <c r="AN246" s="147"/>
      <c r="AO246" s="147"/>
      <c r="AP246" s="147"/>
      <c r="AQ246" s="147"/>
      <c r="AR246" s="147"/>
    </row>
    <row r="247">
      <c r="A247" s="95"/>
      <c r="B247" s="496" t="s">
        <v>2287</v>
      </c>
      <c r="C247" s="522" t="s">
        <v>23</v>
      </c>
      <c r="D247" s="95"/>
      <c r="E247" s="523" t="s">
        <v>1873</v>
      </c>
      <c r="F247" s="531"/>
      <c r="G247" s="531"/>
      <c r="H247" s="536"/>
      <c r="I247" s="524" t="s">
        <v>2288</v>
      </c>
      <c r="J247" s="95"/>
      <c r="K247" s="95"/>
      <c r="L247" s="95"/>
      <c r="M247" s="95"/>
      <c r="N247" s="538">
        <v>2592574.15</v>
      </c>
      <c r="O247" s="527">
        <v>43497.0</v>
      </c>
      <c r="P247" s="147"/>
      <c r="Q247" s="147"/>
      <c r="R247" s="147"/>
      <c r="S247" s="147"/>
      <c r="T247" s="147"/>
      <c r="U247" s="147"/>
      <c r="V247" s="147"/>
      <c r="W247" s="147"/>
      <c r="X247" s="147"/>
      <c r="Y247" s="147"/>
      <c r="Z247" s="147"/>
      <c r="AA247" s="147"/>
      <c r="AB247" s="147"/>
      <c r="AC247" s="147"/>
      <c r="AD247" s="147"/>
      <c r="AE247" s="147"/>
      <c r="AF247" s="147"/>
      <c r="AG247" s="147"/>
      <c r="AH247" s="147"/>
      <c r="AI247" s="147"/>
      <c r="AJ247" s="147"/>
      <c r="AK247" s="147"/>
      <c r="AL247" s="147"/>
      <c r="AM247" s="147"/>
      <c r="AN247" s="147"/>
      <c r="AO247" s="147"/>
      <c r="AP247" s="147"/>
      <c r="AQ247" s="147"/>
      <c r="AR247" s="147"/>
    </row>
    <row r="248">
      <c r="A248" s="79"/>
      <c r="B248" s="79"/>
      <c r="C248" s="79"/>
      <c r="D248" s="79"/>
      <c r="E248" s="79"/>
      <c r="F248" s="531"/>
      <c r="G248" s="531"/>
      <c r="H248" s="536"/>
      <c r="I248" s="79"/>
      <c r="J248" s="79"/>
      <c r="K248" s="79"/>
      <c r="L248" s="79"/>
      <c r="M248" s="79"/>
      <c r="N248" s="79"/>
      <c r="O248" s="79"/>
      <c r="P248" s="147"/>
      <c r="Q248" s="147"/>
      <c r="R248" s="147"/>
      <c r="S248" s="147"/>
      <c r="T248" s="147"/>
      <c r="U248" s="147"/>
      <c r="V248" s="147"/>
      <c r="W248" s="147"/>
      <c r="X248" s="147"/>
      <c r="Y248" s="147"/>
      <c r="Z248" s="147"/>
      <c r="AA248" s="147"/>
      <c r="AB248" s="147"/>
      <c r="AC248" s="147"/>
      <c r="AD248" s="147"/>
      <c r="AE248" s="147"/>
      <c r="AF248" s="147"/>
      <c r="AG248" s="147"/>
      <c r="AH248" s="147"/>
      <c r="AI248" s="147"/>
      <c r="AJ248" s="147"/>
      <c r="AK248" s="147"/>
      <c r="AL248" s="147"/>
      <c r="AM248" s="147"/>
      <c r="AN248" s="147"/>
      <c r="AO248" s="147"/>
      <c r="AP248" s="147"/>
      <c r="AQ248" s="147"/>
      <c r="AR248" s="147"/>
    </row>
    <row r="249">
      <c r="A249" s="521">
        <v>44249.0</v>
      </c>
      <c r="B249" s="496" t="s">
        <v>2289</v>
      </c>
      <c r="C249" s="522" t="s">
        <v>52</v>
      </c>
      <c r="D249" s="452" t="s">
        <v>2290</v>
      </c>
      <c r="E249" s="523" t="s">
        <v>1795</v>
      </c>
      <c r="F249" s="531"/>
      <c r="G249" s="531"/>
      <c r="H249" s="536"/>
      <c r="I249" s="524" t="s">
        <v>2291</v>
      </c>
      <c r="J249" s="525" t="s">
        <v>2292</v>
      </c>
      <c r="K249" s="526" t="s">
        <v>2293</v>
      </c>
      <c r="L249" s="526" t="s">
        <v>2293</v>
      </c>
      <c r="M249" s="526" t="s">
        <v>2181</v>
      </c>
      <c r="N249" s="538">
        <v>21348.81</v>
      </c>
      <c r="O249" s="527">
        <v>43518.0</v>
      </c>
      <c r="P249" s="147"/>
      <c r="Q249" s="147"/>
      <c r="R249" s="147"/>
      <c r="S249" s="147"/>
      <c r="T249" s="147"/>
      <c r="U249" s="147"/>
      <c r="V249" s="147"/>
      <c r="W249" s="147"/>
      <c r="X249" s="147"/>
      <c r="Y249" s="147"/>
      <c r="Z249" s="147"/>
      <c r="AA249" s="147"/>
      <c r="AB249" s="147"/>
      <c r="AC249" s="147"/>
      <c r="AD249" s="147"/>
      <c r="AE249" s="147"/>
      <c r="AF249" s="147"/>
      <c r="AG249" s="147"/>
      <c r="AH249" s="147"/>
      <c r="AI249" s="147"/>
      <c r="AJ249" s="147"/>
      <c r="AK249" s="147"/>
      <c r="AL249" s="147"/>
      <c r="AM249" s="147"/>
      <c r="AN249" s="147"/>
      <c r="AO249" s="147"/>
      <c r="AP249" s="147"/>
      <c r="AQ249" s="147"/>
      <c r="AR249" s="147"/>
    </row>
    <row r="250" ht="100.5" customHeight="1">
      <c r="A250" s="79"/>
      <c r="B250" s="79"/>
      <c r="C250" s="79"/>
      <c r="D250" s="79"/>
      <c r="E250" s="79"/>
      <c r="F250" s="531"/>
      <c r="G250" s="531"/>
      <c r="H250" s="536"/>
      <c r="I250" s="79"/>
      <c r="J250" s="79"/>
      <c r="K250" s="79"/>
      <c r="L250" s="79"/>
      <c r="M250" s="79"/>
      <c r="N250" s="79"/>
      <c r="O250" s="79"/>
      <c r="P250" s="147"/>
      <c r="Q250" s="147"/>
      <c r="R250" s="147"/>
      <c r="S250" s="147"/>
      <c r="T250" s="147"/>
      <c r="U250" s="147"/>
      <c r="V250" s="147"/>
      <c r="W250" s="147"/>
      <c r="X250" s="147"/>
      <c r="Y250" s="147"/>
      <c r="Z250" s="147"/>
      <c r="AA250" s="147"/>
      <c r="AB250" s="147"/>
      <c r="AC250" s="147"/>
      <c r="AD250" s="147"/>
      <c r="AE250" s="147"/>
      <c r="AF250" s="147"/>
      <c r="AG250" s="147"/>
      <c r="AH250" s="147"/>
      <c r="AI250" s="147"/>
      <c r="AJ250" s="147"/>
      <c r="AK250" s="147"/>
      <c r="AL250" s="147"/>
      <c r="AM250" s="147"/>
      <c r="AN250" s="147"/>
      <c r="AO250" s="147"/>
      <c r="AP250" s="147"/>
      <c r="AQ250" s="147"/>
      <c r="AR250" s="147"/>
    </row>
    <row r="251">
      <c r="A251" s="521">
        <v>44249.0</v>
      </c>
      <c r="B251" s="496" t="s">
        <v>2294</v>
      </c>
      <c r="C251" s="522" t="s">
        <v>23</v>
      </c>
      <c r="D251" s="452" t="s">
        <v>2295</v>
      </c>
      <c r="E251" s="504" t="s">
        <v>1801</v>
      </c>
      <c r="F251" s="531"/>
      <c r="G251" s="531"/>
      <c r="H251" s="536"/>
      <c r="I251" s="524" t="s">
        <v>2296</v>
      </c>
      <c r="J251" s="525" t="s">
        <v>2297</v>
      </c>
      <c r="K251" s="526" t="s">
        <v>2298</v>
      </c>
      <c r="L251" s="526" t="s">
        <v>2299</v>
      </c>
      <c r="M251" s="526" t="s">
        <v>2300</v>
      </c>
      <c r="N251" s="539">
        <f>6537.51*12</f>
        <v>78450.12</v>
      </c>
      <c r="O251" s="527">
        <v>43511.0</v>
      </c>
      <c r="P251" s="147"/>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147"/>
      <c r="AN251" s="147"/>
      <c r="AO251" s="147"/>
      <c r="AP251" s="147"/>
      <c r="AQ251" s="147"/>
      <c r="AR251" s="147"/>
    </row>
    <row r="252">
      <c r="A252" s="95"/>
      <c r="B252" s="95"/>
      <c r="C252" s="95"/>
      <c r="D252" s="95"/>
      <c r="E252" s="504" t="s">
        <v>2118</v>
      </c>
      <c r="F252" s="531"/>
      <c r="G252" s="531"/>
      <c r="H252" s="536"/>
      <c r="I252" s="95"/>
      <c r="J252" s="95"/>
      <c r="K252" s="95"/>
      <c r="L252" s="95"/>
      <c r="M252" s="95"/>
      <c r="N252" s="539">
        <f>9806.26*12</f>
        <v>117675.12</v>
      </c>
      <c r="O252" s="95"/>
      <c r="P252" s="147"/>
      <c r="Q252" s="147"/>
      <c r="R252" s="147"/>
      <c r="S252" s="147"/>
      <c r="T252" s="147"/>
      <c r="U252" s="147"/>
      <c r="V252" s="147"/>
      <c r="W252" s="147"/>
      <c r="X252" s="147"/>
      <c r="Y252" s="147"/>
      <c r="Z252" s="147"/>
      <c r="AA252" s="147"/>
      <c r="AB252" s="147"/>
      <c r="AC252" s="147"/>
      <c r="AD252" s="147"/>
      <c r="AE252" s="147"/>
      <c r="AF252" s="147"/>
      <c r="AG252" s="147"/>
      <c r="AH252" s="147"/>
      <c r="AI252" s="147"/>
      <c r="AJ252" s="147"/>
      <c r="AK252" s="147"/>
      <c r="AL252" s="147"/>
      <c r="AM252" s="147"/>
      <c r="AN252" s="147"/>
      <c r="AO252" s="147"/>
      <c r="AP252" s="147"/>
      <c r="AQ252" s="147"/>
      <c r="AR252" s="147"/>
    </row>
    <row r="253" ht="106.5" customHeight="1">
      <c r="A253" s="79"/>
      <c r="B253" s="79"/>
      <c r="C253" s="79"/>
      <c r="D253" s="79"/>
      <c r="E253" s="540"/>
      <c r="F253" s="531"/>
      <c r="G253" s="531"/>
      <c r="H253" s="536"/>
      <c r="I253" s="79"/>
      <c r="J253" s="79"/>
      <c r="K253" s="79"/>
      <c r="L253" s="79"/>
      <c r="M253" s="79"/>
      <c r="N253" s="541">
        <f>SUM(N251:N252)</f>
        <v>196125.24</v>
      </c>
      <c r="O253" s="79"/>
      <c r="P253" s="147"/>
      <c r="Q253" s="147"/>
      <c r="R253" s="147"/>
      <c r="S253" s="147"/>
      <c r="T253" s="147"/>
      <c r="U253" s="147"/>
      <c r="V253" s="147"/>
      <c r="W253" s="147"/>
      <c r="X253" s="147"/>
      <c r="Y253" s="147"/>
      <c r="Z253" s="147"/>
      <c r="AA253" s="147"/>
      <c r="AB253" s="147"/>
      <c r="AC253" s="147"/>
      <c r="AD253" s="147"/>
      <c r="AE253" s="147"/>
      <c r="AF253" s="147"/>
      <c r="AG253" s="147"/>
      <c r="AH253" s="147"/>
      <c r="AI253" s="147"/>
      <c r="AJ253" s="147"/>
      <c r="AK253" s="147"/>
      <c r="AL253" s="147"/>
      <c r="AM253" s="147"/>
      <c r="AN253" s="147"/>
      <c r="AO253" s="147"/>
      <c r="AP253" s="147"/>
      <c r="AQ253" s="147"/>
      <c r="AR253" s="147"/>
    </row>
    <row r="254">
      <c r="A254" s="502">
        <v>44429.0</v>
      </c>
      <c r="B254" s="439" t="s">
        <v>2301</v>
      </c>
      <c r="C254" s="503" t="s">
        <v>175</v>
      </c>
      <c r="D254" s="437" t="s">
        <v>2302</v>
      </c>
      <c r="E254" s="504" t="s">
        <v>1767</v>
      </c>
      <c r="F254" s="531"/>
      <c r="G254" s="531"/>
      <c r="H254" s="536"/>
      <c r="I254" s="431" t="s">
        <v>2303</v>
      </c>
      <c r="J254" s="505" t="s">
        <v>2304</v>
      </c>
      <c r="K254" s="506" t="s">
        <v>2305</v>
      </c>
      <c r="L254" s="506" t="s">
        <v>2305</v>
      </c>
      <c r="M254" s="506" t="s">
        <v>2306</v>
      </c>
      <c r="N254" s="507">
        <v>1855576.39</v>
      </c>
      <c r="O254" s="508">
        <v>42604.0</v>
      </c>
      <c r="P254" s="147"/>
      <c r="Q254" s="147"/>
      <c r="R254" s="147"/>
      <c r="S254" s="147"/>
      <c r="T254" s="147"/>
      <c r="U254" s="147"/>
      <c r="V254" s="147"/>
      <c r="W254" s="147"/>
      <c r="X254" s="147"/>
      <c r="Y254" s="147"/>
      <c r="Z254" s="147"/>
      <c r="AA254" s="147"/>
      <c r="AB254" s="147"/>
      <c r="AC254" s="147"/>
      <c r="AD254" s="147"/>
      <c r="AE254" s="147"/>
      <c r="AF254" s="147"/>
      <c r="AG254" s="147"/>
      <c r="AH254" s="147"/>
      <c r="AI254" s="147"/>
      <c r="AJ254" s="147"/>
      <c r="AK254" s="147"/>
      <c r="AL254" s="147"/>
      <c r="AM254" s="147"/>
      <c r="AN254" s="147"/>
      <c r="AO254" s="147"/>
      <c r="AP254" s="147"/>
      <c r="AQ254" s="147"/>
      <c r="AR254" s="147"/>
    </row>
    <row r="255">
      <c r="A255" s="495">
        <v>44306.0</v>
      </c>
      <c r="B255" s="496" t="s">
        <v>2307</v>
      </c>
      <c r="C255" s="497" t="s">
        <v>23</v>
      </c>
      <c r="D255" s="452" t="s">
        <v>2308</v>
      </c>
      <c r="E255" s="498" t="s">
        <v>1767</v>
      </c>
      <c r="F255" s="531"/>
      <c r="G255" s="531"/>
      <c r="H255" s="536"/>
      <c r="I255" s="453" t="s">
        <v>2309</v>
      </c>
      <c r="J255" s="499" t="s">
        <v>2310</v>
      </c>
      <c r="K255" s="331" t="s">
        <v>2311</v>
      </c>
      <c r="L255" s="331" t="s">
        <v>2312</v>
      </c>
      <c r="M255" s="331" t="s">
        <v>2313</v>
      </c>
      <c r="N255" s="481">
        <v>243666.08</v>
      </c>
      <c r="O255" s="500">
        <v>43867.0</v>
      </c>
      <c r="P255" s="147"/>
      <c r="Q255" s="147"/>
      <c r="R255" s="147"/>
      <c r="S255" s="147"/>
      <c r="T255" s="147"/>
      <c r="U255" s="147"/>
      <c r="V255" s="147"/>
      <c r="W255" s="147"/>
      <c r="X255" s="147"/>
      <c r="Y255" s="147"/>
      <c r="Z255" s="147"/>
      <c r="AA255" s="147"/>
      <c r="AB255" s="147"/>
      <c r="AC255" s="147"/>
      <c r="AD255" s="147"/>
      <c r="AE255" s="147"/>
      <c r="AF255" s="147"/>
      <c r="AG255" s="147"/>
      <c r="AH255" s="147"/>
      <c r="AI255" s="147"/>
      <c r="AJ255" s="147"/>
      <c r="AK255" s="147"/>
      <c r="AL255" s="147"/>
      <c r="AM255" s="147"/>
      <c r="AN255" s="147"/>
      <c r="AO255" s="147"/>
      <c r="AP255" s="147"/>
      <c r="AQ255" s="147"/>
      <c r="AR255" s="147"/>
    </row>
    <row r="256">
      <c r="A256" s="95"/>
      <c r="B256" s="95"/>
      <c r="C256" s="95"/>
      <c r="D256" s="95"/>
      <c r="E256" s="95"/>
      <c r="F256" s="531"/>
      <c r="G256" s="531"/>
      <c r="H256" s="536"/>
      <c r="I256" s="95"/>
      <c r="J256" s="95"/>
      <c r="K256" s="95"/>
      <c r="L256" s="95"/>
      <c r="M256" s="95"/>
      <c r="N256" s="481">
        <v>80000.0</v>
      </c>
      <c r="O256" s="95"/>
      <c r="P256" s="147"/>
      <c r="Q256" s="147"/>
      <c r="R256" s="147"/>
      <c r="S256" s="147"/>
      <c r="T256" s="147"/>
      <c r="U256" s="147"/>
      <c r="V256" s="147"/>
      <c r="W256" s="147"/>
      <c r="X256" s="147"/>
      <c r="Y256" s="147"/>
      <c r="Z256" s="147"/>
      <c r="AA256" s="147"/>
      <c r="AB256" s="147"/>
      <c r="AC256" s="147"/>
      <c r="AD256" s="147"/>
      <c r="AE256" s="147"/>
      <c r="AF256" s="147"/>
      <c r="AG256" s="147"/>
      <c r="AH256" s="147"/>
      <c r="AI256" s="147"/>
      <c r="AJ256" s="147"/>
      <c r="AK256" s="147"/>
      <c r="AL256" s="147"/>
      <c r="AM256" s="147"/>
      <c r="AN256" s="147"/>
      <c r="AO256" s="147"/>
      <c r="AP256" s="147"/>
      <c r="AQ256" s="147"/>
      <c r="AR256" s="147"/>
    </row>
    <row r="257">
      <c r="A257" s="95"/>
      <c r="B257" s="95"/>
      <c r="C257" s="95"/>
      <c r="D257" s="95"/>
      <c r="E257" s="95"/>
      <c r="F257" s="531"/>
      <c r="G257" s="531"/>
      <c r="H257" s="536"/>
      <c r="I257" s="95"/>
      <c r="J257" s="95"/>
      <c r="K257" s="95"/>
      <c r="L257" s="95"/>
      <c r="M257" s="95"/>
      <c r="N257" s="481">
        <v>9000.0</v>
      </c>
      <c r="O257" s="95"/>
      <c r="P257" s="147"/>
      <c r="Q257" s="147"/>
      <c r="R257" s="147"/>
      <c r="S257" s="147"/>
      <c r="T257" s="147"/>
      <c r="U257" s="147"/>
      <c r="V257" s="147"/>
      <c r="W257" s="147"/>
      <c r="X257" s="147"/>
      <c r="Y257" s="147"/>
      <c r="Z257" s="147"/>
      <c r="AA257" s="147"/>
      <c r="AB257" s="147"/>
      <c r="AC257" s="147"/>
      <c r="AD257" s="147"/>
      <c r="AE257" s="147"/>
      <c r="AF257" s="147"/>
      <c r="AG257" s="147"/>
      <c r="AH257" s="147"/>
      <c r="AI257" s="147"/>
      <c r="AJ257" s="147"/>
      <c r="AK257" s="147"/>
      <c r="AL257" s="147"/>
      <c r="AM257" s="147"/>
      <c r="AN257" s="147"/>
      <c r="AO257" s="147"/>
      <c r="AP257" s="147"/>
      <c r="AQ257" s="147"/>
      <c r="AR257" s="147"/>
    </row>
    <row r="258">
      <c r="A258" s="95"/>
      <c r="B258" s="95"/>
      <c r="C258" s="95"/>
      <c r="D258" s="95"/>
      <c r="E258" s="95"/>
      <c r="F258" s="531"/>
      <c r="G258" s="531"/>
      <c r="H258" s="536"/>
      <c r="I258" s="95"/>
      <c r="J258" s="95"/>
      <c r="K258" s="95"/>
      <c r="L258" s="95"/>
      <c r="M258" s="95"/>
      <c r="N258" s="481">
        <v>55986.64</v>
      </c>
      <c r="O258" s="95"/>
      <c r="P258" s="147"/>
      <c r="Q258" s="147"/>
      <c r="R258" s="147"/>
      <c r="S258" s="147"/>
      <c r="T258" s="147"/>
      <c r="U258" s="147"/>
      <c r="V258" s="147"/>
      <c r="W258" s="147"/>
      <c r="X258" s="147"/>
      <c r="Y258" s="147"/>
      <c r="Z258" s="147"/>
      <c r="AA258" s="147"/>
      <c r="AB258" s="147"/>
      <c r="AC258" s="147"/>
      <c r="AD258" s="147"/>
      <c r="AE258" s="147"/>
      <c r="AF258" s="147"/>
      <c r="AG258" s="147"/>
      <c r="AH258" s="147"/>
      <c r="AI258" s="147"/>
      <c r="AJ258" s="147"/>
      <c r="AK258" s="147"/>
      <c r="AL258" s="147"/>
      <c r="AM258" s="147"/>
      <c r="AN258" s="147"/>
      <c r="AO258" s="147"/>
      <c r="AP258" s="147"/>
      <c r="AQ258" s="147"/>
      <c r="AR258" s="147"/>
    </row>
    <row r="259">
      <c r="A259" s="95"/>
      <c r="B259" s="95"/>
      <c r="C259" s="95"/>
      <c r="D259" s="95"/>
      <c r="E259" s="95"/>
      <c r="F259" s="531"/>
      <c r="G259" s="531"/>
      <c r="H259" s="536"/>
      <c r="I259" s="95"/>
      <c r="J259" s="95"/>
      <c r="K259" s="95"/>
      <c r="L259" s="95"/>
      <c r="M259" s="95"/>
      <c r="N259" s="481">
        <v>9151.16</v>
      </c>
      <c r="O259" s="95"/>
      <c r="P259" s="147"/>
      <c r="Q259" s="147"/>
      <c r="R259" s="147"/>
      <c r="S259" s="147"/>
      <c r="T259" s="147"/>
      <c r="U259" s="147"/>
      <c r="V259" s="147"/>
      <c r="W259" s="147"/>
      <c r="X259" s="147"/>
      <c r="Y259" s="147"/>
      <c r="Z259" s="147"/>
      <c r="AA259" s="147"/>
      <c r="AB259" s="147"/>
      <c r="AC259" s="147"/>
      <c r="AD259" s="147"/>
      <c r="AE259" s="147"/>
      <c r="AF259" s="147"/>
      <c r="AG259" s="147"/>
      <c r="AH259" s="147"/>
      <c r="AI259" s="147"/>
      <c r="AJ259" s="147"/>
      <c r="AK259" s="147"/>
      <c r="AL259" s="147"/>
      <c r="AM259" s="147"/>
      <c r="AN259" s="147"/>
      <c r="AO259" s="147"/>
      <c r="AP259" s="147"/>
      <c r="AQ259" s="147"/>
      <c r="AR259" s="147"/>
    </row>
    <row r="260">
      <c r="A260" s="79"/>
      <c r="B260" s="79"/>
      <c r="C260" s="79"/>
      <c r="D260" s="79"/>
      <c r="E260" s="79"/>
      <c r="F260" s="531"/>
      <c r="G260" s="531"/>
      <c r="H260" s="536"/>
      <c r="I260" s="79"/>
      <c r="J260" s="79"/>
      <c r="K260" s="79"/>
      <c r="L260" s="79"/>
      <c r="M260" s="79"/>
      <c r="N260" s="501">
        <v>2415041.63</v>
      </c>
      <c r="O260" s="79"/>
      <c r="P260" s="147"/>
      <c r="Q260" s="147"/>
      <c r="R260" s="147"/>
      <c r="S260" s="147"/>
      <c r="T260" s="147"/>
      <c r="U260" s="147"/>
      <c r="V260" s="147"/>
      <c r="W260" s="147"/>
      <c r="X260" s="147"/>
      <c r="Y260" s="147"/>
      <c r="Z260" s="147"/>
      <c r="AA260" s="147"/>
      <c r="AB260" s="147"/>
      <c r="AC260" s="147"/>
      <c r="AD260" s="147"/>
      <c r="AE260" s="147"/>
      <c r="AF260" s="147"/>
      <c r="AG260" s="147"/>
      <c r="AH260" s="147"/>
      <c r="AI260" s="147"/>
      <c r="AJ260" s="147"/>
      <c r="AK260" s="147"/>
      <c r="AL260" s="147"/>
      <c r="AM260" s="147"/>
      <c r="AN260" s="147"/>
      <c r="AO260" s="147"/>
      <c r="AP260" s="147"/>
      <c r="AQ260" s="147"/>
      <c r="AR260" s="147"/>
    </row>
    <row r="261">
      <c r="A261" s="438">
        <v>44317.0</v>
      </c>
      <c r="B261" s="439" t="s">
        <v>2314</v>
      </c>
      <c r="C261" s="440" t="s">
        <v>52</v>
      </c>
      <c r="D261" s="437" t="s">
        <v>2315</v>
      </c>
      <c r="E261" s="441" t="s">
        <v>2263</v>
      </c>
      <c r="F261" s="531"/>
      <c r="G261" s="531"/>
      <c r="H261" s="536"/>
      <c r="I261" s="421" t="s">
        <v>2316</v>
      </c>
      <c r="J261" s="442" t="s">
        <v>2317</v>
      </c>
      <c r="K261" s="352" t="s">
        <v>2318</v>
      </c>
      <c r="L261" s="352" t="s">
        <v>2318</v>
      </c>
      <c r="M261" s="352" t="s">
        <v>2319</v>
      </c>
      <c r="N261" s="462">
        <v>60000.0</v>
      </c>
      <c r="O261" s="463">
        <v>43951.0</v>
      </c>
      <c r="P261" s="147"/>
      <c r="Q261" s="147"/>
      <c r="R261" s="147"/>
      <c r="S261" s="147"/>
      <c r="T261" s="147"/>
      <c r="U261" s="147"/>
      <c r="V261" s="147"/>
      <c r="W261" s="147"/>
      <c r="X261" s="147"/>
      <c r="Y261" s="147"/>
      <c r="Z261" s="147"/>
      <c r="AA261" s="147"/>
      <c r="AB261" s="147"/>
      <c r="AC261" s="147"/>
      <c r="AD261" s="147"/>
      <c r="AE261" s="147"/>
      <c r="AF261" s="147"/>
      <c r="AG261" s="147"/>
      <c r="AH261" s="147"/>
      <c r="AI261" s="147"/>
      <c r="AJ261" s="147"/>
      <c r="AK261" s="147"/>
      <c r="AL261" s="147"/>
      <c r="AM261" s="147"/>
      <c r="AN261" s="147"/>
      <c r="AO261" s="147"/>
      <c r="AP261" s="147"/>
      <c r="AQ261" s="147"/>
      <c r="AR261" s="147"/>
    </row>
    <row r="262">
      <c r="A262" s="495">
        <v>44376.0</v>
      </c>
      <c r="B262" s="496" t="s">
        <v>2320</v>
      </c>
      <c r="C262" s="497" t="s">
        <v>52</v>
      </c>
      <c r="D262" s="437" t="s">
        <v>2321</v>
      </c>
      <c r="E262" s="498" t="s">
        <v>1795</v>
      </c>
      <c r="F262" s="531"/>
      <c r="G262" s="531"/>
      <c r="H262" s="536"/>
      <c r="I262" s="453" t="s">
        <v>2322</v>
      </c>
      <c r="J262" s="499" t="s">
        <v>2323</v>
      </c>
      <c r="K262" s="331" t="s">
        <v>2324</v>
      </c>
      <c r="L262" s="331" t="s">
        <v>2325</v>
      </c>
      <c r="M262" s="331" t="s">
        <v>2326</v>
      </c>
      <c r="N262" s="481">
        <v>33019.92</v>
      </c>
      <c r="O262" s="500">
        <v>44011.0</v>
      </c>
      <c r="P262" s="147"/>
      <c r="Q262" s="147"/>
      <c r="R262" s="147"/>
      <c r="S262" s="147"/>
      <c r="T262" s="147"/>
      <c r="U262" s="147"/>
      <c r="V262" s="147"/>
      <c r="W262" s="147"/>
      <c r="X262" s="147"/>
      <c r="Y262" s="147"/>
      <c r="Z262" s="147"/>
      <c r="AA262" s="147"/>
      <c r="AB262" s="147"/>
      <c r="AC262" s="147"/>
      <c r="AD262" s="147"/>
      <c r="AE262" s="147"/>
      <c r="AF262" s="147"/>
      <c r="AG262" s="147"/>
      <c r="AH262" s="147"/>
      <c r="AI262" s="147"/>
      <c r="AJ262" s="147"/>
      <c r="AK262" s="147"/>
      <c r="AL262" s="147"/>
      <c r="AM262" s="147"/>
      <c r="AN262" s="147"/>
      <c r="AO262" s="147"/>
      <c r="AP262" s="147"/>
      <c r="AQ262" s="147"/>
      <c r="AR262" s="147"/>
    </row>
    <row r="263">
      <c r="A263" s="95"/>
      <c r="B263" s="95"/>
      <c r="C263" s="95"/>
      <c r="D263" s="452" t="s">
        <v>2327</v>
      </c>
      <c r="E263" s="95"/>
      <c r="F263" s="531"/>
      <c r="G263" s="531"/>
      <c r="H263" s="536"/>
      <c r="I263" s="95"/>
      <c r="J263" s="95"/>
      <c r="K263" s="95"/>
      <c r="L263" s="95"/>
      <c r="M263" s="95"/>
      <c r="N263" s="481">
        <v>33019.92</v>
      </c>
      <c r="O263" s="95"/>
      <c r="P263" s="147"/>
      <c r="Q263" s="147"/>
      <c r="R263" s="147"/>
      <c r="S263" s="147"/>
      <c r="T263" s="147"/>
      <c r="U263" s="147"/>
      <c r="V263" s="147"/>
      <c r="W263" s="147"/>
      <c r="X263" s="147"/>
      <c r="Y263" s="147"/>
      <c r="Z263" s="147"/>
      <c r="AA263" s="147"/>
      <c r="AB263" s="147"/>
      <c r="AC263" s="147"/>
      <c r="AD263" s="147"/>
      <c r="AE263" s="147"/>
      <c r="AF263" s="147"/>
      <c r="AG263" s="147"/>
      <c r="AH263" s="147"/>
      <c r="AI263" s="147"/>
      <c r="AJ263" s="147"/>
      <c r="AK263" s="147"/>
      <c r="AL263" s="147"/>
      <c r="AM263" s="147"/>
      <c r="AN263" s="147"/>
      <c r="AO263" s="147"/>
      <c r="AP263" s="147"/>
      <c r="AQ263" s="147"/>
      <c r="AR263" s="147"/>
    </row>
    <row r="264" ht="48.0" customHeight="1">
      <c r="A264" s="79"/>
      <c r="B264" s="79"/>
      <c r="C264" s="79"/>
      <c r="D264" s="79"/>
      <c r="E264" s="79"/>
      <c r="F264" s="531"/>
      <c r="G264" s="531"/>
      <c r="H264" s="536"/>
      <c r="I264" s="79"/>
      <c r="J264" s="79"/>
      <c r="K264" s="79"/>
      <c r="L264" s="79"/>
      <c r="M264" s="79"/>
      <c r="N264" s="501">
        <f>SUM(N262:N263)</f>
        <v>66039.84</v>
      </c>
      <c r="O264" s="79"/>
      <c r="P264" s="147"/>
      <c r="Q264" s="147"/>
      <c r="R264" s="147"/>
      <c r="S264" s="147"/>
      <c r="T264" s="147"/>
      <c r="U264" s="147"/>
      <c r="V264" s="147"/>
      <c r="W264" s="147"/>
      <c r="X264" s="147"/>
      <c r="Y264" s="147"/>
      <c r="Z264" s="147"/>
      <c r="AA264" s="147"/>
      <c r="AB264" s="147"/>
      <c r="AC264" s="147"/>
      <c r="AD264" s="147"/>
      <c r="AE264" s="147"/>
      <c r="AF264" s="147"/>
      <c r="AG264" s="147"/>
      <c r="AH264" s="147"/>
      <c r="AI264" s="147"/>
      <c r="AJ264" s="147"/>
      <c r="AK264" s="147"/>
      <c r="AL264" s="147"/>
      <c r="AM264" s="147"/>
      <c r="AN264" s="147"/>
      <c r="AO264" s="147"/>
      <c r="AP264" s="147"/>
      <c r="AQ264" s="147"/>
      <c r="AR264" s="147"/>
    </row>
    <row r="265">
      <c r="A265" s="438">
        <v>47761.0</v>
      </c>
      <c r="B265" s="439" t="s">
        <v>2328</v>
      </c>
      <c r="C265" s="440" t="s">
        <v>52</v>
      </c>
      <c r="D265" s="437" t="s">
        <v>2329</v>
      </c>
      <c r="E265" s="441" t="s">
        <v>2330</v>
      </c>
      <c r="F265" s="531"/>
      <c r="G265" s="531"/>
      <c r="H265" s="536"/>
      <c r="I265" s="421" t="s">
        <v>2331</v>
      </c>
      <c r="J265" s="442" t="s">
        <v>2332</v>
      </c>
      <c r="K265" s="352" t="s">
        <v>2333</v>
      </c>
      <c r="L265" s="352" t="s">
        <v>2334</v>
      </c>
      <c r="M265" s="352" t="s">
        <v>2335</v>
      </c>
      <c r="N265" s="481">
        <v>2.8896E7</v>
      </c>
      <c r="O265" s="463">
        <v>44109.0</v>
      </c>
      <c r="P265" s="147"/>
      <c r="Q265" s="147"/>
      <c r="R265" s="147"/>
      <c r="S265" s="147"/>
      <c r="T265" s="147"/>
      <c r="U265" s="147"/>
      <c r="V265" s="147"/>
      <c r="W265" s="147"/>
      <c r="X265" s="147"/>
      <c r="Y265" s="147"/>
      <c r="Z265" s="147"/>
      <c r="AA265" s="147"/>
      <c r="AB265" s="147"/>
      <c r="AC265" s="147"/>
      <c r="AD265" s="147"/>
      <c r="AE265" s="147"/>
      <c r="AF265" s="147"/>
      <c r="AG265" s="147"/>
      <c r="AH265" s="147"/>
      <c r="AI265" s="147"/>
      <c r="AJ265" s="147"/>
      <c r="AK265" s="147"/>
      <c r="AL265" s="147"/>
      <c r="AM265" s="147"/>
      <c r="AN265" s="147"/>
      <c r="AO265" s="147"/>
      <c r="AP265" s="147"/>
      <c r="AQ265" s="147"/>
      <c r="AR265" s="147"/>
    </row>
    <row r="266">
      <c r="A266" s="438">
        <v>44288.0</v>
      </c>
      <c r="B266" s="439" t="s">
        <v>2336</v>
      </c>
      <c r="C266" s="440" t="s">
        <v>38</v>
      </c>
      <c r="D266" s="419" t="s">
        <v>2337</v>
      </c>
      <c r="E266" s="441" t="s">
        <v>1795</v>
      </c>
      <c r="F266" s="531"/>
      <c r="G266" s="531"/>
      <c r="H266" s="536"/>
      <c r="I266" s="421" t="s">
        <v>2338</v>
      </c>
      <c r="J266" s="442" t="s">
        <v>2339</v>
      </c>
      <c r="K266" s="352" t="s">
        <v>2340</v>
      </c>
      <c r="L266" s="352" t="s">
        <v>2341</v>
      </c>
      <c r="M266" s="352" t="s">
        <v>2342</v>
      </c>
      <c r="N266" s="481">
        <v>7975.0</v>
      </c>
      <c r="O266" s="463">
        <v>43192.0</v>
      </c>
      <c r="P266" s="147"/>
      <c r="Q266" s="147"/>
      <c r="R266" s="147"/>
      <c r="S266" s="147"/>
      <c r="T266" s="147"/>
      <c r="U266" s="147"/>
      <c r="V266" s="147"/>
      <c r="W266" s="147"/>
      <c r="X266" s="147"/>
      <c r="Y266" s="147"/>
      <c r="Z266" s="147"/>
      <c r="AA266" s="147"/>
      <c r="AB266" s="147"/>
      <c r="AC266" s="147"/>
      <c r="AD266" s="147"/>
      <c r="AE266" s="147"/>
      <c r="AF266" s="147"/>
      <c r="AG266" s="147"/>
      <c r="AH266" s="147"/>
      <c r="AI266" s="147"/>
      <c r="AJ266" s="147"/>
      <c r="AK266" s="147"/>
      <c r="AL266" s="147"/>
      <c r="AM266" s="147"/>
      <c r="AN266" s="147"/>
      <c r="AO266" s="147"/>
      <c r="AP266" s="147"/>
      <c r="AQ266" s="147"/>
      <c r="AR266" s="147"/>
    </row>
    <row r="267">
      <c r="A267" s="438">
        <v>44288.0</v>
      </c>
      <c r="B267" s="439" t="s">
        <v>2343</v>
      </c>
      <c r="C267" s="440" t="s">
        <v>38</v>
      </c>
      <c r="D267" s="437" t="s">
        <v>2344</v>
      </c>
      <c r="E267" s="441" t="s">
        <v>1801</v>
      </c>
      <c r="F267" s="531"/>
      <c r="G267" s="531"/>
      <c r="H267" s="536"/>
      <c r="I267" s="421" t="s">
        <v>2345</v>
      </c>
      <c r="J267" s="505" t="s">
        <v>2339</v>
      </c>
      <c r="K267" s="352" t="s">
        <v>2346</v>
      </c>
      <c r="L267" s="352" t="s">
        <v>2346</v>
      </c>
      <c r="M267" s="352" t="s">
        <v>2347</v>
      </c>
      <c r="N267" s="481">
        <v>0.0</v>
      </c>
      <c r="O267" s="463">
        <v>43192.0</v>
      </c>
      <c r="P267" s="147"/>
      <c r="Q267" s="147"/>
      <c r="R267" s="147"/>
      <c r="S267" s="147"/>
      <c r="T267" s="147"/>
      <c r="U267" s="147"/>
      <c r="V267" s="147"/>
      <c r="W267" s="147"/>
      <c r="X267" s="147"/>
      <c r="Y267" s="147"/>
      <c r="Z267" s="147"/>
      <c r="AA267" s="147"/>
      <c r="AB267" s="147"/>
      <c r="AC267" s="147"/>
      <c r="AD267" s="147"/>
      <c r="AE267" s="147"/>
      <c r="AF267" s="147"/>
      <c r="AG267" s="147"/>
      <c r="AH267" s="147"/>
      <c r="AI267" s="147"/>
      <c r="AJ267" s="147"/>
      <c r="AK267" s="147"/>
      <c r="AL267" s="147"/>
      <c r="AM267" s="147"/>
      <c r="AN267" s="147"/>
      <c r="AO267" s="147"/>
      <c r="AP267" s="147"/>
      <c r="AQ267" s="147"/>
      <c r="AR267" s="147"/>
    </row>
    <row r="268">
      <c r="A268" s="438">
        <v>44328.0</v>
      </c>
      <c r="B268" s="439" t="s">
        <v>2348</v>
      </c>
      <c r="C268" s="440" t="s">
        <v>175</v>
      </c>
      <c r="D268" s="437" t="s">
        <v>2349</v>
      </c>
      <c r="E268" s="441" t="s">
        <v>2089</v>
      </c>
      <c r="F268" s="531"/>
      <c r="G268" s="531"/>
      <c r="H268" s="536"/>
      <c r="I268" s="421" t="s">
        <v>2350</v>
      </c>
      <c r="J268" s="442" t="s">
        <v>2351</v>
      </c>
      <c r="K268" s="352" t="s">
        <v>2352</v>
      </c>
      <c r="L268" s="352" t="s">
        <v>2352</v>
      </c>
      <c r="M268" s="352" t="s">
        <v>2353</v>
      </c>
      <c r="N268" s="481">
        <v>631164.0</v>
      </c>
      <c r="O268" s="508">
        <v>42136.0</v>
      </c>
      <c r="P268" s="443"/>
      <c r="Q268" s="443"/>
      <c r="R268" s="443"/>
      <c r="S268" s="443"/>
      <c r="T268" s="443"/>
      <c r="U268" s="443"/>
      <c r="V268" s="443"/>
      <c r="W268" s="443"/>
      <c r="X268" s="443"/>
      <c r="Y268" s="443"/>
      <c r="Z268" s="443"/>
      <c r="AA268" s="443"/>
      <c r="AB268" s="443"/>
      <c r="AC268" s="443"/>
      <c r="AD268" s="443"/>
      <c r="AE268" s="443"/>
      <c r="AF268" s="443"/>
      <c r="AG268" s="443"/>
      <c r="AH268" s="443"/>
      <c r="AI268" s="443"/>
      <c r="AJ268" s="443"/>
      <c r="AK268" s="443"/>
      <c r="AL268" s="443"/>
      <c r="AM268" s="443"/>
      <c r="AN268" s="443"/>
      <c r="AO268" s="443"/>
      <c r="AP268" s="443"/>
      <c r="AQ268" s="443"/>
      <c r="AR268" s="443"/>
    </row>
    <row r="269">
      <c r="A269" s="438">
        <v>44379.0</v>
      </c>
      <c r="B269" s="493" t="s">
        <v>2354</v>
      </c>
      <c r="C269" s="494" t="s">
        <v>38</v>
      </c>
      <c r="D269" s="437" t="s">
        <v>2355</v>
      </c>
      <c r="E269" s="441" t="s">
        <v>1767</v>
      </c>
      <c r="F269" s="531"/>
      <c r="G269" s="531"/>
      <c r="H269" s="536"/>
      <c r="I269" s="421" t="s">
        <v>2356</v>
      </c>
      <c r="J269" s="442" t="s">
        <v>2357</v>
      </c>
      <c r="K269" s="352" t="s">
        <v>2358</v>
      </c>
      <c r="L269" s="352" t="s">
        <v>2359</v>
      </c>
      <c r="M269" s="352" t="s">
        <v>2360</v>
      </c>
      <c r="N269" s="462">
        <v>685827.74</v>
      </c>
      <c r="O269" s="463">
        <v>44089.0</v>
      </c>
      <c r="P269" s="147"/>
      <c r="Q269" s="147"/>
      <c r="R269" s="147"/>
      <c r="S269" s="147"/>
      <c r="T269" s="147"/>
      <c r="U269" s="147"/>
      <c r="V269" s="147"/>
      <c r="W269" s="147"/>
      <c r="X269" s="147"/>
      <c r="Y269" s="147"/>
      <c r="Z269" s="147"/>
      <c r="AA269" s="147"/>
      <c r="AB269" s="147"/>
      <c r="AC269" s="147"/>
      <c r="AD269" s="147"/>
      <c r="AE269" s="147"/>
      <c r="AF269" s="147"/>
      <c r="AG269" s="147"/>
      <c r="AH269" s="147"/>
      <c r="AI269" s="147"/>
      <c r="AJ269" s="147"/>
      <c r="AK269" s="147"/>
      <c r="AL269" s="147"/>
      <c r="AM269" s="147"/>
      <c r="AN269" s="147"/>
      <c r="AO269" s="147"/>
      <c r="AP269" s="147"/>
      <c r="AQ269" s="147"/>
      <c r="AR269" s="147"/>
    </row>
    <row r="270">
      <c r="A270" s="542">
        <v>44388.0</v>
      </c>
      <c r="B270" s="493" t="s">
        <v>2361</v>
      </c>
      <c r="C270" s="494" t="s">
        <v>52</v>
      </c>
      <c r="D270" s="543" t="s">
        <v>2362</v>
      </c>
      <c r="E270" s="336" t="s">
        <v>2118</v>
      </c>
      <c r="F270" s="544"/>
      <c r="G270" s="531"/>
      <c r="H270" s="536"/>
      <c r="I270" s="339" t="s">
        <v>2363</v>
      </c>
      <c r="J270" s="545" t="s">
        <v>2364</v>
      </c>
      <c r="K270" s="352" t="s">
        <v>2365</v>
      </c>
      <c r="L270" s="352" t="s">
        <v>2366</v>
      </c>
      <c r="M270" s="352" t="s">
        <v>2367</v>
      </c>
      <c r="N270" s="462">
        <v>6675.3</v>
      </c>
      <c r="O270" s="387">
        <v>44022.0</v>
      </c>
      <c r="P270" s="147"/>
      <c r="Q270" s="147"/>
      <c r="R270" s="147"/>
      <c r="S270" s="147"/>
      <c r="T270" s="147"/>
      <c r="U270" s="147"/>
      <c r="V270" s="147"/>
      <c r="W270" s="147"/>
      <c r="X270" s="147"/>
      <c r="Y270" s="147"/>
      <c r="Z270" s="147"/>
      <c r="AA270" s="147"/>
      <c r="AB270" s="147"/>
      <c r="AC270" s="147"/>
      <c r="AD270" s="147"/>
      <c r="AE270" s="147"/>
      <c r="AF270" s="147"/>
      <c r="AG270" s="147"/>
      <c r="AH270" s="147"/>
      <c r="AI270" s="147"/>
      <c r="AJ270" s="147"/>
      <c r="AK270" s="147"/>
      <c r="AL270" s="147"/>
      <c r="AM270" s="147"/>
      <c r="AN270" s="147"/>
      <c r="AO270" s="147"/>
      <c r="AP270" s="147"/>
      <c r="AQ270" s="147"/>
      <c r="AR270" s="147"/>
    </row>
    <row r="271">
      <c r="A271" s="546">
        <v>44403.0</v>
      </c>
      <c r="B271" s="519" t="s">
        <v>2368</v>
      </c>
      <c r="C271" s="520" t="s">
        <v>52</v>
      </c>
      <c r="D271" s="547" t="s">
        <v>2369</v>
      </c>
      <c r="E271" s="336" t="s">
        <v>2096</v>
      </c>
      <c r="F271" s="544"/>
      <c r="G271" s="531"/>
      <c r="H271" s="536"/>
      <c r="I271" s="327" t="s">
        <v>2370</v>
      </c>
      <c r="J271" s="548" t="s">
        <v>2371</v>
      </c>
      <c r="K271" s="331" t="s">
        <v>2372</v>
      </c>
      <c r="L271" s="331" t="s">
        <v>2372</v>
      </c>
      <c r="M271" s="331" t="s">
        <v>2373</v>
      </c>
      <c r="N271" s="462">
        <v>325634.4</v>
      </c>
      <c r="O271" s="334">
        <v>44253.0</v>
      </c>
      <c r="P271" s="147"/>
      <c r="Q271" s="147"/>
      <c r="R271" s="147"/>
      <c r="S271" s="147"/>
      <c r="T271" s="147"/>
      <c r="U271" s="147"/>
      <c r="V271" s="147"/>
      <c r="W271" s="147"/>
      <c r="X271" s="147"/>
      <c r="Y271" s="147"/>
      <c r="Z271" s="147"/>
      <c r="AA271" s="147"/>
      <c r="AB271" s="147"/>
      <c r="AC271" s="147"/>
      <c r="AD271" s="147"/>
      <c r="AE271" s="147"/>
      <c r="AF271" s="147"/>
      <c r="AG271" s="147"/>
      <c r="AH271" s="147"/>
      <c r="AI271" s="147"/>
      <c r="AJ271" s="147"/>
      <c r="AK271" s="147"/>
      <c r="AL271" s="147"/>
      <c r="AM271" s="147"/>
      <c r="AN271" s="147"/>
      <c r="AO271" s="147"/>
      <c r="AP271" s="147"/>
      <c r="AQ271" s="147"/>
      <c r="AR271" s="147"/>
    </row>
    <row r="272">
      <c r="A272" s="95"/>
      <c r="B272" s="95"/>
      <c r="C272" s="95"/>
      <c r="D272" s="95"/>
      <c r="E272" s="336" t="s">
        <v>2374</v>
      </c>
      <c r="F272" s="544"/>
      <c r="G272" s="531"/>
      <c r="H272" s="536"/>
      <c r="I272" s="279"/>
      <c r="J272" s="95"/>
      <c r="K272" s="95"/>
      <c r="L272" s="95"/>
      <c r="M272" s="95"/>
      <c r="N272" s="462">
        <v>420184.8</v>
      </c>
      <c r="O272" s="95"/>
      <c r="P272" s="147"/>
      <c r="Q272" s="147"/>
      <c r="R272" s="147"/>
      <c r="S272" s="147"/>
      <c r="T272" s="147"/>
      <c r="U272" s="147"/>
      <c r="V272" s="147"/>
      <c r="W272" s="147"/>
      <c r="X272" s="147"/>
      <c r="Y272" s="147"/>
      <c r="Z272" s="147"/>
      <c r="AA272" s="147"/>
      <c r="AB272" s="147"/>
      <c r="AC272" s="147"/>
      <c r="AD272" s="147"/>
      <c r="AE272" s="147"/>
      <c r="AF272" s="147"/>
      <c r="AG272" s="147"/>
      <c r="AH272" s="147"/>
      <c r="AI272" s="147"/>
      <c r="AJ272" s="147"/>
      <c r="AK272" s="147"/>
      <c r="AL272" s="147"/>
      <c r="AM272" s="147"/>
      <c r="AN272" s="147"/>
      <c r="AO272" s="147"/>
      <c r="AP272" s="147"/>
      <c r="AQ272" s="147"/>
      <c r="AR272" s="147"/>
    </row>
    <row r="273">
      <c r="A273" s="95"/>
      <c r="B273" s="95"/>
      <c r="C273" s="95"/>
      <c r="D273" s="95"/>
      <c r="E273" s="336" t="s">
        <v>2375</v>
      </c>
      <c r="F273" s="544"/>
      <c r="G273" s="531"/>
      <c r="H273" s="536"/>
      <c r="I273" s="279"/>
      <c r="J273" s="95"/>
      <c r="K273" s="95"/>
      <c r="L273" s="95"/>
      <c r="M273" s="95"/>
      <c r="N273" s="462">
        <v>32810.4</v>
      </c>
      <c r="O273" s="95"/>
      <c r="P273" s="147"/>
      <c r="Q273" s="147"/>
      <c r="R273" s="147"/>
      <c r="S273" s="147"/>
      <c r="T273" s="147"/>
      <c r="U273" s="147"/>
      <c r="V273" s="147"/>
      <c r="W273" s="147"/>
      <c r="X273" s="147"/>
      <c r="Y273" s="147"/>
      <c r="Z273" s="147"/>
      <c r="AA273" s="147"/>
      <c r="AB273" s="147"/>
      <c r="AC273" s="147"/>
      <c r="AD273" s="147"/>
      <c r="AE273" s="147"/>
      <c r="AF273" s="147"/>
      <c r="AG273" s="147"/>
      <c r="AH273" s="147"/>
      <c r="AI273" s="147"/>
      <c r="AJ273" s="147"/>
      <c r="AK273" s="147"/>
      <c r="AL273" s="147"/>
      <c r="AM273" s="147"/>
      <c r="AN273" s="147"/>
      <c r="AO273" s="147"/>
      <c r="AP273" s="147"/>
      <c r="AQ273" s="147"/>
      <c r="AR273" s="147"/>
    </row>
    <row r="274">
      <c r="A274" s="79"/>
      <c r="B274" s="79"/>
      <c r="C274" s="79"/>
      <c r="D274" s="79"/>
      <c r="E274" s="549"/>
      <c r="F274" s="544"/>
      <c r="G274" s="531"/>
      <c r="H274" s="536"/>
      <c r="I274" s="207"/>
      <c r="J274" s="79"/>
      <c r="K274" s="79"/>
      <c r="L274" s="79"/>
      <c r="M274" s="79"/>
      <c r="N274" s="340">
        <f>SUM(N271:N273)</f>
        <v>778629.6</v>
      </c>
      <c r="O274" s="79"/>
      <c r="P274" s="147"/>
      <c r="Q274" s="147"/>
      <c r="R274" s="147"/>
      <c r="S274" s="147"/>
      <c r="T274" s="147"/>
      <c r="U274" s="147"/>
      <c r="V274" s="147"/>
      <c r="W274" s="147"/>
      <c r="X274" s="147"/>
      <c r="Y274" s="147"/>
      <c r="Z274" s="147"/>
      <c r="AA274" s="147"/>
      <c r="AB274" s="147"/>
      <c r="AC274" s="147"/>
      <c r="AD274" s="147"/>
      <c r="AE274" s="147"/>
      <c r="AF274" s="147"/>
      <c r="AG274" s="147"/>
      <c r="AH274" s="147"/>
      <c r="AI274" s="147"/>
      <c r="AJ274" s="147"/>
      <c r="AK274" s="147"/>
      <c r="AL274" s="147"/>
      <c r="AM274" s="147"/>
      <c r="AN274" s="147"/>
      <c r="AO274" s="147"/>
      <c r="AP274" s="147"/>
      <c r="AQ274" s="147"/>
      <c r="AR274" s="147"/>
    </row>
    <row r="275">
      <c r="A275" s="550">
        <v>44438.0</v>
      </c>
      <c r="B275" s="493" t="s">
        <v>2222</v>
      </c>
      <c r="C275" s="494" t="s">
        <v>38</v>
      </c>
      <c r="D275" s="543" t="s">
        <v>2376</v>
      </c>
      <c r="E275" s="336" t="s">
        <v>2036</v>
      </c>
      <c r="F275" s="544"/>
      <c r="G275" s="531"/>
      <c r="H275" s="536"/>
      <c r="I275" s="339" t="s">
        <v>2377</v>
      </c>
      <c r="J275" s="545" t="s">
        <v>2378</v>
      </c>
      <c r="K275" s="352" t="s">
        <v>2379</v>
      </c>
      <c r="L275" s="352" t="s">
        <v>2380</v>
      </c>
      <c r="M275" s="352" t="s">
        <v>2381</v>
      </c>
      <c r="N275" s="462">
        <v>48000.0</v>
      </c>
      <c r="O275" s="387">
        <v>43313.0</v>
      </c>
      <c r="P275" s="147"/>
      <c r="Q275" s="147"/>
      <c r="R275" s="147"/>
      <c r="S275" s="147"/>
      <c r="T275" s="147"/>
      <c r="U275" s="147"/>
      <c r="V275" s="147"/>
      <c r="W275" s="147"/>
      <c r="X275" s="147"/>
      <c r="Y275" s="147"/>
      <c r="Z275" s="147"/>
      <c r="AA275" s="147"/>
      <c r="AB275" s="147"/>
      <c r="AC275" s="147"/>
      <c r="AD275" s="147"/>
      <c r="AE275" s="147"/>
      <c r="AF275" s="147"/>
      <c r="AG275" s="147"/>
      <c r="AH275" s="147"/>
      <c r="AI275" s="147"/>
      <c r="AJ275" s="147"/>
      <c r="AK275" s="147"/>
      <c r="AL275" s="147"/>
      <c r="AM275" s="147"/>
      <c r="AN275" s="147"/>
      <c r="AO275" s="147"/>
      <c r="AP275" s="147"/>
      <c r="AQ275" s="147"/>
      <c r="AR275" s="147"/>
    </row>
    <row r="276">
      <c r="A276" s="550">
        <v>44449.0</v>
      </c>
      <c r="B276" s="551" t="s">
        <v>2382</v>
      </c>
      <c r="C276" s="552" t="s">
        <v>52</v>
      </c>
      <c r="D276" s="553" t="s">
        <v>2383</v>
      </c>
      <c r="E276" s="336" t="s">
        <v>125</v>
      </c>
      <c r="F276" s="544"/>
      <c r="G276" s="531"/>
      <c r="H276" s="536"/>
      <c r="I276" s="339" t="s">
        <v>2384</v>
      </c>
      <c r="J276" s="545" t="s">
        <v>2385</v>
      </c>
      <c r="K276" s="517" t="s">
        <v>2386</v>
      </c>
      <c r="L276" s="517" t="s">
        <v>2386</v>
      </c>
      <c r="M276" s="517" t="s">
        <v>2387</v>
      </c>
      <c r="N276" s="462">
        <v>108936.0</v>
      </c>
      <c r="O276" s="333"/>
      <c r="P276" s="446"/>
      <c r="Q276" s="446"/>
      <c r="R276" s="446"/>
      <c r="S276" s="446"/>
      <c r="T276" s="446"/>
      <c r="U276" s="446"/>
      <c r="V276" s="446"/>
      <c r="W276" s="446"/>
      <c r="X276" s="446"/>
      <c r="Y276" s="446"/>
      <c r="Z276" s="446"/>
      <c r="AA276" s="446"/>
      <c r="AB276" s="446"/>
      <c r="AC276" s="446"/>
    </row>
    <row r="277">
      <c r="A277" s="554">
        <v>44486.0</v>
      </c>
      <c r="B277" s="439" t="s">
        <v>2388</v>
      </c>
      <c r="C277" s="503" t="s">
        <v>175</v>
      </c>
      <c r="D277" s="543" t="s">
        <v>2389</v>
      </c>
      <c r="E277" s="399" t="s">
        <v>2262</v>
      </c>
      <c r="F277" s="544"/>
      <c r="G277" s="531"/>
      <c r="H277" s="536"/>
      <c r="I277" s="555" t="s">
        <v>2390</v>
      </c>
      <c r="J277" s="556" t="s">
        <v>2391</v>
      </c>
      <c r="K277" s="506" t="s">
        <v>2392</v>
      </c>
      <c r="L277" s="506" t="s">
        <v>2393</v>
      </c>
      <c r="M277" s="506" t="s">
        <v>2394</v>
      </c>
      <c r="N277" s="507">
        <v>8994.0</v>
      </c>
      <c r="O277" s="557">
        <v>43026.0</v>
      </c>
      <c r="P277" s="446"/>
      <c r="Q277" s="446"/>
    </row>
    <row r="278">
      <c r="A278" s="342">
        <v>44528.0</v>
      </c>
      <c r="B278" s="558" t="s">
        <v>2395</v>
      </c>
      <c r="C278" s="413" t="s">
        <v>23</v>
      </c>
      <c r="D278" s="543" t="s">
        <v>2396</v>
      </c>
      <c r="E278" s="366" t="s">
        <v>1767</v>
      </c>
      <c r="F278" s="544"/>
      <c r="G278" s="531"/>
      <c r="H278" s="536"/>
      <c r="I278" s="369" t="s">
        <v>2397</v>
      </c>
      <c r="J278" s="370" t="s">
        <v>2398</v>
      </c>
      <c r="K278" s="353" t="s">
        <v>2399</v>
      </c>
      <c r="L278" s="353" t="s">
        <v>31</v>
      </c>
      <c r="M278" s="353" t="s">
        <v>2400</v>
      </c>
      <c r="N278" s="559">
        <v>40000.0</v>
      </c>
      <c r="O278" s="356">
        <v>44469.0</v>
      </c>
      <c r="P278" s="446"/>
      <c r="Q278" s="446"/>
      <c r="R278" s="446"/>
      <c r="S278" s="446"/>
      <c r="T278" s="446"/>
      <c r="U278" s="446"/>
      <c r="V278" s="446"/>
      <c r="W278" s="446"/>
      <c r="X278" s="446"/>
      <c r="Y278" s="446"/>
      <c r="Z278" s="446"/>
      <c r="AA278" s="446"/>
      <c r="AB278" s="446"/>
      <c r="AC278" s="446"/>
      <c r="AD278" s="446"/>
      <c r="AE278" s="446"/>
      <c r="AF278" s="446"/>
      <c r="AG278" s="446"/>
      <c r="AH278" s="446"/>
      <c r="AI278" s="446"/>
      <c r="AJ278" s="446"/>
      <c r="AK278" s="446"/>
      <c r="AL278" s="446"/>
      <c r="AM278" s="446"/>
      <c r="AN278" s="446"/>
      <c r="AO278" s="446"/>
      <c r="AP278" s="446"/>
      <c r="AQ278" s="446"/>
      <c r="AR278" s="446"/>
    </row>
    <row r="279">
      <c r="A279" s="550">
        <v>44551.0</v>
      </c>
      <c r="B279" s="558" t="s">
        <v>2401</v>
      </c>
      <c r="C279" s="440" t="s">
        <v>52</v>
      </c>
      <c r="D279" s="560" t="s">
        <v>2402</v>
      </c>
      <c r="E279" s="561" t="s">
        <v>1795</v>
      </c>
      <c r="F279" s="544"/>
      <c r="G279" s="531"/>
      <c r="H279" s="536"/>
      <c r="I279" s="562" t="s">
        <v>2403</v>
      </c>
      <c r="J279" s="350" t="s">
        <v>2404</v>
      </c>
      <c r="K279" s="325" t="s">
        <v>2405</v>
      </c>
      <c r="L279" s="353" t="s">
        <v>2406</v>
      </c>
      <c r="M279" s="353" t="s">
        <v>2407</v>
      </c>
      <c r="N279" s="559">
        <v>350043.48</v>
      </c>
      <c r="O279" s="563">
        <v>44368.0</v>
      </c>
      <c r="P279" s="446"/>
      <c r="Q279" s="446"/>
      <c r="R279" s="446"/>
      <c r="S279" s="446"/>
      <c r="T279" s="446"/>
      <c r="U279" s="446"/>
      <c r="V279" s="446"/>
      <c r="W279" s="446"/>
      <c r="X279" s="446"/>
      <c r="Y279" s="446"/>
      <c r="Z279" s="446"/>
      <c r="AA279" s="446"/>
      <c r="AB279" s="446"/>
      <c r="AC279" s="446"/>
      <c r="AD279" s="446"/>
      <c r="AE279" s="446"/>
      <c r="AF279" s="446"/>
      <c r="AG279" s="446"/>
      <c r="AH279" s="446"/>
      <c r="AI279" s="446"/>
      <c r="AJ279" s="446"/>
      <c r="AK279" s="446"/>
      <c r="AL279" s="446"/>
      <c r="AM279" s="446"/>
      <c r="AN279" s="446"/>
      <c r="AO279" s="446"/>
      <c r="AP279" s="446"/>
      <c r="AQ279" s="446"/>
      <c r="AR279" s="446"/>
    </row>
    <row r="280">
      <c r="A280" s="550">
        <v>44564.0</v>
      </c>
      <c r="B280" s="439" t="s">
        <v>2408</v>
      </c>
      <c r="C280" s="461" t="s">
        <v>52</v>
      </c>
      <c r="D280" s="564" t="s">
        <v>2409</v>
      </c>
      <c r="E280" s="336" t="s">
        <v>2118</v>
      </c>
      <c r="F280" s="544"/>
      <c r="G280" s="531"/>
      <c r="H280" s="536"/>
      <c r="I280" s="339" t="s">
        <v>2410</v>
      </c>
      <c r="J280" s="545" t="s">
        <v>2411</v>
      </c>
      <c r="K280" s="351" t="s">
        <v>2412</v>
      </c>
      <c r="L280" s="352" t="s">
        <v>2412</v>
      </c>
      <c r="M280" s="352" t="s">
        <v>2413</v>
      </c>
      <c r="N280" s="462">
        <v>400000.0</v>
      </c>
      <c r="O280" s="387">
        <v>42738.0</v>
      </c>
      <c r="P280" s="446"/>
      <c r="Q280" s="446"/>
      <c r="R280" s="446"/>
      <c r="S280" s="446"/>
      <c r="T280" s="446"/>
      <c r="U280" s="446"/>
      <c r="V280" s="446"/>
      <c r="W280" s="446"/>
      <c r="X280" s="446"/>
      <c r="Y280" s="446"/>
      <c r="Z280" s="446"/>
      <c r="AA280" s="446"/>
      <c r="AB280" s="446"/>
      <c r="AC280" s="446"/>
    </row>
    <row r="281">
      <c r="A281" s="342">
        <v>44567.0</v>
      </c>
      <c r="B281" s="558" t="s">
        <v>2414</v>
      </c>
      <c r="C281" s="413" t="s">
        <v>23</v>
      </c>
      <c r="D281" s="560" t="s">
        <v>2415</v>
      </c>
      <c r="E281" s="561" t="s">
        <v>1767</v>
      </c>
      <c r="F281" s="544"/>
      <c r="G281" s="531"/>
      <c r="H281" s="536"/>
      <c r="I281" s="562" t="s">
        <v>2416</v>
      </c>
      <c r="J281" s="350" t="s">
        <v>2417</v>
      </c>
      <c r="K281" s="325" t="s">
        <v>2418</v>
      </c>
      <c r="L281" s="353" t="s">
        <v>2419</v>
      </c>
      <c r="M281" s="353" t="s">
        <v>2420</v>
      </c>
      <c r="N281" s="559">
        <v>478489.26</v>
      </c>
      <c r="O281" s="356">
        <v>44364.0</v>
      </c>
      <c r="P281" s="446"/>
      <c r="Q281" s="446"/>
      <c r="R281" s="446"/>
      <c r="S281" s="446"/>
      <c r="T281" s="446"/>
      <c r="U281" s="446"/>
      <c r="V281" s="446"/>
      <c r="W281" s="446"/>
      <c r="X281" s="446"/>
      <c r="Y281" s="446"/>
      <c r="Z281" s="446"/>
      <c r="AA281" s="446"/>
      <c r="AB281" s="446"/>
      <c r="AC281" s="446"/>
    </row>
    <row r="282">
      <c r="A282" s="342">
        <v>44593.0</v>
      </c>
      <c r="B282" s="558" t="s">
        <v>2421</v>
      </c>
      <c r="C282" s="440" t="s">
        <v>52</v>
      </c>
      <c r="D282" s="543" t="s">
        <v>2422</v>
      </c>
      <c r="E282" s="366" t="s">
        <v>1873</v>
      </c>
      <c r="F282" s="544"/>
      <c r="G282" s="531"/>
      <c r="H282" s="536"/>
      <c r="I282" s="369" t="s">
        <v>2423</v>
      </c>
      <c r="J282" s="370" t="s">
        <v>2424</v>
      </c>
      <c r="K282" s="325" t="s">
        <v>2425</v>
      </c>
      <c r="L282" s="353" t="s">
        <v>31</v>
      </c>
      <c r="M282" s="353" t="s">
        <v>2426</v>
      </c>
      <c r="N282" s="559">
        <v>166000.0</v>
      </c>
      <c r="O282" s="356">
        <v>44470.0</v>
      </c>
      <c r="P282" s="446"/>
      <c r="Q282" s="446"/>
      <c r="R282" s="446"/>
      <c r="S282" s="446"/>
      <c r="T282" s="446"/>
      <c r="U282" s="446"/>
      <c r="V282" s="446"/>
      <c r="W282" s="446"/>
      <c r="X282" s="446"/>
      <c r="Y282" s="446"/>
      <c r="Z282" s="446"/>
      <c r="AA282" s="446"/>
      <c r="AB282" s="446"/>
      <c r="AC282" s="446"/>
      <c r="AD282" s="446"/>
      <c r="AE282" s="446"/>
      <c r="AF282" s="446"/>
      <c r="AG282" s="446"/>
      <c r="AH282" s="446"/>
      <c r="AI282" s="446"/>
      <c r="AJ282" s="446"/>
      <c r="AK282" s="446"/>
      <c r="AL282" s="446"/>
      <c r="AM282" s="446"/>
      <c r="AN282" s="446"/>
      <c r="AO282" s="446"/>
      <c r="AP282" s="446"/>
      <c r="AQ282" s="446"/>
      <c r="AR282" s="446"/>
    </row>
    <row r="283">
      <c r="A283" s="550">
        <v>44595.0</v>
      </c>
      <c r="B283" s="439" t="s">
        <v>2427</v>
      </c>
      <c r="C283" s="440" t="s">
        <v>52</v>
      </c>
      <c r="D283" s="565" t="s">
        <v>2428</v>
      </c>
      <c r="E283" s="383" t="s">
        <v>1767</v>
      </c>
      <c r="F283" s="544"/>
      <c r="G283" s="531"/>
      <c r="H283" s="536"/>
      <c r="I283" s="386" t="s">
        <v>2429</v>
      </c>
      <c r="J283" s="566" t="s">
        <v>2430</v>
      </c>
      <c r="K283" s="325" t="s">
        <v>2431</v>
      </c>
      <c r="L283" s="352" t="s">
        <v>2432</v>
      </c>
      <c r="M283" s="352" t="s">
        <v>2433</v>
      </c>
      <c r="N283" s="481">
        <v>1094993.32</v>
      </c>
      <c r="O283" s="387">
        <v>43087.0</v>
      </c>
      <c r="P283" s="446"/>
      <c r="Q283" s="446"/>
      <c r="R283" s="446"/>
      <c r="S283" s="446"/>
      <c r="T283" s="446"/>
      <c r="U283" s="446"/>
      <c r="V283" s="446"/>
      <c r="W283" s="446"/>
      <c r="X283" s="446"/>
      <c r="Y283" s="446"/>
      <c r="Z283" s="446"/>
      <c r="AA283" s="446"/>
      <c r="AB283" s="446"/>
      <c r="AC283" s="446"/>
      <c r="AD283" s="446"/>
      <c r="AE283" s="446"/>
      <c r="AF283" s="446"/>
      <c r="AG283" s="446"/>
      <c r="AH283" s="446"/>
      <c r="AI283" s="446"/>
      <c r="AJ283" s="446"/>
      <c r="AK283" s="446"/>
      <c r="AL283" s="446"/>
      <c r="AM283" s="446"/>
      <c r="AN283" s="446"/>
      <c r="AO283" s="446"/>
      <c r="AP283" s="446"/>
      <c r="AQ283" s="446"/>
      <c r="AR283" s="446"/>
    </row>
    <row r="284">
      <c r="A284" s="567">
        <v>44633.0</v>
      </c>
      <c r="B284" s="568" t="s">
        <v>2434</v>
      </c>
      <c r="C284" s="569" t="s">
        <v>52</v>
      </c>
      <c r="D284" s="560" t="s">
        <v>2435</v>
      </c>
      <c r="E284" s="346" t="s">
        <v>1795</v>
      </c>
      <c r="F284" s="544"/>
      <c r="G284" s="531"/>
      <c r="H284" s="536"/>
      <c r="I284" s="349" t="s">
        <v>2436</v>
      </c>
      <c r="J284" s="350" t="s">
        <v>2437</v>
      </c>
      <c r="K284" s="570" t="s">
        <v>2438</v>
      </c>
      <c r="L284" s="569" t="s">
        <v>2439</v>
      </c>
      <c r="M284" s="569" t="s">
        <v>2440</v>
      </c>
      <c r="N284" s="571">
        <v>225000.0</v>
      </c>
      <c r="O284" s="356">
        <v>44452.0</v>
      </c>
      <c r="P284" s="446"/>
      <c r="Q284" s="446"/>
      <c r="R284" s="446"/>
      <c r="S284" s="446"/>
      <c r="T284" s="446"/>
      <c r="U284" s="446"/>
      <c r="V284" s="446"/>
      <c r="W284" s="446"/>
      <c r="X284" s="446"/>
      <c r="Y284" s="446"/>
      <c r="Z284" s="446"/>
      <c r="AA284" s="446"/>
      <c r="AB284" s="446"/>
      <c r="AC284" s="446"/>
      <c r="AD284" s="446"/>
      <c r="AE284" s="446"/>
      <c r="AF284" s="446"/>
      <c r="AG284" s="446"/>
      <c r="AH284" s="446"/>
      <c r="AI284" s="446"/>
      <c r="AJ284" s="446"/>
      <c r="AK284" s="446"/>
      <c r="AL284" s="446"/>
      <c r="AM284" s="446"/>
      <c r="AN284" s="446"/>
      <c r="AO284" s="446"/>
      <c r="AP284" s="446"/>
      <c r="AQ284" s="446"/>
      <c r="AR284" s="446"/>
    </row>
    <row r="285">
      <c r="A285" s="342">
        <v>44675.0</v>
      </c>
      <c r="B285" s="558" t="s">
        <v>2441</v>
      </c>
      <c r="C285" s="413" t="s">
        <v>52</v>
      </c>
      <c r="D285" s="543" t="s">
        <v>2442</v>
      </c>
      <c r="E285" s="366" t="s">
        <v>1767</v>
      </c>
      <c r="F285" s="544"/>
      <c r="G285" s="531"/>
      <c r="H285" s="536"/>
      <c r="I285" s="369" t="s">
        <v>2443</v>
      </c>
      <c r="J285" s="370" t="s">
        <v>2444</v>
      </c>
      <c r="K285" s="325" t="s">
        <v>2445</v>
      </c>
      <c r="L285" s="325" t="s">
        <v>2446</v>
      </c>
      <c r="M285" s="353" t="s">
        <v>2447</v>
      </c>
      <c r="N285" s="572">
        <v>744820.07</v>
      </c>
      <c r="O285" s="356">
        <v>44427.0</v>
      </c>
      <c r="P285" s="147"/>
      <c r="Q285" s="147"/>
      <c r="R285" s="147"/>
      <c r="S285" s="147"/>
      <c r="T285" s="147"/>
      <c r="U285" s="147"/>
      <c r="V285" s="147"/>
      <c r="W285" s="147"/>
      <c r="X285" s="147"/>
      <c r="Y285" s="147"/>
      <c r="Z285" s="147"/>
      <c r="AA285" s="147"/>
      <c r="AB285" s="147"/>
    </row>
    <row r="286">
      <c r="A286" s="550">
        <v>44675.0</v>
      </c>
      <c r="B286" s="439" t="s">
        <v>2448</v>
      </c>
      <c r="C286" s="461" t="s">
        <v>52</v>
      </c>
      <c r="D286" s="543" t="s">
        <v>187</v>
      </c>
      <c r="E286" s="336" t="s">
        <v>2449</v>
      </c>
      <c r="F286" s="544"/>
      <c r="G286" s="531"/>
      <c r="H286" s="536"/>
      <c r="I286" s="339" t="s">
        <v>192</v>
      </c>
      <c r="J286" s="545" t="s">
        <v>2450</v>
      </c>
      <c r="K286" s="351" t="s">
        <v>2451</v>
      </c>
      <c r="L286" s="351" t="s">
        <v>2451</v>
      </c>
      <c r="M286" s="352" t="s">
        <v>2452</v>
      </c>
      <c r="N286" s="462">
        <v>39600.0</v>
      </c>
      <c r="O286" s="387">
        <v>44310.0</v>
      </c>
      <c r="P286" s="147"/>
      <c r="Q286" s="147"/>
      <c r="R286" s="147"/>
      <c r="S286" s="147"/>
      <c r="T286" s="147"/>
      <c r="U286" s="147"/>
      <c r="V286" s="147"/>
      <c r="W286" s="147"/>
      <c r="X286" s="147"/>
      <c r="Y286" s="147"/>
      <c r="Z286" s="147"/>
      <c r="AA286" s="147"/>
      <c r="AB286" s="147"/>
    </row>
    <row r="287" ht="121.5" customHeight="1">
      <c r="A287" s="550">
        <v>44680.0</v>
      </c>
      <c r="B287" s="439" t="s">
        <v>2453</v>
      </c>
      <c r="C287" s="440" t="s">
        <v>52</v>
      </c>
      <c r="D287" s="543" t="s">
        <v>2454</v>
      </c>
      <c r="E287" s="336" t="s">
        <v>125</v>
      </c>
      <c r="F287" s="544"/>
      <c r="G287" s="531"/>
      <c r="H287" s="536"/>
      <c r="I287" s="339" t="s">
        <v>519</v>
      </c>
      <c r="J287" s="545" t="s">
        <v>2455</v>
      </c>
      <c r="K287" s="351" t="s">
        <v>2456</v>
      </c>
      <c r="L287" s="351" t="s">
        <v>2456</v>
      </c>
      <c r="M287" s="352" t="s">
        <v>2457</v>
      </c>
      <c r="N287" s="462">
        <v>37800.0</v>
      </c>
      <c r="O287" s="387">
        <v>44316.0</v>
      </c>
      <c r="P287" s="147"/>
      <c r="Q287" s="147"/>
      <c r="R287" s="147"/>
      <c r="S287" s="147"/>
      <c r="T287" s="147"/>
      <c r="U287" s="147"/>
      <c r="V287" s="147"/>
      <c r="W287" s="147"/>
      <c r="X287" s="147"/>
      <c r="Y287" s="147"/>
      <c r="Z287" s="147"/>
      <c r="AA287" s="147"/>
      <c r="AB287" s="147"/>
    </row>
    <row r="288" ht="79.5" customHeight="1">
      <c r="A288" s="550">
        <v>44685.0</v>
      </c>
      <c r="B288" s="439" t="s">
        <v>2458</v>
      </c>
      <c r="C288" s="440" t="s">
        <v>100</v>
      </c>
      <c r="D288" s="560" t="s">
        <v>2459</v>
      </c>
      <c r="E288" s="573" t="s">
        <v>1912</v>
      </c>
      <c r="F288" s="544"/>
      <c r="G288" s="531"/>
      <c r="H288" s="536"/>
      <c r="I288" s="574" t="s">
        <v>1291</v>
      </c>
      <c r="J288" s="575" t="s">
        <v>2460</v>
      </c>
      <c r="K288" s="351" t="s">
        <v>2461</v>
      </c>
      <c r="L288" s="351" t="s">
        <v>2462</v>
      </c>
      <c r="M288" s="352" t="s">
        <v>2463</v>
      </c>
      <c r="N288" s="481">
        <v>1510.68</v>
      </c>
      <c r="O288" s="387">
        <v>42859.0</v>
      </c>
      <c r="P288" s="446"/>
      <c r="Q288" s="446"/>
      <c r="R288" s="446"/>
      <c r="S288" s="446"/>
      <c r="T288" s="446"/>
      <c r="U288" s="446"/>
      <c r="V288" s="446"/>
      <c r="W288" s="446"/>
      <c r="X288" s="446"/>
      <c r="Y288" s="446"/>
      <c r="Z288" s="446"/>
      <c r="AA288" s="446"/>
      <c r="AB288" s="446"/>
    </row>
    <row r="289" ht="152.25" customHeight="1">
      <c r="A289" s="342">
        <v>44686.0</v>
      </c>
      <c r="B289" s="558" t="s">
        <v>2464</v>
      </c>
      <c r="C289" s="576" t="s">
        <v>2465</v>
      </c>
      <c r="D289" s="543" t="s">
        <v>2466</v>
      </c>
      <c r="E289" s="366" t="s">
        <v>125</v>
      </c>
      <c r="F289" s="544"/>
      <c r="G289" s="531"/>
      <c r="H289" s="536"/>
      <c r="I289" s="369" t="s">
        <v>2467</v>
      </c>
      <c r="J289" s="370" t="s">
        <v>2468</v>
      </c>
      <c r="K289" s="325" t="s">
        <v>2469</v>
      </c>
      <c r="L289" s="325" t="s">
        <v>2470</v>
      </c>
      <c r="M289" s="353" t="s">
        <v>2471</v>
      </c>
      <c r="N289" s="559">
        <v>217000.0</v>
      </c>
      <c r="O289" s="356">
        <v>44487.0</v>
      </c>
      <c r="P289" s="446"/>
      <c r="Q289" s="446"/>
      <c r="R289" s="446"/>
      <c r="S289" s="446"/>
      <c r="T289" s="446"/>
      <c r="U289" s="446"/>
      <c r="V289" s="446"/>
      <c r="W289" s="446"/>
      <c r="X289" s="446"/>
      <c r="Y289" s="446"/>
      <c r="Z289" s="446"/>
      <c r="AA289" s="446"/>
      <c r="AB289" s="446"/>
    </row>
    <row r="290">
      <c r="A290" s="550">
        <v>44737.0</v>
      </c>
      <c r="B290" s="558" t="s">
        <v>2472</v>
      </c>
      <c r="C290" s="576" t="s">
        <v>23</v>
      </c>
      <c r="D290" s="560" t="s">
        <v>2473</v>
      </c>
      <c r="E290" s="561" t="s">
        <v>1789</v>
      </c>
      <c r="F290" s="544"/>
      <c r="G290" s="531"/>
      <c r="H290" s="536"/>
      <c r="I290" s="562" t="s">
        <v>2474</v>
      </c>
      <c r="J290" s="577" t="s">
        <v>2475</v>
      </c>
      <c r="K290" s="325" t="s">
        <v>2476</v>
      </c>
      <c r="L290" s="325" t="s">
        <v>2477</v>
      </c>
      <c r="M290" s="353" t="s">
        <v>2478</v>
      </c>
      <c r="N290" s="559">
        <v>57500.0</v>
      </c>
      <c r="O290" s="356">
        <v>44372.0</v>
      </c>
      <c r="P290" s="147"/>
      <c r="Q290" s="147"/>
      <c r="R290" s="147"/>
      <c r="S290" s="147"/>
      <c r="T290" s="147"/>
      <c r="U290" s="147"/>
      <c r="V290" s="147"/>
      <c r="W290" s="147"/>
      <c r="X290" s="147"/>
      <c r="Y290" s="147"/>
      <c r="Z290" s="147"/>
      <c r="AA290" s="147"/>
      <c r="AB290" s="147"/>
      <c r="AC290" s="147"/>
    </row>
    <row r="291">
      <c r="A291" s="320">
        <v>44743.0</v>
      </c>
      <c r="B291" s="496" t="s">
        <v>2479</v>
      </c>
      <c r="C291" s="578" t="s">
        <v>137</v>
      </c>
      <c r="D291" s="579"/>
      <c r="E291" s="403" t="s">
        <v>2480</v>
      </c>
      <c r="F291" s="531"/>
      <c r="G291" s="531"/>
      <c r="H291" s="536"/>
      <c r="I291" s="580" t="s">
        <v>2481</v>
      </c>
      <c r="J291" s="581" t="s">
        <v>2482</v>
      </c>
      <c r="K291" s="329" t="s">
        <v>2483</v>
      </c>
      <c r="L291" s="329" t="s">
        <v>2484</v>
      </c>
      <c r="M291" s="331" t="s">
        <v>2485</v>
      </c>
      <c r="N291" s="559">
        <v>240747.93</v>
      </c>
      <c r="O291" s="334">
        <v>43633.0</v>
      </c>
      <c r="P291" s="446"/>
      <c r="Q291" s="446"/>
      <c r="R291" s="446"/>
      <c r="S291" s="446"/>
      <c r="T291" s="446"/>
      <c r="U291" s="446"/>
      <c r="V291" s="446"/>
      <c r="W291" s="446"/>
      <c r="X291" s="446"/>
      <c r="Y291" s="446"/>
      <c r="Z291" s="446"/>
      <c r="AA291" s="446"/>
      <c r="AB291" s="446"/>
      <c r="AC291" s="446"/>
    </row>
    <row r="292">
      <c r="A292" s="95"/>
      <c r="B292" s="95"/>
      <c r="C292" s="95"/>
      <c r="D292" s="582" t="s">
        <v>2486</v>
      </c>
      <c r="E292" s="346" t="s">
        <v>2487</v>
      </c>
      <c r="F292" s="544"/>
      <c r="G292" s="531"/>
      <c r="H292" s="536"/>
      <c r="I292" s="279"/>
      <c r="J292" s="95"/>
      <c r="K292" s="95"/>
      <c r="L292" s="95"/>
      <c r="M292" s="95"/>
      <c r="N292" s="559">
        <v>222228.86</v>
      </c>
      <c r="O292" s="95"/>
      <c r="P292" s="446"/>
      <c r="Q292" s="446"/>
      <c r="R292" s="446"/>
      <c r="S292" s="446"/>
      <c r="T292" s="446"/>
      <c r="U292" s="446"/>
      <c r="V292" s="446"/>
      <c r="W292" s="446"/>
      <c r="X292" s="446"/>
      <c r="Y292" s="446"/>
      <c r="Z292" s="446"/>
      <c r="AA292" s="446"/>
      <c r="AB292" s="446"/>
      <c r="AC292" s="446"/>
    </row>
    <row r="293">
      <c r="A293" s="79"/>
      <c r="B293" s="79"/>
      <c r="C293" s="79"/>
      <c r="D293" s="565"/>
      <c r="E293" s="383" t="s">
        <v>1873</v>
      </c>
      <c r="F293" s="544"/>
      <c r="G293" s="531"/>
      <c r="H293" s="536"/>
      <c r="I293" s="207"/>
      <c r="J293" s="79"/>
      <c r="K293" s="79"/>
      <c r="L293" s="79"/>
      <c r="M293" s="79"/>
      <c r="N293" s="583">
        <f>SUM(N291:N292)</f>
        <v>462976.79</v>
      </c>
      <c r="O293" s="79"/>
      <c r="P293" s="446"/>
      <c r="Q293" s="446"/>
      <c r="R293" s="446"/>
      <c r="S293" s="446"/>
      <c r="T293" s="446"/>
      <c r="U293" s="446"/>
      <c r="V293" s="446"/>
      <c r="W293" s="446"/>
      <c r="X293" s="446"/>
      <c r="Y293" s="446"/>
      <c r="Z293" s="446"/>
      <c r="AA293" s="446"/>
      <c r="AB293" s="446"/>
      <c r="AC293" s="446"/>
    </row>
    <row r="294" ht="77.25" customHeight="1">
      <c r="A294" s="342">
        <v>44745.0</v>
      </c>
      <c r="B294" s="439" t="s">
        <v>2488</v>
      </c>
      <c r="C294" s="576" t="s">
        <v>2489</v>
      </c>
      <c r="D294" s="543" t="s">
        <v>2490</v>
      </c>
      <c r="E294" s="336" t="s">
        <v>1767</v>
      </c>
      <c r="F294" s="544"/>
      <c r="G294" s="531"/>
      <c r="H294" s="536"/>
      <c r="I294" s="339" t="s">
        <v>2491</v>
      </c>
      <c r="J294" s="370" t="s">
        <v>2492</v>
      </c>
      <c r="K294" s="351" t="s">
        <v>2493</v>
      </c>
      <c r="L294" s="351" t="s">
        <v>2494</v>
      </c>
      <c r="M294" s="352" t="s">
        <v>2495</v>
      </c>
      <c r="N294" s="572">
        <v>1056628.71</v>
      </c>
      <c r="O294" s="387">
        <v>43089.0</v>
      </c>
      <c r="P294" s="446"/>
      <c r="Q294" s="446"/>
      <c r="R294" s="446"/>
      <c r="S294" s="446"/>
      <c r="T294" s="446"/>
      <c r="U294" s="446"/>
      <c r="V294" s="446"/>
      <c r="W294" s="446"/>
      <c r="X294" s="446"/>
      <c r="Y294" s="446"/>
      <c r="Z294" s="446"/>
      <c r="AA294" s="446"/>
      <c r="AB294" s="446"/>
      <c r="AC294" s="446"/>
    </row>
    <row r="295" ht="74.25" customHeight="1">
      <c r="A295" s="342">
        <v>44749.0</v>
      </c>
      <c r="B295" s="493" t="s">
        <v>2496</v>
      </c>
      <c r="C295" s="584" t="s">
        <v>100</v>
      </c>
      <c r="D295" s="543" t="s">
        <v>1053</v>
      </c>
      <c r="E295" s="336" t="s">
        <v>125</v>
      </c>
      <c r="F295" s="544"/>
      <c r="G295" s="531"/>
      <c r="H295" s="536"/>
      <c r="I295" s="339" t="s">
        <v>2497</v>
      </c>
      <c r="J295" s="370" t="s">
        <v>2498</v>
      </c>
      <c r="K295" s="351" t="s">
        <v>2499</v>
      </c>
      <c r="L295" s="351" t="s">
        <v>2499</v>
      </c>
      <c r="M295" s="352" t="s">
        <v>2500</v>
      </c>
      <c r="N295" s="462">
        <v>57068.52</v>
      </c>
      <c r="O295" s="387">
        <v>42923.0</v>
      </c>
      <c r="P295" s="446"/>
      <c r="Q295" s="446"/>
      <c r="R295" s="446"/>
      <c r="S295" s="446"/>
      <c r="T295" s="446"/>
      <c r="U295" s="446"/>
      <c r="V295" s="446"/>
      <c r="W295" s="446"/>
      <c r="X295" s="446"/>
      <c r="Y295" s="446"/>
      <c r="Z295" s="446"/>
      <c r="AA295" s="446"/>
      <c r="AB295" s="446"/>
      <c r="AC295" s="446"/>
    </row>
    <row r="296" ht="132.75" customHeight="1">
      <c r="A296" s="342">
        <v>44754.0</v>
      </c>
      <c r="B296" s="493" t="s">
        <v>2501</v>
      </c>
      <c r="C296" s="584" t="s">
        <v>100</v>
      </c>
      <c r="D296" s="543" t="s">
        <v>2389</v>
      </c>
      <c r="E296" s="336" t="s">
        <v>1801</v>
      </c>
      <c r="F296" s="544"/>
      <c r="G296" s="531"/>
      <c r="H296" s="536"/>
      <c r="I296" s="369" t="s">
        <v>2502</v>
      </c>
      <c r="J296" s="545" t="s">
        <v>2503</v>
      </c>
      <c r="K296" s="351" t="s">
        <v>2504</v>
      </c>
      <c r="L296" s="351" t="s">
        <v>2505</v>
      </c>
      <c r="M296" s="352" t="s">
        <v>2506</v>
      </c>
      <c r="N296" s="572">
        <v>61223.28</v>
      </c>
      <c r="O296" s="387">
        <v>43294.0</v>
      </c>
      <c r="P296" s="446"/>
      <c r="Q296" s="446"/>
      <c r="R296" s="446"/>
      <c r="S296" s="446"/>
      <c r="T296" s="446"/>
      <c r="U296" s="446"/>
      <c r="V296" s="446"/>
      <c r="W296" s="446"/>
      <c r="X296" s="446"/>
      <c r="Y296" s="446"/>
      <c r="Z296" s="446"/>
      <c r="AA296" s="446"/>
      <c r="AB296" s="446"/>
      <c r="AC296" s="446"/>
    </row>
    <row r="297">
      <c r="A297" s="342">
        <v>44757.0</v>
      </c>
      <c r="B297" s="558" t="s">
        <v>2507</v>
      </c>
      <c r="C297" s="576" t="s">
        <v>52</v>
      </c>
      <c r="D297" s="560" t="s">
        <v>2473</v>
      </c>
      <c r="E297" s="561" t="s">
        <v>1789</v>
      </c>
      <c r="F297" s="544"/>
      <c r="G297" s="531"/>
      <c r="H297" s="536"/>
      <c r="I297" s="562" t="s">
        <v>2474</v>
      </c>
      <c r="J297" s="350" t="s">
        <v>2508</v>
      </c>
      <c r="K297" s="325" t="s">
        <v>2509</v>
      </c>
      <c r="L297" s="325" t="s">
        <v>31</v>
      </c>
      <c r="M297" s="353" t="s">
        <v>2510</v>
      </c>
      <c r="N297" s="559">
        <v>16905.0</v>
      </c>
      <c r="O297" s="356">
        <v>44697.0</v>
      </c>
      <c r="P297" s="147"/>
      <c r="Q297" s="147"/>
      <c r="R297" s="147"/>
      <c r="S297" s="147"/>
      <c r="T297" s="147"/>
      <c r="U297" s="147"/>
      <c r="V297" s="147"/>
      <c r="W297" s="147"/>
      <c r="X297" s="147"/>
      <c r="Y297" s="147"/>
      <c r="Z297" s="147"/>
      <c r="AA297" s="147"/>
      <c r="AB297" s="147"/>
      <c r="AC297" s="147"/>
    </row>
    <row r="298">
      <c r="A298" s="585">
        <v>44764.0</v>
      </c>
      <c r="B298" s="496" t="s">
        <v>2255</v>
      </c>
      <c r="C298" s="578" t="s">
        <v>2511</v>
      </c>
      <c r="D298" s="586" t="s">
        <v>240</v>
      </c>
      <c r="E298" s="587" t="s">
        <v>1014</v>
      </c>
      <c r="F298" s="588"/>
      <c r="G298" s="531"/>
      <c r="H298" s="536"/>
      <c r="I298" s="589" t="s">
        <v>2257</v>
      </c>
      <c r="J298" s="590" t="s">
        <v>2512</v>
      </c>
      <c r="K298" s="329" t="s">
        <v>2259</v>
      </c>
      <c r="L298" s="329" t="s">
        <v>2260</v>
      </c>
      <c r="M298" s="331" t="s">
        <v>2261</v>
      </c>
      <c r="N298" s="591">
        <v>0.0</v>
      </c>
      <c r="O298" s="334">
        <v>42758.0</v>
      </c>
      <c r="P298" s="446"/>
      <c r="Q298" s="446"/>
      <c r="R298" s="446"/>
      <c r="S298" s="446"/>
      <c r="T298" s="446"/>
      <c r="U298" s="446"/>
      <c r="V298" s="446"/>
      <c r="W298" s="446"/>
      <c r="X298" s="446"/>
      <c r="Y298" s="446"/>
      <c r="Z298" s="446"/>
      <c r="AA298" s="446"/>
      <c r="AB298" s="446"/>
      <c r="AC298" s="446"/>
      <c r="AD298" s="446"/>
    </row>
    <row r="299">
      <c r="A299" s="95"/>
      <c r="B299" s="95"/>
      <c r="C299" s="95"/>
      <c r="D299" s="279"/>
      <c r="E299" s="587" t="s">
        <v>139</v>
      </c>
      <c r="F299" s="588"/>
      <c r="G299" s="531"/>
      <c r="H299" s="536"/>
      <c r="I299" s="279"/>
      <c r="J299" s="95"/>
      <c r="K299" s="95"/>
      <c r="L299" s="95"/>
      <c r="M299" s="95"/>
      <c r="N299" s="591">
        <v>2403.8</v>
      </c>
      <c r="O299" s="95"/>
      <c r="P299" s="446"/>
      <c r="Q299" s="446"/>
      <c r="R299" s="446"/>
      <c r="S299" s="446"/>
      <c r="T299" s="446"/>
      <c r="U299" s="446"/>
      <c r="V299" s="446"/>
      <c r="W299" s="446"/>
      <c r="X299" s="446"/>
      <c r="Y299" s="446"/>
      <c r="Z299" s="446"/>
      <c r="AA299" s="446"/>
      <c r="AB299" s="446"/>
      <c r="AC299" s="446"/>
      <c r="AD299" s="446"/>
    </row>
    <row r="300">
      <c r="A300" s="95"/>
      <c r="B300" s="95"/>
      <c r="C300" s="95"/>
      <c r="D300" s="279"/>
      <c r="E300" s="592" t="s">
        <v>2513</v>
      </c>
      <c r="F300" s="588"/>
      <c r="G300" s="531"/>
      <c r="H300" s="536"/>
      <c r="I300" s="279"/>
      <c r="J300" s="95"/>
      <c r="K300" s="95"/>
      <c r="L300" s="95"/>
      <c r="M300" s="95"/>
      <c r="N300" s="591">
        <v>45014.0</v>
      </c>
      <c r="O300" s="95"/>
      <c r="P300" s="446"/>
      <c r="Q300" s="446"/>
      <c r="R300" s="446"/>
      <c r="S300" s="446"/>
      <c r="T300" s="446"/>
      <c r="U300" s="446"/>
      <c r="V300" s="446"/>
      <c r="W300" s="446"/>
      <c r="X300" s="446"/>
      <c r="Y300" s="446"/>
      <c r="Z300" s="446"/>
      <c r="AA300" s="446"/>
      <c r="AB300" s="446"/>
      <c r="AC300" s="446"/>
      <c r="AD300" s="446"/>
    </row>
    <row r="301">
      <c r="A301" s="95"/>
      <c r="B301" s="95"/>
      <c r="C301" s="95"/>
      <c r="D301" s="279"/>
      <c r="E301" s="592" t="s">
        <v>475</v>
      </c>
      <c r="F301" s="588"/>
      <c r="G301" s="531"/>
      <c r="H301" s="536"/>
      <c r="I301" s="279"/>
      <c r="J301" s="95"/>
      <c r="K301" s="95"/>
      <c r="L301" s="95"/>
      <c r="M301" s="95"/>
      <c r="N301" s="591">
        <v>25564.2</v>
      </c>
      <c r="O301" s="95"/>
      <c r="P301" s="443"/>
      <c r="Q301" s="443"/>
      <c r="R301" s="443"/>
      <c r="S301" s="443"/>
      <c r="T301" s="443"/>
      <c r="U301" s="443"/>
      <c r="V301" s="443"/>
      <c r="W301" s="443"/>
      <c r="X301" s="443"/>
      <c r="Y301" s="443"/>
      <c r="Z301" s="443"/>
      <c r="AA301" s="443"/>
      <c r="AB301" s="443"/>
      <c r="AC301" s="443"/>
      <c r="AD301" s="443"/>
    </row>
    <row r="302">
      <c r="A302" s="95"/>
      <c r="B302" s="95"/>
      <c r="C302" s="95"/>
      <c r="D302" s="279"/>
      <c r="E302" s="587" t="s">
        <v>380</v>
      </c>
      <c r="F302" s="588"/>
      <c r="G302" s="531"/>
      <c r="H302" s="536"/>
      <c r="I302" s="279"/>
      <c r="J302" s="95"/>
      <c r="K302" s="95"/>
      <c r="L302" s="95"/>
      <c r="M302" s="95"/>
      <c r="N302" s="591">
        <v>1030.0</v>
      </c>
      <c r="O302" s="95"/>
      <c r="P302" s="443"/>
      <c r="Q302" s="443"/>
      <c r="R302" s="443"/>
      <c r="S302" s="443"/>
      <c r="T302" s="443"/>
      <c r="U302" s="443"/>
      <c r="V302" s="443"/>
      <c r="W302" s="443"/>
      <c r="X302" s="443"/>
      <c r="Y302" s="443"/>
      <c r="Z302" s="443"/>
      <c r="AA302" s="443"/>
      <c r="AB302" s="443"/>
      <c r="AC302" s="443"/>
      <c r="AD302" s="443"/>
    </row>
    <row r="303">
      <c r="A303" s="95"/>
      <c r="B303" s="95"/>
      <c r="C303" s="95"/>
      <c r="D303" s="279"/>
      <c r="E303" s="587" t="s">
        <v>40</v>
      </c>
      <c r="F303" s="588"/>
      <c r="G303" s="531"/>
      <c r="H303" s="536"/>
      <c r="I303" s="279"/>
      <c r="J303" s="95"/>
      <c r="K303" s="95"/>
      <c r="L303" s="95"/>
      <c r="M303" s="95"/>
      <c r="N303" s="591">
        <v>3777.4</v>
      </c>
      <c r="O303" s="95"/>
      <c r="P303" s="443"/>
      <c r="Q303" s="443"/>
      <c r="R303" s="443"/>
      <c r="S303" s="443"/>
      <c r="T303" s="443"/>
      <c r="U303" s="443"/>
      <c r="V303" s="443"/>
      <c r="W303" s="443"/>
      <c r="X303" s="443"/>
      <c r="Y303" s="443"/>
      <c r="Z303" s="443"/>
      <c r="AA303" s="443"/>
      <c r="AB303" s="443"/>
      <c r="AC303" s="443"/>
      <c r="AD303" s="443"/>
    </row>
    <row r="304">
      <c r="A304" s="95"/>
      <c r="B304" s="95"/>
      <c r="C304" s="95"/>
      <c r="D304" s="279"/>
      <c r="E304" s="587" t="s">
        <v>2514</v>
      </c>
      <c r="F304" s="588"/>
      <c r="G304" s="531"/>
      <c r="H304" s="536"/>
      <c r="I304" s="279"/>
      <c r="J304" s="95"/>
      <c r="K304" s="95"/>
      <c r="L304" s="95"/>
      <c r="M304" s="95"/>
      <c r="N304" s="591">
        <v>2403.8</v>
      </c>
      <c r="O304" s="95"/>
      <c r="P304" s="443"/>
      <c r="Q304" s="443"/>
      <c r="R304" s="443"/>
      <c r="S304" s="443"/>
      <c r="T304" s="443"/>
      <c r="U304" s="443"/>
      <c r="V304" s="443"/>
      <c r="W304" s="443"/>
      <c r="X304" s="443"/>
      <c r="Y304" s="443"/>
      <c r="Z304" s="443"/>
      <c r="AA304" s="443"/>
      <c r="AB304" s="443"/>
      <c r="AC304" s="443"/>
      <c r="AD304" s="443"/>
    </row>
    <row r="305">
      <c r="A305" s="95"/>
      <c r="B305" s="95"/>
      <c r="C305" s="95"/>
      <c r="D305" s="279"/>
      <c r="E305" s="587" t="s">
        <v>2515</v>
      </c>
      <c r="F305" s="588"/>
      <c r="G305" s="531"/>
      <c r="H305" s="536"/>
      <c r="I305" s="279"/>
      <c r="J305" s="95"/>
      <c r="K305" s="95"/>
      <c r="L305" s="95"/>
      <c r="M305" s="95"/>
      <c r="N305" s="591">
        <v>194078.0</v>
      </c>
      <c r="O305" s="95"/>
      <c r="P305" s="147"/>
      <c r="Q305" s="147"/>
      <c r="R305" s="147"/>
      <c r="S305" s="147"/>
      <c r="T305" s="147"/>
      <c r="U305" s="147"/>
      <c r="V305" s="147"/>
      <c r="W305" s="147"/>
      <c r="X305" s="147"/>
      <c r="Y305" s="147"/>
      <c r="Z305" s="147"/>
      <c r="AA305" s="147"/>
      <c r="AB305" s="147"/>
      <c r="AC305" s="147"/>
      <c r="AD305" s="147"/>
    </row>
    <row r="306">
      <c r="A306" s="95"/>
      <c r="B306" s="95"/>
      <c r="C306" s="95"/>
      <c r="D306" s="279"/>
      <c r="E306" s="587" t="s">
        <v>25</v>
      </c>
      <c r="F306" s="588"/>
      <c r="G306" s="531"/>
      <c r="H306" s="536"/>
      <c r="I306" s="279"/>
      <c r="J306" s="95"/>
      <c r="K306" s="95"/>
      <c r="L306" s="95"/>
      <c r="M306" s="95"/>
      <c r="N306" s="591">
        <v>202644.0</v>
      </c>
      <c r="O306" s="95"/>
      <c r="P306" s="147"/>
      <c r="Q306" s="147"/>
      <c r="R306" s="147"/>
      <c r="S306" s="147"/>
      <c r="T306" s="147"/>
      <c r="U306" s="147"/>
      <c r="V306" s="147"/>
      <c r="W306" s="147"/>
      <c r="X306" s="147"/>
      <c r="Y306" s="147"/>
      <c r="Z306" s="147"/>
      <c r="AA306" s="147"/>
      <c r="AB306" s="147"/>
      <c r="AC306" s="147"/>
      <c r="AD306" s="147"/>
    </row>
    <row r="307">
      <c r="A307" s="95"/>
      <c r="B307" s="95"/>
      <c r="C307" s="95"/>
      <c r="D307" s="279"/>
      <c r="E307" s="592" t="s">
        <v>2516</v>
      </c>
      <c r="F307" s="588"/>
      <c r="G307" s="531"/>
      <c r="H307" s="536"/>
      <c r="I307" s="279"/>
      <c r="J307" s="95"/>
      <c r="K307" s="95"/>
      <c r="L307" s="95"/>
      <c r="M307" s="95"/>
      <c r="N307" s="591">
        <v>57467.0</v>
      </c>
      <c r="O307" s="95"/>
      <c r="P307" s="147"/>
      <c r="Q307" s="147"/>
      <c r="R307" s="147"/>
      <c r="S307" s="147"/>
      <c r="T307" s="147"/>
      <c r="U307" s="147"/>
      <c r="V307" s="147"/>
      <c r="W307" s="147"/>
      <c r="X307" s="147"/>
      <c r="Y307" s="147"/>
      <c r="Z307" s="147"/>
      <c r="AA307" s="147"/>
      <c r="AB307" s="147"/>
      <c r="AC307" s="147"/>
      <c r="AD307" s="147"/>
    </row>
    <row r="308">
      <c r="A308" s="95"/>
      <c r="B308" s="95"/>
      <c r="C308" s="95"/>
      <c r="D308" s="279"/>
      <c r="E308" s="587" t="s">
        <v>2517</v>
      </c>
      <c r="F308" s="588"/>
      <c r="G308" s="531"/>
      <c r="H308" s="536"/>
      <c r="I308" s="279"/>
      <c r="J308" s="95"/>
      <c r="K308" s="95"/>
      <c r="L308" s="95"/>
      <c r="M308" s="95"/>
      <c r="N308" s="591">
        <v>686.8</v>
      </c>
      <c r="O308" s="95"/>
      <c r="P308" s="147"/>
      <c r="Q308" s="147"/>
      <c r="R308" s="147"/>
      <c r="S308" s="147"/>
      <c r="T308" s="147"/>
      <c r="U308" s="147"/>
      <c r="V308" s="147"/>
      <c r="W308" s="147"/>
      <c r="X308" s="147"/>
      <c r="Y308" s="147"/>
      <c r="Z308" s="147"/>
      <c r="AA308" s="147"/>
      <c r="AB308" s="147"/>
      <c r="AC308" s="147"/>
      <c r="AD308" s="147"/>
    </row>
    <row r="309">
      <c r="A309" s="95"/>
      <c r="B309" s="95"/>
      <c r="C309" s="95"/>
      <c r="D309" s="279"/>
      <c r="E309" s="587" t="s">
        <v>369</v>
      </c>
      <c r="F309" s="588"/>
      <c r="G309" s="531"/>
      <c r="H309" s="536"/>
      <c r="I309" s="279"/>
      <c r="J309" s="95"/>
      <c r="K309" s="95"/>
      <c r="L309" s="95"/>
      <c r="M309" s="95"/>
      <c r="N309" s="591">
        <v>7740.8</v>
      </c>
      <c r="O309" s="95"/>
      <c r="P309" s="147"/>
      <c r="Q309" s="147"/>
      <c r="R309" s="147"/>
      <c r="S309" s="147"/>
      <c r="T309" s="147"/>
      <c r="U309" s="147"/>
      <c r="V309" s="147"/>
      <c r="W309" s="147"/>
      <c r="X309" s="147"/>
      <c r="Y309" s="147"/>
      <c r="Z309" s="147"/>
      <c r="AA309" s="147"/>
      <c r="AB309" s="147"/>
      <c r="AC309" s="147"/>
      <c r="AD309" s="147"/>
    </row>
    <row r="310">
      <c r="A310" s="79"/>
      <c r="B310" s="79"/>
      <c r="C310" s="79"/>
      <c r="D310" s="207"/>
      <c r="E310" s="593"/>
      <c r="F310" s="588"/>
      <c r="G310" s="531"/>
      <c r="H310" s="536"/>
      <c r="I310" s="207"/>
      <c r="J310" s="79"/>
      <c r="K310" s="79"/>
      <c r="L310" s="79"/>
      <c r="M310" s="79"/>
      <c r="N310" s="501">
        <f>SUM(N298:N309)</f>
        <v>542809.8</v>
      </c>
      <c r="O310" s="79"/>
      <c r="P310" s="147"/>
      <c r="Q310" s="147"/>
      <c r="R310" s="147"/>
      <c r="S310" s="147"/>
      <c r="T310" s="147"/>
      <c r="U310" s="147"/>
      <c r="V310" s="147"/>
      <c r="W310" s="147"/>
      <c r="X310" s="147"/>
      <c r="Y310" s="147"/>
      <c r="Z310" s="147"/>
      <c r="AA310" s="147"/>
      <c r="AB310" s="147"/>
      <c r="AC310" s="147"/>
      <c r="AD310" s="147"/>
    </row>
    <row r="311">
      <c r="A311" s="342">
        <v>44780.0</v>
      </c>
      <c r="B311" s="558" t="s">
        <v>2518</v>
      </c>
      <c r="C311" s="576" t="s">
        <v>52</v>
      </c>
      <c r="D311" s="543" t="s">
        <v>2519</v>
      </c>
      <c r="E311" s="370" t="s">
        <v>1873</v>
      </c>
      <c r="F311" s="594"/>
      <c r="G311" s="531"/>
      <c r="H311" s="536"/>
      <c r="I311" s="369" t="s">
        <v>2520</v>
      </c>
      <c r="J311" s="370" t="s">
        <v>2521</v>
      </c>
      <c r="K311" s="325" t="s">
        <v>2522</v>
      </c>
      <c r="L311" s="325" t="s">
        <v>31</v>
      </c>
      <c r="M311" s="353" t="s">
        <v>2523</v>
      </c>
      <c r="N311" s="572">
        <v>543960.0</v>
      </c>
      <c r="O311" s="356">
        <v>44600.0</v>
      </c>
      <c r="P311" s="443"/>
      <c r="Q311" s="443"/>
      <c r="R311" s="443"/>
      <c r="S311" s="443"/>
      <c r="T311" s="443"/>
      <c r="U311" s="443"/>
      <c r="V311" s="443"/>
      <c r="W311" s="443"/>
      <c r="X311" s="443"/>
      <c r="Y311" s="443"/>
      <c r="Z311" s="443"/>
      <c r="AA311" s="443"/>
      <c r="AB311" s="443"/>
      <c r="AC311" s="443"/>
    </row>
    <row r="312" ht="82.5" customHeight="1">
      <c r="A312" s="320">
        <v>44796.0</v>
      </c>
      <c r="B312" s="595" t="s">
        <v>2524</v>
      </c>
      <c r="C312" s="578" t="s">
        <v>52</v>
      </c>
      <c r="D312" s="547" t="s">
        <v>1832</v>
      </c>
      <c r="E312" s="328" t="s">
        <v>25</v>
      </c>
      <c r="F312" s="596"/>
      <c r="G312" s="597"/>
      <c r="H312" s="598"/>
      <c r="I312" s="599" t="s">
        <v>2525</v>
      </c>
      <c r="J312" s="328" t="s">
        <v>2526</v>
      </c>
      <c r="K312" s="326" t="s">
        <v>2527</v>
      </c>
      <c r="L312" s="326" t="s">
        <v>31</v>
      </c>
      <c r="M312" s="330" t="s">
        <v>2528</v>
      </c>
      <c r="N312" s="600">
        <v>2699988.0</v>
      </c>
      <c r="O312" s="335">
        <v>44636.0</v>
      </c>
      <c r="P312" s="443"/>
      <c r="Q312" s="443"/>
      <c r="R312" s="443"/>
      <c r="S312" s="443"/>
      <c r="T312" s="443"/>
      <c r="U312" s="443"/>
      <c r="V312" s="443"/>
      <c r="W312" s="443"/>
      <c r="X312" s="443"/>
      <c r="Y312" s="443"/>
      <c r="Z312" s="443"/>
      <c r="AA312" s="443"/>
      <c r="AB312" s="443"/>
      <c r="AC312" s="443"/>
    </row>
    <row r="313">
      <c r="A313" s="342">
        <v>44815.0</v>
      </c>
      <c r="B313" s="348" t="s">
        <v>100</v>
      </c>
      <c r="C313" s="332">
        <v>83673.44</v>
      </c>
      <c r="D313" s="543" t="s">
        <v>2529</v>
      </c>
      <c r="E313" s="336" t="s">
        <v>125</v>
      </c>
      <c r="F313" s="384"/>
      <c r="G313" s="385"/>
      <c r="H313" s="385"/>
      <c r="I313" s="370" t="s">
        <v>2530</v>
      </c>
      <c r="J313" s="351" t="s">
        <v>2531</v>
      </c>
      <c r="K313" s="351" t="s">
        <v>2531</v>
      </c>
      <c r="L313" s="352" t="s">
        <v>2532</v>
      </c>
      <c r="M313" s="440" t="s">
        <v>2533</v>
      </c>
      <c r="N313" s="601">
        <v>42990.0</v>
      </c>
      <c r="O313" s="390" t="s">
        <v>2534</v>
      </c>
      <c r="P313" s="602"/>
      <c r="Q313" s="602"/>
      <c r="R313" s="602"/>
      <c r="S313" s="602"/>
      <c r="T313" s="602"/>
      <c r="U313" s="602"/>
      <c r="V313" s="602"/>
      <c r="W313" s="602"/>
      <c r="X313" s="602"/>
      <c r="Y313" s="602"/>
      <c r="Z313" s="602"/>
      <c r="AA313" s="602"/>
      <c r="AB313" s="602"/>
      <c r="AC313" s="602"/>
      <c r="AD313" s="602"/>
      <c r="AE313" s="602"/>
      <c r="AF313" s="602"/>
      <c r="AG313" s="602"/>
      <c r="AH313" s="602"/>
    </row>
    <row r="314" ht="45.0" customHeight="1">
      <c r="A314" s="400">
        <v>44826.0</v>
      </c>
      <c r="B314" s="558" t="s">
        <v>325</v>
      </c>
      <c r="C314" s="332">
        <v>2000.0</v>
      </c>
      <c r="D314" s="543" t="s">
        <v>2535</v>
      </c>
      <c r="E314" s="362" t="s">
        <v>125</v>
      </c>
      <c r="F314" s="325"/>
      <c r="G314" s="325" t="s">
        <v>2536</v>
      </c>
      <c r="H314" s="325" t="s">
        <v>2537</v>
      </c>
      <c r="I314" s="362" t="s">
        <v>2538</v>
      </c>
      <c r="J314" s="325" t="s">
        <v>2539</v>
      </c>
      <c r="K314" s="325" t="s">
        <v>2539</v>
      </c>
      <c r="L314" s="353" t="s">
        <v>1779</v>
      </c>
      <c r="M314" s="576" t="s">
        <v>1772</v>
      </c>
      <c r="N314" s="603">
        <v>44797.0</v>
      </c>
      <c r="O314" s="390">
        <v>2000.0</v>
      </c>
      <c r="P314" s="147"/>
      <c r="Q314" s="147"/>
      <c r="R314" s="147"/>
      <c r="S314" s="147"/>
      <c r="T314" s="147"/>
      <c r="U314" s="147"/>
      <c r="V314" s="147"/>
      <c r="W314" s="147"/>
      <c r="X314" s="147"/>
      <c r="Y314" s="147"/>
      <c r="Z314" s="147"/>
      <c r="AA314" s="147"/>
      <c r="AB314" s="147"/>
      <c r="AC314" s="147"/>
      <c r="AD314" s="147"/>
      <c r="AE314" s="147"/>
      <c r="AF314" s="147"/>
      <c r="AG314" s="147"/>
      <c r="AH314" s="147"/>
    </row>
    <row r="315">
      <c r="A315" s="320">
        <v>44836.0</v>
      </c>
      <c r="B315" s="595" t="s">
        <v>175</v>
      </c>
      <c r="C315" s="405">
        <f>C317/100*75</f>
        <v>558001.215</v>
      </c>
      <c r="D315" s="604"/>
      <c r="E315" s="336" t="s">
        <v>2540</v>
      </c>
      <c r="F315" s="337"/>
      <c r="G315" s="325"/>
      <c r="H315" s="325"/>
      <c r="I315" s="328" t="s">
        <v>2541</v>
      </c>
      <c r="J315" s="329" t="s">
        <v>2542</v>
      </c>
      <c r="K315" s="329" t="s">
        <v>2543</v>
      </c>
      <c r="L315" s="331" t="s">
        <v>2544</v>
      </c>
      <c r="M315" s="497" t="s">
        <v>2545</v>
      </c>
      <c r="N315" s="605">
        <v>42646.0</v>
      </c>
      <c r="O315" s="606"/>
      <c r="P315" s="147"/>
      <c r="Q315" s="147"/>
      <c r="R315" s="147"/>
      <c r="S315" s="147"/>
      <c r="T315" s="147"/>
      <c r="U315" s="147"/>
      <c r="V315" s="147"/>
      <c r="W315" s="147"/>
      <c r="X315" s="147"/>
      <c r="Y315" s="147"/>
      <c r="Z315" s="147"/>
      <c r="AA315" s="147"/>
      <c r="AB315" s="147"/>
      <c r="AC315" s="147"/>
    </row>
    <row r="316">
      <c r="A316" s="95"/>
      <c r="B316" s="95"/>
      <c r="C316" s="405">
        <f>C317/100*25</f>
        <v>186000.405</v>
      </c>
      <c r="D316" s="547" t="s">
        <v>2546</v>
      </c>
      <c r="E316" s="336" t="s">
        <v>2547</v>
      </c>
      <c r="F316" s="337"/>
      <c r="G316" s="325"/>
      <c r="H316" s="325"/>
      <c r="I316" s="95"/>
      <c r="J316" s="95"/>
      <c r="K316" s="95"/>
      <c r="L316" s="95"/>
      <c r="M316" s="95"/>
      <c r="N316" s="95"/>
      <c r="O316" s="607"/>
      <c r="P316" s="147"/>
      <c r="Q316" s="147"/>
      <c r="R316" s="147"/>
      <c r="S316" s="147"/>
      <c r="T316" s="147"/>
      <c r="U316" s="147"/>
      <c r="V316" s="147"/>
      <c r="W316" s="147"/>
      <c r="X316" s="147"/>
      <c r="Y316" s="147"/>
      <c r="Z316" s="147"/>
      <c r="AA316" s="147"/>
      <c r="AB316" s="147"/>
      <c r="AC316" s="147"/>
    </row>
    <row r="317">
      <c r="A317" s="79"/>
      <c r="B317" s="79"/>
      <c r="C317" s="608">
        <v>744001.62</v>
      </c>
      <c r="D317" s="564"/>
      <c r="E317" s="336" t="s">
        <v>1795</v>
      </c>
      <c r="F317" s="337"/>
      <c r="G317" s="325"/>
      <c r="H317" s="325"/>
      <c r="I317" s="79"/>
      <c r="J317" s="79"/>
      <c r="K317" s="79"/>
      <c r="L317" s="79"/>
      <c r="M317" s="79"/>
      <c r="N317" s="79"/>
      <c r="O317" s="609"/>
      <c r="P317" s="147"/>
      <c r="Q317" s="147"/>
      <c r="R317" s="147"/>
      <c r="S317" s="147"/>
      <c r="T317" s="147"/>
      <c r="U317" s="147"/>
      <c r="V317" s="147"/>
      <c r="W317" s="147"/>
      <c r="X317" s="147"/>
      <c r="Y317" s="147"/>
      <c r="Z317" s="147"/>
      <c r="AA317" s="147"/>
      <c r="AB317" s="147"/>
      <c r="AC317" s="147"/>
    </row>
    <row r="318" ht="55.5" customHeight="1">
      <c r="A318" s="342">
        <v>44848.0</v>
      </c>
      <c r="B318" s="610" t="s">
        <v>52</v>
      </c>
      <c r="C318" s="390">
        <v>1478100.36</v>
      </c>
      <c r="D318" s="543" t="s">
        <v>2548</v>
      </c>
      <c r="E318" s="346" t="s">
        <v>1873</v>
      </c>
      <c r="F318" s="337"/>
      <c r="G318" s="325"/>
      <c r="H318" s="325"/>
      <c r="I318" s="350" t="s">
        <v>2549</v>
      </c>
      <c r="J318" s="325" t="s">
        <v>2550</v>
      </c>
      <c r="K318" s="325" t="s">
        <v>2551</v>
      </c>
      <c r="L318" s="353" t="s">
        <v>2552</v>
      </c>
      <c r="M318" s="576" t="s">
        <v>2553</v>
      </c>
      <c r="N318" s="611">
        <v>44484.0</v>
      </c>
      <c r="O318" s="356"/>
      <c r="P318" s="147"/>
      <c r="Q318" s="147"/>
      <c r="R318" s="147"/>
      <c r="S318" s="147"/>
      <c r="T318" s="147"/>
      <c r="U318" s="147"/>
      <c r="V318" s="147"/>
      <c r="W318" s="147"/>
      <c r="X318" s="147"/>
      <c r="Y318" s="147"/>
      <c r="Z318" s="147"/>
      <c r="AA318" s="147"/>
      <c r="AB318" s="147"/>
      <c r="AC318" s="147"/>
      <c r="AD318" s="147"/>
    </row>
    <row r="319" ht="83.25" customHeight="1">
      <c r="A319" s="400">
        <v>44887.0</v>
      </c>
      <c r="B319" s="612" t="s">
        <v>2524</v>
      </c>
      <c r="C319" s="359" t="s">
        <v>23</v>
      </c>
      <c r="D319" s="360" t="s">
        <v>1832</v>
      </c>
      <c r="E319" s="362" t="s">
        <v>25</v>
      </c>
      <c r="F319" s="348"/>
      <c r="G319" s="348" t="s">
        <v>2554</v>
      </c>
      <c r="H319" s="348" t="s">
        <v>1193</v>
      </c>
      <c r="I319" s="361" t="s">
        <v>2525</v>
      </c>
      <c r="J319" s="362" t="s">
        <v>2555</v>
      </c>
      <c r="K319" s="325" t="s">
        <v>2527</v>
      </c>
      <c r="L319" s="325" t="s">
        <v>31</v>
      </c>
      <c r="M319" s="353"/>
      <c r="N319" s="325" t="s">
        <v>2528</v>
      </c>
      <c r="O319" s="332">
        <v>2699988.0</v>
      </c>
      <c r="P319" s="332">
        <f>O319/3</f>
        <v>899996</v>
      </c>
      <c r="Q319" s="356">
        <v>44636.0</v>
      </c>
      <c r="R319" s="356">
        <v>44797.0</v>
      </c>
      <c r="S319" s="613">
        <v>44805.0</v>
      </c>
      <c r="T319" s="147"/>
      <c r="U319" s="147"/>
      <c r="V319" s="147"/>
      <c r="W319" s="147"/>
      <c r="X319" s="147"/>
      <c r="Y319" s="147"/>
      <c r="Z319" s="147"/>
      <c r="AA319" s="147"/>
      <c r="AB319" s="147"/>
      <c r="AC319" s="147"/>
      <c r="AD319" s="147"/>
      <c r="AE319" s="147"/>
      <c r="AF319" s="147"/>
      <c r="AG319" s="147"/>
      <c r="AH319" s="147"/>
      <c r="AI319" s="147"/>
      <c r="AJ319" s="147"/>
      <c r="AK319" s="147"/>
      <c r="AL319" s="147"/>
      <c r="AM319" s="147"/>
      <c r="AN319" s="147"/>
      <c r="AO319" s="147"/>
      <c r="AP319" s="147"/>
      <c r="AQ319" s="147"/>
      <c r="AR319" s="147"/>
    </row>
    <row r="320" ht="95.25" customHeight="1">
      <c r="A320" s="342">
        <v>44892.0</v>
      </c>
      <c r="B320" s="358" t="s">
        <v>2556</v>
      </c>
      <c r="C320" s="359" t="s">
        <v>38</v>
      </c>
      <c r="D320" s="345" t="s">
        <v>2557</v>
      </c>
      <c r="E320" s="383" t="s">
        <v>1801</v>
      </c>
      <c r="F320" s="384"/>
      <c r="G320" s="385"/>
      <c r="H320" s="385"/>
      <c r="I320" s="386" t="s">
        <v>2558</v>
      </c>
      <c r="J320" s="350" t="s">
        <v>2559</v>
      </c>
      <c r="K320" s="351" t="s">
        <v>2560</v>
      </c>
      <c r="L320" s="351" t="s">
        <v>2561</v>
      </c>
      <c r="M320" s="352"/>
      <c r="N320" s="351" t="s">
        <v>2562</v>
      </c>
      <c r="O320" s="363">
        <v>88000.0</v>
      </c>
      <c r="P320" s="333">
        <f>O320/12</f>
        <v>7333.333333</v>
      </c>
      <c r="Q320" s="387">
        <v>43648.0</v>
      </c>
      <c r="R320" s="356">
        <v>44516.0</v>
      </c>
      <c r="S320" s="614">
        <v>44519.0</v>
      </c>
      <c r="T320" s="147"/>
      <c r="U320" s="147"/>
      <c r="V320" s="147"/>
      <c r="W320" s="147"/>
      <c r="X320" s="147"/>
      <c r="Y320" s="147"/>
      <c r="Z320" s="147"/>
      <c r="AA320" s="147"/>
      <c r="AB320" s="147"/>
      <c r="AC320" s="147"/>
      <c r="AD320" s="147"/>
      <c r="AE320" s="147"/>
      <c r="AF320" s="147"/>
      <c r="AG320" s="147"/>
      <c r="AH320" s="147"/>
      <c r="AI320" s="147"/>
      <c r="AJ320" s="147"/>
      <c r="AK320" s="147"/>
      <c r="AL320" s="147"/>
      <c r="AM320" s="147"/>
      <c r="AN320" s="147"/>
      <c r="AO320" s="147"/>
      <c r="AP320" s="147"/>
      <c r="AQ320" s="147"/>
      <c r="AR320" s="147"/>
    </row>
    <row r="321">
      <c r="A321" s="615">
        <v>44898.0</v>
      </c>
      <c r="B321" s="321" t="s">
        <v>2563</v>
      </c>
      <c r="C321" s="616" t="s">
        <v>175</v>
      </c>
      <c r="E321" s="617" t="s">
        <v>1801</v>
      </c>
      <c r="F321" s="348"/>
      <c r="G321" s="618" t="s">
        <v>2564</v>
      </c>
      <c r="H321" s="618" t="s">
        <v>2565</v>
      </c>
      <c r="I321" s="619" t="s">
        <v>2566</v>
      </c>
      <c r="J321" s="620" t="s">
        <v>2567</v>
      </c>
      <c r="K321" s="621" t="s">
        <v>2568</v>
      </c>
      <c r="L321" s="621" t="s">
        <v>2569</v>
      </c>
      <c r="M321" s="526" t="s">
        <v>2570</v>
      </c>
      <c r="N321" s="507">
        <v>9000.0</v>
      </c>
      <c r="O321" s="622">
        <v>43407.0</v>
      </c>
      <c r="P321" s="147"/>
      <c r="Q321" s="147"/>
      <c r="R321" s="147"/>
      <c r="S321" s="147"/>
      <c r="T321" s="147"/>
      <c r="U321" s="147"/>
      <c r="V321" s="147"/>
      <c r="W321" s="147"/>
      <c r="X321" s="147"/>
      <c r="Y321" s="147"/>
      <c r="Z321" s="147"/>
      <c r="AA321" s="147"/>
      <c r="AB321" s="147"/>
      <c r="AC321" s="147"/>
      <c r="AD321" s="147"/>
      <c r="AE321" s="147"/>
    </row>
    <row r="322">
      <c r="A322" s="95"/>
      <c r="B322" s="95"/>
      <c r="C322" s="279"/>
      <c r="D322" s="623"/>
      <c r="E322" s="399" t="s">
        <v>2096</v>
      </c>
      <c r="F322" s="347"/>
      <c r="G322" s="95"/>
      <c r="H322" s="95"/>
      <c r="I322" s="279"/>
      <c r="J322" s="95"/>
      <c r="K322" s="95"/>
      <c r="L322" s="95"/>
      <c r="M322" s="95"/>
      <c r="N322" s="507">
        <v>2475.0</v>
      </c>
      <c r="O322" s="95"/>
      <c r="P322" s="147"/>
      <c r="Q322" s="147"/>
      <c r="R322" s="147"/>
      <c r="S322" s="147"/>
      <c r="T322" s="147"/>
      <c r="U322" s="147"/>
      <c r="V322" s="147"/>
      <c r="W322" s="147"/>
      <c r="X322" s="147"/>
      <c r="Y322" s="147"/>
      <c r="Z322" s="147"/>
      <c r="AA322" s="147"/>
      <c r="AB322" s="147"/>
      <c r="AC322" s="147"/>
      <c r="AD322" s="147"/>
      <c r="AE322" s="147"/>
    </row>
    <row r="323">
      <c r="A323" s="95"/>
      <c r="B323" s="95"/>
      <c r="C323" s="279"/>
      <c r="D323" s="623"/>
      <c r="E323" s="399" t="s">
        <v>2571</v>
      </c>
      <c r="F323" s="347"/>
      <c r="G323" s="95"/>
      <c r="H323" s="95"/>
      <c r="I323" s="279"/>
      <c r="J323" s="95"/>
      <c r="K323" s="95"/>
      <c r="L323" s="95"/>
      <c r="M323" s="95"/>
      <c r="N323" s="507">
        <v>2025.0</v>
      </c>
      <c r="O323" s="95"/>
      <c r="P323" s="147"/>
      <c r="Q323" s="147"/>
      <c r="R323" s="147"/>
      <c r="S323" s="147"/>
      <c r="T323" s="147"/>
      <c r="U323" s="147"/>
      <c r="V323" s="147"/>
      <c r="W323" s="147"/>
      <c r="X323" s="147"/>
      <c r="Y323" s="147"/>
      <c r="Z323" s="147"/>
      <c r="AA323" s="147"/>
      <c r="AB323" s="147"/>
      <c r="AC323" s="147"/>
      <c r="AD323" s="147"/>
      <c r="AE323" s="147"/>
    </row>
    <row r="324">
      <c r="A324" s="95"/>
      <c r="B324" s="95"/>
      <c r="C324" s="279"/>
      <c r="D324" s="623"/>
      <c r="E324" s="399" t="s">
        <v>1767</v>
      </c>
      <c r="F324" s="347"/>
      <c r="G324" s="95"/>
      <c r="H324" s="95"/>
      <c r="I324" s="279"/>
      <c r="J324" s="95"/>
      <c r="K324" s="95"/>
      <c r="L324" s="95"/>
      <c r="M324" s="95"/>
      <c r="N324" s="507">
        <v>26700.0</v>
      </c>
      <c r="O324" s="95"/>
      <c r="P324" s="147"/>
      <c r="Q324" s="147"/>
      <c r="R324" s="147"/>
      <c r="S324" s="147"/>
      <c r="T324" s="147"/>
      <c r="U324" s="147"/>
      <c r="V324" s="147"/>
      <c r="W324" s="147"/>
      <c r="X324" s="147"/>
      <c r="Y324" s="147"/>
      <c r="Z324" s="147"/>
      <c r="AA324" s="147"/>
      <c r="AB324" s="147"/>
      <c r="AC324" s="147"/>
      <c r="AD324" s="147"/>
      <c r="AE324" s="147"/>
    </row>
    <row r="325">
      <c r="A325" s="95"/>
      <c r="B325" s="95"/>
      <c r="C325" s="279"/>
      <c r="D325" s="623"/>
      <c r="E325" s="399" t="s">
        <v>2118</v>
      </c>
      <c r="F325" s="347"/>
      <c r="G325" s="95"/>
      <c r="H325" s="95"/>
      <c r="I325" s="279"/>
      <c r="J325" s="95"/>
      <c r="K325" s="95"/>
      <c r="L325" s="95"/>
      <c r="M325" s="95"/>
      <c r="N325" s="507">
        <v>4500.0</v>
      </c>
      <c r="O325" s="95"/>
      <c r="P325" s="147"/>
      <c r="Q325" s="147"/>
      <c r="R325" s="147"/>
      <c r="S325" s="147"/>
      <c r="T325" s="147"/>
      <c r="U325" s="147"/>
      <c r="V325" s="147"/>
      <c r="W325" s="147"/>
      <c r="X325" s="147"/>
      <c r="Y325" s="147"/>
      <c r="Z325" s="147"/>
      <c r="AA325" s="147"/>
      <c r="AB325" s="147"/>
      <c r="AC325" s="147"/>
      <c r="AD325" s="147"/>
      <c r="AE325" s="147"/>
    </row>
    <row r="326" ht="87.75" customHeight="1">
      <c r="A326" s="95"/>
      <c r="B326" s="95"/>
      <c r="C326" s="279"/>
      <c r="D326" s="323" t="s">
        <v>39</v>
      </c>
      <c r="E326" s="399" t="s">
        <v>2572</v>
      </c>
      <c r="F326" s="347"/>
      <c r="G326" s="95"/>
      <c r="H326" s="95"/>
      <c r="I326" s="279"/>
      <c r="J326" s="95"/>
      <c r="K326" s="95"/>
      <c r="L326" s="95"/>
      <c r="M326" s="95"/>
      <c r="N326" s="507">
        <v>4500.0</v>
      </c>
      <c r="O326" s="95"/>
      <c r="P326" s="147"/>
      <c r="Q326" s="147"/>
      <c r="R326" s="147"/>
      <c r="S326" s="147"/>
      <c r="T326" s="147"/>
      <c r="U326" s="147"/>
      <c r="V326" s="147"/>
      <c r="W326" s="147"/>
      <c r="X326" s="147"/>
      <c r="Y326" s="147"/>
      <c r="Z326" s="147"/>
      <c r="AA326" s="147"/>
      <c r="AB326" s="147"/>
      <c r="AC326" s="147"/>
      <c r="AD326" s="147"/>
      <c r="AE326" s="147"/>
    </row>
    <row r="327">
      <c r="A327" s="95"/>
      <c r="B327" s="95"/>
      <c r="C327" s="279"/>
      <c r="D327" s="623"/>
      <c r="E327" s="399" t="s">
        <v>1912</v>
      </c>
      <c r="F327" s="347"/>
      <c r="G327" s="95"/>
      <c r="H327" s="95"/>
      <c r="I327" s="279"/>
      <c r="J327" s="95"/>
      <c r="K327" s="95"/>
      <c r="L327" s="95"/>
      <c r="M327" s="95"/>
      <c r="N327" s="507">
        <v>4500.0</v>
      </c>
      <c r="O327" s="95"/>
      <c r="P327" s="147"/>
      <c r="Q327" s="147"/>
      <c r="R327" s="147"/>
      <c r="S327" s="147"/>
      <c r="T327" s="147"/>
      <c r="U327" s="147"/>
      <c r="V327" s="147"/>
      <c r="W327" s="147"/>
      <c r="X327" s="147"/>
      <c r="Y327" s="147"/>
      <c r="Z327" s="147"/>
      <c r="AA327" s="147"/>
      <c r="AB327" s="147"/>
      <c r="AC327" s="147"/>
      <c r="AD327" s="147"/>
      <c r="AE327" s="147"/>
    </row>
    <row r="328">
      <c r="A328" s="95"/>
      <c r="B328" s="95"/>
      <c r="C328" s="279"/>
      <c r="D328" s="623"/>
      <c r="E328" s="399" t="s">
        <v>125</v>
      </c>
      <c r="F328" s="347"/>
      <c r="G328" s="95"/>
      <c r="H328" s="95"/>
      <c r="I328" s="279"/>
      <c r="J328" s="95"/>
      <c r="K328" s="95"/>
      <c r="L328" s="95"/>
      <c r="M328" s="95"/>
      <c r="N328" s="507">
        <v>4500.0</v>
      </c>
      <c r="O328" s="95"/>
      <c r="P328" s="147"/>
      <c r="Q328" s="147"/>
      <c r="R328" s="147"/>
      <c r="S328" s="147"/>
      <c r="T328" s="147"/>
      <c r="U328" s="147"/>
      <c r="V328" s="147"/>
      <c r="W328" s="147"/>
      <c r="X328" s="147"/>
      <c r="Y328" s="147"/>
      <c r="Z328" s="147"/>
      <c r="AA328" s="147"/>
      <c r="AB328" s="147"/>
      <c r="AC328" s="147"/>
      <c r="AD328" s="147"/>
      <c r="AE328" s="147"/>
    </row>
    <row r="329">
      <c r="A329" s="95"/>
      <c r="B329" s="95"/>
      <c r="C329" s="279"/>
      <c r="D329" s="623"/>
      <c r="E329" s="399" t="s">
        <v>2270</v>
      </c>
      <c r="F329" s="347"/>
      <c r="G329" s="95"/>
      <c r="H329" s="95"/>
      <c r="I329" s="279"/>
      <c r="J329" s="95"/>
      <c r="K329" s="95"/>
      <c r="L329" s="95"/>
      <c r="M329" s="95"/>
      <c r="N329" s="507">
        <v>4500.0</v>
      </c>
      <c r="O329" s="95"/>
      <c r="P329" s="147"/>
      <c r="Q329" s="147"/>
      <c r="R329" s="147"/>
      <c r="S329" s="147"/>
      <c r="T329" s="147"/>
      <c r="U329" s="147"/>
      <c r="V329" s="147"/>
      <c r="W329" s="147"/>
      <c r="X329" s="147"/>
      <c r="Y329" s="147"/>
      <c r="Z329" s="147"/>
      <c r="AA329" s="147"/>
      <c r="AB329" s="147"/>
      <c r="AC329" s="147"/>
      <c r="AD329" s="147"/>
      <c r="AE329" s="147"/>
    </row>
    <row r="330">
      <c r="A330" s="95"/>
      <c r="B330" s="95"/>
      <c r="C330" s="279"/>
      <c r="D330" s="623"/>
      <c r="E330" s="399" t="s">
        <v>2272</v>
      </c>
      <c r="F330" s="347"/>
      <c r="G330" s="95"/>
      <c r="H330" s="95"/>
      <c r="I330" s="279"/>
      <c r="J330" s="95"/>
      <c r="K330" s="95"/>
      <c r="L330" s="95"/>
      <c r="M330" s="95"/>
      <c r="N330" s="507">
        <v>4500.0</v>
      </c>
      <c r="O330" s="95"/>
      <c r="P330" s="147"/>
      <c r="Q330" s="147"/>
      <c r="R330" s="147"/>
      <c r="S330" s="147"/>
      <c r="T330" s="147"/>
      <c r="U330" s="147"/>
      <c r="V330" s="147"/>
      <c r="W330" s="147"/>
      <c r="X330" s="147"/>
      <c r="Y330" s="147"/>
      <c r="Z330" s="147"/>
      <c r="AA330" s="147"/>
      <c r="AB330" s="147"/>
      <c r="AC330" s="147"/>
      <c r="AD330" s="147"/>
      <c r="AE330" s="147"/>
    </row>
    <row r="331">
      <c r="A331" s="95"/>
      <c r="B331" s="95"/>
      <c r="C331" s="279"/>
      <c r="D331" s="623"/>
      <c r="E331" s="399" t="s">
        <v>2262</v>
      </c>
      <c r="F331" s="347"/>
      <c r="G331" s="79"/>
      <c r="H331" s="79"/>
      <c r="I331" s="279"/>
      <c r="J331" s="95"/>
      <c r="K331" s="95"/>
      <c r="L331" s="95"/>
      <c r="M331" s="95"/>
      <c r="N331" s="507">
        <v>4560.0</v>
      </c>
      <c r="O331" s="95"/>
      <c r="P331" s="147"/>
      <c r="Q331" s="147"/>
      <c r="R331" s="147"/>
      <c r="S331" s="147"/>
      <c r="T331" s="147"/>
      <c r="U331" s="147"/>
      <c r="V331" s="147"/>
      <c r="W331" s="147"/>
      <c r="X331" s="147"/>
      <c r="Y331" s="147"/>
      <c r="Z331" s="147"/>
      <c r="AA331" s="147"/>
      <c r="AB331" s="147"/>
      <c r="AC331" s="147"/>
      <c r="AD331" s="147"/>
      <c r="AE331" s="147"/>
    </row>
    <row r="332">
      <c r="A332" s="79"/>
      <c r="B332" s="79"/>
      <c r="C332" s="207"/>
      <c r="D332" s="624"/>
      <c r="E332" s="625"/>
      <c r="F332" s="626"/>
      <c r="G332" s="482"/>
      <c r="H332" s="482"/>
      <c r="I332" s="207"/>
      <c r="J332" s="79"/>
      <c r="K332" s="79"/>
      <c r="L332" s="79"/>
      <c r="M332" s="79"/>
      <c r="N332" s="340">
        <f>SUM(N321:N331)</f>
        <v>71760</v>
      </c>
      <c r="O332" s="79"/>
      <c r="P332" s="147"/>
      <c r="Q332" s="147"/>
      <c r="R332" s="147"/>
      <c r="S332" s="147"/>
      <c r="T332" s="147"/>
      <c r="U332" s="147"/>
      <c r="V332" s="147"/>
      <c r="W332" s="147"/>
      <c r="X332" s="147"/>
      <c r="Y332" s="147"/>
      <c r="Z332" s="147"/>
      <c r="AA332" s="147"/>
      <c r="AB332" s="147"/>
      <c r="AC332" s="147"/>
      <c r="AD332" s="147"/>
      <c r="AE332" s="147"/>
    </row>
    <row r="333" ht="108.0" customHeight="1">
      <c r="A333" s="407">
        <v>44926.0</v>
      </c>
      <c r="B333" s="358" t="s">
        <v>2573</v>
      </c>
      <c r="C333" s="627" t="s">
        <v>52</v>
      </c>
      <c r="D333" s="365" t="s">
        <v>2574</v>
      </c>
      <c r="E333" s="408" t="s">
        <v>2262</v>
      </c>
      <c r="F333" s="347"/>
      <c r="G333" s="348"/>
      <c r="H333" s="348"/>
      <c r="I333" s="628" t="s">
        <v>2575</v>
      </c>
      <c r="J333" s="412" t="s">
        <v>2576</v>
      </c>
      <c r="K333" s="348" t="s">
        <v>2577</v>
      </c>
      <c r="L333" s="348" t="s">
        <v>31</v>
      </c>
      <c r="M333" s="413" t="s">
        <v>2578</v>
      </c>
      <c r="N333" s="629">
        <v>310000.0</v>
      </c>
      <c r="O333" s="613">
        <v>44610.0</v>
      </c>
      <c r="P333" s="147"/>
      <c r="Q333" s="147"/>
      <c r="R333" s="147"/>
      <c r="S333" s="147"/>
      <c r="T333" s="147"/>
      <c r="U333" s="147"/>
      <c r="V333" s="147"/>
      <c r="W333" s="147"/>
      <c r="X333" s="147"/>
      <c r="Y333" s="147"/>
      <c r="Z333" s="147"/>
      <c r="AA333" s="147"/>
      <c r="AB333" s="147"/>
      <c r="AC333" s="147"/>
      <c r="AD333" s="147"/>
      <c r="AE333" s="147"/>
    </row>
    <row r="334">
      <c r="A334" s="407">
        <v>44957.0</v>
      </c>
      <c r="B334" s="358" t="s">
        <v>2579</v>
      </c>
      <c r="C334" s="627" t="s">
        <v>100</v>
      </c>
      <c r="D334" s="365" t="s">
        <v>2580</v>
      </c>
      <c r="E334" s="399" t="s">
        <v>1789</v>
      </c>
      <c r="F334" s="626"/>
      <c r="G334" s="482"/>
      <c r="H334" s="482"/>
      <c r="I334" s="555" t="s">
        <v>2581</v>
      </c>
      <c r="J334" s="412" t="s">
        <v>2582</v>
      </c>
      <c r="K334" s="630" t="s">
        <v>2583</v>
      </c>
      <c r="L334" s="630" t="s">
        <v>2584</v>
      </c>
      <c r="M334" s="506" t="s">
        <v>2585</v>
      </c>
      <c r="N334" s="507">
        <v>13462.96</v>
      </c>
      <c r="O334" s="557">
        <v>43132.0</v>
      </c>
      <c r="P334" s="147"/>
      <c r="Q334" s="147"/>
      <c r="R334" s="147"/>
      <c r="S334" s="147"/>
      <c r="T334" s="147"/>
      <c r="U334" s="147"/>
      <c r="V334" s="147"/>
      <c r="W334" s="147"/>
      <c r="X334" s="147"/>
      <c r="Y334" s="147"/>
      <c r="Z334" s="147"/>
      <c r="AA334" s="147"/>
      <c r="AB334" s="147"/>
      <c r="AC334" s="147"/>
      <c r="AD334" s="147"/>
      <c r="AE334" s="147"/>
      <c r="AF334" s="147"/>
    </row>
    <row r="335">
      <c r="A335" s="407">
        <v>44958.0</v>
      </c>
      <c r="B335" s="358" t="s">
        <v>2586</v>
      </c>
      <c r="C335" s="344" t="s">
        <v>52</v>
      </c>
      <c r="D335" s="365" t="s">
        <v>1872</v>
      </c>
      <c r="E335" s="408" t="s">
        <v>1873</v>
      </c>
      <c r="F335" s="347"/>
      <c r="G335" s="348"/>
      <c r="H335" s="348"/>
      <c r="I335" s="411" t="s">
        <v>2587</v>
      </c>
      <c r="J335" s="412" t="s">
        <v>2588</v>
      </c>
      <c r="K335" s="348" t="s">
        <v>2589</v>
      </c>
      <c r="L335" s="348" t="s">
        <v>31</v>
      </c>
      <c r="M335" s="413" t="s">
        <v>2590</v>
      </c>
      <c r="N335" s="629">
        <v>780000.0</v>
      </c>
      <c r="O335" s="415">
        <v>44778.0</v>
      </c>
      <c r="P335" s="147"/>
      <c r="Q335" s="147"/>
      <c r="R335" s="147"/>
      <c r="S335" s="147"/>
      <c r="T335" s="147"/>
      <c r="U335" s="147"/>
      <c r="V335" s="147"/>
      <c r="W335" s="147"/>
      <c r="X335" s="147"/>
      <c r="Y335" s="147"/>
      <c r="Z335" s="147"/>
      <c r="AA335" s="147"/>
      <c r="AB335" s="147"/>
      <c r="AC335" s="147"/>
      <c r="AD335" s="147"/>
      <c r="AE335" s="147"/>
      <c r="AF335" s="147"/>
    </row>
    <row r="336">
      <c r="A336" s="342">
        <v>44960.0</v>
      </c>
      <c r="B336" s="358" t="s">
        <v>2591</v>
      </c>
      <c r="C336" s="344" t="s">
        <v>52</v>
      </c>
      <c r="D336" s="365" t="s">
        <v>2592</v>
      </c>
      <c r="E336" s="408" t="s">
        <v>1873</v>
      </c>
      <c r="F336" s="367"/>
      <c r="G336" s="368"/>
      <c r="H336" s="368"/>
      <c r="I336" s="369" t="s">
        <v>2593</v>
      </c>
      <c r="J336" s="370" t="s">
        <v>2594</v>
      </c>
      <c r="K336" s="325" t="s">
        <v>2595</v>
      </c>
      <c r="L336" s="325" t="s">
        <v>2596</v>
      </c>
      <c r="M336" s="353" t="s">
        <v>2597</v>
      </c>
      <c r="N336" s="572">
        <v>3900000.0</v>
      </c>
      <c r="O336" s="356">
        <v>44596.0</v>
      </c>
      <c r="P336" s="147"/>
      <c r="Q336" s="147"/>
      <c r="R336" s="147"/>
      <c r="S336" s="147"/>
      <c r="T336" s="147"/>
      <c r="U336" s="147"/>
      <c r="V336" s="147"/>
      <c r="W336" s="147"/>
      <c r="X336" s="147"/>
      <c r="Y336" s="147"/>
      <c r="Z336" s="147"/>
      <c r="AA336" s="147"/>
      <c r="AB336" s="147"/>
      <c r="AC336" s="147"/>
      <c r="AD336" s="147"/>
      <c r="AE336" s="147"/>
    </row>
    <row r="337">
      <c r="A337" s="631"/>
      <c r="B337" s="631"/>
      <c r="C337" s="632"/>
      <c r="D337" s="633"/>
      <c r="E337" s="634"/>
      <c r="F337" s="635"/>
      <c r="G337" s="636"/>
      <c r="H337" s="637"/>
      <c r="I337" s="638"/>
      <c r="J337" s="639"/>
      <c r="K337" s="147"/>
      <c r="L337" s="632"/>
      <c r="M337" s="147"/>
      <c r="N337" s="640"/>
      <c r="O337" s="640"/>
      <c r="P337" s="641"/>
      <c r="Q337" s="642"/>
      <c r="R337" s="147"/>
      <c r="S337" s="147"/>
      <c r="T337" s="147"/>
      <c r="U337" s="147"/>
      <c r="V337" s="147"/>
      <c r="W337" s="147"/>
      <c r="X337" s="147"/>
      <c r="Y337" s="147"/>
      <c r="Z337" s="147"/>
      <c r="AA337" s="147"/>
      <c r="AB337" s="147"/>
      <c r="AC337" s="147"/>
      <c r="AD337" s="147"/>
      <c r="AE337" s="147"/>
      <c r="AF337" s="147"/>
      <c r="AG337" s="147"/>
      <c r="AH337" s="147"/>
      <c r="AI337" s="147"/>
      <c r="AJ337" s="147"/>
      <c r="AK337" s="147"/>
      <c r="AL337" s="147"/>
      <c r="AM337" s="147"/>
      <c r="AN337" s="147"/>
      <c r="AO337" s="147"/>
      <c r="AP337" s="147"/>
      <c r="AQ337" s="147"/>
      <c r="AR337" s="147"/>
      <c r="AS337" s="147"/>
      <c r="AT337" s="147"/>
      <c r="AU337" s="147"/>
      <c r="AV337" s="147"/>
      <c r="AW337" s="147"/>
    </row>
    <row r="338">
      <c r="A338" s="631"/>
      <c r="B338" s="631"/>
      <c r="C338" s="632"/>
      <c r="D338" s="633"/>
      <c r="E338" s="634"/>
      <c r="F338" s="635"/>
      <c r="G338" s="636"/>
      <c r="H338" s="637"/>
      <c r="I338" s="643"/>
      <c r="J338" s="644"/>
      <c r="K338" s="147"/>
      <c r="L338" s="632"/>
      <c r="M338" s="147"/>
      <c r="N338" s="640"/>
      <c r="O338" s="640"/>
      <c r="P338" s="641"/>
      <c r="Q338" s="642"/>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row>
    <row r="339">
      <c r="A339" s="631"/>
      <c r="B339" s="631"/>
      <c r="C339" s="632"/>
      <c r="D339" s="633"/>
      <c r="E339" s="634"/>
      <c r="F339" s="635"/>
      <c r="G339" s="636"/>
      <c r="H339" s="637"/>
      <c r="I339" s="643"/>
      <c r="J339" s="644"/>
      <c r="K339" s="147"/>
      <c r="L339" s="632"/>
      <c r="M339" s="147"/>
      <c r="N339" s="640"/>
      <c r="O339" s="640"/>
      <c r="P339" s="641"/>
      <c r="Q339" s="642"/>
      <c r="R339" s="147"/>
      <c r="S339" s="147"/>
      <c r="T339" s="147"/>
      <c r="U339" s="147"/>
      <c r="V339" s="147"/>
      <c r="W339" s="147"/>
      <c r="X339" s="147"/>
      <c r="Y339" s="147"/>
      <c r="Z339" s="147"/>
      <c r="AA339" s="147"/>
      <c r="AB339" s="147"/>
      <c r="AC339" s="147"/>
      <c r="AD339" s="147"/>
      <c r="AE339" s="147"/>
      <c r="AF339" s="147"/>
      <c r="AG339" s="147"/>
      <c r="AH339" s="147"/>
      <c r="AI339" s="147"/>
      <c r="AJ339" s="147"/>
      <c r="AK339" s="147"/>
      <c r="AL339" s="147"/>
      <c r="AM339" s="147"/>
      <c r="AN339" s="147"/>
      <c r="AO339" s="147"/>
      <c r="AP339" s="147"/>
      <c r="AQ339" s="147"/>
      <c r="AR339" s="147"/>
      <c r="AS339" s="147"/>
      <c r="AT339" s="147"/>
      <c r="AU339" s="147"/>
      <c r="AV339" s="147"/>
      <c r="AW339" s="147"/>
    </row>
    <row r="340">
      <c r="A340" s="631"/>
      <c r="B340" s="631"/>
      <c r="C340" s="632"/>
      <c r="D340" s="633"/>
      <c r="E340" s="634"/>
      <c r="F340" s="635"/>
      <c r="G340" s="636"/>
      <c r="H340" s="637"/>
      <c r="I340" s="643"/>
      <c r="J340" s="644"/>
      <c r="K340" s="147"/>
      <c r="L340" s="632"/>
      <c r="M340" s="147"/>
      <c r="N340" s="640"/>
      <c r="O340" s="640"/>
      <c r="P340" s="641"/>
      <c r="Q340" s="642"/>
      <c r="R340" s="147"/>
      <c r="S340" s="147"/>
      <c r="T340" s="147"/>
      <c r="U340" s="147"/>
      <c r="V340" s="147"/>
      <c r="W340" s="147"/>
      <c r="X340" s="147"/>
      <c r="Y340" s="147"/>
      <c r="Z340" s="147"/>
      <c r="AA340" s="147"/>
      <c r="AB340" s="147"/>
      <c r="AC340" s="147"/>
      <c r="AD340" s="147"/>
      <c r="AE340" s="147"/>
      <c r="AF340" s="147"/>
      <c r="AG340" s="147"/>
      <c r="AH340" s="147"/>
      <c r="AI340" s="147"/>
      <c r="AJ340" s="147"/>
      <c r="AK340" s="147"/>
      <c r="AL340" s="147"/>
      <c r="AM340" s="147"/>
      <c r="AN340" s="147"/>
      <c r="AO340" s="147"/>
      <c r="AP340" s="147"/>
      <c r="AQ340" s="147"/>
      <c r="AR340" s="147"/>
      <c r="AS340" s="147"/>
      <c r="AT340" s="147"/>
      <c r="AU340" s="147"/>
      <c r="AV340" s="147"/>
      <c r="AW340" s="147"/>
    </row>
    <row r="341">
      <c r="A341" s="631"/>
      <c r="B341" s="631"/>
      <c r="C341" s="632"/>
      <c r="D341" s="633"/>
      <c r="E341" s="634"/>
      <c r="F341" s="635"/>
      <c r="G341" s="636"/>
      <c r="H341" s="637"/>
      <c r="I341" s="643"/>
      <c r="J341" s="644"/>
      <c r="K341" s="147"/>
      <c r="L341" s="632"/>
      <c r="M341" s="147"/>
      <c r="N341" s="640"/>
      <c r="O341" s="640"/>
      <c r="P341" s="641"/>
      <c r="Q341" s="642"/>
      <c r="R341" s="147"/>
      <c r="S341" s="147"/>
      <c r="T341" s="147"/>
      <c r="U341" s="147"/>
      <c r="V341" s="147"/>
      <c r="W341" s="147"/>
      <c r="X341" s="147"/>
      <c r="Y341" s="147"/>
      <c r="Z341" s="147"/>
      <c r="AA341" s="147"/>
      <c r="AB341" s="147"/>
      <c r="AC341" s="147"/>
      <c r="AD341" s="147"/>
      <c r="AE341" s="147"/>
      <c r="AF341" s="147"/>
      <c r="AG341" s="147"/>
      <c r="AH341" s="147"/>
      <c r="AI341" s="147"/>
      <c r="AJ341" s="147"/>
      <c r="AK341" s="147"/>
      <c r="AL341" s="147"/>
      <c r="AM341" s="147"/>
      <c r="AN341" s="147"/>
      <c r="AO341" s="147"/>
      <c r="AP341" s="147"/>
      <c r="AQ341" s="147"/>
      <c r="AR341" s="147"/>
      <c r="AS341" s="147"/>
      <c r="AT341" s="147"/>
      <c r="AU341" s="147"/>
      <c r="AV341" s="147"/>
      <c r="AW341" s="147"/>
    </row>
    <row r="342">
      <c r="A342" s="631"/>
      <c r="B342" s="631"/>
      <c r="C342" s="632"/>
      <c r="D342" s="633"/>
      <c r="E342" s="634"/>
      <c r="F342" s="635"/>
      <c r="G342" s="636"/>
      <c r="H342" s="637"/>
      <c r="I342" s="643"/>
      <c r="J342" s="644"/>
      <c r="K342" s="147"/>
      <c r="L342" s="632"/>
      <c r="M342" s="147"/>
      <c r="N342" s="640"/>
      <c r="O342" s="640"/>
      <c r="P342" s="641"/>
      <c r="Q342" s="642"/>
      <c r="R342" s="147"/>
      <c r="S342" s="147"/>
      <c r="T342" s="147"/>
      <c r="U342" s="147"/>
      <c r="V342" s="147"/>
      <c r="W342" s="147"/>
      <c r="X342" s="147"/>
      <c r="Y342" s="147"/>
      <c r="Z342" s="147"/>
      <c r="AA342" s="147"/>
      <c r="AB342" s="147"/>
      <c r="AC342" s="147"/>
      <c r="AD342" s="147"/>
      <c r="AE342" s="147"/>
      <c r="AF342" s="147"/>
      <c r="AG342" s="147"/>
      <c r="AH342" s="147"/>
      <c r="AI342" s="147"/>
      <c r="AJ342" s="147"/>
      <c r="AK342" s="147"/>
      <c r="AL342" s="147"/>
      <c r="AM342" s="147"/>
      <c r="AN342" s="147"/>
      <c r="AO342" s="147"/>
      <c r="AP342" s="147"/>
      <c r="AQ342" s="147"/>
      <c r="AR342" s="147"/>
      <c r="AS342" s="147"/>
      <c r="AT342" s="147"/>
      <c r="AU342" s="147"/>
      <c r="AV342" s="147"/>
      <c r="AW342" s="147"/>
    </row>
    <row r="343">
      <c r="A343" s="631"/>
      <c r="B343" s="631"/>
      <c r="C343" s="632"/>
      <c r="D343" s="633"/>
      <c r="E343" s="634"/>
      <c r="F343" s="635"/>
      <c r="G343" s="636"/>
      <c r="H343" s="637"/>
      <c r="I343" s="643"/>
      <c r="J343" s="644"/>
      <c r="K343" s="147"/>
      <c r="L343" s="632"/>
      <c r="M343" s="147"/>
      <c r="N343" s="640"/>
      <c r="O343" s="640"/>
      <c r="P343" s="641"/>
      <c r="Q343" s="642"/>
      <c r="R343" s="147"/>
      <c r="S343" s="147"/>
      <c r="T343" s="147"/>
      <c r="U343" s="147"/>
      <c r="V343" s="147"/>
      <c r="W343" s="147"/>
      <c r="X343" s="147"/>
      <c r="Y343" s="147"/>
      <c r="Z343" s="147"/>
      <c r="AA343" s="147"/>
      <c r="AB343" s="147"/>
      <c r="AC343" s="147"/>
      <c r="AD343" s="147"/>
      <c r="AE343" s="147"/>
      <c r="AF343" s="147"/>
      <c r="AG343" s="147"/>
      <c r="AH343" s="147"/>
      <c r="AI343" s="147"/>
      <c r="AJ343" s="147"/>
      <c r="AK343" s="147"/>
      <c r="AL343" s="147"/>
      <c r="AM343" s="147"/>
      <c r="AN343" s="147"/>
      <c r="AO343" s="147"/>
      <c r="AP343" s="147"/>
      <c r="AQ343" s="147"/>
      <c r="AR343" s="147"/>
      <c r="AS343" s="147"/>
      <c r="AT343" s="147"/>
      <c r="AU343" s="147"/>
      <c r="AV343" s="147"/>
      <c r="AW343" s="147"/>
    </row>
    <row r="344">
      <c r="A344" s="631"/>
      <c r="B344" s="631"/>
      <c r="C344" s="632"/>
      <c r="D344" s="633"/>
      <c r="E344" s="634"/>
      <c r="F344" s="635"/>
      <c r="G344" s="636"/>
      <c r="H344" s="637"/>
      <c r="I344" s="643"/>
      <c r="J344" s="644"/>
      <c r="K344" s="147"/>
      <c r="L344" s="632"/>
      <c r="M344" s="147"/>
      <c r="N344" s="640"/>
      <c r="O344" s="640"/>
      <c r="P344" s="641"/>
      <c r="Q344" s="642"/>
      <c r="R344" s="147"/>
      <c r="S344" s="147"/>
      <c r="T344" s="147"/>
      <c r="U344" s="147"/>
      <c r="V344" s="147"/>
      <c r="W344" s="147"/>
      <c r="X344" s="147"/>
      <c r="Y344" s="147"/>
      <c r="Z344" s="147"/>
      <c r="AA344" s="147"/>
      <c r="AB344" s="147"/>
      <c r="AC344" s="147"/>
      <c r="AD344" s="147"/>
      <c r="AE344" s="147"/>
      <c r="AF344" s="147"/>
      <c r="AG344" s="147"/>
      <c r="AH344" s="147"/>
      <c r="AI344" s="147"/>
      <c r="AJ344" s="147"/>
      <c r="AK344" s="147"/>
      <c r="AL344" s="147"/>
      <c r="AM344" s="147"/>
      <c r="AN344" s="147"/>
      <c r="AO344" s="147"/>
      <c r="AP344" s="147"/>
      <c r="AQ344" s="147"/>
      <c r="AR344" s="147"/>
      <c r="AS344" s="147"/>
      <c r="AT344" s="147"/>
      <c r="AU344" s="147"/>
      <c r="AV344" s="147"/>
      <c r="AW344" s="147"/>
    </row>
    <row r="345">
      <c r="A345" s="631"/>
      <c r="B345" s="631"/>
      <c r="C345" s="632"/>
      <c r="D345" s="633"/>
      <c r="E345" s="634"/>
      <c r="F345" s="635"/>
      <c r="G345" s="636"/>
      <c r="H345" s="637"/>
      <c r="I345" s="643"/>
      <c r="J345" s="644"/>
      <c r="K345" s="147"/>
      <c r="L345" s="632"/>
      <c r="M345" s="147"/>
      <c r="N345" s="640"/>
      <c r="O345" s="640"/>
      <c r="P345" s="641"/>
      <c r="Q345" s="642"/>
      <c r="R345" s="147"/>
      <c r="S345" s="147"/>
      <c r="T345" s="147"/>
      <c r="U345" s="147"/>
      <c r="V345" s="147"/>
      <c r="W345" s="147"/>
      <c r="X345" s="147"/>
      <c r="Y345" s="147"/>
      <c r="Z345" s="147"/>
      <c r="AA345" s="147"/>
      <c r="AB345" s="147"/>
      <c r="AC345" s="147"/>
      <c r="AD345" s="147"/>
      <c r="AE345" s="147"/>
      <c r="AF345" s="147"/>
      <c r="AG345" s="147"/>
      <c r="AH345" s="147"/>
      <c r="AI345" s="147"/>
      <c r="AJ345" s="147"/>
      <c r="AK345" s="147"/>
      <c r="AL345" s="147"/>
      <c r="AM345" s="147"/>
      <c r="AN345" s="147"/>
      <c r="AO345" s="147"/>
      <c r="AP345" s="147"/>
      <c r="AQ345" s="147"/>
      <c r="AR345" s="147"/>
      <c r="AS345" s="147"/>
      <c r="AT345" s="147"/>
      <c r="AU345" s="147"/>
      <c r="AV345" s="147"/>
      <c r="AW345" s="147"/>
    </row>
    <row r="346">
      <c r="A346" s="631"/>
      <c r="B346" s="631"/>
      <c r="C346" s="632"/>
      <c r="D346" s="633"/>
      <c r="E346" s="634"/>
      <c r="F346" s="635"/>
      <c r="G346" s="636"/>
      <c r="H346" s="637"/>
      <c r="I346" s="643"/>
      <c r="J346" s="644"/>
      <c r="K346" s="147"/>
      <c r="L346" s="632"/>
      <c r="M346" s="147"/>
      <c r="N346" s="640"/>
      <c r="O346" s="640"/>
      <c r="P346" s="641"/>
      <c r="Q346" s="642"/>
      <c r="R346" s="147"/>
      <c r="S346" s="147"/>
      <c r="T346" s="147"/>
      <c r="U346" s="147"/>
      <c r="V346" s="147"/>
      <c r="W346" s="147"/>
      <c r="X346" s="147"/>
      <c r="Y346" s="147"/>
      <c r="Z346" s="147"/>
      <c r="AA346" s="147"/>
      <c r="AB346" s="147"/>
      <c r="AC346" s="147"/>
      <c r="AD346" s="147"/>
      <c r="AE346" s="147"/>
      <c r="AF346" s="147"/>
      <c r="AG346" s="147"/>
      <c r="AH346" s="147"/>
      <c r="AI346" s="147"/>
      <c r="AJ346" s="147"/>
      <c r="AK346" s="147"/>
      <c r="AL346" s="147"/>
      <c r="AM346" s="147"/>
      <c r="AN346" s="147"/>
      <c r="AO346" s="147"/>
      <c r="AP346" s="147"/>
      <c r="AQ346" s="147"/>
      <c r="AR346" s="147"/>
      <c r="AS346" s="147"/>
      <c r="AT346" s="147"/>
      <c r="AU346" s="147"/>
      <c r="AV346" s="147"/>
      <c r="AW346" s="147"/>
    </row>
    <row r="347">
      <c r="A347" s="631"/>
      <c r="B347" s="631"/>
      <c r="C347" s="632"/>
      <c r="D347" s="633"/>
      <c r="E347" s="634"/>
      <c r="F347" s="635"/>
      <c r="G347" s="636"/>
      <c r="H347" s="637"/>
      <c r="I347" s="643"/>
      <c r="J347" s="644"/>
      <c r="K347" s="147"/>
      <c r="L347" s="632"/>
      <c r="M347" s="147"/>
      <c r="N347" s="640"/>
      <c r="O347" s="640"/>
      <c r="P347" s="641"/>
      <c r="Q347" s="642"/>
      <c r="R347" s="147"/>
      <c r="S347" s="147"/>
      <c r="T347" s="147"/>
      <c r="U347" s="147"/>
      <c r="V347" s="147"/>
      <c r="W347" s="147"/>
      <c r="X347" s="147"/>
      <c r="Y347" s="147"/>
      <c r="Z347" s="147"/>
      <c r="AA347" s="147"/>
      <c r="AB347" s="147"/>
      <c r="AC347" s="147"/>
      <c r="AD347" s="147"/>
      <c r="AE347" s="147"/>
      <c r="AF347" s="147"/>
      <c r="AG347" s="147"/>
      <c r="AH347" s="147"/>
      <c r="AI347" s="147"/>
      <c r="AJ347" s="147"/>
      <c r="AK347" s="147"/>
      <c r="AL347" s="147"/>
      <c r="AM347" s="147"/>
      <c r="AN347" s="147"/>
      <c r="AO347" s="147"/>
      <c r="AP347" s="147"/>
      <c r="AQ347" s="147"/>
      <c r="AR347" s="147"/>
      <c r="AS347" s="147"/>
      <c r="AT347" s="147"/>
      <c r="AU347" s="147"/>
      <c r="AV347" s="147"/>
      <c r="AW347" s="147"/>
    </row>
    <row r="348">
      <c r="A348" s="631"/>
      <c r="B348" s="631"/>
      <c r="C348" s="632"/>
      <c r="D348" s="633"/>
      <c r="E348" s="634"/>
      <c r="F348" s="635"/>
      <c r="G348" s="636"/>
      <c r="H348" s="637"/>
      <c r="I348" s="643"/>
      <c r="J348" s="644"/>
      <c r="K348" s="147"/>
      <c r="L348" s="632"/>
      <c r="M348" s="147"/>
      <c r="N348" s="640"/>
      <c r="O348" s="640"/>
      <c r="P348" s="641"/>
      <c r="Q348" s="642"/>
      <c r="R348" s="147"/>
      <c r="S348" s="147"/>
      <c r="T348" s="147"/>
      <c r="U348" s="147"/>
      <c r="V348" s="147"/>
      <c r="W348" s="147"/>
      <c r="X348" s="147"/>
      <c r="Y348" s="147"/>
      <c r="Z348" s="147"/>
      <c r="AA348" s="147"/>
      <c r="AB348" s="147"/>
      <c r="AC348" s="147"/>
      <c r="AD348" s="147"/>
      <c r="AE348" s="147"/>
      <c r="AF348" s="147"/>
      <c r="AG348" s="147"/>
      <c r="AH348" s="147"/>
      <c r="AI348" s="147"/>
      <c r="AJ348" s="147"/>
      <c r="AK348" s="147"/>
      <c r="AL348" s="147"/>
      <c r="AM348" s="147"/>
      <c r="AN348" s="147"/>
      <c r="AO348" s="147"/>
      <c r="AP348" s="147"/>
      <c r="AQ348" s="147"/>
      <c r="AR348" s="147"/>
      <c r="AS348" s="147"/>
      <c r="AT348" s="147"/>
      <c r="AU348" s="147"/>
      <c r="AV348" s="147"/>
      <c r="AW348" s="147"/>
    </row>
    <row r="349">
      <c r="A349" s="631"/>
      <c r="B349" s="631"/>
      <c r="C349" s="632"/>
      <c r="D349" s="633"/>
      <c r="E349" s="634"/>
      <c r="F349" s="635"/>
      <c r="G349" s="636"/>
      <c r="H349" s="637"/>
      <c r="I349" s="643"/>
      <c r="J349" s="644"/>
      <c r="K349" s="147"/>
      <c r="L349" s="632"/>
      <c r="M349" s="147"/>
      <c r="N349" s="640"/>
      <c r="O349" s="640"/>
      <c r="P349" s="641"/>
      <c r="Q349" s="642"/>
      <c r="R349" s="147"/>
      <c r="S349" s="147"/>
      <c r="T349" s="147"/>
      <c r="U349" s="147"/>
      <c r="V349" s="147"/>
      <c r="W349" s="147"/>
      <c r="X349" s="147"/>
      <c r="Y349" s="147"/>
      <c r="Z349" s="147"/>
      <c r="AA349" s="147"/>
      <c r="AB349" s="147"/>
      <c r="AC349" s="147"/>
      <c r="AD349" s="147"/>
      <c r="AE349" s="147"/>
      <c r="AF349" s="147"/>
      <c r="AG349" s="147"/>
      <c r="AH349" s="147"/>
      <c r="AI349" s="147"/>
      <c r="AJ349" s="147"/>
      <c r="AK349" s="147"/>
      <c r="AL349" s="147"/>
      <c r="AM349" s="147"/>
      <c r="AN349" s="147"/>
      <c r="AO349" s="147"/>
      <c r="AP349" s="147"/>
      <c r="AQ349" s="147"/>
      <c r="AR349" s="147"/>
      <c r="AS349" s="147"/>
      <c r="AT349" s="147"/>
      <c r="AU349" s="147"/>
      <c r="AV349" s="147"/>
      <c r="AW349" s="147"/>
    </row>
    <row r="350">
      <c r="A350" s="631"/>
      <c r="B350" s="631"/>
      <c r="C350" s="632"/>
      <c r="D350" s="633"/>
      <c r="E350" s="634"/>
      <c r="F350" s="635"/>
      <c r="G350" s="636"/>
      <c r="H350" s="637"/>
      <c r="I350" s="643"/>
      <c r="J350" s="644"/>
      <c r="K350" s="147"/>
      <c r="L350" s="632"/>
      <c r="M350" s="147"/>
      <c r="N350" s="640"/>
      <c r="O350" s="640"/>
      <c r="P350" s="641"/>
      <c r="Q350" s="642"/>
      <c r="R350" s="147"/>
      <c r="S350" s="147"/>
      <c r="T350" s="147"/>
      <c r="U350" s="147"/>
      <c r="V350" s="147"/>
      <c r="W350" s="147"/>
      <c r="X350" s="147"/>
      <c r="Y350" s="147"/>
      <c r="Z350" s="147"/>
      <c r="AA350" s="147"/>
      <c r="AB350" s="147"/>
      <c r="AC350" s="147"/>
      <c r="AD350" s="147"/>
      <c r="AE350" s="147"/>
      <c r="AF350" s="147"/>
      <c r="AG350" s="147"/>
      <c r="AH350" s="147"/>
      <c r="AI350" s="147"/>
      <c r="AJ350" s="147"/>
      <c r="AK350" s="147"/>
      <c r="AL350" s="147"/>
      <c r="AM350" s="147"/>
      <c r="AN350" s="147"/>
      <c r="AO350" s="147"/>
      <c r="AP350" s="147"/>
      <c r="AQ350" s="147"/>
      <c r="AR350" s="147"/>
      <c r="AS350" s="147"/>
      <c r="AT350" s="147"/>
      <c r="AU350" s="147"/>
      <c r="AV350" s="147"/>
      <c r="AW350" s="147"/>
    </row>
    <row r="351">
      <c r="A351" s="631"/>
      <c r="B351" s="631"/>
      <c r="C351" s="632"/>
      <c r="D351" s="633"/>
      <c r="E351" s="634"/>
      <c r="F351" s="635"/>
      <c r="G351" s="636"/>
      <c r="H351" s="637"/>
      <c r="I351" s="643"/>
      <c r="J351" s="644"/>
      <c r="K351" s="147"/>
      <c r="L351" s="632"/>
      <c r="M351" s="147"/>
      <c r="N351" s="640"/>
      <c r="O351" s="640"/>
      <c r="P351" s="641"/>
      <c r="Q351" s="642"/>
      <c r="R351" s="147"/>
      <c r="S351" s="147"/>
      <c r="T351" s="147"/>
      <c r="U351" s="147"/>
      <c r="V351" s="147"/>
      <c r="W351" s="147"/>
      <c r="X351" s="147"/>
      <c r="Y351" s="147"/>
      <c r="Z351" s="147"/>
      <c r="AA351" s="147"/>
      <c r="AB351" s="147"/>
      <c r="AC351" s="147"/>
      <c r="AD351" s="147"/>
      <c r="AE351" s="147"/>
      <c r="AF351" s="147"/>
      <c r="AG351" s="147"/>
      <c r="AH351" s="147"/>
      <c r="AI351" s="147"/>
      <c r="AJ351" s="147"/>
      <c r="AK351" s="147"/>
      <c r="AL351" s="147"/>
      <c r="AM351" s="147"/>
      <c r="AN351" s="147"/>
      <c r="AO351" s="147"/>
      <c r="AP351" s="147"/>
      <c r="AQ351" s="147"/>
      <c r="AR351" s="147"/>
      <c r="AS351" s="147"/>
      <c r="AT351" s="147"/>
      <c r="AU351" s="147"/>
      <c r="AV351" s="147"/>
      <c r="AW351" s="147"/>
    </row>
    <row r="352">
      <c r="A352" s="631"/>
      <c r="B352" s="631"/>
      <c r="C352" s="632"/>
      <c r="D352" s="633"/>
      <c r="E352" s="634"/>
      <c r="F352" s="635"/>
      <c r="G352" s="636"/>
      <c r="H352" s="637"/>
      <c r="I352" s="643"/>
      <c r="J352" s="644"/>
      <c r="K352" s="147"/>
      <c r="L352" s="632"/>
      <c r="M352" s="147"/>
      <c r="N352" s="640"/>
      <c r="O352" s="640"/>
      <c r="P352" s="641"/>
      <c r="Q352" s="642"/>
      <c r="R352" s="147"/>
      <c r="S352" s="147"/>
      <c r="T352" s="147"/>
      <c r="U352" s="147"/>
      <c r="V352" s="147"/>
      <c r="W352" s="147"/>
      <c r="X352" s="147"/>
      <c r="Y352" s="147"/>
      <c r="Z352" s="147"/>
      <c r="AA352" s="147"/>
      <c r="AB352" s="147"/>
      <c r="AC352" s="147"/>
      <c r="AD352" s="147"/>
      <c r="AE352" s="147"/>
      <c r="AF352" s="147"/>
      <c r="AG352" s="147"/>
      <c r="AH352" s="147"/>
      <c r="AI352" s="147"/>
      <c r="AJ352" s="147"/>
      <c r="AK352" s="147"/>
      <c r="AL352" s="147"/>
      <c r="AM352" s="147"/>
      <c r="AN352" s="147"/>
      <c r="AO352" s="147"/>
      <c r="AP352" s="147"/>
      <c r="AQ352" s="147"/>
      <c r="AR352" s="147"/>
      <c r="AS352" s="147"/>
      <c r="AT352" s="147"/>
      <c r="AU352" s="147"/>
      <c r="AV352" s="147"/>
      <c r="AW352" s="147"/>
    </row>
    <row r="353">
      <c r="A353" s="631"/>
      <c r="B353" s="631"/>
      <c r="C353" s="632"/>
      <c r="D353" s="633"/>
      <c r="E353" s="634"/>
      <c r="F353" s="635"/>
      <c r="G353" s="636"/>
      <c r="H353" s="637"/>
      <c r="I353" s="643"/>
      <c r="J353" s="644"/>
      <c r="K353" s="147"/>
      <c r="L353" s="632"/>
      <c r="M353" s="147"/>
      <c r="N353" s="640"/>
      <c r="O353" s="640"/>
      <c r="P353" s="641"/>
      <c r="Q353" s="642"/>
      <c r="R353" s="147"/>
      <c r="S353" s="147"/>
      <c r="T353" s="147"/>
      <c r="U353" s="147"/>
      <c r="V353" s="147"/>
      <c r="W353" s="147"/>
      <c r="X353" s="147"/>
      <c r="Y353" s="147"/>
      <c r="Z353" s="147"/>
      <c r="AA353" s="147"/>
      <c r="AB353" s="147"/>
      <c r="AC353" s="147"/>
      <c r="AD353" s="147"/>
      <c r="AE353" s="147"/>
      <c r="AF353" s="147"/>
      <c r="AG353" s="147"/>
      <c r="AH353" s="147"/>
      <c r="AI353" s="147"/>
      <c r="AJ353" s="147"/>
      <c r="AK353" s="147"/>
      <c r="AL353" s="147"/>
      <c r="AM353" s="147"/>
      <c r="AN353" s="147"/>
      <c r="AO353" s="147"/>
      <c r="AP353" s="147"/>
      <c r="AQ353" s="147"/>
      <c r="AR353" s="147"/>
      <c r="AS353" s="147"/>
      <c r="AT353" s="147"/>
      <c r="AU353" s="147"/>
      <c r="AV353" s="147"/>
      <c r="AW353" s="147"/>
    </row>
    <row r="354">
      <c r="A354" s="631"/>
      <c r="B354" s="631"/>
      <c r="C354" s="632"/>
      <c r="D354" s="633"/>
      <c r="E354" s="634"/>
      <c r="F354" s="635"/>
      <c r="G354" s="636"/>
      <c r="H354" s="637"/>
      <c r="I354" s="643"/>
      <c r="J354" s="644"/>
      <c r="K354" s="147"/>
      <c r="L354" s="632"/>
      <c r="M354" s="147"/>
      <c r="N354" s="640"/>
      <c r="O354" s="640"/>
      <c r="P354" s="641"/>
      <c r="Q354" s="642"/>
      <c r="R354" s="147"/>
      <c r="S354" s="147"/>
      <c r="T354" s="147"/>
      <c r="U354" s="147"/>
      <c r="V354" s="147"/>
      <c r="W354" s="147"/>
      <c r="X354" s="147"/>
      <c r="Y354" s="147"/>
      <c r="Z354" s="147"/>
      <c r="AA354" s="147"/>
      <c r="AB354" s="147"/>
      <c r="AC354" s="147"/>
      <c r="AD354" s="147"/>
      <c r="AE354" s="147"/>
      <c r="AF354" s="147"/>
      <c r="AG354" s="147"/>
      <c r="AH354" s="147"/>
      <c r="AI354" s="147"/>
      <c r="AJ354" s="147"/>
      <c r="AK354" s="147"/>
      <c r="AL354" s="147"/>
      <c r="AM354" s="147"/>
      <c r="AN354" s="147"/>
      <c r="AO354" s="147"/>
      <c r="AP354" s="147"/>
      <c r="AQ354" s="147"/>
      <c r="AR354" s="147"/>
      <c r="AS354" s="147"/>
      <c r="AT354" s="147"/>
      <c r="AU354" s="147"/>
      <c r="AV354" s="147"/>
      <c r="AW354" s="147"/>
    </row>
    <row r="355">
      <c r="A355" s="631"/>
      <c r="B355" s="631"/>
      <c r="C355" s="632"/>
      <c r="D355" s="633"/>
      <c r="E355" s="634"/>
      <c r="F355" s="635"/>
      <c r="G355" s="636"/>
      <c r="H355" s="637"/>
      <c r="I355" s="643"/>
      <c r="J355" s="644"/>
      <c r="K355" s="147"/>
      <c r="L355" s="632"/>
      <c r="M355" s="147"/>
      <c r="N355" s="640"/>
      <c r="O355" s="640"/>
      <c r="P355" s="641"/>
      <c r="Q355" s="642"/>
      <c r="R355" s="147"/>
      <c r="S355" s="147"/>
      <c r="T355" s="147"/>
      <c r="U355" s="147"/>
      <c r="V355" s="147"/>
      <c r="W355" s="147"/>
      <c r="X355" s="147"/>
      <c r="Y355" s="147"/>
      <c r="Z355" s="147"/>
      <c r="AA355" s="147"/>
      <c r="AB355" s="147"/>
      <c r="AC355" s="147"/>
      <c r="AD355" s="147"/>
      <c r="AE355" s="147"/>
      <c r="AF355" s="147"/>
      <c r="AG355" s="147"/>
      <c r="AH355" s="147"/>
      <c r="AI355" s="147"/>
      <c r="AJ355" s="147"/>
      <c r="AK355" s="147"/>
      <c r="AL355" s="147"/>
      <c r="AM355" s="147"/>
      <c r="AN355" s="147"/>
      <c r="AO355" s="147"/>
      <c r="AP355" s="147"/>
      <c r="AQ355" s="147"/>
      <c r="AR355" s="147"/>
      <c r="AS355" s="147"/>
      <c r="AT355" s="147"/>
      <c r="AU355" s="147"/>
      <c r="AV355" s="147"/>
      <c r="AW355" s="147"/>
    </row>
    <row r="356">
      <c r="A356" s="631"/>
      <c r="B356" s="631"/>
      <c r="C356" s="632"/>
      <c r="D356" s="633"/>
      <c r="E356" s="634"/>
      <c r="F356" s="635"/>
      <c r="G356" s="636"/>
      <c r="H356" s="637"/>
      <c r="I356" s="643"/>
      <c r="J356" s="644"/>
      <c r="K356" s="147"/>
      <c r="L356" s="632"/>
      <c r="M356" s="147"/>
      <c r="N356" s="640"/>
      <c r="O356" s="640"/>
      <c r="P356" s="641"/>
      <c r="Q356" s="642"/>
      <c r="R356" s="147"/>
      <c r="S356" s="147"/>
      <c r="T356" s="147"/>
      <c r="U356" s="147"/>
      <c r="V356" s="147"/>
      <c r="W356" s="147"/>
      <c r="X356" s="147"/>
      <c r="Y356" s="147"/>
      <c r="Z356" s="147"/>
      <c r="AA356" s="147"/>
      <c r="AB356" s="147"/>
      <c r="AC356" s="147"/>
      <c r="AD356" s="147"/>
      <c r="AE356" s="147"/>
      <c r="AF356" s="147"/>
      <c r="AG356" s="147"/>
      <c r="AH356" s="147"/>
      <c r="AI356" s="147"/>
      <c r="AJ356" s="147"/>
      <c r="AK356" s="147"/>
      <c r="AL356" s="147"/>
      <c r="AM356" s="147"/>
      <c r="AN356" s="147"/>
      <c r="AO356" s="147"/>
      <c r="AP356" s="147"/>
      <c r="AQ356" s="147"/>
      <c r="AR356" s="147"/>
      <c r="AS356" s="147"/>
      <c r="AT356" s="147"/>
      <c r="AU356" s="147"/>
      <c r="AV356" s="147"/>
      <c r="AW356" s="147"/>
    </row>
    <row r="357">
      <c r="A357" s="631"/>
      <c r="B357" s="631"/>
      <c r="C357" s="632"/>
      <c r="D357" s="633"/>
      <c r="E357" s="634"/>
      <c r="F357" s="635"/>
      <c r="G357" s="636"/>
      <c r="H357" s="637"/>
      <c r="I357" s="643"/>
      <c r="J357" s="644"/>
      <c r="K357" s="147"/>
      <c r="L357" s="632"/>
      <c r="M357" s="147"/>
      <c r="N357" s="640"/>
      <c r="O357" s="640"/>
      <c r="P357" s="641"/>
      <c r="Q357" s="642"/>
      <c r="R357" s="147"/>
      <c r="S357" s="147"/>
      <c r="T357" s="147"/>
      <c r="U357" s="147"/>
      <c r="V357" s="147"/>
      <c r="W357" s="147"/>
      <c r="X357" s="147"/>
      <c r="Y357" s="147"/>
      <c r="Z357" s="147"/>
      <c r="AA357" s="147"/>
      <c r="AB357" s="147"/>
      <c r="AC357" s="147"/>
      <c r="AD357" s="147"/>
      <c r="AE357" s="147"/>
      <c r="AF357" s="147"/>
      <c r="AG357" s="147"/>
      <c r="AH357" s="147"/>
      <c r="AI357" s="147"/>
      <c r="AJ357" s="147"/>
      <c r="AK357" s="147"/>
      <c r="AL357" s="147"/>
      <c r="AM357" s="147"/>
      <c r="AN357" s="147"/>
      <c r="AO357" s="147"/>
      <c r="AP357" s="147"/>
      <c r="AQ357" s="147"/>
      <c r="AR357" s="147"/>
      <c r="AS357" s="147"/>
      <c r="AT357" s="147"/>
      <c r="AU357" s="147"/>
      <c r="AV357" s="147"/>
      <c r="AW357" s="147"/>
    </row>
    <row r="358">
      <c r="A358" s="631"/>
      <c r="B358" s="631"/>
      <c r="C358" s="632"/>
      <c r="D358" s="633"/>
      <c r="E358" s="634"/>
      <c r="F358" s="635"/>
      <c r="G358" s="636"/>
      <c r="H358" s="637"/>
      <c r="I358" s="643"/>
      <c r="J358" s="644"/>
      <c r="K358" s="147"/>
      <c r="L358" s="632"/>
      <c r="M358" s="147"/>
      <c r="N358" s="640"/>
      <c r="O358" s="640"/>
      <c r="P358" s="641"/>
      <c r="Q358" s="642"/>
      <c r="R358" s="147"/>
      <c r="S358" s="147"/>
      <c r="T358" s="147"/>
      <c r="U358" s="147"/>
      <c r="V358" s="147"/>
      <c r="W358" s="147"/>
      <c r="X358" s="147"/>
      <c r="Y358" s="147"/>
      <c r="Z358" s="147"/>
      <c r="AA358" s="147"/>
      <c r="AB358" s="147"/>
      <c r="AC358" s="147"/>
      <c r="AD358" s="147"/>
      <c r="AE358" s="147"/>
      <c r="AF358" s="147"/>
      <c r="AG358" s="147"/>
      <c r="AH358" s="147"/>
      <c r="AI358" s="147"/>
      <c r="AJ358" s="147"/>
      <c r="AK358" s="147"/>
      <c r="AL358" s="147"/>
      <c r="AM358" s="147"/>
      <c r="AN358" s="147"/>
      <c r="AO358" s="147"/>
      <c r="AP358" s="147"/>
      <c r="AQ358" s="147"/>
      <c r="AR358" s="147"/>
      <c r="AS358" s="147"/>
      <c r="AT358" s="147"/>
      <c r="AU358" s="147"/>
      <c r="AV358" s="147"/>
      <c r="AW358" s="147"/>
    </row>
    <row r="359">
      <c r="A359" s="631"/>
      <c r="B359" s="631"/>
      <c r="C359" s="632"/>
      <c r="D359" s="633"/>
      <c r="E359" s="634"/>
      <c r="F359" s="635"/>
      <c r="G359" s="636"/>
      <c r="H359" s="637"/>
      <c r="I359" s="643"/>
      <c r="J359" s="644"/>
      <c r="K359" s="147"/>
      <c r="L359" s="632"/>
      <c r="M359" s="147"/>
      <c r="N359" s="640"/>
      <c r="O359" s="640"/>
      <c r="P359" s="641"/>
      <c r="Q359" s="642"/>
      <c r="R359" s="147"/>
      <c r="S359" s="147"/>
      <c r="T359" s="147"/>
      <c r="U359" s="147"/>
      <c r="V359" s="147"/>
      <c r="W359" s="147"/>
      <c r="X359" s="147"/>
      <c r="Y359" s="147"/>
      <c r="Z359" s="147"/>
      <c r="AA359" s="147"/>
      <c r="AB359" s="147"/>
      <c r="AC359" s="147"/>
      <c r="AD359" s="147"/>
      <c r="AE359" s="147"/>
      <c r="AF359" s="147"/>
      <c r="AG359" s="147"/>
      <c r="AH359" s="147"/>
      <c r="AI359" s="147"/>
      <c r="AJ359" s="147"/>
      <c r="AK359" s="147"/>
      <c r="AL359" s="147"/>
      <c r="AM359" s="147"/>
      <c r="AN359" s="147"/>
      <c r="AO359" s="147"/>
      <c r="AP359" s="147"/>
      <c r="AQ359" s="147"/>
      <c r="AR359" s="147"/>
      <c r="AS359" s="147"/>
      <c r="AT359" s="147"/>
      <c r="AU359" s="147"/>
      <c r="AV359" s="147"/>
      <c r="AW359" s="147"/>
    </row>
    <row r="360">
      <c r="A360" s="631"/>
      <c r="B360" s="631"/>
      <c r="C360" s="632"/>
      <c r="D360" s="633"/>
      <c r="E360" s="634"/>
      <c r="F360" s="635"/>
      <c r="G360" s="636"/>
      <c r="H360" s="637"/>
      <c r="I360" s="643"/>
      <c r="J360" s="644"/>
      <c r="K360" s="147"/>
      <c r="L360" s="632"/>
      <c r="M360" s="147"/>
      <c r="N360" s="640"/>
      <c r="O360" s="640"/>
      <c r="P360" s="641"/>
      <c r="Q360" s="642"/>
      <c r="R360" s="147"/>
      <c r="S360" s="147"/>
      <c r="T360" s="147"/>
      <c r="U360" s="147"/>
      <c r="V360" s="147"/>
      <c r="W360" s="147"/>
      <c r="X360" s="147"/>
      <c r="Y360" s="147"/>
      <c r="Z360" s="147"/>
      <c r="AA360" s="147"/>
      <c r="AB360" s="147"/>
      <c r="AC360" s="147"/>
      <c r="AD360" s="147"/>
      <c r="AE360" s="147"/>
      <c r="AF360" s="147"/>
      <c r="AG360" s="147"/>
      <c r="AH360" s="147"/>
      <c r="AI360" s="147"/>
      <c r="AJ360" s="147"/>
      <c r="AK360" s="147"/>
      <c r="AL360" s="147"/>
      <c r="AM360" s="147"/>
      <c r="AN360" s="147"/>
      <c r="AO360" s="147"/>
      <c r="AP360" s="147"/>
      <c r="AQ360" s="147"/>
      <c r="AR360" s="147"/>
      <c r="AS360" s="147"/>
      <c r="AT360" s="147"/>
      <c r="AU360" s="147"/>
      <c r="AV360" s="147"/>
      <c r="AW360" s="147"/>
    </row>
    <row r="361">
      <c r="A361" s="631"/>
      <c r="B361" s="631"/>
      <c r="C361" s="632"/>
      <c r="D361" s="633"/>
      <c r="E361" s="634"/>
      <c r="F361" s="635"/>
      <c r="G361" s="636"/>
      <c r="H361" s="637"/>
      <c r="I361" s="643"/>
      <c r="J361" s="644"/>
      <c r="K361" s="147"/>
      <c r="L361" s="632"/>
      <c r="M361" s="147"/>
      <c r="N361" s="640"/>
      <c r="O361" s="640"/>
      <c r="P361" s="641"/>
      <c r="Q361" s="642"/>
      <c r="R361" s="147"/>
      <c r="S361" s="147"/>
      <c r="T361" s="147"/>
      <c r="U361" s="147"/>
      <c r="V361" s="147"/>
      <c r="W361" s="147"/>
      <c r="X361" s="147"/>
      <c r="Y361" s="147"/>
      <c r="Z361" s="147"/>
      <c r="AA361" s="147"/>
      <c r="AB361" s="147"/>
      <c r="AC361" s="147"/>
      <c r="AD361" s="147"/>
      <c r="AE361" s="147"/>
      <c r="AF361" s="147"/>
      <c r="AG361" s="147"/>
      <c r="AH361" s="147"/>
      <c r="AI361" s="147"/>
      <c r="AJ361" s="147"/>
      <c r="AK361" s="147"/>
      <c r="AL361" s="147"/>
      <c r="AM361" s="147"/>
      <c r="AN361" s="147"/>
      <c r="AO361" s="147"/>
      <c r="AP361" s="147"/>
      <c r="AQ361" s="147"/>
      <c r="AR361" s="147"/>
      <c r="AS361" s="147"/>
      <c r="AT361" s="147"/>
      <c r="AU361" s="147"/>
      <c r="AV361" s="147"/>
      <c r="AW361" s="147"/>
    </row>
    <row r="362">
      <c r="A362" s="631"/>
      <c r="B362" s="631"/>
      <c r="C362" s="632"/>
      <c r="D362" s="633"/>
      <c r="E362" s="634"/>
      <c r="F362" s="635"/>
      <c r="G362" s="636"/>
      <c r="H362" s="637"/>
      <c r="I362" s="643"/>
      <c r="J362" s="644"/>
      <c r="K362" s="147"/>
      <c r="L362" s="632"/>
      <c r="M362" s="147"/>
      <c r="N362" s="640"/>
      <c r="O362" s="640"/>
      <c r="P362" s="641"/>
      <c r="Q362" s="642"/>
      <c r="R362" s="147"/>
      <c r="S362" s="147"/>
      <c r="T362" s="147"/>
      <c r="U362" s="147"/>
      <c r="V362" s="147"/>
      <c r="W362" s="147"/>
      <c r="X362" s="147"/>
      <c r="Y362" s="147"/>
      <c r="Z362" s="147"/>
      <c r="AA362" s="147"/>
      <c r="AB362" s="147"/>
      <c r="AC362" s="147"/>
      <c r="AD362" s="147"/>
      <c r="AE362" s="147"/>
      <c r="AF362" s="147"/>
      <c r="AG362" s="147"/>
      <c r="AH362" s="147"/>
      <c r="AI362" s="147"/>
      <c r="AJ362" s="147"/>
      <c r="AK362" s="147"/>
      <c r="AL362" s="147"/>
      <c r="AM362" s="147"/>
      <c r="AN362" s="147"/>
      <c r="AO362" s="147"/>
      <c r="AP362" s="147"/>
      <c r="AQ362" s="147"/>
      <c r="AR362" s="147"/>
      <c r="AS362" s="147"/>
      <c r="AT362" s="147"/>
      <c r="AU362" s="147"/>
      <c r="AV362" s="147"/>
      <c r="AW362" s="147"/>
    </row>
    <row r="363">
      <c r="A363" s="631"/>
      <c r="B363" s="631"/>
      <c r="C363" s="632"/>
      <c r="D363" s="633"/>
      <c r="E363" s="634"/>
      <c r="F363" s="635"/>
      <c r="G363" s="636"/>
      <c r="H363" s="637"/>
      <c r="I363" s="643"/>
      <c r="J363" s="644"/>
      <c r="K363" s="147"/>
      <c r="L363" s="632"/>
      <c r="M363" s="147"/>
      <c r="N363" s="640"/>
      <c r="O363" s="640"/>
      <c r="P363" s="641"/>
      <c r="Q363" s="642"/>
      <c r="R363" s="147"/>
      <c r="S363" s="147"/>
      <c r="T363" s="147"/>
      <c r="U363" s="147"/>
      <c r="V363" s="147"/>
      <c r="W363" s="147"/>
      <c r="X363" s="147"/>
      <c r="Y363" s="147"/>
      <c r="Z363" s="147"/>
      <c r="AA363" s="147"/>
      <c r="AB363" s="147"/>
      <c r="AC363" s="147"/>
      <c r="AD363" s="147"/>
      <c r="AE363" s="147"/>
      <c r="AF363" s="147"/>
      <c r="AG363" s="147"/>
      <c r="AH363" s="147"/>
      <c r="AI363" s="147"/>
      <c r="AJ363" s="147"/>
      <c r="AK363" s="147"/>
      <c r="AL363" s="147"/>
      <c r="AM363" s="147"/>
      <c r="AN363" s="147"/>
      <c r="AO363" s="147"/>
      <c r="AP363" s="147"/>
      <c r="AQ363" s="147"/>
      <c r="AR363" s="147"/>
      <c r="AS363" s="147"/>
      <c r="AT363" s="147"/>
      <c r="AU363" s="147"/>
      <c r="AV363" s="147"/>
      <c r="AW363" s="147"/>
    </row>
    <row r="364">
      <c r="A364" s="631"/>
      <c r="B364" s="631"/>
      <c r="C364" s="632"/>
      <c r="D364" s="633"/>
      <c r="E364" s="634"/>
      <c r="F364" s="635"/>
      <c r="G364" s="636"/>
      <c r="H364" s="637"/>
      <c r="I364" s="643"/>
      <c r="J364" s="644"/>
      <c r="K364" s="147"/>
      <c r="L364" s="632"/>
      <c r="M364" s="147"/>
      <c r="N364" s="640"/>
      <c r="O364" s="640"/>
      <c r="P364" s="641"/>
      <c r="Q364" s="642"/>
      <c r="R364" s="147"/>
      <c r="S364" s="147"/>
      <c r="T364" s="147"/>
      <c r="U364" s="147"/>
      <c r="V364" s="147"/>
      <c r="W364" s="147"/>
      <c r="X364" s="147"/>
      <c r="Y364" s="147"/>
      <c r="Z364" s="147"/>
      <c r="AA364" s="147"/>
      <c r="AB364" s="147"/>
      <c r="AC364" s="147"/>
      <c r="AD364" s="147"/>
      <c r="AE364" s="147"/>
      <c r="AF364" s="147"/>
      <c r="AG364" s="147"/>
      <c r="AH364" s="147"/>
      <c r="AI364" s="147"/>
      <c r="AJ364" s="147"/>
      <c r="AK364" s="147"/>
      <c r="AL364" s="147"/>
      <c r="AM364" s="147"/>
      <c r="AN364" s="147"/>
      <c r="AO364" s="147"/>
      <c r="AP364" s="147"/>
      <c r="AQ364" s="147"/>
      <c r="AR364" s="147"/>
      <c r="AS364" s="147"/>
      <c r="AT364" s="147"/>
      <c r="AU364" s="147"/>
      <c r="AV364" s="147"/>
      <c r="AW364" s="147"/>
    </row>
    <row r="365">
      <c r="A365" s="631"/>
      <c r="B365" s="631"/>
      <c r="C365" s="632"/>
      <c r="D365" s="633"/>
      <c r="E365" s="634"/>
      <c r="F365" s="635"/>
      <c r="G365" s="636"/>
      <c r="H365" s="637"/>
      <c r="I365" s="643"/>
      <c r="J365" s="644"/>
      <c r="K365" s="147"/>
      <c r="L365" s="632"/>
      <c r="M365" s="147"/>
      <c r="N365" s="640"/>
      <c r="O365" s="640"/>
      <c r="P365" s="641"/>
      <c r="Q365" s="642"/>
      <c r="R365" s="147"/>
      <c r="S365" s="147"/>
      <c r="T365" s="147"/>
      <c r="U365" s="147"/>
      <c r="V365" s="147"/>
      <c r="W365" s="147"/>
      <c r="X365" s="147"/>
      <c r="Y365" s="147"/>
      <c r="Z365" s="147"/>
      <c r="AA365" s="147"/>
      <c r="AB365" s="147"/>
      <c r="AC365" s="147"/>
      <c r="AD365" s="147"/>
      <c r="AE365" s="147"/>
      <c r="AF365" s="147"/>
      <c r="AG365" s="147"/>
      <c r="AH365" s="147"/>
      <c r="AI365" s="147"/>
      <c r="AJ365" s="147"/>
      <c r="AK365" s="147"/>
      <c r="AL365" s="147"/>
      <c r="AM365" s="147"/>
      <c r="AN365" s="147"/>
      <c r="AO365" s="147"/>
      <c r="AP365" s="147"/>
      <c r="AQ365" s="147"/>
      <c r="AR365" s="147"/>
      <c r="AS365" s="147"/>
      <c r="AT365" s="147"/>
      <c r="AU365" s="147"/>
      <c r="AV365" s="147"/>
      <c r="AW365" s="147"/>
    </row>
    <row r="366">
      <c r="A366" s="631"/>
      <c r="B366" s="631"/>
      <c r="C366" s="632"/>
      <c r="D366" s="633"/>
      <c r="E366" s="634"/>
      <c r="F366" s="635"/>
      <c r="G366" s="636"/>
      <c r="H366" s="637"/>
      <c r="I366" s="643"/>
      <c r="J366" s="644"/>
      <c r="K366" s="147"/>
      <c r="L366" s="632"/>
      <c r="M366" s="147"/>
      <c r="N366" s="640"/>
      <c r="O366" s="640"/>
      <c r="P366" s="641"/>
      <c r="Q366" s="642"/>
      <c r="R366" s="147"/>
      <c r="S366" s="147"/>
      <c r="T366" s="147"/>
      <c r="U366" s="147"/>
      <c r="V366" s="147"/>
      <c r="W366" s="147"/>
      <c r="X366" s="147"/>
      <c r="Y366" s="147"/>
      <c r="Z366" s="147"/>
      <c r="AA366" s="147"/>
      <c r="AB366" s="147"/>
      <c r="AC366" s="147"/>
      <c r="AD366" s="147"/>
      <c r="AE366" s="147"/>
      <c r="AF366" s="147"/>
      <c r="AG366" s="147"/>
      <c r="AH366" s="147"/>
      <c r="AI366" s="147"/>
      <c r="AJ366" s="147"/>
      <c r="AK366" s="147"/>
      <c r="AL366" s="147"/>
      <c r="AM366" s="147"/>
      <c r="AN366" s="147"/>
      <c r="AO366" s="147"/>
      <c r="AP366" s="147"/>
      <c r="AQ366" s="147"/>
      <c r="AR366" s="147"/>
      <c r="AS366" s="147"/>
      <c r="AT366" s="147"/>
      <c r="AU366" s="147"/>
      <c r="AV366" s="147"/>
      <c r="AW366" s="147"/>
    </row>
    <row r="367">
      <c r="A367" s="631"/>
      <c r="B367" s="631"/>
      <c r="C367" s="632"/>
      <c r="D367" s="633"/>
      <c r="E367" s="634"/>
      <c r="F367" s="635"/>
      <c r="G367" s="636"/>
      <c r="H367" s="637"/>
      <c r="I367" s="643"/>
      <c r="J367" s="644"/>
      <c r="K367" s="147"/>
      <c r="L367" s="632"/>
      <c r="M367" s="147"/>
      <c r="N367" s="640"/>
      <c r="O367" s="640"/>
      <c r="P367" s="641"/>
      <c r="Q367" s="642"/>
      <c r="R367" s="147"/>
      <c r="S367" s="147"/>
      <c r="T367" s="147"/>
      <c r="U367" s="147"/>
      <c r="V367" s="147"/>
      <c r="W367" s="147"/>
      <c r="X367" s="147"/>
      <c r="Y367" s="147"/>
      <c r="Z367" s="147"/>
      <c r="AA367" s="147"/>
      <c r="AB367" s="147"/>
      <c r="AC367" s="147"/>
      <c r="AD367" s="147"/>
      <c r="AE367" s="147"/>
      <c r="AF367" s="147"/>
      <c r="AG367" s="147"/>
      <c r="AH367" s="147"/>
      <c r="AI367" s="147"/>
      <c r="AJ367" s="147"/>
      <c r="AK367" s="147"/>
      <c r="AL367" s="147"/>
      <c r="AM367" s="147"/>
      <c r="AN367" s="147"/>
      <c r="AO367" s="147"/>
      <c r="AP367" s="147"/>
      <c r="AQ367" s="147"/>
      <c r="AR367" s="147"/>
      <c r="AS367" s="147"/>
      <c r="AT367" s="147"/>
      <c r="AU367" s="147"/>
      <c r="AV367" s="147"/>
      <c r="AW367" s="147"/>
    </row>
    <row r="368">
      <c r="A368" s="631"/>
      <c r="B368" s="631"/>
      <c r="C368" s="632"/>
      <c r="D368" s="633"/>
      <c r="E368" s="634"/>
      <c r="F368" s="635"/>
      <c r="G368" s="636"/>
      <c r="H368" s="637"/>
      <c r="I368" s="643"/>
      <c r="J368" s="644"/>
      <c r="K368" s="147"/>
      <c r="L368" s="632"/>
      <c r="M368" s="147"/>
      <c r="N368" s="640"/>
      <c r="O368" s="640"/>
      <c r="P368" s="641"/>
      <c r="Q368" s="642"/>
      <c r="R368" s="147"/>
      <c r="S368" s="147"/>
      <c r="T368" s="147"/>
      <c r="U368" s="147"/>
      <c r="V368" s="147"/>
      <c r="W368" s="147"/>
      <c r="X368" s="147"/>
      <c r="Y368" s="147"/>
      <c r="Z368" s="147"/>
      <c r="AA368" s="147"/>
      <c r="AB368" s="147"/>
      <c r="AC368" s="147"/>
      <c r="AD368" s="147"/>
      <c r="AE368" s="147"/>
      <c r="AF368" s="147"/>
      <c r="AG368" s="147"/>
      <c r="AH368" s="147"/>
      <c r="AI368" s="147"/>
      <c r="AJ368" s="147"/>
      <c r="AK368" s="147"/>
      <c r="AL368" s="147"/>
      <c r="AM368" s="147"/>
      <c r="AN368" s="147"/>
      <c r="AO368" s="147"/>
      <c r="AP368" s="147"/>
      <c r="AQ368" s="147"/>
      <c r="AR368" s="147"/>
      <c r="AS368" s="147"/>
      <c r="AT368" s="147"/>
      <c r="AU368" s="147"/>
      <c r="AV368" s="147"/>
      <c r="AW368" s="147"/>
    </row>
    <row r="369">
      <c r="A369" s="631"/>
      <c r="B369" s="631"/>
      <c r="C369" s="632"/>
      <c r="D369" s="633"/>
      <c r="E369" s="634"/>
      <c r="F369" s="635"/>
      <c r="G369" s="636"/>
      <c r="H369" s="637"/>
      <c r="I369" s="643"/>
      <c r="J369" s="644"/>
      <c r="K369" s="147"/>
      <c r="L369" s="632"/>
      <c r="M369" s="147"/>
      <c r="N369" s="640"/>
      <c r="O369" s="640"/>
      <c r="P369" s="641"/>
      <c r="Q369" s="642"/>
      <c r="R369" s="147"/>
      <c r="S369" s="147"/>
      <c r="T369" s="147"/>
      <c r="U369" s="147"/>
      <c r="V369" s="147"/>
      <c r="W369" s="147"/>
      <c r="X369" s="147"/>
      <c r="Y369" s="147"/>
      <c r="Z369" s="147"/>
      <c r="AA369" s="147"/>
      <c r="AB369" s="147"/>
      <c r="AC369" s="147"/>
      <c r="AD369" s="147"/>
      <c r="AE369" s="147"/>
      <c r="AF369" s="147"/>
      <c r="AG369" s="147"/>
      <c r="AH369" s="147"/>
      <c r="AI369" s="147"/>
      <c r="AJ369" s="147"/>
      <c r="AK369" s="147"/>
      <c r="AL369" s="147"/>
      <c r="AM369" s="147"/>
      <c r="AN369" s="147"/>
      <c r="AO369" s="147"/>
      <c r="AP369" s="147"/>
      <c r="AQ369" s="147"/>
      <c r="AR369" s="147"/>
      <c r="AS369" s="147"/>
      <c r="AT369" s="147"/>
      <c r="AU369" s="147"/>
      <c r="AV369" s="147"/>
      <c r="AW369" s="147"/>
    </row>
    <row r="370">
      <c r="A370" s="631"/>
      <c r="B370" s="631"/>
      <c r="C370" s="632"/>
      <c r="D370" s="633"/>
      <c r="E370" s="634"/>
      <c r="F370" s="635"/>
      <c r="G370" s="636"/>
      <c r="H370" s="637"/>
      <c r="I370" s="643"/>
      <c r="J370" s="644"/>
      <c r="K370" s="147"/>
      <c r="L370" s="632"/>
      <c r="M370" s="147"/>
      <c r="N370" s="640"/>
      <c r="O370" s="640"/>
      <c r="P370" s="641"/>
      <c r="Q370" s="642"/>
      <c r="R370" s="147"/>
      <c r="S370" s="147"/>
      <c r="T370" s="147"/>
      <c r="U370" s="147"/>
      <c r="V370" s="147"/>
      <c r="W370" s="147"/>
      <c r="X370" s="147"/>
      <c r="Y370" s="147"/>
      <c r="Z370" s="147"/>
      <c r="AA370" s="147"/>
      <c r="AB370" s="147"/>
      <c r="AC370" s="147"/>
      <c r="AD370" s="147"/>
      <c r="AE370" s="147"/>
      <c r="AF370" s="147"/>
      <c r="AG370" s="147"/>
      <c r="AH370" s="147"/>
      <c r="AI370" s="147"/>
      <c r="AJ370" s="147"/>
      <c r="AK370" s="147"/>
      <c r="AL370" s="147"/>
      <c r="AM370" s="147"/>
      <c r="AN370" s="147"/>
      <c r="AO370" s="147"/>
      <c r="AP370" s="147"/>
      <c r="AQ370" s="147"/>
      <c r="AR370" s="147"/>
      <c r="AS370" s="147"/>
      <c r="AT370" s="147"/>
      <c r="AU370" s="147"/>
      <c r="AV370" s="147"/>
      <c r="AW370" s="147"/>
    </row>
    <row r="371">
      <c r="A371" s="631"/>
      <c r="B371" s="631"/>
      <c r="C371" s="632"/>
      <c r="D371" s="633"/>
      <c r="E371" s="634"/>
      <c r="F371" s="635"/>
      <c r="G371" s="636"/>
      <c r="H371" s="637"/>
      <c r="I371" s="643"/>
      <c r="J371" s="644"/>
      <c r="K371" s="147"/>
      <c r="L371" s="632"/>
      <c r="M371" s="147"/>
      <c r="N371" s="640"/>
      <c r="O371" s="640"/>
      <c r="P371" s="641"/>
      <c r="Q371" s="642"/>
      <c r="R371" s="147"/>
      <c r="S371" s="147"/>
      <c r="T371" s="147"/>
      <c r="U371" s="147"/>
      <c r="V371" s="147"/>
      <c r="W371" s="147"/>
      <c r="X371" s="147"/>
      <c r="Y371" s="147"/>
      <c r="Z371" s="147"/>
      <c r="AA371" s="147"/>
      <c r="AB371" s="147"/>
      <c r="AC371" s="147"/>
      <c r="AD371" s="147"/>
      <c r="AE371" s="147"/>
      <c r="AF371" s="147"/>
      <c r="AG371" s="147"/>
      <c r="AH371" s="147"/>
      <c r="AI371" s="147"/>
      <c r="AJ371" s="147"/>
      <c r="AK371" s="147"/>
      <c r="AL371" s="147"/>
      <c r="AM371" s="147"/>
      <c r="AN371" s="147"/>
      <c r="AO371" s="147"/>
      <c r="AP371" s="147"/>
      <c r="AQ371" s="147"/>
      <c r="AR371" s="147"/>
      <c r="AS371" s="147"/>
      <c r="AT371" s="147"/>
      <c r="AU371" s="147"/>
      <c r="AV371" s="147"/>
      <c r="AW371" s="147"/>
    </row>
    <row r="372">
      <c r="A372" s="631"/>
      <c r="B372" s="631"/>
      <c r="C372" s="632"/>
      <c r="D372" s="633"/>
      <c r="E372" s="634"/>
      <c r="F372" s="635"/>
      <c r="G372" s="636"/>
      <c r="H372" s="637"/>
      <c r="I372" s="643"/>
      <c r="J372" s="644"/>
      <c r="K372" s="147"/>
      <c r="L372" s="632"/>
      <c r="M372" s="147"/>
      <c r="N372" s="640"/>
      <c r="O372" s="640"/>
      <c r="P372" s="641"/>
      <c r="Q372" s="642"/>
      <c r="R372" s="147"/>
      <c r="S372" s="147"/>
      <c r="T372" s="147"/>
      <c r="U372" s="147"/>
      <c r="V372" s="147"/>
      <c r="W372" s="147"/>
      <c r="X372" s="147"/>
      <c r="Y372" s="147"/>
      <c r="Z372" s="147"/>
      <c r="AA372" s="147"/>
      <c r="AB372" s="147"/>
      <c r="AC372" s="147"/>
      <c r="AD372" s="147"/>
      <c r="AE372" s="147"/>
      <c r="AF372" s="147"/>
      <c r="AG372" s="147"/>
      <c r="AH372" s="147"/>
      <c r="AI372" s="147"/>
      <c r="AJ372" s="147"/>
      <c r="AK372" s="147"/>
      <c r="AL372" s="147"/>
      <c r="AM372" s="147"/>
      <c r="AN372" s="147"/>
      <c r="AO372" s="147"/>
      <c r="AP372" s="147"/>
      <c r="AQ372" s="147"/>
      <c r="AR372" s="147"/>
      <c r="AS372" s="147"/>
      <c r="AT372" s="147"/>
      <c r="AU372" s="147"/>
      <c r="AV372" s="147"/>
      <c r="AW372" s="147"/>
    </row>
    <row r="373">
      <c r="A373" s="631"/>
      <c r="B373" s="631"/>
      <c r="C373" s="632"/>
      <c r="D373" s="633"/>
      <c r="E373" s="634"/>
      <c r="F373" s="635"/>
      <c r="G373" s="636"/>
      <c r="H373" s="637"/>
      <c r="I373" s="643"/>
      <c r="J373" s="644"/>
      <c r="K373" s="147"/>
      <c r="L373" s="632"/>
      <c r="M373" s="147"/>
      <c r="N373" s="640"/>
      <c r="O373" s="640"/>
      <c r="P373" s="641"/>
      <c r="Q373" s="642"/>
      <c r="R373" s="147"/>
      <c r="S373" s="147"/>
      <c r="T373" s="147"/>
      <c r="U373" s="147"/>
      <c r="V373" s="147"/>
      <c r="W373" s="147"/>
      <c r="X373" s="147"/>
      <c r="Y373" s="147"/>
      <c r="Z373" s="147"/>
      <c r="AA373" s="147"/>
      <c r="AB373" s="147"/>
      <c r="AC373" s="147"/>
      <c r="AD373" s="147"/>
      <c r="AE373" s="147"/>
      <c r="AF373" s="147"/>
      <c r="AG373" s="147"/>
      <c r="AH373" s="147"/>
      <c r="AI373" s="147"/>
      <c r="AJ373" s="147"/>
      <c r="AK373" s="147"/>
      <c r="AL373" s="147"/>
      <c r="AM373" s="147"/>
      <c r="AN373" s="147"/>
      <c r="AO373" s="147"/>
      <c r="AP373" s="147"/>
      <c r="AQ373" s="147"/>
      <c r="AR373" s="147"/>
      <c r="AS373" s="147"/>
      <c r="AT373" s="147"/>
      <c r="AU373" s="147"/>
      <c r="AV373" s="147"/>
      <c r="AW373" s="147"/>
    </row>
    <row r="374">
      <c r="A374" s="631"/>
      <c r="B374" s="631"/>
      <c r="C374" s="632"/>
      <c r="D374" s="633"/>
      <c r="E374" s="634"/>
      <c r="F374" s="635"/>
      <c r="G374" s="636"/>
      <c r="H374" s="637"/>
      <c r="I374" s="643"/>
      <c r="J374" s="644"/>
      <c r="K374" s="147"/>
      <c r="L374" s="632"/>
      <c r="M374" s="147"/>
      <c r="N374" s="640"/>
      <c r="O374" s="640"/>
      <c r="P374" s="641"/>
      <c r="Q374" s="642"/>
      <c r="R374" s="147"/>
      <c r="S374" s="147"/>
      <c r="T374" s="147"/>
      <c r="U374" s="147"/>
      <c r="V374" s="147"/>
      <c r="W374" s="147"/>
      <c r="X374" s="147"/>
      <c r="Y374" s="147"/>
      <c r="Z374" s="147"/>
      <c r="AA374" s="147"/>
      <c r="AB374" s="147"/>
      <c r="AC374" s="147"/>
      <c r="AD374" s="147"/>
      <c r="AE374" s="147"/>
      <c r="AF374" s="147"/>
      <c r="AG374" s="147"/>
      <c r="AH374" s="147"/>
      <c r="AI374" s="147"/>
      <c r="AJ374" s="147"/>
      <c r="AK374" s="147"/>
      <c r="AL374" s="147"/>
      <c r="AM374" s="147"/>
      <c r="AN374" s="147"/>
      <c r="AO374" s="147"/>
      <c r="AP374" s="147"/>
      <c r="AQ374" s="147"/>
      <c r="AR374" s="147"/>
      <c r="AS374" s="147"/>
      <c r="AT374" s="147"/>
      <c r="AU374" s="147"/>
      <c r="AV374" s="147"/>
      <c r="AW374" s="147"/>
    </row>
    <row r="375">
      <c r="A375" s="631"/>
      <c r="B375" s="631"/>
      <c r="C375" s="632"/>
      <c r="D375" s="633"/>
      <c r="E375" s="634"/>
      <c r="F375" s="635"/>
      <c r="G375" s="636"/>
      <c r="H375" s="637"/>
      <c r="I375" s="643"/>
      <c r="J375" s="644"/>
      <c r="K375" s="147"/>
      <c r="L375" s="632"/>
      <c r="M375" s="147"/>
      <c r="N375" s="640"/>
      <c r="O375" s="640"/>
      <c r="P375" s="641"/>
      <c r="Q375" s="642"/>
      <c r="R375" s="147"/>
      <c r="S375" s="147"/>
      <c r="T375" s="147"/>
      <c r="U375" s="147"/>
      <c r="V375" s="147"/>
      <c r="W375" s="147"/>
      <c r="X375" s="147"/>
      <c r="Y375" s="147"/>
      <c r="Z375" s="147"/>
      <c r="AA375" s="147"/>
      <c r="AB375" s="147"/>
      <c r="AC375" s="147"/>
      <c r="AD375" s="147"/>
      <c r="AE375" s="147"/>
      <c r="AF375" s="147"/>
      <c r="AG375" s="147"/>
      <c r="AH375" s="147"/>
      <c r="AI375" s="147"/>
      <c r="AJ375" s="147"/>
      <c r="AK375" s="147"/>
      <c r="AL375" s="147"/>
      <c r="AM375" s="147"/>
      <c r="AN375" s="147"/>
      <c r="AO375" s="147"/>
      <c r="AP375" s="147"/>
      <c r="AQ375" s="147"/>
      <c r="AR375" s="147"/>
      <c r="AS375" s="147"/>
      <c r="AT375" s="147"/>
      <c r="AU375" s="147"/>
      <c r="AV375" s="147"/>
      <c r="AW375" s="147"/>
    </row>
    <row r="376">
      <c r="A376" s="631"/>
      <c r="B376" s="631"/>
      <c r="C376" s="632"/>
      <c r="D376" s="633"/>
      <c r="E376" s="634"/>
      <c r="F376" s="635"/>
      <c r="G376" s="636"/>
      <c r="H376" s="637"/>
      <c r="I376" s="643"/>
      <c r="J376" s="644"/>
      <c r="K376" s="147"/>
      <c r="L376" s="632"/>
      <c r="M376" s="147"/>
      <c r="N376" s="640"/>
      <c r="O376" s="640"/>
      <c r="P376" s="641"/>
      <c r="Q376" s="642"/>
      <c r="R376" s="147"/>
      <c r="S376" s="147"/>
      <c r="T376" s="147"/>
      <c r="U376" s="147"/>
      <c r="V376" s="147"/>
      <c r="W376" s="147"/>
      <c r="X376" s="147"/>
      <c r="Y376" s="147"/>
      <c r="Z376" s="147"/>
      <c r="AA376" s="147"/>
      <c r="AB376" s="147"/>
      <c r="AC376" s="147"/>
      <c r="AD376" s="147"/>
      <c r="AE376" s="147"/>
      <c r="AF376" s="147"/>
      <c r="AG376" s="147"/>
      <c r="AH376" s="147"/>
      <c r="AI376" s="147"/>
      <c r="AJ376" s="147"/>
      <c r="AK376" s="147"/>
      <c r="AL376" s="147"/>
      <c r="AM376" s="147"/>
      <c r="AN376" s="147"/>
      <c r="AO376" s="147"/>
      <c r="AP376" s="147"/>
      <c r="AQ376" s="147"/>
      <c r="AR376" s="147"/>
      <c r="AS376" s="147"/>
      <c r="AT376" s="147"/>
      <c r="AU376" s="147"/>
      <c r="AV376" s="147"/>
      <c r="AW376" s="147"/>
    </row>
    <row r="377">
      <c r="A377" s="631"/>
      <c r="B377" s="631"/>
      <c r="C377" s="632"/>
      <c r="D377" s="633"/>
      <c r="E377" s="634"/>
      <c r="F377" s="635"/>
      <c r="G377" s="636"/>
      <c r="H377" s="637"/>
      <c r="I377" s="643"/>
      <c r="J377" s="644"/>
      <c r="K377" s="147"/>
      <c r="L377" s="632"/>
      <c r="M377" s="147"/>
      <c r="N377" s="640"/>
      <c r="O377" s="640"/>
      <c r="P377" s="641"/>
      <c r="Q377" s="642"/>
      <c r="R377" s="147"/>
      <c r="S377" s="147"/>
      <c r="T377" s="147"/>
      <c r="U377" s="147"/>
      <c r="V377" s="147"/>
      <c r="W377" s="147"/>
      <c r="X377" s="147"/>
      <c r="Y377" s="147"/>
      <c r="Z377" s="147"/>
      <c r="AA377" s="147"/>
      <c r="AB377" s="147"/>
      <c r="AC377" s="147"/>
      <c r="AD377" s="147"/>
      <c r="AE377" s="147"/>
      <c r="AF377" s="147"/>
      <c r="AG377" s="147"/>
      <c r="AH377" s="147"/>
      <c r="AI377" s="147"/>
      <c r="AJ377" s="147"/>
      <c r="AK377" s="147"/>
      <c r="AL377" s="147"/>
      <c r="AM377" s="147"/>
      <c r="AN377" s="147"/>
      <c r="AO377" s="147"/>
      <c r="AP377" s="147"/>
      <c r="AQ377" s="147"/>
      <c r="AR377" s="147"/>
      <c r="AS377" s="147"/>
      <c r="AT377" s="147"/>
      <c r="AU377" s="147"/>
      <c r="AV377" s="147"/>
      <c r="AW377" s="147"/>
    </row>
    <row r="378">
      <c r="A378" s="631"/>
      <c r="B378" s="631"/>
      <c r="C378" s="632"/>
      <c r="D378" s="633"/>
      <c r="E378" s="634"/>
      <c r="F378" s="635"/>
      <c r="G378" s="636"/>
      <c r="H378" s="637"/>
      <c r="I378" s="643"/>
      <c r="J378" s="644"/>
      <c r="K378" s="147"/>
      <c r="L378" s="632"/>
      <c r="M378" s="147"/>
      <c r="N378" s="640"/>
      <c r="O378" s="640"/>
      <c r="P378" s="641"/>
      <c r="Q378" s="642"/>
      <c r="R378" s="147"/>
      <c r="S378" s="147"/>
      <c r="T378" s="147"/>
      <c r="U378" s="147"/>
      <c r="V378" s="147"/>
      <c r="W378" s="147"/>
      <c r="X378" s="147"/>
      <c r="Y378" s="147"/>
      <c r="Z378" s="147"/>
      <c r="AA378" s="147"/>
      <c r="AB378" s="147"/>
      <c r="AC378" s="147"/>
      <c r="AD378" s="147"/>
      <c r="AE378" s="147"/>
      <c r="AF378" s="147"/>
      <c r="AG378" s="147"/>
      <c r="AH378" s="147"/>
      <c r="AI378" s="147"/>
      <c r="AJ378" s="147"/>
      <c r="AK378" s="147"/>
      <c r="AL378" s="147"/>
      <c r="AM378" s="147"/>
      <c r="AN378" s="147"/>
      <c r="AO378" s="147"/>
      <c r="AP378" s="147"/>
      <c r="AQ378" s="147"/>
      <c r="AR378" s="147"/>
      <c r="AS378" s="147"/>
      <c r="AT378" s="147"/>
      <c r="AU378" s="147"/>
      <c r="AV378" s="147"/>
      <c r="AW378" s="147"/>
    </row>
    <row r="379">
      <c r="A379" s="631"/>
      <c r="B379" s="631"/>
      <c r="C379" s="632"/>
      <c r="D379" s="633"/>
      <c r="E379" s="634"/>
      <c r="F379" s="635"/>
      <c r="G379" s="636"/>
      <c r="H379" s="637"/>
      <c r="I379" s="643"/>
      <c r="J379" s="644"/>
      <c r="K379" s="147"/>
      <c r="L379" s="632"/>
      <c r="M379" s="147"/>
      <c r="N379" s="640"/>
      <c r="O379" s="640"/>
      <c r="P379" s="641"/>
      <c r="Q379" s="642"/>
      <c r="R379" s="147"/>
      <c r="S379" s="147"/>
      <c r="T379" s="147"/>
      <c r="U379" s="147"/>
      <c r="V379" s="147"/>
      <c r="W379" s="147"/>
      <c r="X379" s="147"/>
      <c r="Y379" s="147"/>
      <c r="Z379" s="147"/>
      <c r="AA379" s="147"/>
      <c r="AB379" s="147"/>
      <c r="AC379" s="147"/>
      <c r="AD379" s="147"/>
      <c r="AE379" s="147"/>
      <c r="AF379" s="147"/>
      <c r="AG379" s="147"/>
      <c r="AH379" s="147"/>
      <c r="AI379" s="147"/>
      <c r="AJ379" s="147"/>
      <c r="AK379" s="147"/>
      <c r="AL379" s="147"/>
      <c r="AM379" s="147"/>
      <c r="AN379" s="147"/>
      <c r="AO379" s="147"/>
      <c r="AP379" s="147"/>
      <c r="AQ379" s="147"/>
      <c r="AR379" s="147"/>
      <c r="AS379" s="147"/>
      <c r="AT379" s="147"/>
      <c r="AU379" s="147"/>
      <c r="AV379" s="147"/>
      <c r="AW379" s="147"/>
    </row>
    <row r="380">
      <c r="A380" s="631"/>
      <c r="B380" s="631"/>
      <c r="C380" s="632"/>
      <c r="D380" s="633"/>
      <c r="E380" s="634"/>
      <c r="F380" s="635"/>
      <c r="G380" s="636"/>
      <c r="H380" s="637"/>
      <c r="I380" s="643"/>
      <c r="J380" s="644"/>
      <c r="K380" s="147"/>
      <c r="L380" s="632"/>
      <c r="M380" s="147"/>
      <c r="N380" s="640"/>
      <c r="O380" s="640"/>
      <c r="P380" s="641"/>
      <c r="Q380" s="642"/>
      <c r="R380" s="147"/>
      <c r="S380" s="147"/>
      <c r="T380" s="147"/>
      <c r="U380" s="147"/>
      <c r="V380" s="147"/>
      <c r="W380" s="147"/>
      <c r="X380" s="147"/>
      <c r="Y380" s="147"/>
      <c r="Z380" s="147"/>
      <c r="AA380" s="147"/>
      <c r="AB380" s="147"/>
      <c r="AC380" s="147"/>
      <c r="AD380" s="147"/>
      <c r="AE380" s="147"/>
      <c r="AF380" s="147"/>
      <c r="AG380" s="147"/>
      <c r="AH380" s="147"/>
      <c r="AI380" s="147"/>
      <c r="AJ380" s="147"/>
      <c r="AK380" s="147"/>
      <c r="AL380" s="147"/>
      <c r="AM380" s="147"/>
      <c r="AN380" s="147"/>
      <c r="AO380" s="147"/>
      <c r="AP380" s="147"/>
      <c r="AQ380" s="147"/>
      <c r="AR380" s="147"/>
      <c r="AS380" s="147"/>
      <c r="AT380" s="147"/>
      <c r="AU380" s="147"/>
      <c r="AV380" s="147"/>
      <c r="AW380" s="147"/>
    </row>
    <row r="381">
      <c r="A381" s="631"/>
      <c r="B381" s="631"/>
      <c r="C381" s="632"/>
      <c r="D381" s="633"/>
      <c r="E381" s="634"/>
      <c r="F381" s="635"/>
      <c r="G381" s="636"/>
      <c r="H381" s="637"/>
      <c r="I381" s="643"/>
      <c r="J381" s="644"/>
      <c r="K381" s="147"/>
      <c r="L381" s="632"/>
      <c r="M381" s="147"/>
      <c r="N381" s="640"/>
      <c r="O381" s="640"/>
      <c r="P381" s="641"/>
      <c r="Q381" s="642"/>
      <c r="R381" s="147"/>
      <c r="S381" s="147"/>
      <c r="T381" s="147"/>
      <c r="U381" s="147"/>
      <c r="V381" s="147"/>
      <c r="W381" s="147"/>
      <c r="X381" s="147"/>
      <c r="Y381" s="147"/>
      <c r="Z381" s="147"/>
      <c r="AA381" s="147"/>
      <c r="AB381" s="147"/>
      <c r="AC381" s="147"/>
      <c r="AD381" s="147"/>
      <c r="AE381" s="147"/>
      <c r="AF381" s="147"/>
      <c r="AG381" s="147"/>
      <c r="AH381" s="147"/>
      <c r="AI381" s="147"/>
      <c r="AJ381" s="147"/>
      <c r="AK381" s="147"/>
      <c r="AL381" s="147"/>
      <c r="AM381" s="147"/>
      <c r="AN381" s="147"/>
      <c r="AO381" s="147"/>
      <c r="AP381" s="147"/>
      <c r="AQ381" s="147"/>
      <c r="AR381" s="147"/>
      <c r="AS381" s="147"/>
      <c r="AT381" s="147"/>
      <c r="AU381" s="147"/>
      <c r="AV381" s="147"/>
      <c r="AW381" s="147"/>
    </row>
    <row r="382">
      <c r="A382" s="631"/>
      <c r="B382" s="631"/>
      <c r="C382" s="632"/>
      <c r="D382" s="633"/>
      <c r="E382" s="634"/>
      <c r="F382" s="635"/>
      <c r="G382" s="636"/>
      <c r="H382" s="637"/>
      <c r="I382" s="643"/>
      <c r="J382" s="644"/>
      <c r="K382" s="147"/>
      <c r="L382" s="632"/>
      <c r="M382" s="147"/>
      <c r="N382" s="640"/>
      <c r="O382" s="640"/>
      <c r="P382" s="641"/>
      <c r="Q382" s="642"/>
      <c r="R382" s="147"/>
      <c r="S382" s="147"/>
      <c r="T382" s="147"/>
      <c r="U382" s="147"/>
      <c r="V382" s="147"/>
      <c r="W382" s="147"/>
      <c r="X382" s="147"/>
      <c r="Y382" s="147"/>
      <c r="Z382" s="147"/>
      <c r="AA382" s="147"/>
      <c r="AB382" s="147"/>
      <c r="AC382" s="147"/>
      <c r="AD382" s="147"/>
      <c r="AE382" s="147"/>
      <c r="AF382" s="147"/>
      <c r="AG382" s="147"/>
      <c r="AH382" s="147"/>
      <c r="AI382" s="147"/>
      <c r="AJ382" s="147"/>
      <c r="AK382" s="147"/>
      <c r="AL382" s="147"/>
      <c r="AM382" s="147"/>
      <c r="AN382" s="147"/>
      <c r="AO382" s="147"/>
      <c r="AP382" s="147"/>
      <c r="AQ382" s="147"/>
      <c r="AR382" s="147"/>
      <c r="AS382" s="147"/>
      <c r="AT382" s="147"/>
      <c r="AU382" s="147"/>
      <c r="AV382" s="147"/>
      <c r="AW382" s="147"/>
    </row>
    <row r="383">
      <c r="A383" s="631"/>
      <c r="B383" s="631"/>
      <c r="C383" s="632"/>
      <c r="D383" s="633"/>
      <c r="E383" s="634"/>
      <c r="F383" s="635"/>
      <c r="G383" s="636"/>
      <c r="H383" s="637"/>
      <c r="I383" s="643"/>
      <c r="J383" s="644"/>
      <c r="K383" s="147"/>
      <c r="L383" s="632"/>
      <c r="M383" s="147"/>
      <c r="N383" s="640"/>
      <c r="O383" s="640"/>
      <c r="P383" s="641"/>
      <c r="Q383" s="642"/>
      <c r="R383" s="147"/>
      <c r="S383" s="147"/>
      <c r="T383" s="147"/>
      <c r="U383" s="147"/>
      <c r="V383" s="147"/>
      <c r="W383" s="147"/>
      <c r="X383" s="147"/>
      <c r="Y383" s="147"/>
      <c r="Z383" s="147"/>
      <c r="AA383" s="147"/>
      <c r="AB383" s="147"/>
      <c r="AC383" s="147"/>
      <c r="AD383" s="147"/>
      <c r="AE383" s="147"/>
      <c r="AF383" s="147"/>
      <c r="AG383" s="147"/>
      <c r="AH383" s="147"/>
      <c r="AI383" s="147"/>
      <c r="AJ383" s="147"/>
      <c r="AK383" s="147"/>
      <c r="AL383" s="147"/>
      <c r="AM383" s="147"/>
      <c r="AN383" s="147"/>
      <c r="AO383" s="147"/>
      <c r="AP383" s="147"/>
      <c r="AQ383" s="147"/>
      <c r="AR383" s="147"/>
      <c r="AS383" s="147"/>
      <c r="AT383" s="147"/>
      <c r="AU383" s="147"/>
      <c r="AV383" s="147"/>
      <c r="AW383" s="147"/>
    </row>
    <row r="384">
      <c r="A384" s="631"/>
      <c r="B384" s="631"/>
      <c r="C384" s="632"/>
      <c r="D384" s="633"/>
      <c r="E384" s="634"/>
      <c r="F384" s="635"/>
      <c r="G384" s="636"/>
      <c r="H384" s="637"/>
      <c r="I384" s="643"/>
      <c r="J384" s="644"/>
      <c r="K384" s="147"/>
      <c r="L384" s="632"/>
      <c r="M384" s="147"/>
      <c r="N384" s="640"/>
      <c r="O384" s="640"/>
      <c r="P384" s="641"/>
      <c r="Q384" s="642"/>
      <c r="R384" s="147"/>
      <c r="S384" s="147"/>
      <c r="T384" s="147"/>
      <c r="U384" s="147"/>
      <c r="V384" s="147"/>
      <c r="W384" s="147"/>
      <c r="X384" s="147"/>
      <c r="Y384" s="147"/>
      <c r="Z384" s="147"/>
      <c r="AA384" s="147"/>
      <c r="AB384" s="147"/>
      <c r="AC384" s="147"/>
      <c r="AD384" s="147"/>
      <c r="AE384" s="147"/>
      <c r="AF384" s="147"/>
      <c r="AG384" s="147"/>
      <c r="AH384" s="147"/>
      <c r="AI384" s="147"/>
      <c r="AJ384" s="147"/>
      <c r="AK384" s="147"/>
      <c r="AL384" s="147"/>
      <c r="AM384" s="147"/>
      <c r="AN384" s="147"/>
      <c r="AO384" s="147"/>
      <c r="AP384" s="147"/>
      <c r="AQ384" s="147"/>
      <c r="AR384" s="147"/>
      <c r="AS384" s="147"/>
      <c r="AT384" s="147"/>
      <c r="AU384" s="147"/>
      <c r="AV384" s="147"/>
      <c r="AW384" s="147"/>
    </row>
    <row r="385">
      <c r="A385" s="631"/>
      <c r="B385" s="631"/>
      <c r="C385" s="632"/>
      <c r="D385" s="633"/>
      <c r="E385" s="634"/>
      <c r="F385" s="635"/>
      <c r="G385" s="636"/>
      <c r="H385" s="637"/>
      <c r="I385" s="643"/>
      <c r="J385" s="644"/>
      <c r="K385" s="147"/>
      <c r="L385" s="632"/>
      <c r="M385" s="147"/>
      <c r="N385" s="640"/>
      <c r="O385" s="640"/>
      <c r="P385" s="641"/>
      <c r="Q385" s="642"/>
      <c r="R385" s="147"/>
      <c r="S385" s="147"/>
      <c r="T385" s="147"/>
      <c r="U385" s="147"/>
      <c r="V385" s="147"/>
      <c r="W385" s="147"/>
      <c r="X385" s="147"/>
      <c r="Y385" s="147"/>
      <c r="Z385" s="147"/>
      <c r="AA385" s="147"/>
      <c r="AB385" s="147"/>
      <c r="AC385" s="147"/>
      <c r="AD385" s="147"/>
      <c r="AE385" s="147"/>
      <c r="AF385" s="147"/>
      <c r="AG385" s="147"/>
      <c r="AH385" s="147"/>
      <c r="AI385" s="147"/>
      <c r="AJ385" s="147"/>
      <c r="AK385" s="147"/>
      <c r="AL385" s="147"/>
      <c r="AM385" s="147"/>
      <c r="AN385" s="147"/>
      <c r="AO385" s="147"/>
      <c r="AP385" s="147"/>
      <c r="AQ385" s="147"/>
      <c r="AR385" s="147"/>
      <c r="AS385" s="147"/>
      <c r="AT385" s="147"/>
      <c r="AU385" s="147"/>
      <c r="AV385" s="147"/>
      <c r="AW385" s="147"/>
    </row>
    <row r="386">
      <c r="A386" s="631"/>
      <c r="B386" s="631"/>
      <c r="C386" s="632"/>
      <c r="D386" s="633"/>
      <c r="E386" s="634"/>
      <c r="F386" s="635"/>
      <c r="G386" s="636"/>
      <c r="H386" s="637"/>
      <c r="I386" s="643"/>
      <c r="J386" s="644"/>
      <c r="K386" s="147"/>
      <c r="L386" s="632"/>
      <c r="M386" s="147"/>
      <c r="N386" s="640"/>
      <c r="O386" s="640"/>
      <c r="P386" s="641"/>
      <c r="Q386" s="642"/>
      <c r="R386" s="147"/>
      <c r="S386" s="147"/>
      <c r="T386" s="147"/>
      <c r="U386" s="147"/>
      <c r="V386" s="147"/>
      <c r="W386" s="147"/>
      <c r="X386" s="147"/>
      <c r="Y386" s="147"/>
      <c r="Z386" s="147"/>
      <c r="AA386" s="147"/>
      <c r="AB386" s="147"/>
      <c r="AC386" s="147"/>
      <c r="AD386" s="147"/>
      <c r="AE386" s="147"/>
      <c r="AF386" s="147"/>
      <c r="AG386" s="147"/>
      <c r="AH386" s="147"/>
      <c r="AI386" s="147"/>
      <c r="AJ386" s="147"/>
      <c r="AK386" s="147"/>
      <c r="AL386" s="147"/>
      <c r="AM386" s="147"/>
      <c r="AN386" s="147"/>
      <c r="AO386" s="147"/>
      <c r="AP386" s="147"/>
      <c r="AQ386" s="147"/>
      <c r="AR386" s="147"/>
      <c r="AS386" s="147"/>
      <c r="AT386" s="147"/>
      <c r="AU386" s="147"/>
      <c r="AV386" s="147"/>
      <c r="AW386" s="147"/>
    </row>
    <row r="387">
      <c r="A387" s="631"/>
      <c r="B387" s="631"/>
      <c r="C387" s="632"/>
      <c r="D387" s="633"/>
      <c r="E387" s="634"/>
      <c r="F387" s="635"/>
      <c r="G387" s="636"/>
      <c r="H387" s="637"/>
      <c r="I387" s="643"/>
      <c r="J387" s="644"/>
      <c r="K387" s="147"/>
      <c r="L387" s="632"/>
      <c r="M387" s="147"/>
      <c r="N387" s="640"/>
      <c r="O387" s="640"/>
      <c r="P387" s="641"/>
      <c r="Q387" s="642"/>
      <c r="R387" s="147"/>
      <c r="S387" s="147"/>
      <c r="T387" s="147"/>
      <c r="U387" s="147"/>
      <c r="V387" s="147"/>
      <c r="W387" s="147"/>
      <c r="X387" s="147"/>
      <c r="Y387" s="147"/>
      <c r="Z387" s="147"/>
      <c r="AA387" s="147"/>
      <c r="AB387" s="147"/>
      <c r="AC387" s="147"/>
      <c r="AD387" s="147"/>
      <c r="AE387" s="147"/>
      <c r="AF387" s="147"/>
      <c r="AG387" s="147"/>
      <c r="AH387" s="147"/>
      <c r="AI387" s="147"/>
      <c r="AJ387" s="147"/>
      <c r="AK387" s="147"/>
      <c r="AL387" s="147"/>
      <c r="AM387" s="147"/>
      <c r="AN387" s="147"/>
      <c r="AO387" s="147"/>
      <c r="AP387" s="147"/>
      <c r="AQ387" s="147"/>
      <c r="AR387" s="147"/>
      <c r="AS387" s="147"/>
      <c r="AT387" s="147"/>
      <c r="AU387" s="147"/>
      <c r="AV387" s="147"/>
      <c r="AW387" s="147"/>
    </row>
    <row r="388">
      <c r="A388" s="631"/>
      <c r="B388" s="631"/>
      <c r="C388" s="632"/>
      <c r="D388" s="633"/>
      <c r="E388" s="634"/>
      <c r="F388" s="635"/>
      <c r="G388" s="636"/>
      <c r="H388" s="637"/>
      <c r="I388" s="643"/>
      <c r="J388" s="644"/>
      <c r="K388" s="147"/>
      <c r="L388" s="632"/>
      <c r="M388" s="147"/>
      <c r="N388" s="640"/>
      <c r="O388" s="640"/>
      <c r="P388" s="641"/>
      <c r="Q388" s="642"/>
      <c r="R388" s="147"/>
      <c r="S388" s="147"/>
      <c r="T388" s="147"/>
      <c r="U388" s="147"/>
      <c r="V388" s="147"/>
      <c r="W388" s="147"/>
      <c r="X388" s="147"/>
      <c r="Y388" s="147"/>
      <c r="Z388" s="147"/>
      <c r="AA388" s="147"/>
      <c r="AB388" s="147"/>
      <c r="AC388" s="147"/>
      <c r="AD388" s="147"/>
      <c r="AE388" s="147"/>
      <c r="AF388" s="147"/>
      <c r="AG388" s="147"/>
      <c r="AH388" s="147"/>
      <c r="AI388" s="147"/>
      <c r="AJ388" s="147"/>
      <c r="AK388" s="147"/>
      <c r="AL388" s="147"/>
      <c r="AM388" s="147"/>
      <c r="AN388" s="147"/>
      <c r="AO388" s="147"/>
      <c r="AP388" s="147"/>
      <c r="AQ388" s="147"/>
      <c r="AR388" s="147"/>
      <c r="AS388" s="147"/>
      <c r="AT388" s="147"/>
      <c r="AU388" s="147"/>
      <c r="AV388" s="147"/>
      <c r="AW388" s="147"/>
    </row>
    <row r="389">
      <c r="A389" s="631"/>
      <c r="B389" s="631"/>
      <c r="C389" s="632"/>
      <c r="D389" s="633"/>
      <c r="E389" s="634"/>
      <c r="F389" s="635"/>
      <c r="G389" s="636"/>
      <c r="H389" s="637"/>
      <c r="I389" s="643"/>
      <c r="J389" s="644"/>
      <c r="K389" s="147"/>
      <c r="L389" s="632"/>
      <c r="M389" s="147"/>
      <c r="N389" s="640"/>
      <c r="O389" s="640"/>
      <c r="P389" s="641"/>
      <c r="Q389" s="642"/>
      <c r="R389" s="147"/>
      <c r="S389" s="147"/>
      <c r="T389" s="147"/>
      <c r="U389" s="147"/>
      <c r="V389" s="147"/>
      <c r="W389" s="147"/>
      <c r="X389" s="147"/>
      <c r="Y389" s="147"/>
      <c r="Z389" s="147"/>
      <c r="AA389" s="147"/>
      <c r="AB389" s="147"/>
      <c r="AC389" s="147"/>
      <c r="AD389" s="147"/>
      <c r="AE389" s="147"/>
      <c r="AF389" s="147"/>
      <c r="AG389" s="147"/>
      <c r="AH389" s="147"/>
      <c r="AI389" s="147"/>
      <c r="AJ389" s="147"/>
      <c r="AK389" s="147"/>
      <c r="AL389" s="147"/>
      <c r="AM389" s="147"/>
      <c r="AN389" s="147"/>
      <c r="AO389" s="147"/>
      <c r="AP389" s="147"/>
      <c r="AQ389" s="147"/>
      <c r="AR389" s="147"/>
      <c r="AS389" s="147"/>
      <c r="AT389" s="147"/>
      <c r="AU389" s="147"/>
      <c r="AV389" s="147"/>
      <c r="AW389" s="147"/>
    </row>
    <row r="390">
      <c r="A390" s="631"/>
      <c r="B390" s="631"/>
      <c r="C390" s="632"/>
      <c r="D390" s="633"/>
      <c r="E390" s="634"/>
      <c r="F390" s="635"/>
      <c r="G390" s="636"/>
      <c r="H390" s="637"/>
      <c r="I390" s="643"/>
      <c r="J390" s="644"/>
      <c r="K390" s="147"/>
      <c r="L390" s="632"/>
      <c r="M390" s="147"/>
      <c r="N390" s="640"/>
      <c r="O390" s="640"/>
      <c r="P390" s="641"/>
      <c r="Q390" s="642"/>
      <c r="R390" s="147"/>
      <c r="S390" s="147"/>
      <c r="T390" s="147"/>
      <c r="U390" s="147"/>
      <c r="V390" s="147"/>
      <c r="W390" s="147"/>
      <c r="X390" s="147"/>
      <c r="Y390" s="147"/>
      <c r="Z390" s="147"/>
      <c r="AA390" s="147"/>
      <c r="AB390" s="147"/>
      <c r="AC390" s="147"/>
      <c r="AD390" s="147"/>
      <c r="AE390" s="147"/>
      <c r="AF390" s="147"/>
      <c r="AG390" s="147"/>
      <c r="AH390" s="147"/>
      <c r="AI390" s="147"/>
      <c r="AJ390" s="147"/>
      <c r="AK390" s="147"/>
      <c r="AL390" s="147"/>
      <c r="AM390" s="147"/>
      <c r="AN390" s="147"/>
      <c r="AO390" s="147"/>
      <c r="AP390" s="147"/>
      <c r="AQ390" s="147"/>
      <c r="AR390" s="147"/>
      <c r="AS390" s="147"/>
      <c r="AT390" s="147"/>
      <c r="AU390" s="147"/>
      <c r="AV390" s="147"/>
      <c r="AW390" s="147"/>
    </row>
    <row r="391">
      <c r="A391" s="631"/>
      <c r="B391" s="631"/>
      <c r="C391" s="632"/>
      <c r="D391" s="633"/>
      <c r="E391" s="634"/>
      <c r="F391" s="635"/>
      <c r="G391" s="636"/>
      <c r="H391" s="637"/>
      <c r="I391" s="643"/>
      <c r="J391" s="644"/>
      <c r="K391" s="147"/>
      <c r="L391" s="632"/>
      <c r="M391" s="147"/>
      <c r="N391" s="640"/>
      <c r="O391" s="640"/>
      <c r="P391" s="641"/>
      <c r="Q391" s="642"/>
      <c r="R391" s="147"/>
      <c r="S391" s="147"/>
      <c r="T391" s="147"/>
      <c r="U391" s="147"/>
      <c r="V391" s="147"/>
      <c r="W391" s="147"/>
      <c r="X391" s="147"/>
      <c r="Y391" s="147"/>
      <c r="Z391" s="147"/>
      <c r="AA391" s="147"/>
      <c r="AB391" s="147"/>
      <c r="AC391" s="147"/>
      <c r="AD391" s="147"/>
      <c r="AE391" s="147"/>
      <c r="AF391" s="147"/>
      <c r="AG391" s="147"/>
      <c r="AH391" s="147"/>
      <c r="AI391" s="147"/>
      <c r="AJ391" s="147"/>
      <c r="AK391" s="147"/>
      <c r="AL391" s="147"/>
      <c r="AM391" s="147"/>
      <c r="AN391" s="147"/>
      <c r="AO391" s="147"/>
      <c r="AP391" s="147"/>
      <c r="AQ391" s="147"/>
      <c r="AR391" s="147"/>
      <c r="AS391" s="147"/>
      <c r="AT391" s="147"/>
      <c r="AU391" s="147"/>
      <c r="AV391" s="147"/>
      <c r="AW391" s="147"/>
    </row>
    <row r="392">
      <c r="A392" s="631"/>
      <c r="B392" s="631"/>
      <c r="C392" s="632"/>
      <c r="D392" s="633"/>
      <c r="E392" s="634"/>
      <c r="F392" s="635"/>
      <c r="G392" s="636"/>
      <c r="H392" s="637"/>
      <c r="I392" s="643"/>
      <c r="J392" s="644"/>
      <c r="K392" s="147"/>
      <c r="L392" s="632"/>
      <c r="M392" s="147"/>
      <c r="N392" s="640"/>
      <c r="O392" s="640"/>
      <c r="P392" s="641"/>
      <c r="Q392" s="642"/>
      <c r="R392" s="147"/>
      <c r="S392" s="147"/>
      <c r="T392" s="147"/>
      <c r="U392" s="147"/>
      <c r="V392" s="147"/>
      <c r="W392" s="147"/>
      <c r="X392" s="147"/>
      <c r="Y392" s="147"/>
      <c r="Z392" s="147"/>
      <c r="AA392" s="147"/>
      <c r="AB392" s="147"/>
      <c r="AC392" s="147"/>
      <c r="AD392" s="147"/>
      <c r="AE392" s="147"/>
      <c r="AF392" s="147"/>
      <c r="AG392" s="147"/>
      <c r="AH392" s="147"/>
      <c r="AI392" s="147"/>
      <c r="AJ392" s="147"/>
      <c r="AK392" s="147"/>
      <c r="AL392" s="147"/>
      <c r="AM392" s="147"/>
      <c r="AN392" s="147"/>
      <c r="AO392" s="147"/>
      <c r="AP392" s="147"/>
      <c r="AQ392" s="147"/>
      <c r="AR392" s="147"/>
      <c r="AS392" s="147"/>
      <c r="AT392" s="147"/>
      <c r="AU392" s="147"/>
      <c r="AV392" s="147"/>
      <c r="AW392" s="147"/>
    </row>
    <row r="393">
      <c r="A393" s="631"/>
      <c r="B393" s="631"/>
      <c r="C393" s="632"/>
      <c r="D393" s="633"/>
      <c r="E393" s="634"/>
      <c r="F393" s="635"/>
      <c r="G393" s="636"/>
      <c r="H393" s="637"/>
      <c r="I393" s="643"/>
      <c r="J393" s="644"/>
      <c r="K393" s="147"/>
      <c r="L393" s="632"/>
      <c r="M393" s="147"/>
      <c r="N393" s="640"/>
      <c r="O393" s="640"/>
      <c r="P393" s="641"/>
      <c r="Q393" s="642"/>
      <c r="R393" s="147"/>
      <c r="S393" s="147"/>
      <c r="T393" s="147"/>
      <c r="U393" s="147"/>
      <c r="V393" s="147"/>
      <c r="W393" s="147"/>
      <c r="X393" s="147"/>
      <c r="Y393" s="147"/>
      <c r="Z393" s="147"/>
      <c r="AA393" s="147"/>
      <c r="AB393" s="147"/>
      <c r="AC393" s="147"/>
      <c r="AD393" s="147"/>
      <c r="AE393" s="147"/>
      <c r="AF393" s="147"/>
      <c r="AG393" s="147"/>
      <c r="AH393" s="147"/>
      <c r="AI393" s="147"/>
      <c r="AJ393" s="147"/>
      <c r="AK393" s="147"/>
      <c r="AL393" s="147"/>
      <c r="AM393" s="147"/>
      <c r="AN393" s="147"/>
      <c r="AO393" s="147"/>
      <c r="AP393" s="147"/>
      <c r="AQ393" s="147"/>
      <c r="AR393" s="147"/>
      <c r="AS393" s="147"/>
      <c r="AT393" s="147"/>
      <c r="AU393" s="147"/>
      <c r="AV393" s="147"/>
      <c r="AW393" s="147"/>
    </row>
    <row r="394">
      <c r="A394" s="631"/>
      <c r="B394" s="631"/>
      <c r="C394" s="632"/>
      <c r="D394" s="633"/>
      <c r="E394" s="634"/>
      <c r="F394" s="635"/>
      <c r="G394" s="636"/>
      <c r="H394" s="637"/>
      <c r="I394" s="643"/>
      <c r="J394" s="644"/>
      <c r="K394" s="147"/>
      <c r="L394" s="632"/>
      <c r="M394" s="147"/>
      <c r="N394" s="640"/>
      <c r="O394" s="640"/>
      <c r="P394" s="641"/>
      <c r="Q394" s="642"/>
      <c r="R394" s="147"/>
      <c r="S394" s="147"/>
      <c r="T394" s="147"/>
      <c r="U394" s="147"/>
      <c r="V394" s="147"/>
      <c r="W394" s="147"/>
      <c r="X394" s="147"/>
      <c r="Y394" s="147"/>
      <c r="Z394" s="147"/>
      <c r="AA394" s="147"/>
      <c r="AB394" s="147"/>
      <c r="AC394" s="147"/>
      <c r="AD394" s="147"/>
      <c r="AE394" s="147"/>
      <c r="AF394" s="147"/>
      <c r="AG394" s="147"/>
      <c r="AH394" s="147"/>
      <c r="AI394" s="147"/>
      <c r="AJ394" s="147"/>
      <c r="AK394" s="147"/>
      <c r="AL394" s="147"/>
      <c r="AM394" s="147"/>
      <c r="AN394" s="147"/>
      <c r="AO394" s="147"/>
      <c r="AP394" s="147"/>
      <c r="AQ394" s="147"/>
      <c r="AR394" s="147"/>
      <c r="AS394" s="147"/>
      <c r="AT394" s="147"/>
      <c r="AU394" s="147"/>
      <c r="AV394" s="147"/>
      <c r="AW394" s="147"/>
    </row>
    <row r="395">
      <c r="A395" s="631"/>
      <c r="B395" s="631"/>
      <c r="C395" s="632"/>
      <c r="D395" s="633"/>
      <c r="E395" s="634"/>
      <c r="F395" s="635"/>
      <c r="G395" s="636"/>
      <c r="H395" s="637"/>
      <c r="I395" s="643"/>
      <c r="J395" s="644"/>
      <c r="K395" s="147"/>
      <c r="L395" s="632"/>
      <c r="M395" s="147"/>
      <c r="N395" s="640"/>
      <c r="O395" s="640"/>
      <c r="P395" s="641"/>
      <c r="Q395" s="642"/>
      <c r="R395" s="147"/>
      <c r="S395" s="147"/>
      <c r="T395" s="147"/>
      <c r="U395" s="147"/>
      <c r="V395" s="147"/>
      <c r="W395" s="147"/>
      <c r="X395" s="147"/>
      <c r="Y395" s="147"/>
      <c r="Z395" s="147"/>
      <c r="AA395" s="147"/>
      <c r="AB395" s="147"/>
      <c r="AC395" s="147"/>
      <c r="AD395" s="147"/>
      <c r="AE395" s="147"/>
      <c r="AF395" s="147"/>
      <c r="AG395" s="147"/>
      <c r="AH395" s="147"/>
      <c r="AI395" s="147"/>
      <c r="AJ395" s="147"/>
      <c r="AK395" s="147"/>
      <c r="AL395" s="147"/>
      <c r="AM395" s="147"/>
      <c r="AN395" s="147"/>
      <c r="AO395" s="147"/>
      <c r="AP395" s="147"/>
      <c r="AQ395" s="147"/>
      <c r="AR395" s="147"/>
      <c r="AS395" s="147"/>
      <c r="AT395" s="147"/>
      <c r="AU395" s="147"/>
      <c r="AV395" s="147"/>
      <c r="AW395" s="147"/>
    </row>
    <row r="396">
      <c r="A396" s="631"/>
      <c r="B396" s="631"/>
      <c r="C396" s="632"/>
      <c r="D396" s="633"/>
      <c r="E396" s="634"/>
      <c r="F396" s="635"/>
      <c r="G396" s="636"/>
      <c r="H396" s="637"/>
      <c r="I396" s="643"/>
      <c r="J396" s="644"/>
      <c r="K396" s="147"/>
      <c r="L396" s="632"/>
      <c r="M396" s="147"/>
      <c r="N396" s="640"/>
      <c r="O396" s="640"/>
      <c r="P396" s="641"/>
      <c r="Q396" s="642"/>
      <c r="R396" s="147"/>
      <c r="S396" s="147"/>
      <c r="T396" s="147"/>
      <c r="U396" s="147"/>
      <c r="V396" s="147"/>
      <c r="W396" s="147"/>
      <c r="X396" s="147"/>
      <c r="Y396" s="147"/>
      <c r="Z396" s="147"/>
      <c r="AA396" s="147"/>
      <c r="AB396" s="147"/>
      <c r="AC396" s="147"/>
      <c r="AD396" s="147"/>
      <c r="AE396" s="147"/>
      <c r="AF396" s="147"/>
      <c r="AG396" s="147"/>
      <c r="AH396" s="147"/>
      <c r="AI396" s="147"/>
      <c r="AJ396" s="147"/>
      <c r="AK396" s="147"/>
      <c r="AL396" s="147"/>
      <c r="AM396" s="147"/>
      <c r="AN396" s="147"/>
      <c r="AO396" s="147"/>
      <c r="AP396" s="147"/>
      <c r="AQ396" s="147"/>
      <c r="AR396" s="147"/>
      <c r="AS396" s="147"/>
      <c r="AT396" s="147"/>
      <c r="AU396" s="147"/>
      <c r="AV396" s="147"/>
      <c r="AW396" s="147"/>
    </row>
    <row r="397">
      <c r="A397" s="631"/>
      <c r="B397" s="631"/>
      <c r="C397" s="632"/>
      <c r="D397" s="633"/>
      <c r="E397" s="634"/>
      <c r="F397" s="635"/>
      <c r="G397" s="636"/>
      <c r="H397" s="637"/>
      <c r="I397" s="643"/>
      <c r="J397" s="644"/>
      <c r="K397" s="147"/>
      <c r="L397" s="632"/>
      <c r="M397" s="147"/>
      <c r="N397" s="640"/>
      <c r="O397" s="640"/>
      <c r="P397" s="641"/>
      <c r="Q397" s="642"/>
      <c r="R397" s="147"/>
      <c r="S397" s="147"/>
      <c r="T397" s="147"/>
      <c r="U397" s="147"/>
      <c r="V397" s="147"/>
      <c r="W397" s="147"/>
      <c r="X397" s="147"/>
      <c r="Y397" s="147"/>
      <c r="Z397" s="147"/>
      <c r="AA397" s="147"/>
      <c r="AB397" s="147"/>
      <c r="AC397" s="147"/>
      <c r="AD397" s="147"/>
      <c r="AE397" s="147"/>
      <c r="AF397" s="147"/>
      <c r="AG397" s="147"/>
      <c r="AH397" s="147"/>
      <c r="AI397" s="147"/>
      <c r="AJ397" s="147"/>
      <c r="AK397" s="147"/>
      <c r="AL397" s="147"/>
      <c r="AM397" s="147"/>
      <c r="AN397" s="147"/>
      <c r="AO397" s="147"/>
      <c r="AP397" s="147"/>
      <c r="AQ397" s="147"/>
      <c r="AR397" s="147"/>
      <c r="AS397" s="147"/>
      <c r="AT397" s="147"/>
      <c r="AU397" s="147"/>
      <c r="AV397" s="147"/>
      <c r="AW397" s="147"/>
    </row>
    <row r="398">
      <c r="A398" s="631"/>
      <c r="B398" s="631"/>
      <c r="C398" s="632"/>
      <c r="D398" s="633"/>
      <c r="E398" s="634"/>
      <c r="F398" s="635"/>
      <c r="G398" s="636"/>
      <c r="H398" s="637"/>
      <c r="I398" s="643"/>
      <c r="J398" s="644"/>
      <c r="K398" s="147"/>
      <c r="L398" s="632"/>
      <c r="M398" s="147"/>
      <c r="N398" s="640"/>
      <c r="O398" s="640"/>
      <c r="P398" s="641"/>
      <c r="Q398" s="642"/>
      <c r="R398" s="147"/>
      <c r="S398" s="147"/>
      <c r="T398" s="147"/>
      <c r="U398" s="147"/>
      <c r="V398" s="147"/>
      <c r="W398" s="147"/>
      <c r="X398" s="147"/>
      <c r="Y398" s="147"/>
      <c r="Z398" s="147"/>
      <c r="AA398" s="147"/>
      <c r="AB398" s="147"/>
      <c r="AC398" s="147"/>
      <c r="AD398" s="147"/>
      <c r="AE398" s="147"/>
      <c r="AF398" s="147"/>
      <c r="AG398" s="147"/>
      <c r="AH398" s="147"/>
      <c r="AI398" s="147"/>
      <c r="AJ398" s="147"/>
      <c r="AK398" s="147"/>
      <c r="AL398" s="147"/>
      <c r="AM398" s="147"/>
      <c r="AN398" s="147"/>
      <c r="AO398" s="147"/>
      <c r="AP398" s="147"/>
      <c r="AQ398" s="147"/>
      <c r="AR398" s="147"/>
      <c r="AS398" s="147"/>
      <c r="AT398" s="147"/>
      <c r="AU398" s="147"/>
      <c r="AV398" s="147"/>
      <c r="AW398" s="147"/>
    </row>
    <row r="399">
      <c r="A399" s="631"/>
      <c r="B399" s="631"/>
      <c r="C399" s="632"/>
      <c r="D399" s="633"/>
      <c r="E399" s="634"/>
      <c r="F399" s="635"/>
      <c r="G399" s="636"/>
      <c r="H399" s="637"/>
      <c r="I399" s="643"/>
      <c r="J399" s="644"/>
      <c r="K399" s="147"/>
      <c r="L399" s="632"/>
      <c r="M399" s="147"/>
      <c r="N399" s="640"/>
      <c r="O399" s="640"/>
      <c r="P399" s="641"/>
      <c r="Q399" s="642"/>
      <c r="R399" s="147"/>
      <c r="S399" s="147"/>
      <c r="T399" s="147"/>
      <c r="U399" s="147"/>
      <c r="V399" s="147"/>
      <c r="W399" s="147"/>
      <c r="X399" s="147"/>
      <c r="Y399" s="147"/>
      <c r="Z399" s="147"/>
      <c r="AA399" s="147"/>
      <c r="AB399" s="147"/>
      <c r="AC399" s="147"/>
      <c r="AD399" s="147"/>
      <c r="AE399" s="147"/>
      <c r="AF399" s="147"/>
      <c r="AG399" s="147"/>
      <c r="AH399" s="147"/>
      <c r="AI399" s="147"/>
      <c r="AJ399" s="147"/>
      <c r="AK399" s="147"/>
      <c r="AL399" s="147"/>
      <c r="AM399" s="147"/>
      <c r="AN399" s="147"/>
      <c r="AO399" s="147"/>
      <c r="AP399" s="147"/>
      <c r="AQ399" s="147"/>
      <c r="AR399" s="147"/>
      <c r="AS399" s="147"/>
      <c r="AT399" s="147"/>
      <c r="AU399" s="147"/>
      <c r="AV399" s="147"/>
      <c r="AW399" s="147"/>
    </row>
    <row r="400">
      <c r="A400" s="631"/>
      <c r="B400" s="631"/>
      <c r="C400" s="632"/>
      <c r="D400" s="633"/>
      <c r="E400" s="634"/>
      <c r="F400" s="635"/>
      <c r="G400" s="636"/>
      <c r="H400" s="637"/>
      <c r="I400" s="643"/>
      <c r="J400" s="644"/>
      <c r="K400" s="147"/>
      <c r="L400" s="632"/>
      <c r="M400" s="147"/>
      <c r="N400" s="640"/>
      <c r="O400" s="640"/>
      <c r="P400" s="641"/>
      <c r="Q400" s="642"/>
      <c r="R400" s="147"/>
      <c r="S400" s="147"/>
      <c r="T400" s="147"/>
      <c r="U400" s="147"/>
      <c r="V400" s="147"/>
      <c r="W400" s="147"/>
      <c r="X400" s="147"/>
      <c r="Y400" s="147"/>
      <c r="Z400" s="147"/>
      <c r="AA400" s="147"/>
      <c r="AB400" s="147"/>
      <c r="AC400" s="147"/>
      <c r="AD400" s="147"/>
      <c r="AE400" s="147"/>
      <c r="AF400" s="147"/>
      <c r="AG400" s="147"/>
      <c r="AH400" s="147"/>
      <c r="AI400" s="147"/>
      <c r="AJ400" s="147"/>
      <c r="AK400" s="147"/>
      <c r="AL400" s="147"/>
      <c r="AM400" s="147"/>
      <c r="AN400" s="147"/>
      <c r="AO400" s="147"/>
      <c r="AP400" s="147"/>
      <c r="AQ400" s="147"/>
      <c r="AR400" s="147"/>
      <c r="AS400" s="147"/>
      <c r="AT400" s="147"/>
      <c r="AU400" s="147"/>
      <c r="AV400" s="147"/>
      <c r="AW400" s="147"/>
    </row>
    <row r="401">
      <c r="A401" s="631"/>
      <c r="B401" s="631"/>
      <c r="C401" s="632"/>
      <c r="D401" s="633"/>
      <c r="E401" s="634"/>
      <c r="F401" s="635"/>
      <c r="G401" s="636"/>
      <c r="H401" s="637"/>
      <c r="I401" s="643"/>
      <c r="J401" s="644"/>
      <c r="K401" s="147"/>
      <c r="L401" s="632"/>
      <c r="M401" s="147"/>
      <c r="N401" s="640"/>
      <c r="O401" s="640"/>
      <c r="P401" s="641"/>
      <c r="Q401" s="642"/>
      <c r="R401" s="147"/>
      <c r="S401" s="147"/>
      <c r="T401" s="147"/>
      <c r="U401" s="147"/>
      <c r="V401" s="147"/>
      <c r="W401" s="147"/>
      <c r="X401" s="147"/>
      <c r="Y401" s="147"/>
      <c r="Z401" s="147"/>
      <c r="AA401" s="147"/>
      <c r="AB401" s="147"/>
      <c r="AC401" s="147"/>
      <c r="AD401" s="147"/>
      <c r="AE401" s="147"/>
      <c r="AF401" s="147"/>
      <c r="AG401" s="147"/>
      <c r="AH401" s="147"/>
      <c r="AI401" s="147"/>
      <c r="AJ401" s="147"/>
      <c r="AK401" s="147"/>
      <c r="AL401" s="147"/>
      <c r="AM401" s="147"/>
      <c r="AN401" s="147"/>
      <c r="AO401" s="147"/>
      <c r="AP401" s="147"/>
      <c r="AQ401" s="147"/>
      <c r="AR401" s="147"/>
      <c r="AS401" s="147"/>
      <c r="AT401" s="147"/>
      <c r="AU401" s="147"/>
      <c r="AV401" s="147"/>
      <c r="AW401" s="147"/>
    </row>
    <row r="402">
      <c r="A402" s="631"/>
      <c r="B402" s="631"/>
      <c r="C402" s="632"/>
      <c r="D402" s="633"/>
      <c r="E402" s="634"/>
      <c r="F402" s="635"/>
      <c r="G402" s="636"/>
      <c r="H402" s="637"/>
      <c r="I402" s="643"/>
      <c r="J402" s="644"/>
      <c r="K402" s="147"/>
      <c r="L402" s="632"/>
      <c r="M402" s="147"/>
      <c r="N402" s="640"/>
      <c r="O402" s="640"/>
      <c r="P402" s="641"/>
      <c r="Q402" s="642"/>
      <c r="R402" s="147"/>
      <c r="S402" s="147"/>
      <c r="T402" s="147"/>
      <c r="U402" s="147"/>
      <c r="V402" s="147"/>
      <c r="W402" s="147"/>
      <c r="X402" s="147"/>
      <c r="Y402" s="147"/>
      <c r="Z402" s="147"/>
      <c r="AA402" s="147"/>
      <c r="AB402" s="147"/>
      <c r="AC402" s="147"/>
      <c r="AD402" s="147"/>
      <c r="AE402" s="147"/>
      <c r="AF402" s="147"/>
      <c r="AG402" s="147"/>
      <c r="AH402" s="147"/>
      <c r="AI402" s="147"/>
      <c r="AJ402" s="147"/>
      <c r="AK402" s="147"/>
      <c r="AL402" s="147"/>
      <c r="AM402" s="147"/>
      <c r="AN402" s="147"/>
      <c r="AO402" s="147"/>
      <c r="AP402" s="147"/>
      <c r="AQ402" s="147"/>
      <c r="AR402" s="147"/>
      <c r="AS402" s="147"/>
      <c r="AT402" s="147"/>
      <c r="AU402" s="147"/>
      <c r="AV402" s="147"/>
      <c r="AW402" s="147"/>
    </row>
    <row r="403">
      <c r="A403" s="631"/>
      <c r="B403" s="631"/>
      <c r="C403" s="632"/>
      <c r="D403" s="633"/>
      <c r="E403" s="634"/>
      <c r="F403" s="635"/>
      <c r="G403" s="636"/>
      <c r="H403" s="637"/>
      <c r="I403" s="643"/>
      <c r="J403" s="644"/>
      <c r="K403" s="147"/>
      <c r="L403" s="632"/>
      <c r="M403" s="147"/>
      <c r="N403" s="640"/>
      <c r="O403" s="640"/>
      <c r="P403" s="641"/>
      <c r="Q403" s="642"/>
      <c r="R403" s="147"/>
      <c r="S403" s="147"/>
      <c r="T403" s="147"/>
      <c r="U403" s="147"/>
      <c r="V403" s="147"/>
      <c r="W403" s="147"/>
      <c r="X403" s="147"/>
      <c r="Y403" s="147"/>
      <c r="Z403" s="147"/>
      <c r="AA403" s="147"/>
      <c r="AB403" s="147"/>
      <c r="AC403" s="147"/>
      <c r="AD403" s="147"/>
      <c r="AE403" s="147"/>
      <c r="AF403" s="147"/>
      <c r="AG403" s="147"/>
      <c r="AH403" s="147"/>
      <c r="AI403" s="147"/>
      <c r="AJ403" s="147"/>
      <c r="AK403" s="147"/>
      <c r="AL403" s="147"/>
      <c r="AM403" s="147"/>
      <c r="AN403" s="147"/>
      <c r="AO403" s="147"/>
      <c r="AP403" s="147"/>
      <c r="AQ403" s="147"/>
      <c r="AR403" s="147"/>
      <c r="AS403" s="147"/>
      <c r="AT403" s="147"/>
      <c r="AU403" s="147"/>
      <c r="AV403" s="147"/>
      <c r="AW403" s="147"/>
    </row>
    <row r="404">
      <c r="A404" s="631"/>
      <c r="B404" s="631"/>
      <c r="C404" s="632"/>
      <c r="D404" s="633"/>
      <c r="E404" s="634"/>
      <c r="F404" s="635"/>
      <c r="G404" s="636"/>
      <c r="H404" s="637"/>
      <c r="I404" s="643"/>
      <c r="J404" s="644"/>
      <c r="K404" s="147"/>
      <c r="L404" s="632"/>
      <c r="M404" s="147"/>
      <c r="N404" s="640"/>
      <c r="O404" s="640"/>
      <c r="P404" s="641"/>
      <c r="Q404" s="642"/>
      <c r="R404" s="147"/>
      <c r="S404" s="147"/>
      <c r="T404" s="147"/>
      <c r="U404" s="147"/>
      <c r="V404" s="147"/>
      <c r="W404" s="147"/>
      <c r="X404" s="147"/>
      <c r="Y404" s="147"/>
      <c r="Z404" s="147"/>
      <c r="AA404" s="147"/>
      <c r="AB404" s="147"/>
      <c r="AC404" s="147"/>
      <c r="AD404" s="147"/>
      <c r="AE404" s="147"/>
      <c r="AF404" s="147"/>
      <c r="AG404" s="147"/>
      <c r="AH404" s="147"/>
      <c r="AI404" s="147"/>
      <c r="AJ404" s="147"/>
      <c r="AK404" s="147"/>
      <c r="AL404" s="147"/>
      <c r="AM404" s="147"/>
      <c r="AN404" s="147"/>
      <c r="AO404" s="147"/>
      <c r="AP404" s="147"/>
      <c r="AQ404" s="147"/>
      <c r="AR404" s="147"/>
      <c r="AS404" s="147"/>
      <c r="AT404" s="147"/>
      <c r="AU404" s="147"/>
      <c r="AV404" s="147"/>
      <c r="AW404" s="147"/>
    </row>
    <row r="405">
      <c r="A405" s="631"/>
      <c r="B405" s="631"/>
      <c r="C405" s="632"/>
      <c r="D405" s="633"/>
      <c r="E405" s="634"/>
      <c r="F405" s="635"/>
      <c r="G405" s="636"/>
      <c r="H405" s="637"/>
      <c r="I405" s="643"/>
      <c r="J405" s="644"/>
      <c r="K405" s="147"/>
      <c r="L405" s="632"/>
      <c r="M405" s="147"/>
      <c r="N405" s="640"/>
      <c r="O405" s="640"/>
      <c r="P405" s="641"/>
      <c r="Q405" s="642"/>
      <c r="R405" s="147"/>
      <c r="S405" s="147"/>
      <c r="T405" s="147"/>
      <c r="U405" s="147"/>
      <c r="V405" s="147"/>
      <c r="W405" s="147"/>
      <c r="X405" s="147"/>
      <c r="Y405" s="147"/>
      <c r="Z405" s="147"/>
      <c r="AA405" s="147"/>
      <c r="AB405" s="147"/>
      <c r="AC405" s="147"/>
      <c r="AD405" s="147"/>
      <c r="AE405" s="147"/>
      <c r="AF405" s="147"/>
      <c r="AG405" s="147"/>
      <c r="AH405" s="147"/>
      <c r="AI405" s="147"/>
      <c r="AJ405" s="147"/>
      <c r="AK405" s="147"/>
      <c r="AL405" s="147"/>
      <c r="AM405" s="147"/>
      <c r="AN405" s="147"/>
      <c r="AO405" s="147"/>
      <c r="AP405" s="147"/>
      <c r="AQ405" s="147"/>
      <c r="AR405" s="147"/>
      <c r="AS405" s="147"/>
      <c r="AT405" s="147"/>
      <c r="AU405" s="147"/>
      <c r="AV405" s="147"/>
      <c r="AW405" s="147"/>
    </row>
    <row r="406">
      <c r="A406" s="631"/>
      <c r="B406" s="631"/>
      <c r="C406" s="632"/>
      <c r="D406" s="633"/>
      <c r="E406" s="634"/>
      <c r="F406" s="635"/>
      <c r="G406" s="636"/>
      <c r="H406" s="637"/>
      <c r="I406" s="643"/>
      <c r="J406" s="644"/>
      <c r="K406" s="147"/>
      <c r="L406" s="632"/>
      <c r="M406" s="147"/>
      <c r="N406" s="640"/>
      <c r="O406" s="640"/>
      <c r="P406" s="641"/>
      <c r="Q406" s="642"/>
      <c r="R406" s="147"/>
      <c r="S406" s="147"/>
      <c r="T406" s="147"/>
      <c r="U406" s="147"/>
      <c r="V406" s="147"/>
      <c r="W406" s="147"/>
      <c r="X406" s="147"/>
      <c r="Y406" s="147"/>
      <c r="Z406" s="147"/>
      <c r="AA406" s="147"/>
      <c r="AB406" s="147"/>
      <c r="AC406" s="147"/>
      <c r="AD406" s="147"/>
      <c r="AE406" s="147"/>
      <c r="AF406" s="147"/>
      <c r="AG406" s="147"/>
      <c r="AH406" s="147"/>
      <c r="AI406" s="147"/>
      <c r="AJ406" s="147"/>
      <c r="AK406" s="147"/>
      <c r="AL406" s="147"/>
      <c r="AM406" s="147"/>
      <c r="AN406" s="147"/>
      <c r="AO406" s="147"/>
      <c r="AP406" s="147"/>
      <c r="AQ406" s="147"/>
      <c r="AR406" s="147"/>
      <c r="AS406" s="147"/>
      <c r="AT406" s="147"/>
      <c r="AU406" s="147"/>
      <c r="AV406" s="147"/>
      <c r="AW406" s="147"/>
    </row>
    <row r="407">
      <c r="A407" s="631"/>
      <c r="B407" s="631"/>
      <c r="C407" s="632"/>
      <c r="D407" s="633"/>
      <c r="E407" s="634"/>
      <c r="F407" s="635"/>
      <c r="G407" s="636"/>
      <c r="H407" s="637"/>
      <c r="I407" s="643"/>
      <c r="J407" s="644"/>
      <c r="K407" s="147"/>
      <c r="L407" s="632"/>
      <c r="M407" s="147"/>
      <c r="N407" s="640"/>
      <c r="O407" s="640"/>
      <c r="P407" s="641"/>
      <c r="Q407" s="642"/>
      <c r="R407" s="147"/>
      <c r="S407" s="147"/>
      <c r="T407" s="147"/>
      <c r="U407" s="147"/>
      <c r="V407" s="147"/>
      <c r="W407" s="147"/>
      <c r="X407" s="147"/>
      <c r="Y407" s="147"/>
      <c r="Z407" s="147"/>
      <c r="AA407" s="147"/>
      <c r="AB407" s="147"/>
      <c r="AC407" s="147"/>
      <c r="AD407" s="147"/>
      <c r="AE407" s="147"/>
      <c r="AF407" s="147"/>
      <c r="AG407" s="147"/>
      <c r="AH407" s="147"/>
      <c r="AI407" s="147"/>
      <c r="AJ407" s="147"/>
      <c r="AK407" s="147"/>
      <c r="AL407" s="147"/>
      <c r="AM407" s="147"/>
      <c r="AN407" s="147"/>
      <c r="AO407" s="147"/>
      <c r="AP407" s="147"/>
      <c r="AQ407" s="147"/>
      <c r="AR407" s="147"/>
      <c r="AS407" s="147"/>
      <c r="AT407" s="147"/>
      <c r="AU407" s="147"/>
      <c r="AV407" s="147"/>
      <c r="AW407" s="147"/>
    </row>
    <row r="408">
      <c r="A408" s="631"/>
      <c r="B408" s="631"/>
      <c r="C408" s="632"/>
      <c r="D408" s="633"/>
      <c r="E408" s="634"/>
      <c r="F408" s="635"/>
      <c r="G408" s="636"/>
      <c r="H408" s="637"/>
      <c r="I408" s="643"/>
      <c r="J408" s="644"/>
      <c r="K408" s="147"/>
      <c r="L408" s="632"/>
      <c r="M408" s="147"/>
      <c r="N408" s="640"/>
      <c r="O408" s="640"/>
      <c r="P408" s="641"/>
      <c r="Q408" s="642"/>
      <c r="R408" s="147"/>
      <c r="S408" s="147"/>
      <c r="T408" s="147"/>
      <c r="U408" s="147"/>
      <c r="V408" s="147"/>
      <c r="W408" s="147"/>
      <c r="X408" s="147"/>
      <c r="Y408" s="147"/>
      <c r="Z408" s="147"/>
      <c r="AA408" s="147"/>
      <c r="AB408" s="147"/>
      <c r="AC408" s="147"/>
      <c r="AD408" s="147"/>
      <c r="AE408" s="147"/>
      <c r="AF408" s="147"/>
      <c r="AG408" s="147"/>
      <c r="AH408" s="147"/>
      <c r="AI408" s="147"/>
      <c r="AJ408" s="147"/>
      <c r="AK408" s="147"/>
      <c r="AL408" s="147"/>
      <c r="AM408" s="147"/>
      <c r="AN408" s="147"/>
      <c r="AO408" s="147"/>
      <c r="AP408" s="147"/>
      <c r="AQ408" s="147"/>
      <c r="AR408" s="147"/>
      <c r="AS408" s="147"/>
      <c r="AT408" s="147"/>
      <c r="AU408" s="147"/>
      <c r="AV408" s="147"/>
      <c r="AW408" s="147"/>
    </row>
    <row r="409">
      <c r="A409" s="631"/>
      <c r="B409" s="631"/>
      <c r="C409" s="632"/>
      <c r="D409" s="633"/>
      <c r="E409" s="634"/>
      <c r="F409" s="635"/>
      <c r="G409" s="636"/>
      <c r="H409" s="637"/>
      <c r="I409" s="643"/>
      <c r="J409" s="644"/>
      <c r="K409" s="147"/>
      <c r="L409" s="632"/>
      <c r="M409" s="147"/>
      <c r="N409" s="640"/>
      <c r="O409" s="640"/>
      <c r="P409" s="641"/>
      <c r="Q409" s="642"/>
      <c r="R409" s="147"/>
      <c r="S409" s="147"/>
      <c r="T409" s="147"/>
      <c r="U409" s="147"/>
      <c r="V409" s="147"/>
      <c r="W409" s="147"/>
      <c r="X409" s="147"/>
      <c r="Y409" s="147"/>
      <c r="Z409" s="147"/>
      <c r="AA409" s="147"/>
      <c r="AB409" s="147"/>
      <c r="AC409" s="147"/>
      <c r="AD409" s="147"/>
      <c r="AE409" s="147"/>
      <c r="AF409" s="147"/>
      <c r="AG409" s="147"/>
      <c r="AH409" s="147"/>
      <c r="AI409" s="147"/>
      <c r="AJ409" s="147"/>
      <c r="AK409" s="147"/>
      <c r="AL409" s="147"/>
      <c r="AM409" s="147"/>
      <c r="AN409" s="147"/>
      <c r="AO409" s="147"/>
      <c r="AP409" s="147"/>
      <c r="AQ409" s="147"/>
      <c r="AR409" s="147"/>
      <c r="AS409" s="147"/>
      <c r="AT409" s="147"/>
      <c r="AU409" s="147"/>
      <c r="AV409" s="147"/>
      <c r="AW409" s="147"/>
    </row>
    <row r="410">
      <c r="A410" s="631"/>
      <c r="B410" s="631"/>
      <c r="C410" s="632"/>
      <c r="D410" s="633"/>
      <c r="E410" s="634"/>
      <c r="F410" s="635"/>
      <c r="G410" s="636"/>
      <c r="H410" s="637"/>
      <c r="I410" s="643"/>
      <c r="J410" s="644"/>
      <c r="K410" s="147"/>
      <c r="L410" s="632"/>
      <c r="M410" s="147"/>
      <c r="N410" s="640"/>
      <c r="O410" s="640"/>
      <c r="P410" s="641"/>
      <c r="Q410" s="642"/>
      <c r="R410" s="147"/>
      <c r="S410" s="147"/>
      <c r="T410" s="147"/>
      <c r="U410" s="147"/>
      <c r="V410" s="147"/>
      <c r="W410" s="147"/>
      <c r="X410" s="147"/>
      <c r="Y410" s="147"/>
      <c r="Z410" s="147"/>
      <c r="AA410" s="147"/>
      <c r="AB410" s="147"/>
      <c r="AC410" s="147"/>
      <c r="AD410" s="147"/>
      <c r="AE410" s="147"/>
      <c r="AF410" s="147"/>
      <c r="AG410" s="147"/>
      <c r="AH410" s="147"/>
      <c r="AI410" s="147"/>
      <c r="AJ410" s="147"/>
      <c r="AK410" s="147"/>
      <c r="AL410" s="147"/>
      <c r="AM410" s="147"/>
      <c r="AN410" s="147"/>
      <c r="AO410" s="147"/>
      <c r="AP410" s="147"/>
      <c r="AQ410" s="147"/>
      <c r="AR410" s="147"/>
      <c r="AS410" s="147"/>
      <c r="AT410" s="147"/>
      <c r="AU410" s="147"/>
      <c r="AV410" s="147"/>
      <c r="AW410" s="147"/>
    </row>
    <row r="411">
      <c r="A411" s="631"/>
      <c r="B411" s="631"/>
      <c r="C411" s="632"/>
      <c r="D411" s="633"/>
      <c r="E411" s="634"/>
      <c r="F411" s="635"/>
      <c r="G411" s="636"/>
      <c r="H411" s="637"/>
      <c r="I411" s="643"/>
      <c r="J411" s="644"/>
      <c r="K411" s="147"/>
      <c r="L411" s="632"/>
      <c r="M411" s="147"/>
      <c r="N411" s="640"/>
      <c r="O411" s="640"/>
      <c r="P411" s="641"/>
      <c r="Q411" s="642"/>
      <c r="R411" s="147"/>
      <c r="S411" s="147"/>
      <c r="T411" s="147"/>
      <c r="U411" s="147"/>
      <c r="V411" s="147"/>
      <c r="W411" s="147"/>
      <c r="X411" s="147"/>
      <c r="Y411" s="147"/>
      <c r="Z411" s="147"/>
      <c r="AA411" s="147"/>
      <c r="AB411" s="147"/>
      <c r="AC411" s="147"/>
      <c r="AD411" s="147"/>
      <c r="AE411" s="147"/>
      <c r="AF411" s="147"/>
      <c r="AG411" s="147"/>
      <c r="AH411" s="147"/>
      <c r="AI411" s="147"/>
      <c r="AJ411" s="147"/>
      <c r="AK411" s="147"/>
      <c r="AL411" s="147"/>
      <c r="AM411" s="147"/>
      <c r="AN411" s="147"/>
      <c r="AO411" s="147"/>
      <c r="AP411" s="147"/>
      <c r="AQ411" s="147"/>
      <c r="AR411" s="147"/>
      <c r="AS411" s="147"/>
      <c r="AT411" s="147"/>
      <c r="AU411" s="147"/>
      <c r="AV411" s="147"/>
      <c r="AW411" s="147"/>
    </row>
    <row r="412">
      <c r="A412" s="631"/>
      <c r="B412" s="631"/>
      <c r="C412" s="632"/>
      <c r="D412" s="633"/>
      <c r="E412" s="634"/>
      <c r="F412" s="635"/>
      <c r="G412" s="636"/>
      <c r="H412" s="637"/>
      <c r="I412" s="643"/>
      <c r="J412" s="644"/>
      <c r="K412" s="147"/>
      <c r="L412" s="632"/>
      <c r="M412" s="147"/>
      <c r="N412" s="640"/>
      <c r="O412" s="640"/>
      <c r="P412" s="641"/>
      <c r="Q412" s="642"/>
      <c r="R412" s="147"/>
      <c r="S412" s="147"/>
      <c r="T412" s="147"/>
      <c r="U412" s="147"/>
      <c r="V412" s="147"/>
      <c r="W412" s="147"/>
      <c r="X412" s="147"/>
      <c r="Y412" s="147"/>
      <c r="Z412" s="147"/>
      <c r="AA412" s="147"/>
      <c r="AB412" s="147"/>
      <c r="AC412" s="147"/>
      <c r="AD412" s="147"/>
      <c r="AE412" s="147"/>
      <c r="AF412" s="147"/>
      <c r="AG412" s="147"/>
      <c r="AH412" s="147"/>
      <c r="AI412" s="147"/>
      <c r="AJ412" s="147"/>
      <c r="AK412" s="147"/>
      <c r="AL412" s="147"/>
      <c r="AM412" s="147"/>
      <c r="AN412" s="147"/>
      <c r="AO412" s="147"/>
      <c r="AP412" s="147"/>
      <c r="AQ412" s="147"/>
      <c r="AR412" s="147"/>
      <c r="AS412" s="147"/>
      <c r="AT412" s="147"/>
      <c r="AU412" s="147"/>
      <c r="AV412" s="147"/>
      <c r="AW412" s="147"/>
    </row>
    <row r="413">
      <c r="A413" s="631"/>
      <c r="B413" s="631"/>
      <c r="C413" s="632"/>
      <c r="D413" s="633"/>
      <c r="E413" s="634"/>
      <c r="F413" s="635"/>
      <c r="G413" s="636"/>
      <c r="H413" s="637"/>
      <c r="I413" s="643"/>
      <c r="J413" s="644"/>
      <c r="K413" s="147"/>
      <c r="L413" s="632"/>
      <c r="M413" s="147"/>
      <c r="N413" s="640"/>
      <c r="O413" s="640"/>
      <c r="P413" s="641"/>
      <c r="Q413" s="642"/>
      <c r="R413" s="147"/>
      <c r="S413" s="147"/>
      <c r="T413" s="147"/>
      <c r="U413" s="147"/>
      <c r="V413" s="147"/>
      <c r="W413" s="147"/>
      <c r="X413" s="147"/>
      <c r="Y413" s="147"/>
      <c r="Z413" s="147"/>
      <c r="AA413" s="147"/>
      <c r="AB413" s="147"/>
      <c r="AC413" s="147"/>
      <c r="AD413" s="147"/>
      <c r="AE413" s="147"/>
      <c r="AF413" s="147"/>
      <c r="AG413" s="147"/>
      <c r="AH413" s="147"/>
      <c r="AI413" s="147"/>
      <c r="AJ413" s="147"/>
      <c r="AK413" s="147"/>
      <c r="AL413" s="147"/>
      <c r="AM413" s="147"/>
      <c r="AN413" s="147"/>
      <c r="AO413" s="147"/>
      <c r="AP413" s="147"/>
      <c r="AQ413" s="147"/>
      <c r="AR413" s="147"/>
      <c r="AS413" s="147"/>
      <c r="AT413" s="147"/>
      <c r="AU413" s="147"/>
      <c r="AV413" s="147"/>
      <c r="AW413" s="147"/>
    </row>
    <row r="414">
      <c r="A414" s="631"/>
      <c r="B414" s="631"/>
      <c r="C414" s="632"/>
      <c r="D414" s="633"/>
      <c r="E414" s="634"/>
      <c r="F414" s="635"/>
      <c r="G414" s="636"/>
      <c r="H414" s="637"/>
      <c r="I414" s="643"/>
      <c r="J414" s="644"/>
      <c r="K414" s="147"/>
      <c r="L414" s="632"/>
      <c r="M414" s="147"/>
      <c r="N414" s="640"/>
      <c r="O414" s="640"/>
      <c r="P414" s="641"/>
      <c r="Q414" s="642"/>
      <c r="R414" s="147"/>
      <c r="S414" s="147"/>
      <c r="T414" s="147"/>
      <c r="U414" s="147"/>
      <c r="V414" s="147"/>
      <c r="W414" s="147"/>
      <c r="X414" s="147"/>
      <c r="Y414" s="147"/>
      <c r="Z414" s="147"/>
      <c r="AA414" s="147"/>
      <c r="AB414" s="147"/>
      <c r="AC414" s="147"/>
      <c r="AD414" s="147"/>
      <c r="AE414" s="147"/>
      <c r="AF414" s="147"/>
      <c r="AG414" s="147"/>
      <c r="AH414" s="147"/>
      <c r="AI414" s="147"/>
      <c r="AJ414" s="147"/>
      <c r="AK414" s="147"/>
      <c r="AL414" s="147"/>
      <c r="AM414" s="147"/>
      <c r="AN414" s="147"/>
      <c r="AO414" s="147"/>
      <c r="AP414" s="147"/>
      <c r="AQ414" s="147"/>
      <c r="AR414" s="147"/>
      <c r="AS414" s="147"/>
      <c r="AT414" s="147"/>
      <c r="AU414" s="147"/>
      <c r="AV414" s="147"/>
      <c r="AW414" s="147"/>
    </row>
    <row r="415">
      <c r="A415" s="631"/>
      <c r="B415" s="631"/>
      <c r="C415" s="632"/>
      <c r="D415" s="633"/>
      <c r="E415" s="634"/>
      <c r="F415" s="635"/>
      <c r="G415" s="636"/>
      <c r="H415" s="637"/>
      <c r="I415" s="643"/>
      <c r="J415" s="644"/>
      <c r="K415" s="147"/>
      <c r="L415" s="632"/>
      <c r="M415" s="147"/>
      <c r="N415" s="640"/>
      <c r="O415" s="640"/>
      <c r="P415" s="641"/>
      <c r="Q415" s="642"/>
      <c r="R415" s="147"/>
      <c r="S415" s="147"/>
      <c r="T415" s="147"/>
      <c r="U415" s="147"/>
      <c r="V415" s="147"/>
      <c r="W415" s="147"/>
      <c r="X415" s="147"/>
      <c r="Y415" s="147"/>
      <c r="Z415" s="147"/>
      <c r="AA415" s="147"/>
      <c r="AB415" s="147"/>
      <c r="AC415" s="147"/>
      <c r="AD415" s="147"/>
      <c r="AE415" s="147"/>
      <c r="AF415" s="147"/>
      <c r="AG415" s="147"/>
      <c r="AH415" s="147"/>
      <c r="AI415" s="147"/>
      <c r="AJ415" s="147"/>
      <c r="AK415" s="147"/>
      <c r="AL415" s="147"/>
      <c r="AM415" s="147"/>
      <c r="AN415" s="147"/>
      <c r="AO415" s="147"/>
      <c r="AP415" s="147"/>
      <c r="AQ415" s="147"/>
      <c r="AR415" s="147"/>
      <c r="AS415" s="147"/>
      <c r="AT415" s="147"/>
      <c r="AU415" s="147"/>
      <c r="AV415" s="147"/>
      <c r="AW415" s="147"/>
    </row>
    <row r="416">
      <c r="A416" s="631"/>
      <c r="B416" s="631"/>
      <c r="C416" s="632"/>
      <c r="D416" s="633"/>
      <c r="E416" s="634"/>
      <c r="F416" s="635"/>
      <c r="G416" s="636"/>
      <c r="H416" s="637"/>
      <c r="I416" s="643"/>
      <c r="J416" s="644"/>
      <c r="K416" s="147"/>
      <c r="L416" s="632"/>
      <c r="M416" s="147"/>
      <c r="N416" s="640"/>
      <c r="O416" s="640"/>
      <c r="P416" s="641"/>
      <c r="Q416" s="642"/>
      <c r="R416" s="147"/>
      <c r="S416" s="147"/>
      <c r="T416" s="147"/>
      <c r="U416" s="147"/>
      <c r="V416" s="147"/>
      <c r="W416" s="147"/>
      <c r="X416" s="147"/>
      <c r="Y416" s="147"/>
      <c r="Z416" s="147"/>
      <c r="AA416" s="147"/>
      <c r="AB416" s="147"/>
      <c r="AC416" s="147"/>
      <c r="AD416" s="147"/>
      <c r="AE416" s="147"/>
      <c r="AF416" s="147"/>
      <c r="AG416" s="147"/>
      <c r="AH416" s="147"/>
      <c r="AI416" s="147"/>
      <c r="AJ416" s="147"/>
      <c r="AK416" s="147"/>
      <c r="AL416" s="147"/>
      <c r="AM416" s="147"/>
      <c r="AN416" s="147"/>
      <c r="AO416" s="147"/>
      <c r="AP416" s="147"/>
      <c r="AQ416" s="147"/>
      <c r="AR416" s="147"/>
      <c r="AS416" s="147"/>
      <c r="AT416" s="147"/>
      <c r="AU416" s="147"/>
      <c r="AV416" s="147"/>
      <c r="AW416" s="147"/>
    </row>
    <row r="417">
      <c r="A417" s="631"/>
      <c r="B417" s="631"/>
      <c r="C417" s="632"/>
      <c r="D417" s="633"/>
      <c r="E417" s="634"/>
      <c r="F417" s="635"/>
      <c r="G417" s="636"/>
      <c r="H417" s="637"/>
      <c r="I417" s="643"/>
      <c r="J417" s="644"/>
      <c r="K417" s="147"/>
      <c r="L417" s="632"/>
      <c r="M417" s="147"/>
      <c r="N417" s="640"/>
      <c r="O417" s="640"/>
      <c r="P417" s="641"/>
      <c r="Q417" s="642"/>
      <c r="R417" s="147"/>
      <c r="S417" s="147"/>
      <c r="T417" s="147"/>
      <c r="U417" s="147"/>
      <c r="V417" s="147"/>
      <c r="W417" s="147"/>
      <c r="X417" s="147"/>
      <c r="Y417" s="147"/>
      <c r="Z417" s="147"/>
      <c r="AA417" s="147"/>
      <c r="AB417" s="147"/>
      <c r="AC417" s="147"/>
      <c r="AD417" s="147"/>
      <c r="AE417" s="147"/>
      <c r="AF417" s="147"/>
      <c r="AG417" s="147"/>
      <c r="AH417" s="147"/>
      <c r="AI417" s="147"/>
      <c r="AJ417" s="147"/>
      <c r="AK417" s="147"/>
      <c r="AL417" s="147"/>
      <c r="AM417" s="147"/>
      <c r="AN417" s="147"/>
      <c r="AO417" s="147"/>
      <c r="AP417" s="147"/>
      <c r="AQ417" s="147"/>
      <c r="AR417" s="147"/>
      <c r="AS417" s="147"/>
      <c r="AT417" s="147"/>
      <c r="AU417" s="147"/>
      <c r="AV417" s="147"/>
      <c r="AW417" s="147"/>
    </row>
    <row r="418">
      <c r="A418" s="631"/>
      <c r="B418" s="631"/>
      <c r="C418" s="632"/>
      <c r="D418" s="633"/>
      <c r="E418" s="634"/>
      <c r="F418" s="635"/>
      <c r="G418" s="636"/>
      <c r="H418" s="637"/>
      <c r="I418" s="643"/>
      <c r="J418" s="644"/>
      <c r="K418" s="147"/>
      <c r="L418" s="632"/>
      <c r="M418" s="147"/>
      <c r="N418" s="640"/>
      <c r="O418" s="640"/>
      <c r="P418" s="641"/>
      <c r="Q418" s="642"/>
      <c r="R418" s="147"/>
      <c r="S418" s="147"/>
      <c r="T418" s="147"/>
      <c r="U418" s="147"/>
      <c r="V418" s="147"/>
      <c r="W418" s="147"/>
      <c r="X418" s="147"/>
      <c r="Y418" s="147"/>
      <c r="Z418" s="147"/>
      <c r="AA418" s="147"/>
      <c r="AB418" s="147"/>
      <c r="AC418" s="147"/>
      <c r="AD418" s="147"/>
      <c r="AE418" s="147"/>
      <c r="AF418" s="147"/>
      <c r="AG418" s="147"/>
      <c r="AH418" s="147"/>
      <c r="AI418" s="147"/>
      <c r="AJ418" s="147"/>
      <c r="AK418" s="147"/>
      <c r="AL418" s="147"/>
      <c r="AM418" s="147"/>
      <c r="AN418" s="147"/>
      <c r="AO418" s="147"/>
      <c r="AP418" s="147"/>
      <c r="AQ418" s="147"/>
      <c r="AR418" s="147"/>
      <c r="AS418" s="147"/>
      <c r="AT418" s="147"/>
      <c r="AU418" s="147"/>
      <c r="AV418" s="147"/>
      <c r="AW418" s="147"/>
    </row>
    <row r="419">
      <c r="A419" s="631"/>
      <c r="B419" s="631"/>
      <c r="C419" s="632"/>
      <c r="D419" s="633"/>
      <c r="E419" s="634"/>
      <c r="F419" s="635"/>
      <c r="G419" s="636"/>
      <c r="H419" s="637"/>
      <c r="I419" s="643"/>
      <c r="J419" s="644"/>
      <c r="K419" s="147"/>
      <c r="L419" s="632"/>
      <c r="M419" s="147"/>
      <c r="N419" s="640"/>
      <c r="O419" s="640"/>
      <c r="P419" s="641"/>
      <c r="Q419" s="642"/>
      <c r="R419" s="147"/>
      <c r="S419" s="147"/>
      <c r="T419" s="147"/>
      <c r="U419" s="147"/>
      <c r="V419" s="147"/>
      <c r="W419" s="147"/>
      <c r="X419" s="147"/>
      <c r="Y419" s="147"/>
      <c r="Z419" s="147"/>
      <c r="AA419" s="147"/>
      <c r="AB419" s="147"/>
      <c r="AC419" s="147"/>
      <c r="AD419" s="147"/>
      <c r="AE419" s="147"/>
      <c r="AF419" s="147"/>
      <c r="AG419" s="147"/>
      <c r="AH419" s="147"/>
      <c r="AI419" s="147"/>
      <c r="AJ419" s="147"/>
      <c r="AK419" s="147"/>
      <c r="AL419" s="147"/>
      <c r="AM419" s="147"/>
      <c r="AN419" s="147"/>
      <c r="AO419" s="147"/>
      <c r="AP419" s="147"/>
      <c r="AQ419" s="147"/>
      <c r="AR419" s="147"/>
      <c r="AS419" s="147"/>
      <c r="AT419" s="147"/>
      <c r="AU419" s="147"/>
      <c r="AV419" s="147"/>
      <c r="AW419" s="147"/>
    </row>
    <row r="420">
      <c r="A420" s="631"/>
      <c r="B420" s="631"/>
      <c r="C420" s="632"/>
      <c r="D420" s="633"/>
      <c r="E420" s="634"/>
      <c r="F420" s="635"/>
      <c r="G420" s="636"/>
      <c r="H420" s="637"/>
      <c r="I420" s="643"/>
      <c r="J420" s="644"/>
      <c r="K420" s="147"/>
      <c r="L420" s="632"/>
      <c r="M420" s="147"/>
      <c r="N420" s="640"/>
      <c r="O420" s="640"/>
      <c r="P420" s="641"/>
      <c r="Q420" s="642"/>
      <c r="R420" s="147"/>
      <c r="S420" s="147"/>
      <c r="T420" s="147"/>
      <c r="U420" s="147"/>
      <c r="V420" s="147"/>
      <c r="W420" s="147"/>
      <c r="X420" s="147"/>
      <c r="Y420" s="147"/>
      <c r="Z420" s="147"/>
      <c r="AA420" s="147"/>
      <c r="AB420" s="147"/>
      <c r="AC420" s="147"/>
      <c r="AD420" s="147"/>
      <c r="AE420" s="147"/>
      <c r="AF420" s="147"/>
      <c r="AG420" s="147"/>
      <c r="AH420" s="147"/>
      <c r="AI420" s="147"/>
      <c r="AJ420" s="147"/>
      <c r="AK420" s="147"/>
      <c r="AL420" s="147"/>
      <c r="AM420" s="147"/>
      <c r="AN420" s="147"/>
      <c r="AO420" s="147"/>
      <c r="AP420" s="147"/>
      <c r="AQ420" s="147"/>
      <c r="AR420" s="147"/>
      <c r="AS420" s="147"/>
      <c r="AT420" s="147"/>
      <c r="AU420" s="147"/>
      <c r="AV420" s="147"/>
      <c r="AW420" s="147"/>
    </row>
    <row r="421">
      <c r="A421" s="631"/>
      <c r="B421" s="631"/>
      <c r="C421" s="632"/>
      <c r="D421" s="633"/>
      <c r="E421" s="634"/>
      <c r="F421" s="635"/>
      <c r="G421" s="636"/>
      <c r="H421" s="637"/>
      <c r="I421" s="643"/>
      <c r="J421" s="644"/>
      <c r="K421" s="147"/>
      <c r="L421" s="632"/>
      <c r="M421" s="147"/>
      <c r="N421" s="640"/>
      <c r="O421" s="640"/>
      <c r="P421" s="641"/>
      <c r="Q421" s="642"/>
      <c r="R421" s="147"/>
      <c r="S421" s="147"/>
      <c r="T421" s="147"/>
      <c r="U421" s="147"/>
      <c r="V421" s="147"/>
      <c r="W421" s="147"/>
      <c r="X421" s="147"/>
      <c r="Y421" s="147"/>
      <c r="Z421" s="147"/>
      <c r="AA421" s="147"/>
      <c r="AB421" s="147"/>
      <c r="AC421" s="147"/>
      <c r="AD421" s="147"/>
      <c r="AE421" s="147"/>
      <c r="AF421" s="147"/>
      <c r="AG421" s="147"/>
      <c r="AH421" s="147"/>
      <c r="AI421" s="147"/>
      <c r="AJ421" s="147"/>
      <c r="AK421" s="147"/>
      <c r="AL421" s="147"/>
      <c r="AM421" s="147"/>
      <c r="AN421" s="147"/>
      <c r="AO421" s="147"/>
      <c r="AP421" s="147"/>
      <c r="AQ421" s="147"/>
      <c r="AR421" s="147"/>
      <c r="AS421" s="147"/>
      <c r="AT421" s="147"/>
      <c r="AU421" s="147"/>
      <c r="AV421" s="147"/>
      <c r="AW421" s="147"/>
    </row>
    <row r="422">
      <c r="A422" s="631"/>
      <c r="B422" s="631"/>
      <c r="C422" s="632"/>
      <c r="D422" s="633"/>
      <c r="E422" s="634"/>
      <c r="F422" s="635"/>
      <c r="G422" s="636"/>
      <c r="H422" s="637"/>
      <c r="I422" s="643"/>
      <c r="J422" s="644"/>
      <c r="K422" s="147"/>
      <c r="L422" s="632"/>
      <c r="M422" s="147"/>
      <c r="N422" s="640"/>
      <c r="O422" s="640"/>
      <c r="P422" s="641"/>
      <c r="Q422" s="642"/>
      <c r="R422" s="147"/>
      <c r="S422" s="147"/>
      <c r="T422" s="147"/>
      <c r="U422" s="147"/>
      <c r="V422" s="147"/>
      <c r="W422" s="147"/>
      <c r="X422" s="147"/>
      <c r="Y422" s="147"/>
      <c r="Z422" s="147"/>
      <c r="AA422" s="147"/>
      <c r="AB422" s="147"/>
      <c r="AC422" s="147"/>
      <c r="AD422" s="147"/>
      <c r="AE422" s="147"/>
      <c r="AF422" s="147"/>
      <c r="AG422" s="147"/>
      <c r="AH422" s="147"/>
      <c r="AI422" s="147"/>
      <c r="AJ422" s="147"/>
      <c r="AK422" s="147"/>
      <c r="AL422" s="147"/>
      <c r="AM422" s="147"/>
      <c r="AN422" s="147"/>
      <c r="AO422" s="147"/>
      <c r="AP422" s="147"/>
      <c r="AQ422" s="147"/>
      <c r="AR422" s="147"/>
      <c r="AS422" s="147"/>
      <c r="AT422" s="147"/>
      <c r="AU422" s="147"/>
      <c r="AV422" s="147"/>
      <c r="AW422" s="147"/>
    </row>
    <row r="423">
      <c r="A423" s="631"/>
      <c r="B423" s="631"/>
      <c r="C423" s="632"/>
      <c r="D423" s="633"/>
      <c r="E423" s="634"/>
      <c r="F423" s="635"/>
      <c r="G423" s="636"/>
      <c r="H423" s="637"/>
      <c r="I423" s="643"/>
      <c r="J423" s="644"/>
      <c r="K423" s="147"/>
      <c r="L423" s="632"/>
      <c r="M423" s="147"/>
      <c r="N423" s="640"/>
      <c r="O423" s="640"/>
      <c r="P423" s="641"/>
      <c r="Q423" s="642"/>
      <c r="R423" s="147"/>
      <c r="S423" s="147"/>
      <c r="T423" s="147"/>
      <c r="U423" s="147"/>
      <c r="V423" s="147"/>
      <c r="W423" s="147"/>
      <c r="X423" s="147"/>
      <c r="Y423" s="147"/>
      <c r="Z423" s="147"/>
      <c r="AA423" s="147"/>
      <c r="AB423" s="147"/>
      <c r="AC423" s="147"/>
      <c r="AD423" s="147"/>
      <c r="AE423" s="147"/>
      <c r="AF423" s="147"/>
      <c r="AG423" s="147"/>
      <c r="AH423" s="147"/>
      <c r="AI423" s="147"/>
      <c r="AJ423" s="147"/>
      <c r="AK423" s="147"/>
      <c r="AL423" s="147"/>
      <c r="AM423" s="147"/>
      <c r="AN423" s="147"/>
      <c r="AO423" s="147"/>
      <c r="AP423" s="147"/>
      <c r="AQ423" s="147"/>
      <c r="AR423" s="147"/>
      <c r="AS423" s="147"/>
      <c r="AT423" s="147"/>
      <c r="AU423" s="147"/>
      <c r="AV423" s="147"/>
      <c r="AW423" s="147"/>
    </row>
    <row r="424">
      <c r="A424" s="631"/>
      <c r="B424" s="631"/>
      <c r="C424" s="632"/>
      <c r="D424" s="633"/>
      <c r="E424" s="634"/>
      <c r="F424" s="635"/>
      <c r="G424" s="636"/>
      <c r="H424" s="637"/>
      <c r="I424" s="643"/>
      <c r="J424" s="644"/>
      <c r="K424" s="147"/>
      <c r="L424" s="632"/>
      <c r="M424" s="147"/>
      <c r="N424" s="640"/>
      <c r="O424" s="640"/>
      <c r="P424" s="641"/>
      <c r="Q424" s="642"/>
      <c r="R424" s="147"/>
      <c r="S424" s="147"/>
      <c r="T424" s="147"/>
      <c r="U424" s="147"/>
      <c r="V424" s="147"/>
      <c r="W424" s="147"/>
      <c r="X424" s="147"/>
      <c r="Y424" s="147"/>
      <c r="Z424" s="147"/>
      <c r="AA424" s="147"/>
      <c r="AB424" s="147"/>
      <c r="AC424" s="147"/>
      <c r="AD424" s="147"/>
      <c r="AE424" s="147"/>
      <c r="AF424" s="147"/>
      <c r="AG424" s="147"/>
      <c r="AH424" s="147"/>
      <c r="AI424" s="147"/>
      <c r="AJ424" s="147"/>
      <c r="AK424" s="147"/>
      <c r="AL424" s="147"/>
      <c r="AM424" s="147"/>
      <c r="AN424" s="147"/>
      <c r="AO424" s="147"/>
      <c r="AP424" s="147"/>
      <c r="AQ424" s="147"/>
      <c r="AR424" s="147"/>
      <c r="AS424" s="147"/>
      <c r="AT424" s="147"/>
      <c r="AU424" s="147"/>
      <c r="AV424" s="147"/>
      <c r="AW424" s="147"/>
    </row>
    <row r="425">
      <c r="A425" s="631"/>
      <c r="B425" s="631"/>
      <c r="C425" s="632"/>
      <c r="D425" s="633"/>
      <c r="E425" s="634"/>
      <c r="F425" s="635"/>
      <c r="G425" s="636"/>
      <c r="H425" s="637"/>
      <c r="I425" s="643"/>
      <c r="J425" s="644"/>
      <c r="K425" s="147"/>
      <c r="L425" s="632"/>
      <c r="M425" s="147"/>
      <c r="N425" s="640"/>
      <c r="O425" s="640"/>
      <c r="P425" s="641"/>
      <c r="Q425" s="642"/>
      <c r="R425" s="147"/>
      <c r="S425" s="147"/>
      <c r="T425" s="147"/>
      <c r="U425" s="147"/>
      <c r="V425" s="147"/>
      <c r="W425" s="147"/>
      <c r="X425" s="147"/>
      <c r="Y425" s="147"/>
      <c r="Z425" s="147"/>
      <c r="AA425" s="147"/>
      <c r="AB425" s="147"/>
      <c r="AC425" s="147"/>
      <c r="AD425" s="147"/>
      <c r="AE425" s="147"/>
      <c r="AF425" s="147"/>
      <c r="AG425" s="147"/>
      <c r="AH425" s="147"/>
      <c r="AI425" s="147"/>
      <c r="AJ425" s="147"/>
      <c r="AK425" s="147"/>
      <c r="AL425" s="147"/>
      <c r="AM425" s="147"/>
      <c r="AN425" s="147"/>
      <c r="AO425" s="147"/>
      <c r="AP425" s="147"/>
      <c r="AQ425" s="147"/>
      <c r="AR425" s="147"/>
      <c r="AS425" s="147"/>
      <c r="AT425" s="147"/>
      <c r="AU425" s="147"/>
      <c r="AV425" s="147"/>
      <c r="AW425" s="147"/>
    </row>
    <row r="426">
      <c r="A426" s="631"/>
      <c r="B426" s="631"/>
      <c r="C426" s="632"/>
      <c r="D426" s="633"/>
      <c r="E426" s="634"/>
      <c r="F426" s="635"/>
      <c r="G426" s="636"/>
      <c r="H426" s="637"/>
      <c r="I426" s="643"/>
      <c r="J426" s="644"/>
      <c r="K426" s="147"/>
      <c r="L426" s="632"/>
      <c r="M426" s="147"/>
      <c r="N426" s="640"/>
      <c r="O426" s="640"/>
      <c r="P426" s="641"/>
      <c r="Q426" s="642"/>
      <c r="R426" s="147"/>
      <c r="S426" s="147"/>
      <c r="T426" s="147"/>
      <c r="U426" s="147"/>
      <c r="V426" s="147"/>
      <c r="W426" s="147"/>
      <c r="X426" s="147"/>
      <c r="Y426" s="147"/>
      <c r="Z426" s="147"/>
      <c r="AA426" s="147"/>
      <c r="AB426" s="147"/>
      <c r="AC426" s="147"/>
      <c r="AD426" s="147"/>
      <c r="AE426" s="147"/>
      <c r="AF426" s="147"/>
      <c r="AG426" s="147"/>
      <c r="AH426" s="147"/>
      <c r="AI426" s="147"/>
      <c r="AJ426" s="147"/>
      <c r="AK426" s="147"/>
      <c r="AL426" s="147"/>
      <c r="AM426" s="147"/>
      <c r="AN426" s="147"/>
      <c r="AO426" s="147"/>
      <c r="AP426" s="147"/>
      <c r="AQ426" s="147"/>
      <c r="AR426" s="147"/>
      <c r="AS426" s="147"/>
      <c r="AT426" s="147"/>
      <c r="AU426" s="147"/>
      <c r="AV426" s="147"/>
      <c r="AW426" s="147"/>
    </row>
    <row r="427">
      <c r="A427" s="631"/>
      <c r="B427" s="631"/>
      <c r="C427" s="632"/>
      <c r="D427" s="633"/>
      <c r="E427" s="634"/>
      <c r="F427" s="635"/>
      <c r="G427" s="636"/>
      <c r="H427" s="637"/>
      <c r="I427" s="643"/>
      <c r="J427" s="644"/>
      <c r="K427" s="147"/>
      <c r="L427" s="632"/>
      <c r="M427" s="147"/>
      <c r="N427" s="640"/>
      <c r="O427" s="640"/>
      <c r="P427" s="641"/>
      <c r="Q427" s="642"/>
      <c r="R427" s="147"/>
      <c r="S427" s="147"/>
      <c r="T427" s="147"/>
      <c r="U427" s="147"/>
      <c r="V427" s="147"/>
      <c r="W427" s="147"/>
      <c r="X427" s="147"/>
      <c r="Y427" s="147"/>
      <c r="Z427" s="147"/>
      <c r="AA427" s="147"/>
      <c r="AB427" s="147"/>
      <c r="AC427" s="147"/>
      <c r="AD427" s="147"/>
      <c r="AE427" s="147"/>
      <c r="AF427" s="147"/>
      <c r="AG427" s="147"/>
      <c r="AH427" s="147"/>
      <c r="AI427" s="147"/>
      <c r="AJ427" s="147"/>
      <c r="AK427" s="147"/>
      <c r="AL427" s="147"/>
      <c r="AM427" s="147"/>
      <c r="AN427" s="147"/>
      <c r="AO427" s="147"/>
      <c r="AP427" s="147"/>
      <c r="AQ427" s="147"/>
      <c r="AR427" s="147"/>
      <c r="AS427" s="147"/>
      <c r="AT427" s="147"/>
      <c r="AU427" s="147"/>
      <c r="AV427" s="147"/>
      <c r="AW427" s="147"/>
    </row>
    <row r="428">
      <c r="A428" s="631"/>
      <c r="B428" s="631"/>
      <c r="C428" s="632"/>
      <c r="D428" s="633"/>
      <c r="E428" s="634"/>
      <c r="F428" s="635"/>
      <c r="G428" s="636"/>
      <c r="H428" s="637"/>
      <c r="I428" s="643"/>
      <c r="J428" s="644"/>
      <c r="K428" s="147"/>
      <c r="L428" s="632"/>
      <c r="M428" s="147"/>
      <c r="N428" s="640"/>
      <c r="O428" s="640"/>
      <c r="P428" s="641"/>
      <c r="Q428" s="642"/>
      <c r="R428" s="147"/>
      <c r="S428" s="147"/>
      <c r="T428" s="147"/>
      <c r="U428" s="147"/>
      <c r="V428" s="147"/>
      <c r="W428" s="147"/>
      <c r="X428" s="147"/>
      <c r="Y428" s="147"/>
      <c r="Z428" s="147"/>
      <c r="AA428" s="147"/>
      <c r="AB428" s="147"/>
      <c r="AC428" s="147"/>
      <c r="AD428" s="147"/>
      <c r="AE428" s="147"/>
      <c r="AF428" s="147"/>
      <c r="AG428" s="147"/>
      <c r="AH428" s="147"/>
      <c r="AI428" s="147"/>
      <c r="AJ428" s="147"/>
      <c r="AK428" s="147"/>
      <c r="AL428" s="147"/>
      <c r="AM428" s="147"/>
      <c r="AN428" s="147"/>
      <c r="AO428" s="147"/>
      <c r="AP428" s="147"/>
      <c r="AQ428" s="147"/>
      <c r="AR428" s="147"/>
      <c r="AS428" s="147"/>
      <c r="AT428" s="147"/>
      <c r="AU428" s="147"/>
      <c r="AV428" s="147"/>
      <c r="AW428" s="147"/>
    </row>
    <row r="429">
      <c r="A429" s="631"/>
      <c r="B429" s="631"/>
      <c r="C429" s="632"/>
      <c r="D429" s="633"/>
      <c r="E429" s="634"/>
      <c r="F429" s="635"/>
      <c r="G429" s="636"/>
      <c r="H429" s="637"/>
      <c r="I429" s="643"/>
      <c r="J429" s="644"/>
      <c r="K429" s="147"/>
      <c r="L429" s="632"/>
      <c r="M429" s="147"/>
      <c r="N429" s="640"/>
      <c r="O429" s="640"/>
      <c r="P429" s="641"/>
      <c r="Q429" s="642"/>
      <c r="R429" s="147"/>
      <c r="S429" s="147"/>
      <c r="T429" s="147"/>
      <c r="U429" s="147"/>
      <c r="V429" s="147"/>
      <c r="W429" s="147"/>
      <c r="X429" s="147"/>
      <c r="Y429" s="147"/>
      <c r="Z429" s="147"/>
      <c r="AA429" s="147"/>
      <c r="AB429" s="147"/>
      <c r="AC429" s="147"/>
      <c r="AD429" s="147"/>
      <c r="AE429" s="147"/>
      <c r="AF429" s="147"/>
      <c r="AG429" s="147"/>
      <c r="AH429" s="147"/>
      <c r="AI429" s="147"/>
      <c r="AJ429" s="147"/>
      <c r="AK429" s="147"/>
      <c r="AL429" s="147"/>
      <c r="AM429" s="147"/>
      <c r="AN429" s="147"/>
      <c r="AO429" s="147"/>
      <c r="AP429" s="147"/>
      <c r="AQ429" s="147"/>
      <c r="AR429" s="147"/>
      <c r="AS429" s="147"/>
      <c r="AT429" s="147"/>
      <c r="AU429" s="147"/>
      <c r="AV429" s="147"/>
      <c r="AW429" s="147"/>
    </row>
    <row r="430">
      <c r="A430" s="631"/>
      <c r="B430" s="631"/>
      <c r="C430" s="632"/>
      <c r="D430" s="633"/>
      <c r="E430" s="634"/>
      <c r="F430" s="635"/>
      <c r="G430" s="636"/>
      <c r="H430" s="637"/>
      <c r="I430" s="643"/>
      <c r="J430" s="644"/>
      <c r="K430" s="147"/>
      <c r="L430" s="632"/>
      <c r="M430" s="147"/>
      <c r="N430" s="640"/>
      <c r="O430" s="640"/>
      <c r="P430" s="641"/>
      <c r="Q430" s="642"/>
      <c r="R430" s="147"/>
      <c r="S430" s="147"/>
      <c r="T430" s="147"/>
      <c r="U430" s="147"/>
      <c r="V430" s="147"/>
      <c r="W430" s="147"/>
      <c r="X430" s="147"/>
      <c r="Y430" s="147"/>
      <c r="Z430" s="147"/>
      <c r="AA430" s="147"/>
      <c r="AB430" s="147"/>
      <c r="AC430" s="147"/>
      <c r="AD430" s="147"/>
      <c r="AE430" s="147"/>
      <c r="AF430" s="147"/>
      <c r="AG430" s="147"/>
      <c r="AH430" s="147"/>
      <c r="AI430" s="147"/>
      <c r="AJ430" s="147"/>
      <c r="AK430" s="147"/>
      <c r="AL430" s="147"/>
      <c r="AM430" s="147"/>
      <c r="AN430" s="147"/>
      <c r="AO430" s="147"/>
      <c r="AP430" s="147"/>
      <c r="AQ430" s="147"/>
      <c r="AR430" s="147"/>
      <c r="AS430" s="147"/>
      <c r="AT430" s="147"/>
      <c r="AU430" s="147"/>
      <c r="AV430" s="147"/>
      <c r="AW430" s="147"/>
    </row>
    <row r="431">
      <c r="A431" s="631"/>
      <c r="B431" s="631"/>
      <c r="C431" s="632"/>
      <c r="D431" s="633"/>
      <c r="E431" s="634"/>
      <c r="F431" s="635"/>
      <c r="G431" s="636"/>
      <c r="H431" s="637"/>
      <c r="I431" s="643"/>
      <c r="J431" s="644"/>
      <c r="K431" s="147"/>
      <c r="L431" s="632"/>
      <c r="M431" s="147"/>
      <c r="N431" s="640"/>
      <c r="O431" s="640"/>
      <c r="P431" s="641"/>
      <c r="Q431" s="642"/>
      <c r="R431" s="147"/>
      <c r="S431" s="147"/>
      <c r="T431" s="147"/>
      <c r="U431" s="147"/>
      <c r="V431" s="147"/>
      <c r="W431" s="147"/>
      <c r="X431" s="147"/>
      <c r="Y431" s="147"/>
      <c r="Z431" s="147"/>
      <c r="AA431" s="147"/>
      <c r="AB431" s="147"/>
      <c r="AC431" s="147"/>
      <c r="AD431" s="147"/>
      <c r="AE431" s="147"/>
      <c r="AF431" s="147"/>
      <c r="AG431" s="147"/>
      <c r="AH431" s="147"/>
      <c r="AI431" s="147"/>
      <c r="AJ431" s="147"/>
      <c r="AK431" s="147"/>
      <c r="AL431" s="147"/>
      <c r="AM431" s="147"/>
      <c r="AN431" s="147"/>
      <c r="AO431" s="147"/>
      <c r="AP431" s="147"/>
      <c r="AQ431" s="147"/>
      <c r="AR431" s="147"/>
      <c r="AS431" s="147"/>
      <c r="AT431" s="147"/>
      <c r="AU431" s="147"/>
      <c r="AV431" s="147"/>
      <c r="AW431" s="147"/>
    </row>
    <row r="432">
      <c r="A432" s="631"/>
      <c r="B432" s="631"/>
      <c r="C432" s="632"/>
      <c r="D432" s="633"/>
      <c r="E432" s="634"/>
      <c r="F432" s="635"/>
      <c r="G432" s="636"/>
      <c r="H432" s="637"/>
      <c r="I432" s="643"/>
      <c r="J432" s="644"/>
      <c r="K432" s="147"/>
      <c r="L432" s="632"/>
      <c r="M432" s="147"/>
      <c r="N432" s="640"/>
      <c r="O432" s="640"/>
      <c r="P432" s="641"/>
      <c r="Q432" s="642"/>
      <c r="R432" s="147"/>
      <c r="S432" s="147"/>
      <c r="T432" s="147"/>
      <c r="U432" s="147"/>
      <c r="V432" s="147"/>
      <c r="W432" s="147"/>
      <c r="X432" s="147"/>
      <c r="Y432" s="147"/>
      <c r="Z432" s="147"/>
      <c r="AA432" s="147"/>
      <c r="AB432" s="147"/>
      <c r="AC432" s="147"/>
      <c r="AD432" s="147"/>
      <c r="AE432" s="147"/>
      <c r="AF432" s="147"/>
      <c r="AG432" s="147"/>
      <c r="AH432" s="147"/>
      <c r="AI432" s="147"/>
      <c r="AJ432" s="147"/>
      <c r="AK432" s="147"/>
      <c r="AL432" s="147"/>
      <c r="AM432" s="147"/>
      <c r="AN432" s="147"/>
      <c r="AO432" s="147"/>
      <c r="AP432" s="147"/>
      <c r="AQ432" s="147"/>
      <c r="AR432" s="147"/>
      <c r="AS432" s="147"/>
      <c r="AT432" s="147"/>
      <c r="AU432" s="147"/>
      <c r="AV432" s="147"/>
      <c r="AW432" s="147"/>
    </row>
    <row r="433">
      <c r="A433" s="631"/>
      <c r="B433" s="631"/>
      <c r="C433" s="632"/>
      <c r="D433" s="633"/>
      <c r="E433" s="634"/>
      <c r="F433" s="635"/>
      <c r="G433" s="636"/>
      <c r="H433" s="637"/>
      <c r="I433" s="643"/>
      <c r="J433" s="644"/>
      <c r="K433" s="147"/>
      <c r="L433" s="632"/>
      <c r="M433" s="147"/>
      <c r="N433" s="640"/>
      <c r="O433" s="640"/>
      <c r="P433" s="641"/>
      <c r="Q433" s="642"/>
      <c r="R433" s="147"/>
      <c r="S433" s="147"/>
      <c r="T433" s="147"/>
      <c r="U433" s="147"/>
      <c r="V433" s="147"/>
      <c r="W433" s="147"/>
      <c r="X433" s="147"/>
      <c r="Y433" s="147"/>
      <c r="Z433" s="147"/>
      <c r="AA433" s="147"/>
      <c r="AB433" s="147"/>
      <c r="AC433" s="147"/>
      <c r="AD433" s="147"/>
      <c r="AE433" s="147"/>
      <c r="AF433" s="147"/>
      <c r="AG433" s="147"/>
      <c r="AH433" s="147"/>
      <c r="AI433" s="147"/>
      <c r="AJ433" s="147"/>
      <c r="AK433" s="147"/>
      <c r="AL433" s="147"/>
      <c r="AM433" s="147"/>
      <c r="AN433" s="147"/>
      <c r="AO433" s="147"/>
      <c r="AP433" s="147"/>
      <c r="AQ433" s="147"/>
      <c r="AR433" s="147"/>
      <c r="AS433" s="147"/>
      <c r="AT433" s="147"/>
      <c r="AU433" s="147"/>
      <c r="AV433" s="147"/>
      <c r="AW433" s="147"/>
    </row>
    <row r="434">
      <c r="A434" s="631"/>
      <c r="B434" s="631"/>
      <c r="C434" s="632"/>
      <c r="D434" s="633"/>
      <c r="E434" s="634"/>
      <c r="F434" s="635"/>
      <c r="G434" s="636"/>
      <c r="H434" s="637"/>
      <c r="I434" s="643"/>
      <c r="J434" s="644"/>
      <c r="K434" s="147"/>
      <c r="L434" s="632"/>
      <c r="M434" s="147"/>
      <c r="N434" s="640"/>
      <c r="O434" s="640"/>
      <c r="P434" s="641"/>
      <c r="Q434" s="642"/>
      <c r="R434" s="147"/>
      <c r="S434" s="147"/>
      <c r="T434" s="147"/>
      <c r="U434" s="147"/>
      <c r="V434" s="147"/>
      <c r="W434" s="147"/>
      <c r="X434" s="147"/>
      <c r="Y434" s="147"/>
      <c r="Z434" s="147"/>
      <c r="AA434" s="147"/>
      <c r="AB434" s="147"/>
      <c r="AC434" s="147"/>
      <c r="AD434" s="147"/>
      <c r="AE434" s="147"/>
      <c r="AF434" s="147"/>
      <c r="AG434" s="147"/>
      <c r="AH434" s="147"/>
      <c r="AI434" s="147"/>
      <c r="AJ434" s="147"/>
      <c r="AK434" s="147"/>
      <c r="AL434" s="147"/>
      <c r="AM434" s="147"/>
      <c r="AN434" s="147"/>
      <c r="AO434" s="147"/>
      <c r="AP434" s="147"/>
      <c r="AQ434" s="147"/>
      <c r="AR434" s="147"/>
      <c r="AS434" s="147"/>
      <c r="AT434" s="147"/>
      <c r="AU434" s="147"/>
      <c r="AV434" s="147"/>
      <c r="AW434" s="147"/>
    </row>
    <row r="435">
      <c r="A435" s="631"/>
      <c r="B435" s="631"/>
      <c r="C435" s="632"/>
      <c r="D435" s="633"/>
      <c r="E435" s="634"/>
      <c r="F435" s="635"/>
      <c r="G435" s="636"/>
      <c r="H435" s="637"/>
      <c r="I435" s="643"/>
      <c r="J435" s="644"/>
      <c r="K435" s="147"/>
      <c r="L435" s="632"/>
      <c r="M435" s="147"/>
      <c r="N435" s="640"/>
      <c r="O435" s="640"/>
      <c r="P435" s="641"/>
      <c r="Q435" s="642"/>
      <c r="R435" s="147"/>
      <c r="S435" s="147"/>
      <c r="T435" s="147"/>
      <c r="U435" s="147"/>
      <c r="V435" s="147"/>
      <c r="W435" s="147"/>
      <c r="X435" s="147"/>
      <c r="Y435" s="147"/>
      <c r="Z435" s="147"/>
      <c r="AA435" s="147"/>
      <c r="AB435" s="147"/>
      <c r="AC435" s="147"/>
      <c r="AD435" s="147"/>
      <c r="AE435" s="147"/>
      <c r="AF435" s="147"/>
      <c r="AG435" s="147"/>
      <c r="AH435" s="147"/>
      <c r="AI435" s="147"/>
      <c r="AJ435" s="147"/>
      <c r="AK435" s="147"/>
      <c r="AL435" s="147"/>
      <c r="AM435" s="147"/>
      <c r="AN435" s="147"/>
      <c r="AO435" s="147"/>
      <c r="AP435" s="147"/>
      <c r="AQ435" s="147"/>
      <c r="AR435" s="147"/>
      <c r="AS435" s="147"/>
      <c r="AT435" s="147"/>
      <c r="AU435" s="147"/>
      <c r="AV435" s="147"/>
      <c r="AW435" s="147"/>
    </row>
    <row r="436">
      <c r="A436" s="631"/>
      <c r="B436" s="631"/>
      <c r="C436" s="632"/>
      <c r="D436" s="633"/>
      <c r="E436" s="634"/>
      <c r="F436" s="635"/>
      <c r="G436" s="636"/>
      <c r="H436" s="637"/>
      <c r="I436" s="643"/>
      <c r="J436" s="644"/>
      <c r="K436" s="147"/>
      <c r="L436" s="632"/>
      <c r="M436" s="147"/>
      <c r="N436" s="640"/>
      <c r="O436" s="640"/>
      <c r="P436" s="641"/>
      <c r="Q436" s="642"/>
      <c r="R436" s="147"/>
      <c r="S436" s="147"/>
      <c r="T436" s="147"/>
      <c r="U436" s="147"/>
      <c r="V436" s="147"/>
      <c r="W436" s="147"/>
      <c r="X436" s="147"/>
      <c r="Y436" s="147"/>
      <c r="Z436" s="147"/>
      <c r="AA436" s="147"/>
      <c r="AB436" s="147"/>
      <c r="AC436" s="147"/>
      <c r="AD436" s="147"/>
      <c r="AE436" s="147"/>
      <c r="AF436" s="147"/>
      <c r="AG436" s="147"/>
      <c r="AH436" s="147"/>
      <c r="AI436" s="147"/>
      <c r="AJ436" s="147"/>
      <c r="AK436" s="147"/>
      <c r="AL436" s="147"/>
      <c r="AM436" s="147"/>
      <c r="AN436" s="147"/>
      <c r="AO436" s="147"/>
      <c r="AP436" s="147"/>
      <c r="AQ436" s="147"/>
      <c r="AR436" s="147"/>
      <c r="AS436" s="147"/>
      <c r="AT436" s="147"/>
      <c r="AU436" s="147"/>
      <c r="AV436" s="147"/>
      <c r="AW436" s="147"/>
    </row>
    <row r="437">
      <c r="A437" s="631"/>
      <c r="B437" s="631"/>
      <c r="C437" s="632"/>
      <c r="D437" s="633"/>
      <c r="E437" s="634"/>
      <c r="F437" s="635"/>
      <c r="G437" s="636"/>
      <c r="H437" s="637"/>
      <c r="I437" s="643"/>
      <c r="J437" s="644"/>
      <c r="K437" s="147"/>
      <c r="L437" s="632"/>
      <c r="M437" s="147"/>
      <c r="N437" s="640"/>
      <c r="O437" s="640"/>
      <c r="P437" s="641"/>
      <c r="Q437" s="642"/>
      <c r="R437" s="147"/>
      <c r="S437" s="147"/>
      <c r="T437" s="147"/>
      <c r="U437" s="147"/>
      <c r="V437" s="147"/>
      <c r="W437" s="147"/>
      <c r="X437" s="147"/>
      <c r="Y437" s="147"/>
      <c r="Z437" s="147"/>
      <c r="AA437" s="147"/>
      <c r="AB437" s="147"/>
      <c r="AC437" s="147"/>
      <c r="AD437" s="147"/>
      <c r="AE437" s="147"/>
      <c r="AF437" s="147"/>
      <c r="AG437" s="147"/>
      <c r="AH437" s="147"/>
      <c r="AI437" s="147"/>
      <c r="AJ437" s="147"/>
      <c r="AK437" s="147"/>
      <c r="AL437" s="147"/>
      <c r="AM437" s="147"/>
      <c r="AN437" s="147"/>
      <c r="AO437" s="147"/>
      <c r="AP437" s="147"/>
      <c r="AQ437" s="147"/>
      <c r="AR437" s="147"/>
      <c r="AS437" s="147"/>
      <c r="AT437" s="147"/>
      <c r="AU437" s="147"/>
      <c r="AV437" s="147"/>
      <c r="AW437" s="147"/>
    </row>
    <row r="438">
      <c r="A438" s="631"/>
      <c r="B438" s="631"/>
      <c r="C438" s="632"/>
      <c r="D438" s="633"/>
      <c r="E438" s="634"/>
      <c r="F438" s="635"/>
      <c r="G438" s="636"/>
      <c r="H438" s="637"/>
      <c r="I438" s="643"/>
      <c r="J438" s="644"/>
      <c r="K438" s="147"/>
      <c r="L438" s="632"/>
      <c r="M438" s="147"/>
      <c r="N438" s="640"/>
      <c r="O438" s="640"/>
      <c r="P438" s="641"/>
      <c r="Q438" s="642"/>
      <c r="R438" s="147"/>
      <c r="S438" s="147"/>
      <c r="T438" s="147"/>
      <c r="U438" s="147"/>
      <c r="V438" s="147"/>
      <c r="W438" s="147"/>
      <c r="X438" s="147"/>
      <c r="Y438" s="147"/>
      <c r="Z438" s="147"/>
      <c r="AA438" s="147"/>
      <c r="AB438" s="147"/>
      <c r="AC438" s="147"/>
      <c r="AD438" s="147"/>
      <c r="AE438" s="147"/>
      <c r="AF438" s="147"/>
      <c r="AG438" s="147"/>
      <c r="AH438" s="147"/>
      <c r="AI438" s="147"/>
      <c r="AJ438" s="147"/>
      <c r="AK438" s="147"/>
      <c r="AL438" s="147"/>
      <c r="AM438" s="147"/>
      <c r="AN438" s="147"/>
      <c r="AO438" s="147"/>
      <c r="AP438" s="147"/>
      <c r="AQ438" s="147"/>
      <c r="AR438" s="147"/>
      <c r="AS438" s="147"/>
      <c r="AT438" s="147"/>
      <c r="AU438" s="147"/>
      <c r="AV438" s="147"/>
      <c r="AW438" s="147"/>
    </row>
    <row r="439">
      <c r="A439" s="631"/>
      <c r="B439" s="631"/>
      <c r="C439" s="632"/>
      <c r="D439" s="633"/>
      <c r="E439" s="634"/>
      <c r="F439" s="635"/>
      <c r="G439" s="636"/>
      <c r="H439" s="637"/>
      <c r="I439" s="643"/>
      <c r="J439" s="644"/>
      <c r="K439" s="147"/>
      <c r="L439" s="632"/>
      <c r="M439" s="147"/>
      <c r="N439" s="640"/>
      <c r="O439" s="640"/>
      <c r="P439" s="641"/>
      <c r="Q439" s="642"/>
      <c r="R439" s="147"/>
      <c r="S439" s="147"/>
      <c r="T439" s="147"/>
      <c r="U439" s="147"/>
      <c r="V439" s="147"/>
      <c r="W439" s="147"/>
      <c r="X439" s="147"/>
      <c r="Y439" s="147"/>
      <c r="Z439" s="147"/>
      <c r="AA439" s="147"/>
      <c r="AB439" s="147"/>
      <c r="AC439" s="147"/>
      <c r="AD439" s="147"/>
      <c r="AE439" s="147"/>
      <c r="AF439" s="147"/>
      <c r="AG439" s="147"/>
      <c r="AH439" s="147"/>
      <c r="AI439" s="147"/>
      <c r="AJ439" s="147"/>
      <c r="AK439" s="147"/>
      <c r="AL439" s="147"/>
      <c r="AM439" s="147"/>
      <c r="AN439" s="147"/>
      <c r="AO439" s="147"/>
      <c r="AP439" s="147"/>
      <c r="AQ439" s="147"/>
      <c r="AR439" s="147"/>
      <c r="AS439" s="147"/>
      <c r="AT439" s="147"/>
      <c r="AU439" s="147"/>
      <c r="AV439" s="147"/>
      <c r="AW439" s="147"/>
    </row>
    <row r="440">
      <c r="A440" s="631"/>
      <c r="B440" s="631"/>
      <c r="C440" s="632"/>
      <c r="D440" s="633"/>
      <c r="E440" s="634"/>
      <c r="F440" s="635"/>
      <c r="G440" s="636"/>
      <c r="H440" s="637"/>
      <c r="I440" s="643"/>
      <c r="J440" s="644"/>
      <c r="K440" s="147"/>
      <c r="L440" s="632"/>
      <c r="M440" s="147"/>
      <c r="N440" s="640"/>
      <c r="O440" s="640"/>
      <c r="P440" s="641"/>
      <c r="Q440" s="642"/>
      <c r="R440" s="147"/>
      <c r="S440" s="147"/>
      <c r="T440" s="147"/>
      <c r="U440" s="147"/>
      <c r="V440" s="147"/>
      <c r="W440" s="147"/>
      <c r="X440" s="147"/>
      <c r="Y440" s="147"/>
      <c r="Z440" s="147"/>
      <c r="AA440" s="147"/>
      <c r="AB440" s="147"/>
      <c r="AC440" s="147"/>
      <c r="AD440" s="147"/>
      <c r="AE440" s="147"/>
      <c r="AF440" s="147"/>
      <c r="AG440" s="147"/>
      <c r="AH440" s="147"/>
      <c r="AI440" s="147"/>
      <c r="AJ440" s="147"/>
      <c r="AK440" s="147"/>
      <c r="AL440" s="147"/>
      <c r="AM440" s="147"/>
      <c r="AN440" s="147"/>
      <c r="AO440" s="147"/>
      <c r="AP440" s="147"/>
      <c r="AQ440" s="147"/>
      <c r="AR440" s="147"/>
      <c r="AS440" s="147"/>
      <c r="AT440" s="147"/>
      <c r="AU440" s="147"/>
      <c r="AV440" s="147"/>
      <c r="AW440" s="147"/>
    </row>
    <row r="441">
      <c r="A441" s="631"/>
      <c r="B441" s="631"/>
      <c r="C441" s="632"/>
      <c r="D441" s="633"/>
      <c r="E441" s="634"/>
      <c r="F441" s="635"/>
      <c r="G441" s="636"/>
      <c r="H441" s="637"/>
      <c r="I441" s="643"/>
      <c r="J441" s="644"/>
      <c r="K441" s="147"/>
      <c r="L441" s="632"/>
      <c r="M441" s="147"/>
      <c r="N441" s="640"/>
      <c r="O441" s="640"/>
      <c r="P441" s="641"/>
      <c r="Q441" s="642"/>
      <c r="R441" s="147"/>
      <c r="S441" s="147"/>
      <c r="T441" s="147"/>
      <c r="U441" s="147"/>
      <c r="V441" s="147"/>
      <c r="W441" s="147"/>
      <c r="X441" s="147"/>
      <c r="Y441" s="147"/>
      <c r="Z441" s="147"/>
      <c r="AA441" s="147"/>
      <c r="AB441" s="147"/>
      <c r="AC441" s="147"/>
      <c r="AD441" s="147"/>
      <c r="AE441" s="147"/>
      <c r="AF441" s="147"/>
      <c r="AG441" s="147"/>
      <c r="AH441" s="147"/>
      <c r="AI441" s="147"/>
      <c r="AJ441" s="147"/>
      <c r="AK441" s="147"/>
      <c r="AL441" s="147"/>
      <c r="AM441" s="147"/>
      <c r="AN441" s="147"/>
      <c r="AO441" s="147"/>
      <c r="AP441" s="147"/>
      <c r="AQ441" s="147"/>
      <c r="AR441" s="147"/>
      <c r="AS441" s="147"/>
      <c r="AT441" s="147"/>
      <c r="AU441" s="147"/>
      <c r="AV441" s="147"/>
      <c r="AW441" s="147"/>
    </row>
    <row r="442">
      <c r="A442" s="631"/>
      <c r="B442" s="631"/>
      <c r="C442" s="632"/>
      <c r="D442" s="633"/>
      <c r="E442" s="634"/>
      <c r="F442" s="635"/>
      <c r="G442" s="636"/>
      <c r="H442" s="637"/>
      <c r="I442" s="643"/>
      <c r="J442" s="644"/>
      <c r="K442" s="147"/>
      <c r="L442" s="632"/>
      <c r="M442" s="147"/>
      <c r="N442" s="640"/>
      <c r="O442" s="640"/>
      <c r="P442" s="641"/>
      <c r="Q442" s="642"/>
      <c r="R442" s="147"/>
      <c r="S442" s="147"/>
      <c r="T442" s="147"/>
      <c r="U442" s="147"/>
      <c r="V442" s="147"/>
      <c r="W442" s="147"/>
      <c r="X442" s="147"/>
      <c r="Y442" s="147"/>
      <c r="Z442" s="147"/>
      <c r="AA442" s="147"/>
      <c r="AB442" s="147"/>
      <c r="AC442" s="147"/>
      <c r="AD442" s="147"/>
      <c r="AE442" s="147"/>
      <c r="AF442" s="147"/>
      <c r="AG442" s="147"/>
      <c r="AH442" s="147"/>
      <c r="AI442" s="147"/>
      <c r="AJ442" s="147"/>
      <c r="AK442" s="147"/>
      <c r="AL442" s="147"/>
      <c r="AM442" s="147"/>
      <c r="AN442" s="147"/>
      <c r="AO442" s="147"/>
      <c r="AP442" s="147"/>
      <c r="AQ442" s="147"/>
      <c r="AR442" s="147"/>
      <c r="AS442" s="147"/>
      <c r="AT442" s="147"/>
      <c r="AU442" s="147"/>
      <c r="AV442" s="147"/>
      <c r="AW442" s="147"/>
    </row>
    <row r="443">
      <c r="A443" s="631"/>
      <c r="B443" s="631"/>
      <c r="C443" s="632"/>
      <c r="D443" s="633"/>
      <c r="E443" s="634"/>
      <c r="F443" s="635"/>
      <c r="G443" s="636"/>
      <c r="H443" s="637"/>
      <c r="I443" s="643"/>
      <c r="J443" s="644"/>
      <c r="K443" s="147"/>
      <c r="L443" s="632"/>
      <c r="M443" s="147"/>
      <c r="N443" s="640"/>
      <c r="O443" s="640"/>
      <c r="P443" s="641"/>
      <c r="Q443" s="642"/>
      <c r="R443" s="147"/>
      <c r="S443" s="147"/>
      <c r="T443" s="147"/>
      <c r="U443" s="147"/>
      <c r="V443" s="147"/>
      <c r="W443" s="147"/>
      <c r="X443" s="147"/>
      <c r="Y443" s="147"/>
      <c r="Z443" s="147"/>
      <c r="AA443" s="147"/>
      <c r="AB443" s="147"/>
      <c r="AC443" s="147"/>
      <c r="AD443" s="147"/>
      <c r="AE443" s="147"/>
      <c r="AF443" s="147"/>
      <c r="AG443" s="147"/>
      <c r="AH443" s="147"/>
      <c r="AI443" s="147"/>
      <c r="AJ443" s="147"/>
      <c r="AK443" s="147"/>
      <c r="AL443" s="147"/>
      <c r="AM443" s="147"/>
      <c r="AN443" s="147"/>
      <c r="AO443" s="147"/>
      <c r="AP443" s="147"/>
      <c r="AQ443" s="147"/>
      <c r="AR443" s="147"/>
      <c r="AS443" s="147"/>
      <c r="AT443" s="147"/>
      <c r="AU443" s="147"/>
      <c r="AV443" s="147"/>
      <c r="AW443" s="147"/>
    </row>
    <row r="444">
      <c r="A444" s="631"/>
      <c r="B444" s="631"/>
      <c r="C444" s="632"/>
      <c r="D444" s="633"/>
      <c r="E444" s="634"/>
      <c r="F444" s="635"/>
      <c r="G444" s="636"/>
      <c r="H444" s="637"/>
      <c r="I444" s="643"/>
      <c r="J444" s="644"/>
      <c r="K444" s="147"/>
      <c r="L444" s="632"/>
      <c r="M444" s="147"/>
      <c r="N444" s="640"/>
      <c r="O444" s="640"/>
      <c r="P444" s="641"/>
      <c r="Q444" s="642"/>
      <c r="R444" s="147"/>
      <c r="S444" s="147"/>
      <c r="T444" s="147"/>
      <c r="U444" s="147"/>
      <c r="V444" s="147"/>
      <c r="W444" s="147"/>
      <c r="X444" s="147"/>
      <c r="Y444" s="147"/>
      <c r="Z444" s="147"/>
      <c r="AA444" s="147"/>
      <c r="AB444" s="147"/>
      <c r="AC444" s="147"/>
      <c r="AD444" s="147"/>
      <c r="AE444" s="147"/>
      <c r="AF444" s="147"/>
      <c r="AG444" s="147"/>
      <c r="AH444" s="147"/>
      <c r="AI444" s="147"/>
      <c r="AJ444" s="147"/>
      <c r="AK444" s="147"/>
      <c r="AL444" s="147"/>
      <c r="AM444" s="147"/>
      <c r="AN444" s="147"/>
      <c r="AO444" s="147"/>
      <c r="AP444" s="147"/>
      <c r="AQ444" s="147"/>
      <c r="AR444" s="147"/>
      <c r="AS444" s="147"/>
      <c r="AT444" s="147"/>
      <c r="AU444" s="147"/>
      <c r="AV444" s="147"/>
      <c r="AW444" s="147"/>
    </row>
    <row r="445">
      <c r="A445" s="631"/>
      <c r="B445" s="631"/>
      <c r="C445" s="632"/>
      <c r="D445" s="633"/>
      <c r="E445" s="634"/>
      <c r="F445" s="635"/>
      <c r="G445" s="636"/>
      <c r="H445" s="637"/>
      <c r="I445" s="643"/>
      <c r="J445" s="644"/>
      <c r="K445" s="147"/>
      <c r="L445" s="632"/>
      <c r="M445" s="147"/>
      <c r="N445" s="640"/>
      <c r="O445" s="640"/>
      <c r="P445" s="641"/>
      <c r="Q445" s="642"/>
      <c r="R445" s="147"/>
      <c r="S445" s="147"/>
      <c r="T445" s="147"/>
      <c r="U445" s="147"/>
      <c r="V445" s="147"/>
      <c r="W445" s="147"/>
      <c r="X445" s="147"/>
      <c r="Y445" s="147"/>
      <c r="Z445" s="147"/>
      <c r="AA445" s="147"/>
      <c r="AB445" s="147"/>
      <c r="AC445" s="147"/>
      <c r="AD445" s="147"/>
      <c r="AE445" s="147"/>
      <c r="AF445" s="147"/>
      <c r="AG445" s="147"/>
      <c r="AH445" s="147"/>
      <c r="AI445" s="147"/>
      <c r="AJ445" s="147"/>
      <c r="AK445" s="147"/>
      <c r="AL445" s="147"/>
      <c r="AM445" s="147"/>
      <c r="AN445" s="147"/>
      <c r="AO445" s="147"/>
      <c r="AP445" s="147"/>
      <c r="AQ445" s="147"/>
      <c r="AR445" s="147"/>
      <c r="AS445" s="147"/>
      <c r="AT445" s="147"/>
      <c r="AU445" s="147"/>
      <c r="AV445" s="147"/>
      <c r="AW445" s="147"/>
    </row>
    <row r="446">
      <c r="A446" s="631"/>
      <c r="B446" s="631"/>
      <c r="C446" s="632"/>
      <c r="D446" s="633"/>
      <c r="E446" s="634"/>
      <c r="F446" s="635"/>
      <c r="G446" s="636"/>
      <c r="H446" s="637"/>
      <c r="I446" s="643"/>
      <c r="J446" s="644"/>
      <c r="K446" s="147"/>
      <c r="L446" s="632"/>
      <c r="M446" s="147"/>
      <c r="N446" s="640"/>
      <c r="O446" s="640"/>
      <c r="P446" s="641"/>
      <c r="Q446" s="642"/>
      <c r="R446" s="147"/>
      <c r="S446" s="147"/>
      <c r="T446" s="147"/>
      <c r="U446" s="147"/>
      <c r="V446" s="147"/>
      <c r="W446" s="147"/>
      <c r="X446" s="147"/>
      <c r="Y446" s="147"/>
      <c r="Z446" s="147"/>
      <c r="AA446" s="147"/>
      <c r="AB446" s="147"/>
      <c r="AC446" s="147"/>
      <c r="AD446" s="147"/>
      <c r="AE446" s="147"/>
      <c r="AF446" s="147"/>
      <c r="AG446" s="147"/>
      <c r="AH446" s="147"/>
      <c r="AI446" s="147"/>
      <c r="AJ446" s="147"/>
      <c r="AK446" s="147"/>
      <c r="AL446" s="147"/>
      <c r="AM446" s="147"/>
      <c r="AN446" s="147"/>
      <c r="AO446" s="147"/>
      <c r="AP446" s="147"/>
      <c r="AQ446" s="147"/>
      <c r="AR446" s="147"/>
      <c r="AS446" s="147"/>
      <c r="AT446" s="147"/>
      <c r="AU446" s="147"/>
      <c r="AV446" s="147"/>
      <c r="AW446" s="147"/>
    </row>
    <row r="447">
      <c r="A447" s="631"/>
      <c r="B447" s="631"/>
      <c r="C447" s="632"/>
      <c r="D447" s="633"/>
      <c r="E447" s="634"/>
      <c r="F447" s="635"/>
      <c r="G447" s="636"/>
      <c r="H447" s="637"/>
      <c r="I447" s="643"/>
      <c r="J447" s="644"/>
      <c r="K447" s="147"/>
      <c r="L447" s="632"/>
      <c r="M447" s="147"/>
      <c r="N447" s="640"/>
      <c r="O447" s="640"/>
      <c r="P447" s="641"/>
      <c r="Q447" s="642"/>
      <c r="R447" s="147"/>
      <c r="S447" s="147"/>
      <c r="T447" s="147"/>
      <c r="U447" s="147"/>
      <c r="V447" s="147"/>
      <c r="W447" s="147"/>
      <c r="X447" s="147"/>
      <c r="Y447" s="147"/>
      <c r="Z447" s="147"/>
      <c r="AA447" s="147"/>
      <c r="AB447" s="147"/>
      <c r="AC447" s="147"/>
      <c r="AD447" s="147"/>
      <c r="AE447" s="147"/>
      <c r="AF447" s="147"/>
      <c r="AG447" s="147"/>
      <c r="AH447" s="147"/>
      <c r="AI447" s="147"/>
      <c r="AJ447" s="147"/>
      <c r="AK447" s="147"/>
      <c r="AL447" s="147"/>
      <c r="AM447" s="147"/>
      <c r="AN447" s="147"/>
      <c r="AO447" s="147"/>
      <c r="AP447" s="147"/>
      <c r="AQ447" s="147"/>
      <c r="AR447" s="147"/>
      <c r="AS447" s="147"/>
      <c r="AT447" s="147"/>
      <c r="AU447" s="147"/>
      <c r="AV447" s="147"/>
      <c r="AW447" s="147"/>
    </row>
    <row r="448">
      <c r="A448" s="631"/>
      <c r="B448" s="631"/>
      <c r="C448" s="632"/>
      <c r="D448" s="633"/>
      <c r="E448" s="634"/>
      <c r="F448" s="635"/>
      <c r="G448" s="636"/>
      <c r="H448" s="637"/>
      <c r="I448" s="643"/>
      <c r="J448" s="644"/>
      <c r="K448" s="147"/>
      <c r="L448" s="632"/>
      <c r="M448" s="147"/>
      <c r="N448" s="640"/>
      <c r="O448" s="640"/>
      <c r="P448" s="641"/>
      <c r="Q448" s="642"/>
      <c r="R448" s="147"/>
      <c r="S448" s="147"/>
      <c r="T448" s="147"/>
      <c r="U448" s="147"/>
      <c r="V448" s="147"/>
      <c r="W448" s="147"/>
      <c r="X448" s="147"/>
      <c r="Y448" s="147"/>
      <c r="Z448" s="147"/>
      <c r="AA448" s="147"/>
      <c r="AB448" s="147"/>
      <c r="AC448" s="147"/>
      <c r="AD448" s="147"/>
      <c r="AE448" s="147"/>
      <c r="AF448" s="147"/>
      <c r="AG448" s="147"/>
      <c r="AH448" s="147"/>
      <c r="AI448" s="147"/>
      <c r="AJ448" s="147"/>
      <c r="AK448" s="147"/>
      <c r="AL448" s="147"/>
      <c r="AM448" s="147"/>
      <c r="AN448" s="147"/>
      <c r="AO448" s="147"/>
      <c r="AP448" s="147"/>
      <c r="AQ448" s="147"/>
      <c r="AR448" s="147"/>
      <c r="AS448" s="147"/>
      <c r="AT448" s="147"/>
      <c r="AU448" s="147"/>
      <c r="AV448" s="147"/>
      <c r="AW448" s="147"/>
    </row>
    <row r="449">
      <c r="A449" s="631"/>
      <c r="B449" s="631"/>
      <c r="C449" s="632"/>
      <c r="D449" s="633"/>
      <c r="E449" s="634"/>
      <c r="F449" s="635"/>
      <c r="G449" s="636"/>
      <c r="H449" s="637"/>
      <c r="I449" s="643"/>
      <c r="J449" s="644"/>
      <c r="K449" s="147"/>
      <c r="L449" s="632"/>
      <c r="M449" s="147"/>
      <c r="N449" s="640"/>
      <c r="O449" s="640"/>
      <c r="P449" s="641"/>
      <c r="Q449" s="642"/>
      <c r="R449" s="147"/>
      <c r="S449" s="147"/>
      <c r="T449" s="147"/>
      <c r="U449" s="147"/>
      <c r="V449" s="147"/>
      <c r="W449" s="147"/>
      <c r="X449" s="147"/>
      <c r="Y449" s="147"/>
      <c r="Z449" s="147"/>
      <c r="AA449" s="147"/>
      <c r="AB449" s="147"/>
      <c r="AC449" s="147"/>
      <c r="AD449" s="147"/>
      <c r="AE449" s="147"/>
      <c r="AF449" s="147"/>
      <c r="AG449" s="147"/>
      <c r="AH449" s="147"/>
      <c r="AI449" s="147"/>
      <c r="AJ449" s="147"/>
      <c r="AK449" s="147"/>
      <c r="AL449" s="147"/>
      <c r="AM449" s="147"/>
      <c r="AN449" s="147"/>
      <c r="AO449" s="147"/>
      <c r="AP449" s="147"/>
      <c r="AQ449" s="147"/>
      <c r="AR449" s="147"/>
      <c r="AS449" s="147"/>
      <c r="AT449" s="147"/>
      <c r="AU449" s="147"/>
      <c r="AV449" s="147"/>
      <c r="AW449" s="147"/>
    </row>
    <row r="450">
      <c r="A450" s="631"/>
      <c r="B450" s="631"/>
      <c r="C450" s="632"/>
      <c r="D450" s="633"/>
      <c r="E450" s="634"/>
      <c r="F450" s="635"/>
      <c r="G450" s="636"/>
      <c r="H450" s="637"/>
      <c r="I450" s="643"/>
      <c r="J450" s="644"/>
      <c r="K450" s="147"/>
      <c r="L450" s="632"/>
      <c r="M450" s="147"/>
      <c r="N450" s="640"/>
      <c r="O450" s="640"/>
      <c r="P450" s="641"/>
      <c r="Q450" s="642"/>
      <c r="R450" s="147"/>
      <c r="S450" s="147"/>
      <c r="T450" s="147"/>
      <c r="U450" s="147"/>
      <c r="V450" s="147"/>
      <c r="W450" s="147"/>
      <c r="X450" s="147"/>
      <c r="Y450" s="147"/>
      <c r="Z450" s="147"/>
      <c r="AA450" s="147"/>
      <c r="AB450" s="147"/>
      <c r="AC450" s="147"/>
      <c r="AD450" s="147"/>
      <c r="AE450" s="147"/>
      <c r="AF450" s="147"/>
      <c r="AG450" s="147"/>
      <c r="AH450" s="147"/>
      <c r="AI450" s="147"/>
      <c r="AJ450" s="147"/>
      <c r="AK450" s="147"/>
      <c r="AL450" s="147"/>
      <c r="AM450" s="147"/>
      <c r="AN450" s="147"/>
      <c r="AO450" s="147"/>
      <c r="AP450" s="147"/>
      <c r="AQ450" s="147"/>
      <c r="AR450" s="147"/>
      <c r="AS450" s="147"/>
      <c r="AT450" s="147"/>
      <c r="AU450" s="147"/>
      <c r="AV450" s="147"/>
      <c r="AW450" s="147"/>
    </row>
    <row r="451">
      <c r="A451" s="631"/>
      <c r="B451" s="631"/>
      <c r="C451" s="632"/>
      <c r="D451" s="633"/>
      <c r="E451" s="634"/>
      <c r="F451" s="635"/>
      <c r="G451" s="636"/>
      <c r="H451" s="637"/>
      <c r="I451" s="643"/>
      <c r="J451" s="644"/>
      <c r="K451" s="147"/>
      <c r="L451" s="632"/>
      <c r="M451" s="147"/>
      <c r="N451" s="640"/>
      <c r="O451" s="640"/>
      <c r="P451" s="641"/>
      <c r="Q451" s="642"/>
      <c r="R451" s="147"/>
      <c r="S451" s="147"/>
      <c r="T451" s="147"/>
      <c r="U451" s="147"/>
      <c r="V451" s="147"/>
      <c r="W451" s="147"/>
      <c r="X451" s="147"/>
      <c r="Y451" s="147"/>
      <c r="Z451" s="147"/>
      <c r="AA451" s="147"/>
      <c r="AB451" s="147"/>
      <c r="AC451" s="147"/>
      <c r="AD451" s="147"/>
      <c r="AE451" s="147"/>
      <c r="AF451" s="147"/>
      <c r="AG451" s="147"/>
      <c r="AH451" s="147"/>
      <c r="AI451" s="147"/>
      <c r="AJ451" s="147"/>
      <c r="AK451" s="147"/>
      <c r="AL451" s="147"/>
      <c r="AM451" s="147"/>
      <c r="AN451" s="147"/>
      <c r="AO451" s="147"/>
      <c r="AP451" s="147"/>
      <c r="AQ451" s="147"/>
      <c r="AR451" s="147"/>
      <c r="AS451" s="147"/>
      <c r="AT451" s="147"/>
      <c r="AU451" s="147"/>
      <c r="AV451" s="147"/>
      <c r="AW451" s="147"/>
    </row>
    <row r="452">
      <c r="A452" s="631"/>
      <c r="B452" s="631"/>
      <c r="C452" s="632"/>
      <c r="D452" s="633"/>
      <c r="E452" s="634"/>
      <c r="F452" s="635"/>
      <c r="G452" s="636"/>
      <c r="H452" s="637"/>
      <c r="I452" s="643"/>
      <c r="J452" s="644"/>
      <c r="K452" s="147"/>
      <c r="L452" s="632"/>
      <c r="M452" s="147"/>
      <c r="N452" s="640"/>
      <c r="O452" s="640"/>
      <c r="P452" s="641"/>
      <c r="Q452" s="642"/>
      <c r="R452" s="147"/>
      <c r="S452" s="147"/>
      <c r="T452" s="147"/>
      <c r="U452" s="147"/>
      <c r="V452" s="147"/>
      <c r="W452" s="147"/>
      <c r="X452" s="147"/>
      <c r="Y452" s="147"/>
      <c r="Z452" s="147"/>
      <c r="AA452" s="147"/>
      <c r="AB452" s="147"/>
      <c r="AC452" s="147"/>
      <c r="AD452" s="147"/>
      <c r="AE452" s="147"/>
      <c r="AF452" s="147"/>
      <c r="AG452" s="147"/>
      <c r="AH452" s="147"/>
      <c r="AI452" s="147"/>
      <c r="AJ452" s="147"/>
      <c r="AK452" s="147"/>
      <c r="AL452" s="147"/>
      <c r="AM452" s="147"/>
      <c r="AN452" s="147"/>
      <c r="AO452" s="147"/>
      <c r="AP452" s="147"/>
      <c r="AQ452" s="147"/>
      <c r="AR452" s="147"/>
      <c r="AS452" s="147"/>
      <c r="AT452" s="147"/>
      <c r="AU452" s="147"/>
      <c r="AV452" s="147"/>
      <c r="AW452" s="147"/>
    </row>
    <row r="453">
      <c r="A453" s="631"/>
      <c r="B453" s="631"/>
      <c r="C453" s="632"/>
      <c r="D453" s="633"/>
      <c r="E453" s="634"/>
      <c r="F453" s="635"/>
      <c r="G453" s="636"/>
      <c r="H453" s="637"/>
      <c r="I453" s="643"/>
      <c r="J453" s="644"/>
      <c r="K453" s="147"/>
      <c r="L453" s="632"/>
      <c r="M453" s="147"/>
      <c r="N453" s="640"/>
      <c r="O453" s="640"/>
      <c r="P453" s="641"/>
      <c r="Q453" s="642"/>
      <c r="R453" s="147"/>
      <c r="S453" s="147"/>
      <c r="T453" s="147"/>
      <c r="U453" s="147"/>
      <c r="V453" s="147"/>
      <c r="W453" s="147"/>
      <c r="X453" s="147"/>
      <c r="Y453" s="147"/>
      <c r="Z453" s="147"/>
      <c r="AA453" s="147"/>
      <c r="AB453" s="147"/>
      <c r="AC453" s="147"/>
      <c r="AD453" s="147"/>
      <c r="AE453" s="147"/>
      <c r="AF453" s="147"/>
      <c r="AG453" s="147"/>
      <c r="AH453" s="147"/>
      <c r="AI453" s="147"/>
      <c r="AJ453" s="147"/>
      <c r="AK453" s="147"/>
      <c r="AL453" s="147"/>
      <c r="AM453" s="147"/>
      <c r="AN453" s="147"/>
      <c r="AO453" s="147"/>
      <c r="AP453" s="147"/>
      <c r="AQ453" s="147"/>
      <c r="AR453" s="147"/>
      <c r="AS453" s="147"/>
      <c r="AT453" s="147"/>
      <c r="AU453" s="147"/>
      <c r="AV453" s="147"/>
      <c r="AW453" s="147"/>
    </row>
    <row r="454">
      <c r="A454" s="631"/>
      <c r="B454" s="631"/>
      <c r="C454" s="632"/>
      <c r="D454" s="633"/>
      <c r="E454" s="634"/>
      <c r="F454" s="635"/>
      <c r="G454" s="636"/>
      <c r="H454" s="637"/>
      <c r="I454" s="643"/>
      <c r="J454" s="644"/>
      <c r="K454" s="147"/>
      <c r="L454" s="632"/>
      <c r="M454" s="147"/>
      <c r="N454" s="640"/>
      <c r="O454" s="640"/>
      <c r="P454" s="641"/>
      <c r="Q454" s="642"/>
      <c r="R454" s="147"/>
      <c r="S454" s="147"/>
      <c r="T454" s="147"/>
      <c r="U454" s="147"/>
      <c r="V454" s="147"/>
      <c r="W454" s="147"/>
      <c r="X454" s="147"/>
      <c r="Y454" s="147"/>
      <c r="Z454" s="147"/>
      <c r="AA454" s="147"/>
      <c r="AB454" s="147"/>
      <c r="AC454" s="147"/>
      <c r="AD454" s="147"/>
      <c r="AE454" s="147"/>
      <c r="AF454" s="147"/>
      <c r="AG454" s="147"/>
      <c r="AH454" s="147"/>
      <c r="AI454" s="147"/>
      <c r="AJ454" s="147"/>
      <c r="AK454" s="147"/>
      <c r="AL454" s="147"/>
      <c r="AM454" s="147"/>
      <c r="AN454" s="147"/>
      <c r="AO454" s="147"/>
      <c r="AP454" s="147"/>
      <c r="AQ454" s="147"/>
      <c r="AR454" s="147"/>
      <c r="AS454" s="147"/>
      <c r="AT454" s="147"/>
      <c r="AU454" s="147"/>
      <c r="AV454" s="147"/>
      <c r="AW454" s="147"/>
    </row>
    <row r="455">
      <c r="A455" s="631"/>
      <c r="B455" s="631"/>
      <c r="C455" s="632"/>
      <c r="D455" s="633"/>
      <c r="E455" s="634"/>
      <c r="F455" s="635"/>
      <c r="G455" s="636"/>
      <c r="H455" s="637"/>
      <c r="I455" s="643"/>
      <c r="J455" s="644"/>
      <c r="K455" s="147"/>
      <c r="L455" s="632"/>
      <c r="M455" s="147"/>
      <c r="N455" s="640"/>
      <c r="O455" s="640"/>
      <c r="P455" s="641"/>
      <c r="Q455" s="642"/>
      <c r="R455" s="147"/>
      <c r="S455" s="147"/>
      <c r="T455" s="147"/>
      <c r="U455" s="147"/>
      <c r="V455" s="147"/>
      <c r="W455" s="147"/>
      <c r="X455" s="147"/>
      <c r="Y455" s="147"/>
      <c r="Z455" s="147"/>
      <c r="AA455" s="147"/>
      <c r="AB455" s="147"/>
      <c r="AC455" s="147"/>
      <c r="AD455" s="147"/>
      <c r="AE455" s="147"/>
      <c r="AF455" s="147"/>
      <c r="AG455" s="147"/>
      <c r="AH455" s="147"/>
      <c r="AI455" s="147"/>
      <c r="AJ455" s="147"/>
      <c r="AK455" s="147"/>
      <c r="AL455" s="147"/>
      <c r="AM455" s="147"/>
      <c r="AN455" s="147"/>
      <c r="AO455" s="147"/>
      <c r="AP455" s="147"/>
      <c r="AQ455" s="147"/>
      <c r="AR455" s="147"/>
      <c r="AS455" s="147"/>
      <c r="AT455" s="147"/>
      <c r="AU455" s="147"/>
      <c r="AV455" s="147"/>
      <c r="AW455" s="147"/>
    </row>
    <row r="456">
      <c r="A456" s="631"/>
      <c r="B456" s="631"/>
      <c r="C456" s="632"/>
      <c r="D456" s="633"/>
      <c r="E456" s="634"/>
      <c r="F456" s="635"/>
      <c r="G456" s="636"/>
      <c r="H456" s="637"/>
      <c r="I456" s="643"/>
      <c r="J456" s="644"/>
      <c r="K456" s="147"/>
      <c r="L456" s="632"/>
      <c r="M456" s="147"/>
      <c r="N456" s="640"/>
      <c r="O456" s="640"/>
      <c r="P456" s="641"/>
      <c r="Q456" s="642"/>
      <c r="R456" s="147"/>
      <c r="S456" s="147"/>
      <c r="T456" s="147"/>
      <c r="U456" s="147"/>
      <c r="V456" s="147"/>
      <c r="W456" s="147"/>
      <c r="X456" s="147"/>
      <c r="Y456" s="147"/>
      <c r="Z456" s="147"/>
      <c r="AA456" s="147"/>
      <c r="AB456" s="147"/>
      <c r="AC456" s="147"/>
      <c r="AD456" s="147"/>
      <c r="AE456" s="147"/>
      <c r="AF456" s="147"/>
      <c r="AG456" s="147"/>
      <c r="AH456" s="147"/>
      <c r="AI456" s="147"/>
      <c r="AJ456" s="147"/>
      <c r="AK456" s="147"/>
      <c r="AL456" s="147"/>
      <c r="AM456" s="147"/>
      <c r="AN456" s="147"/>
      <c r="AO456" s="147"/>
      <c r="AP456" s="147"/>
      <c r="AQ456" s="147"/>
      <c r="AR456" s="147"/>
      <c r="AS456" s="147"/>
      <c r="AT456" s="147"/>
      <c r="AU456" s="147"/>
      <c r="AV456" s="147"/>
      <c r="AW456" s="147"/>
    </row>
    <row r="457">
      <c r="A457" s="631"/>
      <c r="B457" s="631"/>
      <c r="C457" s="632"/>
      <c r="D457" s="633"/>
      <c r="E457" s="634"/>
      <c r="F457" s="635"/>
      <c r="G457" s="636"/>
      <c r="H457" s="637"/>
      <c r="I457" s="643"/>
      <c r="J457" s="644"/>
      <c r="K457" s="147"/>
      <c r="L457" s="632"/>
      <c r="M457" s="147"/>
      <c r="N457" s="640"/>
      <c r="O457" s="640"/>
      <c r="P457" s="641"/>
      <c r="Q457" s="642"/>
      <c r="R457" s="147"/>
      <c r="S457" s="147"/>
      <c r="T457" s="147"/>
      <c r="U457" s="147"/>
      <c r="V457" s="147"/>
      <c r="W457" s="147"/>
      <c r="X457" s="147"/>
      <c r="Y457" s="147"/>
      <c r="Z457" s="147"/>
      <c r="AA457" s="147"/>
      <c r="AB457" s="147"/>
      <c r="AC457" s="147"/>
      <c r="AD457" s="147"/>
      <c r="AE457" s="147"/>
      <c r="AF457" s="147"/>
      <c r="AG457" s="147"/>
      <c r="AH457" s="147"/>
      <c r="AI457" s="147"/>
      <c r="AJ457" s="147"/>
      <c r="AK457" s="147"/>
      <c r="AL457" s="147"/>
      <c r="AM457" s="147"/>
      <c r="AN457" s="147"/>
      <c r="AO457" s="147"/>
      <c r="AP457" s="147"/>
      <c r="AQ457" s="147"/>
      <c r="AR457" s="147"/>
      <c r="AS457" s="147"/>
      <c r="AT457" s="147"/>
      <c r="AU457" s="147"/>
      <c r="AV457" s="147"/>
      <c r="AW457" s="147"/>
    </row>
    <row r="458">
      <c r="A458" s="631"/>
      <c r="B458" s="631"/>
      <c r="C458" s="632"/>
      <c r="D458" s="633"/>
      <c r="E458" s="634"/>
      <c r="F458" s="635"/>
      <c r="G458" s="636"/>
      <c r="H458" s="637"/>
      <c r="I458" s="643"/>
      <c r="J458" s="644"/>
      <c r="K458" s="147"/>
      <c r="L458" s="632"/>
      <c r="M458" s="147"/>
      <c r="N458" s="640"/>
      <c r="O458" s="640"/>
      <c r="P458" s="641"/>
      <c r="Q458" s="642"/>
      <c r="R458" s="147"/>
      <c r="S458" s="147"/>
      <c r="T458" s="147"/>
      <c r="U458" s="147"/>
      <c r="V458" s="147"/>
      <c r="W458" s="147"/>
      <c r="X458" s="147"/>
      <c r="Y458" s="147"/>
      <c r="Z458" s="147"/>
      <c r="AA458" s="147"/>
      <c r="AB458" s="147"/>
      <c r="AC458" s="147"/>
      <c r="AD458" s="147"/>
      <c r="AE458" s="147"/>
      <c r="AF458" s="147"/>
      <c r="AG458" s="147"/>
      <c r="AH458" s="147"/>
      <c r="AI458" s="147"/>
      <c r="AJ458" s="147"/>
      <c r="AK458" s="147"/>
      <c r="AL458" s="147"/>
      <c r="AM458" s="147"/>
      <c r="AN458" s="147"/>
      <c r="AO458" s="147"/>
      <c r="AP458" s="147"/>
      <c r="AQ458" s="147"/>
      <c r="AR458" s="147"/>
      <c r="AS458" s="147"/>
      <c r="AT458" s="147"/>
      <c r="AU458" s="147"/>
      <c r="AV458" s="147"/>
      <c r="AW458" s="147"/>
    </row>
    <row r="459">
      <c r="A459" s="631"/>
      <c r="B459" s="631"/>
      <c r="C459" s="632"/>
      <c r="D459" s="633"/>
      <c r="E459" s="634"/>
      <c r="F459" s="635"/>
      <c r="G459" s="636"/>
      <c r="H459" s="637"/>
      <c r="I459" s="643"/>
      <c r="J459" s="644"/>
      <c r="K459" s="147"/>
      <c r="L459" s="632"/>
      <c r="M459" s="147"/>
      <c r="N459" s="640"/>
      <c r="O459" s="640"/>
      <c r="P459" s="641"/>
      <c r="Q459" s="642"/>
      <c r="R459" s="147"/>
      <c r="S459" s="147"/>
      <c r="T459" s="147"/>
      <c r="U459" s="147"/>
      <c r="V459" s="147"/>
      <c r="W459" s="147"/>
      <c r="X459" s="147"/>
      <c r="Y459" s="147"/>
      <c r="Z459" s="147"/>
      <c r="AA459" s="147"/>
      <c r="AB459" s="147"/>
      <c r="AC459" s="147"/>
      <c r="AD459" s="147"/>
      <c r="AE459" s="147"/>
      <c r="AF459" s="147"/>
      <c r="AG459" s="147"/>
      <c r="AH459" s="147"/>
      <c r="AI459" s="147"/>
      <c r="AJ459" s="147"/>
      <c r="AK459" s="147"/>
      <c r="AL459" s="147"/>
      <c r="AM459" s="147"/>
      <c r="AN459" s="147"/>
      <c r="AO459" s="147"/>
      <c r="AP459" s="147"/>
      <c r="AQ459" s="147"/>
      <c r="AR459" s="147"/>
      <c r="AS459" s="147"/>
      <c r="AT459" s="147"/>
      <c r="AU459" s="147"/>
      <c r="AV459" s="147"/>
      <c r="AW459" s="147"/>
    </row>
    <row r="460">
      <c r="A460" s="631"/>
      <c r="B460" s="631"/>
      <c r="C460" s="632"/>
      <c r="D460" s="633"/>
      <c r="E460" s="634"/>
      <c r="F460" s="635"/>
      <c r="G460" s="636"/>
      <c r="H460" s="637"/>
      <c r="I460" s="643"/>
      <c r="J460" s="644"/>
      <c r="K460" s="147"/>
      <c r="L460" s="632"/>
      <c r="M460" s="147"/>
      <c r="N460" s="640"/>
      <c r="O460" s="640"/>
      <c r="P460" s="641"/>
      <c r="Q460" s="642"/>
      <c r="R460" s="147"/>
      <c r="S460" s="147"/>
      <c r="T460" s="147"/>
      <c r="U460" s="147"/>
      <c r="V460" s="147"/>
      <c r="W460" s="147"/>
      <c r="X460" s="147"/>
      <c r="Y460" s="147"/>
      <c r="Z460" s="147"/>
      <c r="AA460" s="147"/>
      <c r="AB460" s="147"/>
      <c r="AC460" s="147"/>
      <c r="AD460" s="147"/>
      <c r="AE460" s="147"/>
      <c r="AF460" s="147"/>
      <c r="AG460" s="147"/>
      <c r="AH460" s="147"/>
      <c r="AI460" s="147"/>
      <c r="AJ460" s="147"/>
      <c r="AK460" s="147"/>
      <c r="AL460" s="147"/>
      <c r="AM460" s="147"/>
      <c r="AN460" s="147"/>
      <c r="AO460" s="147"/>
      <c r="AP460" s="147"/>
      <c r="AQ460" s="147"/>
      <c r="AR460" s="147"/>
      <c r="AS460" s="147"/>
      <c r="AT460" s="147"/>
      <c r="AU460" s="147"/>
      <c r="AV460" s="147"/>
      <c r="AW460" s="147"/>
    </row>
    <row r="461">
      <c r="A461" s="631"/>
      <c r="B461" s="631"/>
      <c r="C461" s="632"/>
      <c r="D461" s="633"/>
      <c r="E461" s="634"/>
      <c r="F461" s="635"/>
      <c r="G461" s="636"/>
      <c r="H461" s="637"/>
      <c r="I461" s="643"/>
      <c r="J461" s="644"/>
      <c r="K461" s="147"/>
      <c r="L461" s="632"/>
      <c r="M461" s="147"/>
      <c r="N461" s="640"/>
      <c r="O461" s="640"/>
      <c r="P461" s="641"/>
      <c r="Q461" s="642"/>
      <c r="R461" s="147"/>
      <c r="S461" s="147"/>
      <c r="T461" s="147"/>
      <c r="U461" s="147"/>
      <c r="V461" s="147"/>
      <c r="W461" s="147"/>
      <c r="X461" s="147"/>
      <c r="Y461" s="147"/>
      <c r="Z461" s="147"/>
      <c r="AA461" s="147"/>
      <c r="AB461" s="147"/>
      <c r="AC461" s="147"/>
      <c r="AD461" s="147"/>
      <c r="AE461" s="147"/>
      <c r="AF461" s="147"/>
      <c r="AG461" s="147"/>
      <c r="AH461" s="147"/>
      <c r="AI461" s="147"/>
      <c r="AJ461" s="147"/>
      <c r="AK461" s="147"/>
      <c r="AL461" s="147"/>
      <c r="AM461" s="147"/>
      <c r="AN461" s="147"/>
      <c r="AO461" s="147"/>
      <c r="AP461" s="147"/>
      <c r="AQ461" s="147"/>
      <c r="AR461" s="147"/>
      <c r="AS461" s="147"/>
      <c r="AT461" s="147"/>
      <c r="AU461" s="147"/>
      <c r="AV461" s="147"/>
      <c r="AW461" s="147"/>
    </row>
    <row r="462">
      <c r="A462" s="631"/>
      <c r="B462" s="631"/>
      <c r="C462" s="632"/>
      <c r="D462" s="633"/>
      <c r="E462" s="634"/>
      <c r="F462" s="635"/>
      <c r="G462" s="636"/>
      <c r="H462" s="637"/>
      <c r="I462" s="643"/>
      <c r="J462" s="644"/>
      <c r="K462" s="147"/>
      <c r="L462" s="632"/>
      <c r="M462" s="147"/>
      <c r="N462" s="640"/>
      <c r="O462" s="640"/>
      <c r="P462" s="641"/>
      <c r="Q462" s="642"/>
      <c r="R462" s="147"/>
      <c r="S462" s="147"/>
      <c r="T462" s="147"/>
      <c r="U462" s="147"/>
      <c r="V462" s="147"/>
      <c r="W462" s="147"/>
      <c r="X462" s="147"/>
      <c r="Y462" s="147"/>
      <c r="Z462" s="147"/>
      <c r="AA462" s="147"/>
      <c r="AB462" s="147"/>
      <c r="AC462" s="147"/>
      <c r="AD462" s="147"/>
      <c r="AE462" s="147"/>
      <c r="AF462" s="147"/>
      <c r="AG462" s="147"/>
      <c r="AH462" s="147"/>
      <c r="AI462" s="147"/>
      <c r="AJ462" s="147"/>
      <c r="AK462" s="147"/>
      <c r="AL462" s="147"/>
      <c r="AM462" s="147"/>
      <c r="AN462" s="147"/>
      <c r="AO462" s="147"/>
      <c r="AP462" s="147"/>
      <c r="AQ462" s="147"/>
      <c r="AR462" s="147"/>
      <c r="AS462" s="147"/>
      <c r="AT462" s="147"/>
      <c r="AU462" s="147"/>
      <c r="AV462" s="147"/>
      <c r="AW462" s="147"/>
    </row>
    <row r="463">
      <c r="A463" s="631"/>
      <c r="B463" s="631"/>
      <c r="C463" s="632"/>
      <c r="D463" s="633"/>
      <c r="E463" s="634"/>
      <c r="F463" s="635"/>
      <c r="G463" s="636"/>
      <c r="H463" s="637"/>
      <c r="I463" s="643"/>
      <c r="J463" s="644"/>
      <c r="K463" s="147"/>
      <c r="L463" s="632"/>
      <c r="M463" s="147"/>
      <c r="N463" s="640"/>
      <c r="O463" s="640"/>
      <c r="P463" s="641"/>
      <c r="Q463" s="642"/>
      <c r="R463" s="147"/>
      <c r="S463" s="147"/>
      <c r="T463" s="147"/>
      <c r="U463" s="147"/>
      <c r="V463" s="147"/>
      <c r="W463" s="147"/>
      <c r="X463" s="147"/>
      <c r="Y463" s="147"/>
      <c r="Z463" s="147"/>
      <c r="AA463" s="147"/>
      <c r="AB463" s="147"/>
      <c r="AC463" s="147"/>
      <c r="AD463" s="147"/>
      <c r="AE463" s="147"/>
      <c r="AF463" s="147"/>
      <c r="AG463" s="147"/>
      <c r="AH463" s="147"/>
      <c r="AI463" s="147"/>
      <c r="AJ463" s="147"/>
      <c r="AK463" s="147"/>
      <c r="AL463" s="147"/>
      <c r="AM463" s="147"/>
      <c r="AN463" s="147"/>
      <c r="AO463" s="147"/>
      <c r="AP463" s="147"/>
      <c r="AQ463" s="147"/>
      <c r="AR463" s="147"/>
      <c r="AS463" s="147"/>
      <c r="AT463" s="147"/>
      <c r="AU463" s="147"/>
      <c r="AV463" s="147"/>
      <c r="AW463" s="147"/>
    </row>
    <row r="464">
      <c r="A464" s="631"/>
      <c r="B464" s="631"/>
      <c r="C464" s="632"/>
      <c r="D464" s="633"/>
      <c r="E464" s="634"/>
      <c r="F464" s="635"/>
      <c r="G464" s="636"/>
      <c r="H464" s="637"/>
      <c r="I464" s="643"/>
      <c r="J464" s="644"/>
      <c r="K464" s="147"/>
      <c r="L464" s="632"/>
      <c r="M464" s="147"/>
      <c r="N464" s="640"/>
      <c r="O464" s="640"/>
      <c r="P464" s="641"/>
      <c r="Q464" s="642"/>
      <c r="R464" s="147"/>
      <c r="S464" s="147"/>
      <c r="T464" s="147"/>
      <c r="U464" s="147"/>
      <c r="V464" s="147"/>
      <c r="W464" s="147"/>
      <c r="X464" s="147"/>
      <c r="Y464" s="147"/>
      <c r="Z464" s="147"/>
      <c r="AA464" s="147"/>
      <c r="AB464" s="147"/>
      <c r="AC464" s="147"/>
      <c r="AD464" s="147"/>
      <c r="AE464" s="147"/>
      <c r="AF464" s="147"/>
      <c r="AG464" s="147"/>
      <c r="AH464" s="147"/>
      <c r="AI464" s="147"/>
      <c r="AJ464" s="147"/>
      <c r="AK464" s="147"/>
      <c r="AL464" s="147"/>
      <c r="AM464" s="147"/>
      <c r="AN464" s="147"/>
      <c r="AO464" s="147"/>
      <c r="AP464" s="147"/>
      <c r="AQ464" s="147"/>
      <c r="AR464" s="147"/>
      <c r="AS464" s="147"/>
      <c r="AT464" s="147"/>
      <c r="AU464" s="147"/>
      <c r="AV464" s="147"/>
      <c r="AW464" s="147"/>
    </row>
    <row r="465">
      <c r="A465" s="631"/>
      <c r="B465" s="631"/>
      <c r="C465" s="632"/>
      <c r="D465" s="633"/>
      <c r="E465" s="634"/>
      <c r="F465" s="635"/>
      <c r="G465" s="636"/>
      <c r="H465" s="637"/>
      <c r="I465" s="643"/>
      <c r="J465" s="644"/>
      <c r="K465" s="147"/>
      <c r="L465" s="632"/>
      <c r="M465" s="147"/>
      <c r="N465" s="640"/>
      <c r="O465" s="640"/>
      <c r="P465" s="641"/>
      <c r="Q465" s="642"/>
      <c r="R465" s="147"/>
      <c r="S465" s="147"/>
      <c r="T465" s="147"/>
      <c r="U465" s="147"/>
      <c r="V465" s="147"/>
      <c r="W465" s="147"/>
      <c r="X465" s="147"/>
      <c r="Y465" s="147"/>
      <c r="Z465" s="147"/>
      <c r="AA465" s="147"/>
      <c r="AB465" s="147"/>
      <c r="AC465" s="147"/>
      <c r="AD465" s="147"/>
      <c r="AE465" s="147"/>
      <c r="AF465" s="147"/>
      <c r="AG465" s="147"/>
      <c r="AH465" s="147"/>
      <c r="AI465" s="147"/>
      <c r="AJ465" s="147"/>
      <c r="AK465" s="147"/>
      <c r="AL465" s="147"/>
      <c r="AM465" s="147"/>
      <c r="AN465" s="147"/>
      <c r="AO465" s="147"/>
      <c r="AP465" s="147"/>
      <c r="AQ465" s="147"/>
      <c r="AR465" s="147"/>
      <c r="AS465" s="147"/>
      <c r="AT465" s="147"/>
      <c r="AU465" s="147"/>
      <c r="AV465" s="147"/>
      <c r="AW465" s="147"/>
    </row>
    <row r="466">
      <c r="A466" s="631"/>
      <c r="B466" s="631"/>
      <c r="C466" s="632"/>
      <c r="D466" s="633"/>
      <c r="E466" s="634"/>
      <c r="F466" s="635"/>
      <c r="G466" s="636"/>
      <c r="H466" s="637"/>
      <c r="I466" s="643"/>
      <c r="J466" s="644"/>
      <c r="K466" s="147"/>
      <c r="L466" s="632"/>
      <c r="M466" s="147"/>
      <c r="N466" s="640"/>
      <c r="O466" s="640"/>
      <c r="P466" s="641"/>
      <c r="Q466" s="642"/>
      <c r="R466" s="147"/>
      <c r="S466" s="147"/>
      <c r="T466" s="147"/>
      <c r="U466" s="147"/>
      <c r="V466" s="147"/>
      <c r="W466" s="147"/>
      <c r="X466" s="147"/>
      <c r="Y466" s="147"/>
      <c r="Z466" s="147"/>
      <c r="AA466" s="147"/>
      <c r="AB466" s="147"/>
      <c r="AC466" s="147"/>
      <c r="AD466" s="147"/>
      <c r="AE466" s="147"/>
      <c r="AF466" s="147"/>
      <c r="AG466" s="147"/>
      <c r="AH466" s="147"/>
      <c r="AI466" s="147"/>
      <c r="AJ466" s="147"/>
      <c r="AK466" s="147"/>
      <c r="AL466" s="147"/>
      <c r="AM466" s="147"/>
      <c r="AN466" s="147"/>
      <c r="AO466" s="147"/>
      <c r="AP466" s="147"/>
      <c r="AQ466" s="147"/>
      <c r="AR466" s="147"/>
      <c r="AS466" s="147"/>
      <c r="AT466" s="147"/>
      <c r="AU466" s="147"/>
      <c r="AV466" s="147"/>
      <c r="AW466" s="147"/>
    </row>
    <row r="467">
      <c r="A467" s="631"/>
      <c r="B467" s="631"/>
      <c r="C467" s="632"/>
      <c r="D467" s="633"/>
      <c r="E467" s="634"/>
      <c r="F467" s="635"/>
      <c r="G467" s="636"/>
      <c r="H467" s="637"/>
      <c r="I467" s="643"/>
      <c r="J467" s="644"/>
      <c r="K467" s="147"/>
      <c r="L467" s="632"/>
      <c r="M467" s="147"/>
      <c r="N467" s="640"/>
      <c r="O467" s="640"/>
      <c r="P467" s="641"/>
      <c r="Q467" s="642"/>
      <c r="R467" s="147"/>
      <c r="S467" s="147"/>
      <c r="T467" s="147"/>
      <c r="U467" s="147"/>
      <c r="V467" s="147"/>
      <c r="W467" s="147"/>
      <c r="X467" s="147"/>
      <c r="Y467" s="147"/>
      <c r="Z467" s="147"/>
      <c r="AA467" s="147"/>
      <c r="AB467" s="147"/>
      <c r="AC467" s="147"/>
      <c r="AD467" s="147"/>
      <c r="AE467" s="147"/>
      <c r="AF467" s="147"/>
      <c r="AG467" s="147"/>
      <c r="AH467" s="147"/>
      <c r="AI467" s="147"/>
      <c r="AJ467" s="147"/>
      <c r="AK467" s="147"/>
      <c r="AL467" s="147"/>
      <c r="AM467" s="147"/>
      <c r="AN467" s="147"/>
      <c r="AO467" s="147"/>
      <c r="AP467" s="147"/>
      <c r="AQ467" s="147"/>
      <c r="AR467" s="147"/>
      <c r="AS467" s="147"/>
      <c r="AT467" s="147"/>
      <c r="AU467" s="147"/>
      <c r="AV467" s="147"/>
      <c r="AW467" s="147"/>
    </row>
    <row r="468">
      <c r="A468" s="631"/>
      <c r="B468" s="631"/>
      <c r="C468" s="632"/>
      <c r="D468" s="633"/>
      <c r="E468" s="634"/>
      <c r="F468" s="635"/>
      <c r="G468" s="636"/>
      <c r="H468" s="637"/>
      <c r="I468" s="643"/>
      <c r="J468" s="644"/>
      <c r="K468" s="147"/>
      <c r="L468" s="632"/>
      <c r="M468" s="147"/>
      <c r="N468" s="640"/>
      <c r="O468" s="640"/>
      <c r="P468" s="641"/>
      <c r="Q468" s="642"/>
      <c r="R468" s="147"/>
      <c r="S468" s="147"/>
      <c r="T468" s="147"/>
      <c r="U468" s="147"/>
      <c r="V468" s="147"/>
      <c r="W468" s="147"/>
      <c r="X468" s="147"/>
      <c r="Y468" s="147"/>
      <c r="Z468" s="147"/>
      <c r="AA468" s="147"/>
      <c r="AB468" s="147"/>
      <c r="AC468" s="147"/>
      <c r="AD468" s="147"/>
      <c r="AE468" s="147"/>
      <c r="AF468" s="147"/>
      <c r="AG468" s="147"/>
      <c r="AH468" s="147"/>
      <c r="AI468" s="147"/>
      <c r="AJ468" s="147"/>
      <c r="AK468" s="147"/>
      <c r="AL468" s="147"/>
      <c r="AM468" s="147"/>
      <c r="AN468" s="147"/>
      <c r="AO468" s="147"/>
      <c r="AP468" s="147"/>
      <c r="AQ468" s="147"/>
      <c r="AR468" s="147"/>
      <c r="AS468" s="147"/>
      <c r="AT468" s="147"/>
      <c r="AU468" s="147"/>
      <c r="AV468" s="147"/>
      <c r="AW468" s="147"/>
    </row>
    <row r="469">
      <c r="A469" s="631"/>
      <c r="B469" s="631"/>
      <c r="C469" s="632"/>
      <c r="D469" s="633"/>
      <c r="E469" s="634"/>
      <c r="F469" s="635"/>
      <c r="G469" s="636"/>
      <c r="H469" s="637"/>
      <c r="I469" s="643"/>
      <c r="J469" s="644"/>
      <c r="K469" s="147"/>
      <c r="L469" s="632"/>
      <c r="M469" s="147"/>
      <c r="N469" s="640"/>
      <c r="O469" s="640"/>
      <c r="P469" s="641"/>
      <c r="Q469" s="642"/>
      <c r="R469" s="147"/>
      <c r="S469" s="147"/>
      <c r="T469" s="147"/>
      <c r="U469" s="147"/>
      <c r="V469" s="147"/>
      <c r="W469" s="147"/>
      <c r="X469" s="147"/>
      <c r="Y469" s="147"/>
      <c r="Z469" s="147"/>
      <c r="AA469" s="147"/>
      <c r="AB469" s="147"/>
      <c r="AC469" s="147"/>
      <c r="AD469" s="147"/>
      <c r="AE469" s="147"/>
      <c r="AF469" s="147"/>
      <c r="AG469" s="147"/>
      <c r="AH469" s="147"/>
      <c r="AI469" s="147"/>
      <c r="AJ469" s="147"/>
      <c r="AK469" s="147"/>
      <c r="AL469" s="147"/>
      <c r="AM469" s="147"/>
      <c r="AN469" s="147"/>
      <c r="AO469" s="147"/>
      <c r="AP469" s="147"/>
      <c r="AQ469" s="147"/>
      <c r="AR469" s="147"/>
      <c r="AS469" s="147"/>
      <c r="AT469" s="147"/>
      <c r="AU469" s="147"/>
      <c r="AV469" s="147"/>
      <c r="AW469" s="147"/>
    </row>
    <row r="470">
      <c r="A470" s="631"/>
      <c r="B470" s="631"/>
      <c r="C470" s="632"/>
      <c r="D470" s="633"/>
      <c r="E470" s="634"/>
      <c r="F470" s="635"/>
      <c r="G470" s="636"/>
      <c r="H470" s="637"/>
      <c r="I470" s="643"/>
      <c r="J470" s="644"/>
      <c r="K470" s="147"/>
      <c r="L470" s="632"/>
      <c r="M470" s="147"/>
      <c r="N470" s="640"/>
      <c r="O470" s="640"/>
      <c r="P470" s="641"/>
      <c r="Q470" s="642"/>
      <c r="R470" s="147"/>
      <c r="S470" s="147"/>
      <c r="T470" s="147"/>
      <c r="U470" s="147"/>
      <c r="V470" s="147"/>
      <c r="W470" s="147"/>
      <c r="X470" s="147"/>
      <c r="Y470" s="147"/>
      <c r="Z470" s="147"/>
      <c r="AA470" s="147"/>
      <c r="AB470" s="147"/>
      <c r="AC470" s="147"/>
      <c r="AD470" s="147"/>
      <c r="AE470" s="147"/>
      <c r="AF470" s="147"/>
      <c r="AG470" s="147"/>
      <c r="AH470" s="147"/>
      <c r="AI470" s="147"/>
      <c r="AJ470" s="147"/>
      <c r="AK470" s="147"/>
      <c r="AL470" s="147"/>
      <c r="AM470" s="147"/>
      <c r="AN470" s="147"/>
      <c r="AO470" s="147"/>
      <c r="AP470" s="147"/>
      <c r="AQ470" s="147"/>
      <c r="AR470" s="147"/>
      <c r="AS470" s="147"/>
      <c r="AT470" s="147"/>
      <c r="AU470" s="147"/>
      <c r="AV470" s="147"/>
      <c r="AW470" s="147"/>
    </row>
    <row r="471">
      <c r="A471" s="631"/>
      <c r="B471" s="631"/>
      <c r="C471" s="632"/>
      <c r="D471" s="633"/>
      <c r="E471" s="634"/>
      <c r="F471" s="635"/>
      <c r="G471" s="636"/>
      <c r="H471" s="637"/>
      <c r="I471" s="643"/>
      <c r="J471" s="644"/>
      <c r="K471" s="147"/>
      <c r="L471" s="632"/>
      <c r="M471" s="147"/>
      <c r="N471" s="640"/>
      <c r="O471" s="640"/>
      <c r="P471" s="641"/>
      <c r="Q471" s="642"/>
      <c r="R471" s="147"/>
      <c r="S471" s="147"/>
      <c r="T471" s="147"/>
      <c r="U471" s="147"/>
      <c r="V471" s="147"/>
      <c r="W471" s="147"/>
      <c r="X471" s="147"/>
      <c r="Y471" s="147"/>
      <c r="Z471" s="147"/>
      <c r="AA471" s="147"/>
      <c r="AB471" s="147"/>
      <c r="AC471" s="147"/>
      <c r="AD471" s="147"/>
      <c r="AE471" s="147"/>
      <c r="AF471" s="147"/>
      <c r="AG471" s="147"/>
      <c r="AH471" s="147"/>
      <c r="AI471" s="147"/>
      <c r="AJ471" s="147"/>
      <c r="AK471" s="147"/>
      <c r="AL471" s="147"/>
      <c r="AM471" s="147"/>
      <c r="AN471" s="147"/>
      <c r="AO471" s="147"/>
      <c r="AP471" s="147"/>
      <c r="AQ471" s="147"/>
      <c r="AR471" s="147"/>
      <c r="AS471" s="147"/>
      <c r="AT471" s="147"/>
      <c r="AU471" s="147"/>
      <c r="AV471" s="147"/>
      <c r="AW471" s="147"/>
    </row>
    <row r="472">
      <c r="A472" s="631"/>
      <c r="B472" s="631"/>
      <c r="C472" s="632"/>
      <c r="D472" s="633"/>
      <c r="E472" s="634"/>
      <c r="F472" s="635"/>
      <c r="G472" s="636"/>
      <c r="H472" s="637"/>
      <c r="I472" s="643"/>
      <c r="J472" s="644"/>
      <c r="K472" s="147"/>
      <c r="L472" s="632"/>
      <c r="M472" s="147"/>
      <c r="N472" s="640"/>
      <c r="O472" s="640"/>
      <c r="P472" s="641"/>
      <c r="Q472" s="642"/>
      <c r="R472" s="147"/>
      <c r="S472" s="147"/>
      <c r="T472" s="147"/>
      <c r="U472" s="147"/>
      <c r="V472" s="147"/>
      <c r="W472" s="147"/>
      <c r="X472" s="147"/>
      <c r="Y472" s="147"/>
      <c r="Z472" s="147"/>
      <c r="AA472" s="147"/>
      <c r="AB472" s="147"/>
      <c r="AC472" s="147"/>
      <c r="AD472" s="147"/>
      <c r="AE472" s="147"/>
      <c r="AF472" s="147"/>
      <c r="AG472" s="147"/>
      <c r="AH472" s="147"/>
      <c r="AI472" s="147"/>
      <c r="AJ472" s="147"/>
      <c r="AK472" s="147"/>
      <c r="AL472" s="147"/>
      <c r="AM472" s="147"/>
      <c r="AN472" s="147"/>
      <c r="AO472" s="147"/>
      <c r="AP472" s="147"/>
      <c r="AQ472" s="147"/>
      <c r="AR472" s="147"/>
      <c r="AS472" s="147"/>
      <c r="AT472" s="147"/>
      <c r="AU472" s="147"/>
      <c r="AV472" s="147"/>
      <c r="AW472" s="147"/>
    </row>
    <row r="473">
      <c r="A473" s="631"/>
      <c r="B473" s="631"/>
      <c r="C473" s="632"/>
      <c r="D473" s="633"/>
      <c r="E473" s="634"/>
      <c r="F473" s="635"/>
      <c r="G473" s="636"/>
      <c r="H473" s="637"/>
      <c r="I473" s="643"/>
      <c r="J473" s="644"/>
      <c r="K473" s="147"/>
      <c r="L473" s="632"/>
      <c r="M473" s="147"/>
      <c r="N473" s="640"/>
      <c r="O473" s="640"/>
      <c r="P473" s="641"/>
      <c r="Q473" s="642"/>
      <c r="R473" s="147"/>
      <c r="S473" s="147"/>
      <c r="T473" s="147"/>
      <c r="U473" s="147"/>
      <c r="V473" s="147"/>
      <c r="W473" s="147"/>
      <c r="X473" s="147"/>
      <c r="Y473" s="147"/>
      <c r="Z473" s="147"/>
      <c r="AA473" s="147"/>
      <c r="AB473" s="147"/>
      <c r="AC473" s="147"/>
      <c r="AD473" s="147"/>
      <c r="AE473" s="147"/>
      <c r="AF473" s="147"/>
      <c r="AG473" s="147"/>
      <c r="AH473" s="147"/>
      <c r="AI473" s="147"/>
      <c r="AJ473" s="147"/>
      <c r="AK473" s="147"/>
      <c r="AL473" s="147"/>
      <c r="AM473" s="147"/>
      <c r="AN473" s="147"/>
      <c r="AO473" s="147"/>
      <c r="AP473" s="147"/>
      <c r="AQ473" s="147"/>
      <c r="AR473" s="147"/>
      <c r="AS473" s="147"/>
      <c r="AT473" s="147"/>
      <c r="AU473" s="147"/>
      <c r="AV473" s="147"/>
      <c r="AW473" s="147"/>
    </row>
    <row r="474">
      <c r="A474" s="631"/>
      <c r="B474" s="631"/>
      <c r="C474" s="632"/>
      <c r="D474" s="633"/>
      <c r="E474" s="634"/>
      <c r="F474" s="635"/>
      <c r="G474" s="636"/>
      <c r="H474" s="637"/>
      <c r="I474" s="643"/>
      <c r="J474" s="644"/>
      <c r="K474" s="147"/>
      <c r="L474" s="632"/>
      <c r="M474" s="147"/>
      <c r="N474" s="640"/>
      <c r="O474" s="640"/>
      <c r="P474" s="641"/>
      <c r="Q474" s="642"/>
      <c r="R474" s="147"/>
      <c r="S474" s="147"/>
      <c r="T474" s="147"/>
      <c r="U474" s="147"/>
      <c r="V474" s="147"/>
      <c r="W474" s="147"/>
      <c r="X474" s="147"/>
      <c r="Y474" s="147"/>
      <c r="Z474" s="147"/>
      <c r="AA474" s="147"/>
      <c r="AB474" s="147"/>
      <c r="AC474" s="147"/>
      <c r="AD474" s="147"/>
      <c r="AE474" s="147"/>
      <c r="AF474" s="147"/>
      <c r="AG474" s="147"/>
      <c r="AH474" s="147"/>
      <c r="AI474" s="147"/>
      <c r="AJ474" s="147"/>
      <c r="AK474" s="147"/>
      <c r="AL474" s="147"/>
      <c r="AM474" s="147"/>
      <c r="AN474" s="147"/>
      <c r="AO474" s="147"/>
      <c r="AP474" s="147"/>
      <c r="AQ474" s="147"/>
      <c r="AR474" s="147"/>
      <c r="AS474" s="147"/>
      <c r="AT474" s="147"/>
      <c r="AU474" s="147"/>
      <c r="AV474" s="147"/>
      <c r="AW474" s="147"/>
    </row>
    <row r="475">
      <c r="A475" s="631"/>
      <c r="B475" s="631"/>
      <c r="C475" s="632"/>
      <c r="D475" s="633"/>
      <c r="E475" s="634"/>
      <c r="F475" s="635"/>
      <c r="G475" s="636"/>
      <c r="H475" s="637"/>
      <c r="I475" s="643"/>
      <c r="J475" s="644"/>
      <c r="K475" s="147"/>
      <c r="L475" s="632"/>
      <c r="M475" s="147"/>
      <c r="N475" s="640"/>
      <c r="O475" s="640"/>
      <c r="P475" s="641"/>
      <c r="Q475" s="642"/>
      <c r="R475" s="147"/>
      <c r="S475" s="147"/>
      <c r="T475" s="147"/>
      <c r="U475" s="147"/>
      <c r="V475" s="147"/>
      <c r="W475" s="147"/>
      <c r="X475" s="147"/>
      <c r="Y475" s="147"/>
      <c r="Z475" s="147"/>
      <c r="AA475" s="147"/>
      <c r="AB475" s="147"/>
      <c r="AC475" s="147"/>
      <c r="AD475" s="147"/>
      <c r="AE475" s="147"/>
      <c r="AF475" s="147"/>
      <c r="AG475" s="147"/>
      <c r="AH475" s="147"/>
      <c r="AI475" s="147"/>
      <c r="AJ475" s="147"/>
      <c r="AK475" s="147"/>
      <c r="AL475" s="147"/>
      <c r="AM475" s="147"/>
      <c r="AN475" s="147"/>
      <c r="AO475" s="147"/>
      <c r="AP475" s="147"/>
      <c r="AQ475" s="147"/>
      <c r="AR475" s="147"/>
      <c r="AS475" s="147"/>
      <c r="AT475" s="147"/>
      <c r="AU475" s="147"/>
      <c r="AV475" s="147"/>
      <c r="AW475" s="147"/>
    </row>
    <row r="476">
      <c r="A476" s="631"/>
      <c r="B476" s="631"/>
      <c r="C476" s="632"/>
      <c r="D476" s="633"/>
      <c r="E476" s="634"/>
      <c r="F476" s="635"/>
      <c r="G476" s="636"/>
      <c r="H476" s="637"/>
      <c r="I476" s="643"/>
      <c r="J476" s="644"/>
      <c r="K476" s="147"/>
      <c r="L476" s="632"/>
      <c r="M476" s="147"/>
      <c r="N476" s="640"/>
      <c r="O476" s="640"/>
      <c r="P476" s="641"/>
      <c r="Q476" s="642"/>
      <c r="R476" s="147"/>
      <c r="S476" s="147"/>
      <c r="T476" s="147"/>
      <c r="U476" s="147"/>
      <c r="V476" s="147"/>
      <c r="W476" s="147"/>
      <c r="X476" s="147"/>
      <c r="Y476" s="147"/>
      <c r="Z476" s="147"/>
      <c r="AA476" s="147"/>
      <c r="AB476" s="147"/>
      <c r="AC476" s="147"/>
      <c r="AD476" s="147"/>
      <c r="AE476" s="147"/>
      <c r="AF476" s="147"/>
      <c r="AG476" s="147"/>
      <c r="AH476" s="147"/>
      <c r="AI476" s="147"/>
      <c r="AJ476" s="147"/>
      <c r="AK476" s="147"/>
      <c r="AL476" s="147"/>
      <c r="AM476" s="147"/>
      <c r="AN476" s="147"/>
      <c r="AO476" s="147"/>
      <c r="AP476" s="147"/>
      <c r="AQ476" s="147"/>
      <c r="AR476" s="147"/>
      <c r="AS476" s="147"/>
      <c r="AT476" s="147"/>
      <c r="AU476" s="147"/>
      <c r="AV476" s="147"/>
      <c r="AW476" s="147"/>
    </row>
    <row r="477">
      <c r="A477" s="631"/>
      <c r="B477" s="631"/>
      <c r="C477" s="632"/>
      <c r="D477" s="633"/>
      <c r="E477" s="634"/>
      <c r="F477" s="635"/>
      <c r="G477" s="636"/>
      <c r="H477" s="637"/>
      <c r="I477" s="643"/>
      <c r="J477" s="644"/>
      <c r="K477" s="147"/>
      <c r="L477" s="632"/>
      <c r="M477" s="147"/>
      <c r="N477" s="640"/>
      <c r="O477" s="640"/>
      <c r="P477" s="641"/>
      <c r="Q477" s="642"/>
      <c r="R477" s="147"/>
      <c r="S477" s="147"/>
      <c r="T477" s="147"/>
      <c r="U477" s="147"/>
      <c r="V477" s="147"/>
      <c r="W477" s="147"/>
      <c r="X477" s="147"/>
      <c r="Y477" s="147"/>
      <c r="Z477" s="147"/>
      <c r="AA477" s="147"/>
      <c r="AB477" s="147"/>
      <c r="AC477" s="147"/>
      <c r="AD477" s="147"/>
      <c r="AE477" s="147"/>
      <c r="AF477" s="147"/>
      <c r="AG477" s="147"/>
      <c r="AH477" s="147"/>
      <c r="AI477" s="147"/>
      <c r="AJ477" s="147"/>
      <c r="AK477" s="147"/>
      <c r="AL477" s="147"/>
      <c r="AM477" s="147"/>
      <c r="AN477" s="147"/>
      <c r="AO477" s="147"/>
      <c r="AP477" s="147"/>
      <c r="AQ477" s="147"/>
      <c r="AR477" s="147"/>
      <c r="AS477" s="147"/>
      <c r="AT477" s="147"/>
      <c r="AU477" s="147"/>
      <c r="AV477" s="147"/>
      <c r="AW477" s="147"/>
    </row>
    <row r="478">
      <c r="A478" s="631"/>
      <c r="B478" s="631"/>
      <c r="C478" s="632"/>
      <c r="D478" s="633"/>
      <c r="E478" s="634"/>
      <c r="F478" s="635"/>
      <c r="G478" s="636"/>
      <c r="H478" s="637"/>
      <c r="I478" s="643"/>
      <c r="J478" s="644"/>
      <c r="K478" s="147"/>
      <c r="L478" s="632"/>
      <c r="M478" s="147"/>
      <c r="N478" s="640"/>
      <c r="O478" s="640"/>
      <c r="P478" s="641"/>
      <c r="Q478" s="642"/>
      <c r="R478" s="147"/>
      <c r="S478" s="147"/>
      <c r="T478" s="147"/>
      <c r="U478" s="147"/>
      <c r="V478" s="147"/>
      <c r="W478" s="147"/>
      <c r="X478" s="147"/>
      <c r="Y478" s="147"/>
      <c r="Z478" s="147"/>
      <c r="AA478" s="147"/>
      <c r="AB478" s="147"/>
      <c r="AC478" s="147"/>
      <c r="AD478" s="147"/>
      <c r="AE478" s="147"/>
      <c r="AF478" s="147"/>
      <c r="AG478" s="147"/>
      <c r="AH478" s="147"/>
      <c r="AI478" s="147"/>
      <c r="AJ478" s="147"/>
      <c r="AK478" s="147"/>
      <c r="AL478" s="147"/>
      <c r="AM478" s="147"/>
      <c r="AN478" s="147"/>
      <c r="AO478" s="147"/>
      <c r="AP478" s="147"/>
      <c r="AQ478" s="147"/>
      <c r="AR478" s="147"/>
      <c r="AS478" s="147"/>
      <c r="AT478" s="147"/>
      <c r="AU478" s="147"/>
      <c r="AV478" s="147"/>
      <c r="AW478" s="147"/>
    </row>
    <row r="479">
      <c r="A479" s="631"/>
      <c r="B479" s="631"/>
      <c r="C479" s="632"/>
      <c r="D479" s="633"/>
      <c r="E479" s="634"/>
      <c r="F479" s="635"/>
      <c r="G479" s="636"/>
      <c r="H479" s="637"/>
      <c r="I479" s="643"/>
      <c r="J479" s="644"/>
      <c r="K479" s="147"/>
      <c r="L479" s="632"/>
      <c r="M479" s="147"/>
      <c r="N479" s="640"/>
      <c r="O479" s="640"/>
      <c r="P479" s="641"/>
      <c r="Q479" s="642"/>
      <c r="R479" s="147"/>
      <c r="S479" s="147"/>
      <c r="T479" s="147"/>
      <c r="U479" s="147"/>
      <c r="V479" s="147"/>
      <c r="W479" s="147"/>
      <c r="X479" s="147"/>
      <c r="Y479" s="147"/>
      <c r="Z479" s="147"/>
      <c r="AA479" s="147"/>
      <c r="AB479" s="147"/>
      <c r="AC479" s="147"/>
      <c r="AD479" s="147"/>
      <c r="AE479" s="147"/>
      <c r="AF479" s="147"/>
      <c r="AG479" s="147"/>
      <c r="AH479" s="147"/>
      <c r="AI479" s="147"/>
      <c r="AJ479" s="147"/>
      <c r="AK479" s="147"/>
      <c r="AL479" s="147"/>
      <c r="AM479" s="147"/>
      <c r="AN479" s="147"/>
      <c r="AO479" s="147"/>
      <c r="AP479" s="147"/>
      <c r="AQ479" s="147"/>
      <c r="AR479" s="147"/>
      <c r="AS479" s="147"/>
      <c r="AT479" s="147"/>
      <c r="AU479" s="147"/>
      <c r="AV479" s="147"/>
      <c r="AW479" s="147"/>
    </row>
    <row r="480">
      <c r="A480" s="631"/>
      <c r="B480" s="631"/>
      <c r="C480" s="632"/>
      <c r="D480" s="633"/>
      <c r="E480" s="634"/>
      <c r="F480" s="635"/>
      <c r="G480" s="636"/>
      <c r="H480" s="637"/>
      <c r="I480" s="643"/>
      <c r="J480" s="644"/>
      <c r="K480" s="147"/>
      <c r="L480" s="632"/>
      <c r="M480" s="147"/>
      <c r="N480" s="640"/>
      <c r="O480" s="640"/>
      <c r="P480" s="641"/>
      <c r="Q480" s="642"/>
      <c r="R480" s="147"/>
      <c r="S480" s="147"/>
      <c r="T480" s="147"/>
      <c r="U480" s="147"/>
      <c r="V480" s="147"/>
      <c r="W480" s="147"/>
      <c r="X480" s="147"/>
      <c r="Y480" s="147"/>
      <c r="Z480" s="147"/>
      <c r="AA480" s="147"/>
      <c r="AB480" s="147"/>
      <c r="AC480" s="147"/>
      <c r="AD480" s="147"/>
      <c r="AE480" s="147"/>
      <c r="AF480" s="147"/>
      <c r="AG480" s="147"/>
      <c r="AH480" s="147"/>
      <c r="AI480" s="147"/>
      <c r="AJ480" s="147"/>
      <c r="AK480" s="147"/>
      <c r="AL480" s="147"/>
      <c r="AM480" s="147"/>
      <c r="AN480" s="147"/>
      <c r="AO480" s="147"/>
      <c r="AP480" s="147"/>
      <c r="AQ480" s="147"/>
      <c r="AR480" s="147"/>
      <c r="AS480" s="147"/>
      <c r="AT480" s="147"/>
      <c r="AU480" s="147"/>
      <c r="AV480" s="147"/>
      <c r="AW480" s="147"/>
    </row>
    <row r="481">
      <c r="A481" s="631"/>
      <c r="B481" s="631"/>
      <c r="C481" s="632"/>
      <c r="D481" s="633"/>
      <c r="E481" s="634"/>
      <c r="F481" s="635"/>
      <c r="G481" s="636"/>
      <c r="H481" s="637"/>
      <c r="I481" s="643"/>
      <c r="J481" s="644"/>
      <c r="K481" s="147"/>
      <c r="L481" s="632"/>
      <c r="M481" s="147"/>
      <c r="N481" s="640"/>
      <c r="O481" s="640"/>
      <c r="P481" s="641"/>
      <c r="Q481" s="642"/>
      <c r="R481" s="147"/>
      <c r="S481" s="147"/>
      <c r="T481" s="147"/>
      <c r="U481" s="147"/>
      <c r="V481" s="147"/>
      <c r="W481" s="147"/>
      <c r="X481" s="147"/>
      <c r="Y481" s="147"/>
      <c r="Z481" s="147"/>
      <c r="AA481" s="147"/>
      <c r="AB481" s="147"/>
      <c r="AC481" s="147"/>
      <c r="AD481" s="147"/>
      <c r="AE481" s="147"/>
      <c r="AF481" s="147"/>
      <c r="AG481" s="147"/>
      <c r="AH481" s="147"/>
      <c r="AI481" s="147"/>
      <c r="AJ481" s="147"/>
      <c r="AK481" s="147"/>
      <c r="AL481" s="147"/>
      <c r="AM481" s="147"/>
      <c r="AN481" s="147"/>
      <c r="AO481" s="147"/>
      <c r="AP481" s="147"/>
      <c r="AQ481" s="147"/>
      <c r="AR481" s="147"/>
      <c r="AS481" s="147"/>
      <c r="AT481" s="147"/>
      <c r="AU481" s="147"/>
      <c r="AV481" s="147"/>
      <c r="AW481" s="147"/>
    </row>
    <row r="482">
      <c r="A482" s="631"/>
      <c r="B482" s="631"/>
      <c r="C482" s="632"/>
      <c r="D482" s="633"/>
      <c r="E482" s="634"/>
      <c r="F482" s="635"/>
      <c r="G482" s="636"/>
      <c r="H482" s="637"/>
      <c r="I482" s="643"/>
      <c r="J482" s="644"/>
      <c r="K482" s="147"/>
      <c r="L482" s="632"/>
      <c r="M482" s="147"/>
      <c r="N482" s="640"/>
      <c r="O482" s="640"/>
      <c r="P482" s="641"/>
      <c r="Q482" s="642"/>
      <c r="R482" s="147"/>
      <c r="S482" s="147"/>
      <c r="T482" s="147"/>
      <c r="U482" s="147"/>
      <c r="V482" s="147"/>
      <c r="W482" s="147"/>
      <c r="X482" s="147"/>
      <c r="Y482" s="147"/>
      <c r="Z482" s="147"/>
      <c r="AA482" s="147"/>
      <c r="AB482" s="147"/>
      <c r="AC482" s="147"/>
      <c r="AD482" s="147"/>
      <c r="AE482" s="147"/>
      <c r="AF482" s="147"/>
      <c r="AG482" s="147"/>
      <c r="AH482" s="147"/>
      <c r="AI482" s="147"/>
      <c r="AJ482" s="147"/>
      <c r="AK482" s="147"/>
      <c r="AL482" s="147"/>
      <c r="AM482" s="147"/>
      <c r="AN482" s="147"/>
      <c r="AO482" s="147"/>
      <c r="AP482" s="147"/>
      <c r="AQ482" s="147"/>
      <c r="AR482" s="147"/>
      <c r="AS482" s="147"/>
      <c r="AT482" s="147"/>
      <c r="AU482" s="147"/>
      <c r="AV482" s="147"/>
      <c r="AW482" s="147"/>
    </row>
    <row r="483">
      <c r="A483" s="631"/>
      <c r="B483" s="631"/>
      <c r="C483" s="632"/>
      <c r="D483" s="633"/>
      <c r="E483" s="634"/>
      <c r="F483" s="635"/>
      <c r="G483" s="636"/>
      <c r="H483" s="637"/>
      <c r="I483" s="643"/>
      <c r="J483" s="644"/>
      <c r="K483" s="147"/>
      <c r="L483" s="632"/>
      <c r="M483" s="147"/>
      <c r="N483" s="640"/>
      <c r="O483" s="640"/>
      <c r="P483" s="641"/>
      <c r="Q483" s="642"/>
      <c r="R483" s="147"/>
      <c r="S483" s="147"/>
      <c r="T483" s="147"/>
      <c r="U483" s="147"/>
      <c r="V483" s="147"/>
      <c r="W483" s="147"/>
      <c r="X483" s="147"/>
      <c r="Y483" s="147"/>
      <c r="Z483" s="147"/>
      <c r="AA483" s="147"/>
      <c r="AB483" s="147"/>
      <c r="AC483" s="147"/>
      <c r="AD483" s="147"/>
      <c r="AE483" s="147"/>
      <c r="AF483" s="147"/>
      <c r="AG483" s="147"/>
      <c r="AH483" s="147"/>
      <c r="AI483" s="147"/>
      <c r="AJ483" s="147"/>
      <c r="AK483" s="147"/>
      <c r="AL483" s="147"/>
      <c r="AM483" s="147"/>
      <c r="AN483" s="147"/>
      <c r="AO483" s="147"/>
      <c r="AP483" s="147"/>
      <c r="AQ483" s="147"/>
      <c r="AR483" s="147"/>
      <c r="AS483" s="147"/>
      <c r="AT483" s="147"/>
      <c r="AU483" s="147"/>
      <c r="AV483" s="147"/>
      <c r="AW483" s="147"/>
    </row>
    <row r="484">
      <c r="A484" s="631"/>
      <c r="B484" s="631"/>
      <c r="C484" s="632"/>
      <c r="D484" s="633"/>
      <c r="E484" s="634"/>
      <c r="F484" s="635"/>
      <c r="G484" s="636"/>
      <c r="H484" s="637"/>
      <c r="I484" s="643"/>
      <c r="J484" s="644"/>
      <c r="K484" s="147"/>
      <c r="L484" s="632"/>
      <c r="M484" s="147"/>
      <c r="N484" s="640"/>
      <c r="O484" s="640"/>
      <c r="P484" s="641"/>
      <c r="Q484" s="642"/>
      <c r="R484" s="147"/>
      <c r="S484" s="147"/>
      <c r="T484" s="147"/>
      <c r="U484" s="147"/>
      <c r="V484" s="147"/>
      <c r="W484" s="147"/>
      <c r="X484" s="147"/>
      <c r="Y484" s="147"/>
      <c r="Z484" s="147"/>
      <c r="AA484" s="147"/>
      <c r="AB484" s="147"/>
      <c r="AC484" s="147"/>
      <c r="AD484" s="147"/>
      <c r="AE484" s="147"/>
      <c r="AF484" s="147"/>
      <c r="AG484" s="147"/>
      <c r="AH484" s="147"/>
      <c r="AI484" s="147"/>
      <c r="AJ484" s="147"/>
      <c r="AK484" s="147"/>
      <c r="AL484" s="147"/>
      <c r="AM484" s="147"/>
      <c r="AN484" s="147"/>
      <c r="AO484" s="147"/>
      <c r="AP484" s="147"/>
      <c r="AQ484" s="147"/>
      <c r="AR484" s="147"/>
      <c r="AS484" s="147"/>
      <c r="AT484" s="147"/>
      <c r="AU484" s="147"/>
      <c r="AV484" s="147"/>
      <c r="AW484" s="147"/>
    </row>
    <row r="485">
      <c r="A485" s="631"/>
      <c r="B485" s="631"/>
      <c r="C485" s="632"/>
      <c r="D485" s="633"/>
      <c r="E485" s="634"/>
      <c r="F485" s="635"/>
      <c r="G485" s="636"/>
      <c r="H485" s="637"/>
      <c r="I485" s="643"/>
      <c r="J485" s="644"/>
      <c r="K485" s="147"/>
      <c r="L485" s="632"/>
      <c r="M485" s="147"/>
      <c r="N485" s="640"/>
      <c r="O485" s="640"/>
      <c r="P485" s="641"/>
      <c r="Q485" s="642"/>
      <c r="R485" s="147"/>
      <c r="S485" s="147"/>
      <c r="T485" s="147"/>
      <c r="U485" s="147"/>
      <c r="V485" s="147"/>
      <c r="W485" s="147"/>
      <c r="X485" s="147"/>
      <c r="Y485" s="147"/>
      <c r="Z485" s="147"/>
      <c r="AA485" s="147"/>
      <c r="AB485" s="147"/>
      <c r="AC485" s="147"/>
      <c r="AD485" s="147"/>
      <c r="AE485" s="147"/>
      <c r="AF485" s="147"/>
      <c r="AG485" s="147"/>
      <c r="AH485" s="147"/>
      <c r="AI485" s="147"/>
      <c r="AJ485" s="147"/>
      <c r="AK485" s="147"/>
      <c r="AL485" s="147"/>
      <c r="AM485" s="147"/>
      <c r="AN485" s="147"/>
      <c r="AO485" s="147"/>
      <c r="AP485" s="147"/>
      <c r="AQ485" s="147"/>
      <c r="AR485" s="147"/>
      <c r="AS485" s="147"/>
      <c r="AT485" s="147"/>
      <c r="AU485" s="147"/>
      <c r="AV485" s="147"/>
      <c r="AW485" s="147"/>
    </row>
    <row r="486">
      <c r="A486" s="631"/>
      <c r="B486" s="631"/>
      <c r="C486" s="632"/>
      <c r="D486" s="633"/>
      <c r="E486" s="634"/>
      <c r="F486" s="635"/>
      <c r="G486" s="636"/>
      <c r="H486" s="637"/>
      <c r="I486" s="643"/>
      <c r="J486" s="644"/>
      <c r="K486" s="147"/>
      <c r="L486" s="632"/>
      <c r="M486" s="147"/>
      <c r="N486" s="640"/>
      <c r="O486" s="640"/>
      <c r="P486" s="641"/>
      <c r="Q486" s="642"/>
      <c r="R486" s="147"/>
      <c r="S486" s="147"/>
      <c r="T486" s="147"/>
      <c r="U486" s="147"/>
      <c r="V486" s="147"/>
      <c r="W486" s="147"/>
      <c r="X486" s="147"/>
      <c r="Y486" s="147"/>
      <c r="Z486" s="147"/>
      <c r="AA486" s="147"/>
      <c r="AB486" s="147"/>
      <c r="AC486" s="147"/>
      <c r="AD486" s="147"/>
      <c r="AE486" s="147"/>
      <c r="AF486" s="147"/>
      <c r="AG486" s="147"/>
      <c r="AH486" s="147"/>
      <c r="AI486" s="147"/>
      <c r="AJ486" s="147"/>
      <c r="AK486" s="147"/>
      <c r="AL486" s="147"/>
      <c r="AM486" s="147"/>
      <c r="AN486" s="147"/>
      <c r="AO486" s="147"/>
      <c r="AP486" s="147"/>
      <c r="AQ486" s="147"/>
      <c r="AR486" s="147"/>
      <c r="AS486" s="147"/>
      <c r="AT486" s="147"/>
      <c r="AU486" s="147"/>
      <c r="AV486" s="147"/>
      <c r="AW486" s="147"/>
    </row>
    <row r="487">
      <c r="A487" s="631"/>
      <c r="B487" s="631"/>
      <c r="C487" s="632"/>
      <c r="D487" s="633"/>
      <c r="E487" s="634"/>
      <c r="F487" s="635"/>
      <c r="G487" s="636"/>
      <c r="H487" s="637"/>
      <c r="I487" s="643"/>
      <c r="J487" s="644"/>
      <c r="K487" s="147"/>
      <c r="L487" s="632"/>
      <c r="M487" s="147"/>
      <c r="N487" s="640"/>
      <c r="O487" s="640"/>
      <c r="P487" s="641"/>
      <c r="Q487" s="642"/>
      <c r="R487" s="147"/>
      <c r="S487" s="147"/>
      <c r="T487" s="147"/>
      <c r="U487" s="147"/>
      <c r="V487" s="147"/>
      <c r="W487" s="147"/>
      <c r="X487" s="147"/>
      <c r="Y487" s="147"/>
      <c r="Z487" s="147"/>
      <c r="AA487" s="147"/>
      <c r="AB487" s="147"/>
      <c r="AC487" s="147"/>
      <c r="AD487" s="147"/>
      <c r="AE487" s="147"/>
      <c r="AF487" s="147"/>
      <c r="AG487" s="147"/>
      <c r="AH487" s="147"/>
      <c r="AI487" s="147"/>
      <c r="AJ487" s="147"/>
      <c r="AK487" s="147"/>
      <c r="AL487" s="147"/>
      <c r="AM487" s="147"/>
      <c r="AN487" s="147"/>
      <c r="AO487" s="147"/>
      <c r="AP487" s="147"/>
      <c r="AQ487" s="147"/>
      <c r="AR487" s="147"/>
      <c r="AS487" s="147"/>
      <c r="AT487" s="147"/>
      <c r="AU487" s="147"/>
      <c r="AV487" s="147"/>
      <c r="AW487" s="147"/>
    </row>
    <row r="488">
      <c r="A488" s="631"/>
      <c r="B488" s="631"/>
      <c r="C488" s="632"/>
      <c r="D488" s="633"/>
      <c r="E488" s="634"/>
      <c r="F488" s="635"/>
      <c r="G488" s="636"/>
      <c r="H488" s="637"/>
      <c r="I488" s="643"/>
      <c r="J488" s="644"/>
      <c r="K488" s="147"/>
      <c r="L488" s="632"/>
      <c r="M488" s="147"/>
      <c r="N488" s="640"/>
      <c r="O488" s="640"/>
      <c r="P488" s="641"/>
      <c r="Q488" s="642"/>
      <c r="R488" s="147"/>
      <c r="S488" s="147"/>
      <c r="T488" s="147"/>
      <c r="U488" s="147"/>
      <c r="V488" s="147"/>
      <c r="W488" s="147"/>
      <c r="X488" s="147"/>
      <c r="Y488" s="147"/>
      <c r="Z488" s="147"/>
      <c r="AA488" s="147"/>
      <c r="AB488" s="147"/>
      <c r="AC488" s="147"/>
      <c r="AD488" s="147"/>
      <c r="AE488" s="147"/>
      <c r="AF488" s="147"/>
      <c r="AG488" s="147"/>
      <c r="AH488" s="147"/>
      <c r="AI488" s="147"/>
      <c r="AJ488" s="147"/>
      <c r="AK488" s="147"/>
      <c r="AL488" s="147"/>
      <c r="AM488" s="147"/>
      <c r="AN488" s="147"/>
      <c r="AO488" s="147"/>
      <c r="AP488" s="147"/>
      <c r="AQ488" s="147"/>
      <c r="AR488" s="147"/>
      <c r="AS488" s="147"/>
      <c r="AT488" s="147"/>
      <c r="AU488" s="147"/>
      <c r="AV488" s="147"/>
      <c r="AW488" s="147"/>
    </row>
    <row r="489">
      <c r="A489" s="631"/>
      <c r="B489" s="631"/>
      <c r="C489" s="632"/>
      <c r="D489" s="633"/>
      <c r="E489" s="634"/>
      <c r="F489" s="635"/>
      <c r="G489" s="636"/>
      <c r="H489" s="637"/>
      <c r="I489" s="643"/>
      <c r="J489" s="644"/>
      <c r="K489" s="147"/>
      <c r="L489" s="632"/>
      <c r="M489" s="147"/>
      <c r="N489" s="640"/>
      <c r="O489" s="640"/>
      <c r="P489" s="641"/>
      <c r="Q489" s="642"/>
      <c r="R489" s="147"/>
      <c r="S489" s="147"/>
      <c r="T489" s="147"/>
      <c r="U489" s="147"/>
      <c r="V489" s="147"/>
      <c r="W489" s="147"/>
      <c r="X489" s="147"/>
      <c r="Y489" s="147"/>
      <c r="Z489" s="147"/>
      <c r="AA489" s="147"/>
      <c r="AB489" s="147"/>
      <c r="AC489" s="147"/>
      <c r="AD489" s="147"/>
      <c r="AE489" s="147"/>
      <c r="AF489" s="147"/>
      <c r="AG489" s="147"/>
      <c r="AH489" s="147"/>
      <c r="AI489" s="147"/>
      <c r="AJ489" s="147"/>
      <c r="AK489" s="147"/>
      <c r="AL489" s="147"/>
      <c r="AM489" s="147"/>
      <c r="AN489" s="147"/>
      <c r="AO489" s="147"/>
      <c r="AP489" s="147"/>
      <c r="AQ489" s="147"/>
      <c r="AR489" s="147"/>
      <c r="AS489" s="147"/>
      <c r="AT489" s="147"/>
      <c r="AU489" s="147"/>
      <c r="AV489" s="147"/>
      <c r="AW489" s="147"/>
    </row>
    <row r="490">
      <c r="A490" s="631"/>
      <c r="B490" s="631"/>
      <c r="C490" s="632"/>
      <c r="D490" s="633"/>
      <c r="E490" s="634"/>
      <c r="F490" s="635"/>
      <c r="G490" s="636"/>
      <c r="H490" s="637"/>
      <c r="I490" s="643"/>
      <c r="J490" s="644"/>
      <c r="K490" s="147"/>
      <c r="L490" s="632"/>
      <c r="M490" s="147"/>
      <c r="N490" s="640"/>
      <c r="O490" s="640"/>
      <c r="P490" s="641"/>
      <c r="Q490" s="642"/>
      <c r="R490" s="147"/>
      <c r="S490" s="147"/>
      <c r="T490" s="147"/>
      <c r="U490" s="147"/>
      <c r="V490" s="147"/>
      <c r="W490" s="147"/>
      <c r="X490" s="147"/>
      <c r="Y490" s="147"/>
      <c r="Z490" s="147"/>
      <c r="AA490" s="147"/>
      <c r="AB490" s="147"/>
      <c r="AC490" s="147"/>
      <c r="AD490" s="147"/>
      <c r="AE490" s="147"/>
      <c r="AF490" s="147"/>
      <c r="AG490" s="147"/>
      <c r="AH490" s="147"/>
      <c r="AI490" s="147"/>
      <c r="AJ490" s="147"/>
      <c r="AK490" s="147"/>
      <c r="AL490" s="147"/>
      <c r="AM490" s="147"/>
      <c r="AN490" s="147"/>
      <c r="AO490" s="147"/>
      <c r="AP490" s="147"/>
      <c r="AQ490" s="147"/>
      <c r="AR490" s="147"/>
      <c r="AS490" s="147"/>
      <c r="AT490" s="147"/>
      <c r="AU490" s="147"/>
      <c r="AV490" s="147"/>
      <c r="AW490" s="147"/>
    </row>
    <row r="491">
      <c r="A491" s="631"/>
      <c r="B491" s="631"/>
      <c r="C491" s="632"/>
      <c r="D491" s="633"/>
      <c r="E491" s="634"/>
      <c r="F491" s="635"/>
      <c r="G491" s="636"/>
      <c r="H491" s="637"/>
      <c r="I491" s="643"/>
      <c r="J491" s="644"/>
      <c r="K491" s="147"/>
      <c r="L491" s="632"/>
      <c r="M491" s="147"/>
      <c r="N491" s="640"/>
      <c r="O491" s="640"/>
      <c r="P491" s="641"/>
      <c r="Q491" s="642"/>
      <c r="R491" s="147"/>
      <c r="S491" s="147"/>
      <c r="T491" s="147"/>
      <c r="U491" s="147"/>
      <c r="V491" s="147"/>
      <c r="W491" s="147"/>
      <c r="X491" s="147"/>
      <c r="Y491" s="147"/>
      <c r="Z491" s="147"/>
      <c r="AA491" s="147"/>
      <c r="AB491" s="147"/>
      <c r="AC491" s="147"/>
      <c r="AD491" s="147"/>
      <c r="AE491" s="147"/>
      <c r="AF491" s="147"/>
      <c r="AG491" s="147"/>
      <c r="AH491" s="147"/>
      <c r="AI491" s="147"/>
      <c r="AJ491" s="147"/>
      <c r="AK491" s="147"/>
      <c r="AL491" s="147"/>
      <c r="AM491" s="147"/>
      <c r="AN491" s="147"/>
      <c r="AO491" s="147"/>
      <c r="AP491" s="147"/>
      <c r="AQ491" s="147"/>
      <c r="AR491" s="147"/>
      <c r="AS491" s="147"/>
      <c r="AT491" s="147"/>
      <c r="AU491" s="147"/>
      <c r="AV491" s="147"/>
      <c r="AW491" s="147"/>
    </row>
    <row r="492">
      <c r="A492" s="631"/>
      <c r="B492" s="631"/>
      <c r="C492" s="632"/>
      <c r="D492" s="633"/>
      <c r="E492" s="634"/>
      <c r="F492" s="635"/>
      <c r="G492" s="636"/>
      <c r="H492" s="637"/>
      <c r="I492" s="643"/>
      <c r="J492" s="644"/>
      <c r="K492" s="147"/>
      <c r="L492" s="632"/>
      <c r="M492" s="147"/>
      <c r="N492" s="640"/>
      <c r="O492" s="640"/>
      <c r="P492" s="641"/>
      <c r="Q492" s="642"/>
      <c r="R492" s="147"/>
      <c r="S492" s="147"/>
      <c r="T492" s="147"/>
      <c r="U492" s="147"/>
      <c r="V492" s="147"/>
      <c r="W492" s="147"/>
      <c r="X492" s="147"/>
      <c r="Y492" s="147"/>
      <c r="Z492" s="147"/>
      <c r="AA492" s="147"/>
      <c r="AB492" s="147"/>
      <c r="AC492" s="147"/>
      <c r="AD492" s="147"/>
      <c r="AE492" s="147"/>
      <c r="AF492" s="147"/>
      <c r="AG492" s="147"/>
      <c r="AH492" s="147"/>
      <c r="AI492" s="147"/>
      <c r="AJ492" s="147"/>
      <c r="AK492" s="147"/>
      <c r="AL492" s="147"/>
      <c r="AM492" s="147"/>
      <c r="AN492" s="147"/>
      <c r="AO492" s="147"/>
      <c r="AP492" s="147"/>
      <c r="AQ492" s="147"/>
      <c r="AR492" s="147"/>
      <c r="AS492" s="147"/>
      <c r="AT492" s="147"/>
      <c r="AU492" s="147"/>
      <c r="AV492" s="147"/>
      <c r="AW492" s="147"/>
    </row>
    <row r="493">
      <c r="A493" s="631"/>
      <c r="B493" s="631"/>
      <c r="C493" s="632"/>
      <c r="D493" s="633"/>
      <c r="E493" s="634"/>
      <c r="F493" s="635"/>
      <c r="G493" s="636"/>
      <c r="H493" s="637"/>
      <c r="I493" s="643"/>
      <c r="J493" s="644"/>
      <c r="K493" s="147"/>
      <c r="L493" s="632"/>
      <c r="M493" s="147"/>
      <c r="N493" s="640"/>
      <c r="O493" s="640"/>
      <c r="P493" s="641"/>
      <c r="Q493" s="642"/>
      <c r="R493" s="147"/>
      <c r="S493" s="147"/>
      <c r="T493" s="147"/>
      <c r="U493" s="147"/>
      <c r="V493" s="147"/>
      <c r="W493" s="147"/>
      <c r="X493" s="147"/>
      <c r="Y493" s="147"/>
      <c r="Z493" s="147"/>
      <c r="AA493" s="147"/>
      <c r="AB493" s="147"/>
      <c r="AC493" s="147"/>
      <c r="AD493" s="147"/>
      <c r="AE493" s="147"/>
      <c r="AF493" s="147"/>
      <c r="AG493" s="147"/>
      <c r="AH493" s="147"/>
      <c r="AI493" s="147"/>
      <c r="AJ493" s="147"/>
      <c r="AK493" s="147"/>
      <c r="AL493" s="147"/>
      <c r="AM493" s="147"/>
      <c r="AN493" s="147"/>
      <c r="AO493" s="147"/>
      <c r="AP493" s="147"/>
      <c r="AQ493" s="147"/>
      <c r="AR493" s="147"/>
      <c r="AS493" s="147"/>
      <c r="AT493" s="147"/>
      <c r="AU493" s="147"/>
      <c r="AV493" s="147"/>
      <c r="AW493" s="147"/>
    </row>
    <row r="494">
      <c r="A494" s="631"/>
      <c r="B494" s="631"/>
      <c r="C494" s="632"/>
      <c r="D494" s="633"/>
      <c r="E494" s="634"/>
      <c r="F494" s="635"/>
      <c r="G494" s="636"/>
      <c r="H494" s="637"/>
      <c r="I494" s="643"/>
      <c r="J494" s="644"/>
      <c r="K494" s="147"/>
      <c r="L494" s="632"/>
      <c r="M494" s="147"/>
      <c r="N494" s="640"/>
      <c r="O494" s="640"/>
      <c r="P494" s="641"/>
      <c r="Q494" s="642"/>
      <c r="R494" s="147"/>
      <c r="S494" s="147"/>
      <c r="T494" s="147"/>
      <c r="U494" s="147"/>
      <c r="V494" s="147"/>
      <c r="W494" s="147"/>
      <c r="X494" s="147"/>
      <c r="Y494" s="147"/>
      <c r="Z494" s="147"/>
      <c r="AA494" s="147"/>
      <c r="AB494" s="147"/>
      <c r="AC494" s="147"/>
      <c r="AD494" s="147"/>
      <c r="AE494" s="147"/>
      <c r="AF494" s="147"/>
      <c r="AG494" s="147"/>
      <c r="AH494" s="147"/>
      <c r="AI494" s="147"/>
      <c r="AJ494" s="147"/>
      <c r="AK494" s="147"/>
      <c r="AL494" s="147"/>
      <c r="AM494" s="147"/>
      <c r="AN494" s="147"/>
      <c r="AO494" s="147"/>
      <c r="AP494" s="147"/>
      <c r="AQ494" s="147"/>
      <c r="AR494" s="147"/>
      <c r="AS494" s="147"/>
      <c r="AT494" s="147"/>
      <c r="AU494" s="147"/>
      <c r="AV494" s="147"/>
      <c r="AW494" s="147"/>
    </row>
    <row r="495">
      <c r="A495" s="631"/>
      <c r="B495" s="631"/>
      <c r="C495" s="632"/>
      <c r="D495" s="633"/>
      <c r="E495" s="634"/>
      <c r="F495" s="635"/>
      <c r="G495" s="636"/>
      <c r="H495" s="637"/>
      <c r="I495" s="643"/>
      <c r="J495" s="644"/>
      <c r="K495" s="147"/>
      <c r="L495" s="632"/>
      <c r="M495" s="147"/>
      <c r="N495" s="640"/>
      <c r="O495" s="640"/>
      <c r="P495" s="641"/>
      <c r="Q495" s="642"/>
      <c r="R495" s="147"/>
      <c r="S495" s="147"/>
      <c r="T495" s="147"/>
      <c r="U495" s="147"/>
      <c r="V495" s="147"/>
      <c r="W495" s="147"/>
      <c r="X495" s="147"/>
      <c r="Y495" s="147"/>
      <c r="Z495" s="147"/>
      <c r="AA495" s="147"/>
      <c r="AB495" s="147"/>
      <c r="AC495" s="147"/>
      <c r="AD495" s="147"/>
      <c r="AE495" s="147"/>
      <c r="AF495" s="147"/>
      <c r="AG495" s="147"/>
      <c r="AH495" s="147"/>
      <c r="AI495" s="147"/>
      <c r="AJ495" s="147"/>
      <c r="AK495" s="147"/>
      <c r="AL495" s="147"/>
      <c r="AM495" s="147"/>
      <c r="AN495" s="147"/>
      <c r="AO495" s="147"/>
      <c r="AP495" s="147"/>
      <c r="AQ495" s="147"/>
      <c r="AR495" s="147"/>
      <c r="AS495" s="147"/>
      <c r="AT495" s="147"/>
      <c r="AU495" s="147"/>
      <c r="AV495" s="147"/>
      <c r="AW495" s="147"/>
    </row>
    <row r="496">
      <c r="A496" s="631"/>
      <c r="B496" s="631"/>
      <c r="C496" s="632"/>
      <c r="D496" s="633"/>
      <c r="E496" s="634"/>
      <c r="F496" s="635"/>
      <c r="G496" s="636"/>
      <c r="H496" s="637"/>
      <c r="I496" s="643"/>
      <c r="J496" s="644"/>
      <c r="K496" s="147"/>
      <c r="L496" s="632"/>
      <c r="M496" s="147"/>
      <c r="N496" s="640"/>
      <c r="O496" s="640"/>
      <c r="P496" s="641"/>
      <c r="Q496" s="642"/>
      <c r="R496" s="147"/>
      <c r="S496" s="147"/>
      <c r="T496" s="147"/>
      <c r="U496" s="147"/>
      <c r="V496" s="147"/>
      <c r="W496" s="147"/>
      <c r="X496" s="147"/>
      <c r="Y496" s="147"/>
      <c r="Z496" s="147"/>
      <c r="AA496" s="147"/>
      <c r="AB496" s="147"/>
      <c r="AC496" s="147"/>
      <c r="AD496" s="147"/>
      <c r="AE496" s="147"/>
      <c r="AF496" s="147"/>
      <c r="AG496" s="147"/>
      <c r="AH496" s="147"/>
      <c r="AI496" s="147"/>
      <c r="AJ496" s="147"/>
      <c r="AK496" s="147"/>
      <c r="AL496" s="147"/>
      <c r="AM496" s="147"/>
      <c r="AN496" s="147"/>
      <c r="AO496" s="147"/>
      <c r="AP496" s="147"/>
      <c r="AQ496" s="147"/>
      <c r="AR496" s="147"/>
      <c r="AS496" s="147"/>
      <c r="AT496" s="147"/>
      <c r="AU496" s="147"/>
      <c r="AV496" s="147"/>
      <c r="AW496" s="147"/>
    </row>
    <row r="497">
      <c r="A497" s="631"/>
      <c r="B497" s="631"/>
      <c r="C497" s="632"/>
      <c r="D497" s="633"/>
      <c r="E497" s="634"/>
      <c r="F497" s="635"/>
      <c r="G497" s="636"/>
      <c r="H497" s="637"/>
      <c r="I497" s="643"/>
      <c r="J497" s="644"/>
      <c r="K497" s="147"/>
      <c r="L497" s="632"/>
      <c r="M497" s="147"/>
      <c r="N497" s="640"/>
      <c r="O497" s="640"/>
      <c r="P497" s="641"/>
      <c r="Q497" s="642"/>
      <c r="R497" s="147"/>
      <c r="S497" s="147"/>
      <c r="T497" s="147"/>
      <c r="U497" s="147"/>
      <c r="V497" s="147"/>
      <c r="W497" s="147"/>
      <c r="X497" s="147"/>
      <c r="Y497" s="147"/>
      <c r="Z497" s="147"/>
      <c r="AA497" s="147"/>
      <c r="AB497" s="147"/>
      <c r="AC497" s="147"/>
      <c r="AD497" s="147"/>
      <c r="AE497" s="147"/>
      <c r="AF497" s="147"/>
      <c r="AG497" s="147"/>
      <c r="AH497" s="147"/>
      <c r="AI497" s="147"/>
      <c r="AJ497" s="147"/>
      <c r="AK497" s="147"/>
      <c r="AL497" s="147"/>
      <c r="AM497" s="147"/>
      <c r="AN497" s="147"/>
      <c r="AO497" s="147"/>
      <c r="AP497" s="147"/>
      <c r="AQ497" s="147"/>
      <c r="AR497" s="147"/>
      <c r="AS497" s="147"/>
      <c r="AT497" s="147"/>
      <c r="AU497" s="147"/>
      <c r="AV497" s="147"/>
      <c r="AW497" s="147"/>
    </row>
    <row r="498">
      <c r="A498" s="631"/>
      <c r="B498" s="631"/>
      <c r="C498" s="632"/>
      <c r="D498" s="633"/>
      <c r="E498" s="634"/>
      <c r="F498" s="635"/>
      <c r="G498" s="636"/>
      <c r="H498" s="637"/>
      <c r="I498" s="643"/>
      <c r="J498" s="644"/>
      <c r="K498" s="147"/>
      <c r="L498" s="632"/>
      <c r="M498" s="147"/>
      <c r="N498" s="640"/>
      <c r="O498" s="640"/>
      <c r="P498" s="641"/>
      <c r="Q498" s="642"/>
      <c r="R498" s="147"/>
      <c r="S498" s="147"/>
      <c r="T498" s="147"/>
      <c r="U498" s="147"/>
      <c r="V498" s="147"/>
      <c r="W498" s="147"/>
      <c r="X498" s="147"/>
      <c r="Y498" s="147"/>
      <c r="Z498" s="147"/>
      <c r="AA498" s="147"/>
      <c r="AB498" s="147"/>
      <c r="AC498" s="147"/>
      <c r="AD498" s="147"/>
      <c r="AE498" s="147"/>
      <c r="AF498" s="147"/>
      <c r="AG498" s="147"/>
      <c r="AH498" s="147"/>
      <c r="AI498" s="147"/>
      <c r="AJ498" s="147"/>
      <c r="AK498" s="147"/>
      <c r="AL498" s="147"/>
      <c r="AM498" s="147"/>
      <c r="AN498" s="147"/>
      <c r="AO498" s="147"/>
      <c r="AP498" s="147"/>
      <c r="AQ498" s="147"/>
      <c r="AR498" s="147"/>
      <c r="AS498" s="147"/>
      <c r="AT498" s="147"/>
      <c r="AU498" s="147"/>
      <c r="AV498" s="147"/>
      <c r="AW498" s="147"/>
    </row>
    <row r="499">
      <c r="A499" s="631"/>
      <c r="B499" s="631"/>
      <c r="C499" s="632"/>
      <c r="D499" s="633"/>
      <c r="E499" s="634"/>
      <c r="F499" s="635"/>
      <c r="G499" s="636"/>
      <c r="H499" s="637"/>
      <c r="I499" s="643"/>
      <c r="J499" s="644"/>
      <c r="K499" s="147"/>
      <c r="L499" s="632"/>
      <c r="M499" s="147"/>
      <c r="N499" s="640"/>
      <c r="O499" s="640"/>
      <c r="P499" s="641"/>
      <c r="Q499" s="642"/>
      <c r="R499" s="147"/>
      <c r="S499" s="147"/>
      <c r="T499" s="147"/>
      <c r="U499" s="147"/>
      <c r="V499" s="147"/>
      <c r="W499" s="147"/>
      <c r="X499" s="147"/>
      <c r="Y499" s="147"/>
      <c r="Z499" s="147"/>
      <c r="AA499" s="147"/>
      <c r="AB499" s="147"/>
      <c r="AC499" s="147"/>
      <c r="AD499" s="147"/>
      <c r="AE499" s="147"/>
      <c r="AF499" s="147"/>
      <c r="AG499" s="147"/>
      <c r="AH499" s="147"/>
      <c r="AI499" s="147"/>
      <c r="AJ499" s="147"/>
      <c r="AK499" s="147"/>
      <c r="AL499" s="147"/>
      <c r="AM499" s="147"/>
      <c r="AN499" s="147"/>
      <c r="AO499" s="147"/>
      <c r="AP499" s="147"/>
      <c r="AQ499" s="147"/>
      <c r="AR499" s="147"/>
      <c r="AS499" s="147"/>
      <c r="AT499" s="147"/>
      <c r="AU499" s="147"/>
      <c r="AV499" s="147"/>
      <c r="AW499" s="147"/>
    </row>
    <row r="500">
      <c r="A500" s="631"/>
      <c r="B500" s="631"/>
      <c r="C500" s="632"/>
      <c r="D500" s="633"/>
      <c r="E500" s="634"/>
      <c r="F500" s="635"/>
      <c r="G500" s="636"/>
      <c r="H500" s="637"/>
      <c r="I500" s="643"/>
      <c r="J500" s="644"/>
      <c r="K500" s="147"/>
      <c r="L500" s="632"/>
      <c r="M500" s="147"/>
      <c r="N500" s="640"/>
      <c r="O500" s="640"/>
      <c r="P500" s="641"/>
      <c r="Q500" s="642"/>
      <c r="R500" s="147"/>
      <c r="S500" s="147"/>
      <c r="T500" s="147"/>
      <c r="U500" s="147"/>
      <c r="V500" s="147"/>
      <c r="W500" s="147"/>
      <c r="X500" s="147"/>
      <c r="Y500" s="147"/>
      <c r="Z500" s="147"/>
      <c r="AA500" s="147"/>
      <c r="AB500" s="147"/>
      <c r="AC500" s="147"/>
      <c r="AD500" s="147"/>
      <c r="AE500" s="147"/>
      <c r="AF500" s="147"/>
      <c r="AG500" s="147"/>
      <c r="AH500" s="147"/>
      <c r="AI500" s="147"/>
      <c r="AJ500" s="147"/>
      <c r="AK500" s="147"/>
      <c r="AL500" s="147"/>
      <c r="AM500" s="147"/>
      <c r="AN500" s="147"/>
      <c r="AO500" s="147"/>
      <c r="AP500" s="147"/>
      <c r="AQ500" s="147"/>
      <c r="AR500" s="147"/>
      <c r="AS500" s="147"/>
      <c r="AT500" s="147"/>
      <c r="AU500" s="147"/>
      <c r="AV500" s="147"/>
      <c r="AW500" s="147"/>
    </row>
    <row r="501">
      <c r="A501" s="631"/>
      <c r="B501" s="631"/>
      <c r="C501" s="632"/>
      <c r="D501" s="633"/>
      <c r="E501" s="634"/>
      <c r="F501" s="635"/>
      <c r="G501" s="636"/>
      <c r="H501" s="637"/>
      <c r="I501" s="643"/>
      <c r="J501" s="644"/>
      <c r="K501" s="147"/>
      <c r="L501" s="632"/>
      <c r="M501" s="147"/>
      <c r="N501" s="640"/>
      <c r="O501" s="640"/>
      <c r="P501" s="641"/>
      <c r="Q501" s="642"/>
      <c r="R501" s="147"/>
      <c r="S501" s="147"/>
      <c r="T501" s="147"/>
      <c r="U501" s="147"/>
      <c r="V501" s="147"/>
      <c r="W501" s="147"/>
      <c r="X501" s="147"/>
      <c r="Y501" s="147"/>
      <c r="Z501" s="147"/>
      <c r="AA501" s="147"/>
      <c r="AB501" s="147"/>
      <c r="AC501" s="147"/>
      <c r="AD501" s="147"/>
      <c r="AE501" s="147"/>
      <c r="AF501" s="147"/>
      <c r="AG501" s="147"/>
      <c r="AH501" s="147"/>
      <c r="AI501" s="147"/>
      <c r="AJ501" s="147"/>
      <c r="AK501" s="147"/>
      <c r="AL501" s="147"/>
      <c r="AM501" s="147"/>
      <c r="AN501" s="147"/>
      <c r="AO501" s="147"/>
      <c r="AP501" s="147"/>
      <c r="AQ501" s="147"/>
      <c r="AR501" s="147"/>
      <c r="AS501" s="147"/>
      <c r="AT501" s="147"/>
      <c r="AU501" s="147"/>
      <c r="AV501" s="147"/>
      <c r="AW501" s="147"/>
    </row>
    <row r="502">
      <c r="A502" s="631"/>
      <c r="B502" s="631"/>
      <c r="C502" s="632"/>
      <c r="D502" s="633"/>
      <c r="E502" s="634"/>
      <c r="F502" s="635"/>
      <c r="G502" s="636"/>
      <c r="H502" s="637"/>
      <c r="I502" s="643"/>
      <c r="J502" s="644"/>
      <c r="K502" s="147"/>
      <c r="L502" s="632"/>
      <c r="M502" s="147"/>
      <c r="N502" s="640"/>
      <c r="O502" s="640"/>
      <c r="P502" s="641"/>
      <c r="Q502" s="642"/>
      <c r="R502" s="147"/>
      <c r="S502" s="147"/>
      <c r="T502" s="147"/>
      <c r="U502" s="147"/>
      <c r="V502" s="147"/>
      <c r="W502" s="147"/>
      <c r="X502" s="147"/>
      <c r="Y502" s="147"/>
      <c r="Z502" s="147"/>
      <c r="AA502" s="147"/>
      <c r="AB502" s="147"/>
      <c r="AC502" s="147"/>
      <c r="AD502" s="147"/>
      <c r="AE502" s="147"/>
      <c r="AF502" s="147"/>
      <c r="AG502" s="147"/>
      <c r="AH502" s="147"/>
      <c r="AI502" s="147"/>
      <c r="AJ502" s="147"/>
      <c r="AK502" s="147"/>
      <c r="AL502" s="147"/>
      <c r="AM502" s="147"/>
      <c r="AN502" s="147"/>
      <c r="AO502" s="147"/>
      <c r="AP502" s="147"/>
      <c r="AQ502" s="147"/>
      <c r="AR502" s="147"/>
      <c r="AS502" s="147"/>
      <c r="AT502" s="147"/>
      <c r="AU502" s="147"/>
      <c r="AV502" s="147"/>
      <c r="AW502" s="147"/>
    </row>
    <row r="503">
      <c r="A503" s="631"/>
      <c r="B503" s="631"/>
      <c r="C503" s="632"/>
      <c r="D503" s="633"/>
      <c r="E503" s="634"/>
      <c r="F503" s="635"/>
      <c r="G503" s="636"/>
      <c r="H503" s="637"/>
      <c r="I503" s="643"/>
      <c r="J503" s="644"/>
      <c r="K503" s="147"/>
      <c r="L503" s="632"/>
      <c r="M503" s="147"/>
      <c r="N503" s="640"/>
      <c r="O503" s="640"/>
      <c r="P503" s="641"/>
      <c r="Q503" s="642"/>
      <c r="R503" s="147"/>
      <c r="S503" s="147"/>
      <c r="T503" s="147"/>
      <c r="U503" s="147"/>
      <c r="V503" s="147"/>
      <c r="W503" s="147"/>
      <c r="X503" s="147"/>
      <c r="Y503" s="147"/>
      <c r="Z503" s="147"/>
      <c r="AA503" s="147"/>
      <c r="AB503" s="147"/>
      <c r="AC503" s="147"/>
      <c r="AD503" s="147"/>
      <c r="AE503" s="147"/>
      <c r="AF503" s="147"/>
      <c r="AG503" s="147"/>
      <c r="AH503" s="147"/>
      <c r="AI503" s="147"/>
      <c r="AJ503" s="147"/>
      <c r="AK503" s="147"/>
      <c r="AL503" s="147"/>
      <c r="AM503" s="147"/>
      <c r="AN503" s="147"/>
      <c r="AO503" s="147"/>
      <c r="AP503" s="147"/>
      <c r="AQ503" s="147"/>
      <c r="AR503" s="147"/>
      <c r="AS503" s="147"/>
      <c r="AT503" s="147"/>
      <c r="AU503" s="147"/>
      <c r="AV503" s="147"/>
      <c r="AW503" s="147"/>
    </row>
    <row r="504">
      <c r="A504" s="631"/>
      <c r="B504" s="631"/>
      <c r="C504" s="632"/>
      <c r="D504" s="633"/>
      <c r="E504" s="634"/>
      <c r="F504" s="635"/>
      <c r="G504" s="636"/>
      <c r="H504" s="637"/>
      <c r="I504" s="643"/>
      <c r="J504" s="644"/>
      <c r="K504" s="147"/>
      <c r="L504" s="632"/>
      <c r="M504" s="147"/>
      <c r="N504" s="640"/>
      <c r="O504" s="640"/>
      <c r="P504" s="641"/>
      <c r="Q504" s="642"/>
      <c r="R504" s="147"/>
      <c r="S504" s="147"/>
      <c r="T504" s="147"/>
      <c r="U504" s="147"/>
      <c r="V504" s="147"/>
      <c r="W504" s="147"/>
      <c r="X504" s="147"/>
      <c r="Y504" s="147"/>
      <c r="Z504" s="147"/>
      <c r="AA504" s="147"/>
      <c r="AB504" s="147"/>
      <c r="AC504" s="147"/>
      <c r="AD504" s="147"/>
      <c r="AE504" s="147"/>
      <c r="AF504" s="147"/>
      <c r="AG504" s="147"/>
      <c r="AH504" s="147"/>
      <c r="AI504" s="147"/>
      <c r="AJ504" s="147"/>
      <c r="AK504" s="147"/>
      <c r="AL504" s="147"/>
      <c r="AM504" s="147"/>
      <c r="AN504" s="147"/>
      <c r="AO504" s="147"/>
      <c r="AP504" s="147"/>
      <c r="AQ504" s="147"/>
      <c r="AR504" s="147"/>
      <c r="AS504" s="147"/>
      <c r="AT504" s="147"/>
      <c r="AU504" s="147"/>
      <c r="AV504" s="147"/>
      <c r="AW504" s="147"/>
    </row>
    <row r="505">
      <c r="A505" s="631"/>
      <c r="B505" s="631"/>
      <c r="C505" s="632"/>
      <c r="D505" s="633"/>
      <c r="E505" s="634"/>
      <c r="F505" s="635"/>
      <c r="G505" s="636"/>
      <c r="H505" s="637"/>
      <c r="I505" s="643"/>
      <c r="J505" s="644"/>
      <c r="K505" s="147"/>
      <c r="L505" s="632"/>
      <c r="M505" s="147"/>
      <c r="N505" s="640"/>
      <c r="O505" s="640"/>
      <c r="P505" s="641"/>
      <c r="Q505" s="642"/>
      <c r="R505" s="147"/>
      <c r="S505" s="147"/>
      <c r="T505" s="147"/>
      <c r="U505" s="147"/>
      <c r="V505" s="147"/>
      <c r="W505" s="147"/>
      <c r="X505" s="147"/>
      <c r="Y505" s="147"/>
      <c r="Z505" s="147"/>
      <c r="AA505" s="147"/>
      <c r="AB505" s="147"/>
      <c r="AC505" s="147"/>
      <c r="AD505" s="147"/>
      <c r="AE505" s="147"/>
      <c r="AF505" s="147"/>
      <c r="AG505" s="147"/>
      <c r="AH505" s="147"/>
      <c r="AI505" s="147"/>
      <c r="AJ505" s="147"/>
      <c r="AK505" s="147"/>
      <c r="AL505" s="147"/>
      <c r="AM505" s="147"/>
      <c r="AN505" s="147"/>
      <c r="AO505" s="147"/>
      <c r="AP505" s="147"/>
      <c r="AQ505" s="147"/>
      <c r="AR505" s="147"/>
      <c r="AS505" s="147"/>
      <c r="AT505" s="147"/>
      <c r="AU505" s="147"/>
      <c r="AV505" s="147"/>
      <c r="AW505" s="147"/>
    </row>
    <row r="506">
      <c r="A506" s="631"/>
      <c r="B506" s="631"/>
      <c r="C506" s="632"/>
      <c r="D506" s="633"/>
      <c r="E506" s="634"/>
      <c r="F506" s="635"/>
      <c r="G506" s="636"/>
      <c r="H506" s="637"/>
      <c r="I506" s="643"/>
      <c r="J506" s="644"/>
      <c r="K506" s="147"/>
      <c r="L506" s="632"/>
      <c r="M506" s="147"/>
      <c r="N506" s="640"/>
      <c r="O506" s="640"/>
      <c r="P506" s="641"/>
      <c r="Q506" s="642"/>
      <c r="R506" s="147"/>
      <c r="S506" s="147"/>
      <c r="T506" s="147"/>
      <c r="U506" s="147"/>
      <c r="V506" s="147"/>
      <c r="W506" s="147"/>
      <c r="X506" s="147"/>
      <c r="Y506" s="147"/>
      <c r="Z506" s="147"/>
      <c r="AA506" s="147"/>
      <c r="AB506" s="147"/>
      <c r="AC506" s="147"/>
      <c r="AD506" s="147"/>
      <c r="AE506" s="147"/>
      <c r="AF506" s="147"/>
      <c r="AG506" s="147"/>
      <c r="AH506" s="147"/>
      <c r="AI506" s="147"/>
      <c r="AJ506" s="147"/>
      <c r="AK506" s="147"/>
      <c r="AL506" s="147"/>
      <c r="AM506" s="147"/>
      <c r="AN506" s="147"/>
      <c r="AO506" s="147"/>
      <c r="AP506" s="147"/>
      <c r="AQ506" s="147"/>
      <c r="AR506" s="147"/>
      <c r="AS506" s="147"/>
      <c r="AT506" s="147"/>
      <c r="AU506" s="147"/>
      <c r="AV506" s="147"/>
      <c r="AW506" s="147"/>
    </row>
    <row r="507">
      <c r="A507" s="631"/>
      <c r="B507" s="631"/>
      <c r="C507" s="632"/>
      <c r="D507" s="633"/>
      <c r="E507" s="634"/>
      <c r="F507" s="635"/>
      <c r="G507" s="636"/>
      <c r="H507" s="637"/>
      <c r="I507" s="643"/>
      <c r="J507" s="644"/>
      <c r="K507" s="147"/>
      <c r="L507" s="632"/>
      <c r="M507" s="147"/>
      <c r="N507" s="640"/>
      <c r="O507" s="640"/>
      <c r="P507" s="641"/>
      <c r="Q507" s="642"/>
      <c r="R507" s="147"/>
      <c r="S507" s="147"/>
      <c r="T507" s="147"/>
      <c r="U507" s="147"/>
      <c r="V507" s="147"/>
      <c r="W507" s="147"/>
      <c r="X507" s="147"/>
      <c r="Y507" s="147"/>
      <c r="Z507" s="147"/>
      <c r="AA507" s="147"/>
      <c r="AB507" s="147"/>
      <c r="AC507" s="147"/>
      <c r="AD507" s="147"/>
      <c r="AE507" s="147"/>
      <c r="AF507" s="147"/>
      <c r="AG507" s="147"/>
      <c r="AH507" s="147"/>
      <c r="AI507" s="147"/>
      <c r="AJ507" s="147"/>
      <c r="AK507" s="147"/>
      <c r="AL507" s="147"/>
      <c r="AM507" s="147"/>
      <c r="AN507" s="147"/>
      <c r="AO507" s="147"/>
      <c r="AP507" s="147"/>
      <c r="AQ507" s="147"/>
      <c r="AR507" s="147"/>
      <c r="AS507" s="147"/>
      <c r="AT507" s="147"/>
      <c r="AU507" s="147"/>
      <c r="AV507" s="147"/>
      <c r="AW507" s="147"/>
    </row>
    <row r="508">
      <c r="A508" s="631"/>
      <c r="B508" s="631"/>
      <c r="C508" s="632"/>
      <c r="D508" s="633"/>
      <c r="E508" s="634"/>
      <c r="F508" s="635"/>
      <c r="G508" s="636"/>
      <c r="H508" s="637"/>
      <c r="I508" s="643"/>
      <c r="J508" s="644"/>
      <c r="K508" s="147"/>
      <c r="L508" s="632"/>
      <c r="M508" s="147"/>
      <c r="N508" s="640"/>
      <c r="O508" s="640"/>
      <c r="P508" s="641"/>
      <c r="Q508" s="642"/>
      <c r="R508" s="147"/>
      <c r="S508" s="147"/>
      <c r="T508" s="147"/>
      <c r="U508" s="147"/>
      <c r="V508" s="147"/>
      <c r="W508" s="147"/>
      <c r="X508" s="147"/>
      <c r="Y508" s="147"/>
      <c r="Z508" s="147"/>
      <c r="AA508" s="147"/>
      <c r="AB508" s="147"/>
      <c r="AC508" s="147"/>
      <c r="AD508" s="147"/>
      <c r="AE508" s="147"/>
      <c r="AF508" s="147"/>
      <c r="AG508" s="147"/>
      <c r="AH508" s="147"/>
      <c r="AI508" s="147"/>
      <c r="AJ508" s="147"/>
      <c r="AK508" s="147"/>
      <c r="AL508" s="147"/>
      <c r="AM508" s="147"/>
      <c r="AN508" s="147"/>
      <c r="AO508" s="147"/>
      <c r="AP508" s="147"/>
      <c r="AQ508" s="147"/>
      <c r="AR508" s="147"/>
      <c r="AS508" s="147"/>
      <c r="AT508" s="147"/>
      <c r="AU508" s="147"/>
      <c r="AV508" s="147"/>
      <c r="AW508" s="147"/>
    </row>
    <row r="509">
      <c r="A509" s="631"/>
      <c r="B509" s="631"/>
      <c r="C509" s="632"/>
      <c r="D509" s="633"/>
      <c r="E509" s="634"/>
      <c r="F509" s="635"/>
      <c r="G509" s="636"/>
      <c r="H509" s="637"/>
      <c r="I509" s="643"/>
      <c r="J509" s="644"/>
      <c r="K509" s="147"/>
      <c r="L509" s="632"/>
      <c r="M509" s="147"/>
      <c r="N509" s="640"/>
      <c r="O509" s="640"/>
      <c r="P509" s="641"/>
      <c r="Q509" s="642"/>
      <c r="R509" s="147"/>
      <c r="S509" s="147"/>
      <c r="T509" s="147"/>
      <c r="U509" s="147"/>
      <c r="V509" s="147"/>
      <c r="W509" s="147"/>
      <c r="X509" s="147"/>
      <c r="Y509" s="147"/>
      <c r="Z509" s="147"/>
      <c r="AA509" s="147"/>
      <c r="AB509" s="147"/>
      <c r="AC509" s="147"/>
      <c r="AD509" s="147"/>
      <c r="AE509" s="147"/>
      <c r="AF509" s="147"/>
      <c r="AG509" s="147"/>
      <c r="AH509" s="147"/>
      <c r="AI509" s="147"/>
      <c r="AJ509" s="147"/>
      <c r="AK509" s="147"/>
      <c r="AL509" s="147"/>
      <c r="AM509" s="147"/>
      <c r="AN509" s="147"/>
      <c r="AO509" s="147"/>
      <c r="AP509" s="147"/>
      <c r="AQ509" s="147"/>
      <c r="AR509" s="147"/>
      <c r="AS509" s="147"/>
      <c r="AT509" s="147"/>
      <c r="AU509" s="147"/>
      <c r="AV509" s="147"/>
      <c r="AW509" s="147"/>
    </row>
    <row r="510">
      <c r="A510" s="631"/>
      <c r="B510" s="631"/>
      <c r="C510" s="632"/>
      <c r="D510" s="633"/>
      <c r="E510" s="634"/>
      <c r="F510" s="635"/>
      <c r="G510" s="636"/>
      <c r="H510" s="637"/>
      <c r="I510" s="643"/>
      <c r="J510" s="644"/>
      <c r="K510" s="147"/>
      <c r="L510" s="632"/>
      <c r="M510" s="147"/>
      <c r="N510" s="640"/>
      <c r="O510" s="640"/>
      <c r="P510" s="641"/>
      <c r="Q510" s="642"/>
      <c r="R510" s="147"/>
      <c r="S510" s="147"/>
      <c r="T510" s="147"/>
      <c r="U510" s="147"/>
      <c r="V510" s="147"/>
      <c r="W510" s="147"/>
      <c r="X510" s="147"/>
      <c r="Y510" s="147"/>
      <c r="Z510" s="147"/>
      <c r="AA510" s="147"/>
      <c r="AB510" s="147"/>
      <c r="AC510" s="147"/>
      <c r="AD510" s="147"/>
      <c r="AE510" s="147"/>
      <c r="AF510" s="147"/>
      <c r="AG510" s="147"/>
      <c r="AH510" s="147"/>
      <c r="AI510" s="147"/>
      <c r="AJ510" s="147"/>
      <c r="AK510" s="147"/>
      <c r="AL510" s="147"/>
      <c r="AM510" s="147"/>
      <c r="AN510" s="147"/>
      <c r="AO510" s="147"/>
      <c r="AP510" s="147"/>
      <c r="AQ510" s="147"/>
      <c r="AR510" s="147"/>
      <c r="AS510" s="147"/>
      <c r="AT510" s="147"/>
      <c r="AU510" s="147"/>
      <c r="AV510" s="147"/>
      <c r="AW510" s="147"/>
    </row>
    <row r="511">
      <c r="A511" s="631"/>
      <c r="B511" s="631"/>
      <c r="C511" s="632"/>
      <c r="D511" s="633"/>
      <c r="E511" s="634"/>
      <c r="F511" s="635"/>
      <c r="G511" s="636"/>
      <c r="H511" s="637"/>
      <c r="I511" s="643"/>
      <c r="J511" s="644"/>
      <c r="K511" s="147"/>
      <c r="L511" s="632"/>
      <c r="M511" s="147"/>
      <c r="N511" s="640"/>
      <c r="O511" s="640"/>
      <c r="P511" s="641"/>
      <c r="Q511" s="642"/>
      <c r="R511" s="147"/>
      <c r="S511" s="147"/>
      <c r="T511" s="147"/>
      <c r="U511" s="147"/>
      <c r="V511" s="147"/>
      <c r="W511" s="147"/>
      <c r="X511" s="147"/>
      <c r="Y511" s="147"/>
      <c r="Z511" s="147"/>
      <c r="AA511" s="147"/>
      <c r="AB511" s="147"/>
      <c r="AC511" s="147"/>
      <c r="AD511" s="147"/>
      <c r="AE511" s="147"/>
      <c r="AF511" s="147"/>
      <c r="AG511" s="147"/>
      <c r="AH511" s="147"/>
      <c r="AI511" s="147"/>
      <c r="AJ511" s="147"/>
      <c r="AK511" s="147"/>
      <c r="AL511" s="147"/>
      <c r="AM511" s="147"/>
      <c r="AN511" s="147"/>
      <c r="AO511" s="147"/>
      <c r="AP511" s="147"/>
      <c r="AQ511" s="147"/>
      <c r="AR511" s="147"/>
      <c r="AS511" s="147"/>
      <c r="AT511" s="147"/>
      <c r="AU511" s="147"/>
      <c r="AV511" s="147"/>
      <c r="AW511" s="147"/>
    </row>
    <row r="512">
      <c r="A512" s="631"/>
      <c r="B512" s="631"/>
      <c r="C512" s="632"/>
      <c r="D512" s="633"/>
      <c r="E512" s="634"/>
      <c r="F512" s="635"/>
      <c r="G512" s="636"/>
      <c r="H512" s="637"/>
      <c r="I512" s="643"/>
      <c r="J512" s="644"/>
      <c r="K512" s="147"/>
      <c r="L512" s="632"/>
      <c r="M512" s="147"/>
      <c r="N512" s="640"/>
      <c r="O512" s="640"/>
      <c r="P512" s="641"/>
      <c r="Q512" s="642"/>
      <c r="R512" s="147"/>
      <c r="S512" s="147"/>
      <c r="T512" s="147"/>
      <c r="U512" s="147"/>
      <c r="V512" s="147"/>
      <c r="W512" s="147"/>
      <c r="X512" s="147"/>
      <c r="Y512" s="147"/>
      <c r="Z512" s="147"/>
      <c r="AA512" s="147"/>
      <c r="AB512" s="147"/>
      <c r="AC512" s="147"/>
      <c r="AD512" s="147"/>
      <c r="AE512" s="147"/>
      <c r="AF512" s="147"/>
      <c r="AG512" s="147"/>
      <c r="AH512" s="147"/>
      <c r="AI512" s="147"/>
      <c r="AJ512" s="147"/>
      <c r="AK512" s="147"/>
      <c r="AL512" s="147"/>
      <c r="AM512" s="147"/>
      <c r="AN512" s="147"/>
      <c r="AO512" s="147"/>
      <c r="AP512" s="147"/>
      <c r="AQ512" s="147"/>
      <c r="AR512" s="147"/>
      <c r="AS512" s="147"/>
      <c r="AT512" s="147"/>
      <c r="AU512" s="147"/>
      <c r="AV512" s="147"/>
      <c r="AW512" s="147"/>
    </row>
    <row r="513">
      <c r="A513" s="631"/>
      <c r="B513" s="631"/>
      <c r="C513" s="632"/>
      <c r="D513" s="633"/>
      <c r="E513" s="634"/>
      <c r="F513" s="635"/>
      <c r="G513" s="636"/>
      <c r="H513" s="637"/>
      <c r="I513" s="643"/>
      <c r="J513" s="644"/>
      <c r="K513" s="147"/>
      <c r="L513" s="632"/>
      <c r="M513" s="147"/>
      <c r="N513" s="640"/>
      <c r="O513" s="640"/>
      <c r="P513" s="641"/>
      <c r="Q513" s="642"/>
      <c r="R513" s="147"/>
      <c r="S513" s="147"/>
      <c r="T513" s="147"/>
      <c r="U513" s="147"/>
      <c r="V513" s="147"/>
      <c r="W513" s="147"/>
      <c r="X513" s="147"/>
      <c r="Y513" s="147"/>
      <c r="Z513" s="147"/>
      <c r="AA513" s="147"/>
      <c r="AB513" s="147"/>
      <c r="AC513" s="147"/>
      <c r="AD513" s="147"/>
      <c r="AE513" s="147"/>
      <c r="AF513" s="147"/>
      <c r="AG513" s="147"/>
      <c r="AH513" s="147"/>
      <c r="AI513" s="147"/>
      <c r="AJ513" s="147"/>
      <c r="AK513" s="147"/>
      <c r="AL513" s="147"/>
      <c r="AM513" s="147"/>
      <c r="AN513" s="147"/>
      <c r="AO513" s="147"/>
      <c r="AP513" s="147"/>
      <c r="AQ513" s="147"/>
      <c r="AR513" s="147"/>
      <c r="AS513" s="147"/>
      <c r="AT513" s="147"/>
      <c r="AU513" s="147"/>
      <c r="AV513" s="147"/>
      <c r="AW513" s="147"/>
    </row>
    <row r="514">
      <c r="A514" s="631"/>
      <c r="B514" s="631"/>
      <c r="C514" s="632"/>
      <c r="D514" s="633"/>
      <c r="E514" s="634"/>
      <c r="F514" s="635"/>
      <c r="G514" s="636"/>
      <c r="H514" s="637"/>
      <c r="I514" s="643"/>
      <c r="J514" s="644"/>
      <c r="K514" s="147"/>
      <c r="L514" s="632"/>
      <c r="M514" s="147"/>
      <c r="N514" s="640"/>
      <c r="O514" s="640"/>
      <c r="P514" s="641"/>
      <c r="Q514" s="642"/>
      <c r="R514" s="147"/>
      <c r="S514" s="147"/>
      <c r="T514" s="147"/>
      <c r="U514" s="147"/>
      <c r="V514" s="147"/>
      <c r="W514" s="147"/>
      <c r="X514" s="147"/>
      <c r="Y514" s="147"/>
      <c r="Z514" s="147"/>
      <c r="AA514" s="147"/>
      <c r="AB514" s="147"/>
      <c r="AC514" s="147"/>
      <c r="AD514" s="147"/>
      <c r="AE514" s="147"/>
      <c r="AF514" s="147"/>
      <c r="AG514" s="147"/>
      <c r="AH514" s="147"/>
      <c r="AI514" s="147"/>
      <c r="AJ514" s="147"/>
      <c r="AK514" s="147"/>
      <c r="AL514" s="147"/>
      <c r="AM514" s="147"/>
      <c r="AN514" s="147"/>
      <c r="AO514" s="147"/>
      <c r="AP514" s="147"/>
      <c r="AQ514" s="147"/>
      <c r="AR514" s="147"/>
      <c r="AS514" s="147"/>
      <c r="AT514" s="147"/>
      <c r="AU514" s="147"/>
      <c r="AV514" s="147"/>
      <c r="AW514" s="147"/>
    </row>
    <row r="515">
      <c r="A515" s="631"/>
      <c r="B515" s="631"/>
      <c r="C515" s="632"/>
      <c r="D515" s="633"/>
      <c r="E515" s="634"/>
      <c r="F515" s="635"/>
      <c r="G515" s="636"/>
      <c r="H515" s="637"/>
      <c r="I515" s="643"/>
      <c r="J515" s="644"/>
      <c r="K515" s="147"/>
      <c r="L515" s="632"/>
      <c r="M515" s="147"/>
      <c r="N515" s="640"/>
      <c r="O515" s="640"/>
      <c r="P515" s="641"/>
      <c r="Q515" s="642"/>
      <c r="R515" s="147"/>
      <c r="S515" s="147"/>
      <c r="T515" s="147"/>
      <c r="U515" s="147"/>
      <c r="V515" s="147"/>
      <c r="W515" s="147"/>
      <c r="X515" s="147"/>
      <c r="Y515" s="147"/>
      <c r="Z515" s="147"/>
      <c r="AA515" s="147"/>
      <c r="AB515" s="147"/>
      <c r="AC515" s="147"/>
      <c r="AD515" s="147"/>
      <c r="AE515" s="147"/>
      <c r="AF515" s="147"/>
      <c r="AG515" s="147"/>
      <c r="AH515" s="147"/>
      <c r="AI515" s="147"/>
      <c r="AJ515" s="147"/>
      <c r="AK515" s="147"/>
      <c r="AL515" s="147"/>
      <c r="AM515" s="147"/>
      <c r="AN515" s="147"/>
      <c r="AO515" s="147"/>
      <c r="AP515" s="147"/>
      <c r="AQ515" s="147"/>
      <c r="AR515" s="147"/>
      <c r="AS515" s="147"/>
      <c r="AT515" s="147"/>
      <c r="AU515" s="147"/>
      <c r="AV515" s="147"/>
      <c r="AW515" s="147"/>
    </row>
    <row r="516">
      <c r="A516" s="631"/>
      <c r="B516" s="631"/>
      <c r="C516" s="632"/>
      <c r="D516" s="633"/>
      <c r="E516" s="634"/>
      <c r="F516" s="635"/>
      <c r="G516" s="636"/>
      <c r="H516" s="637"/>
      <c r="I516" s="643"/>
      <c r="J516" s="644"/>
      <c r="K516" s="147"/>
      <c r="L516" s="632"/>
      <c r="M516" s="147"/>
      <c r="N516" s="640"/>
      <c r="O516" s="640"/>
      <c r="P516" s="641"/>
      <c r="Q516" s="642"/>
      <c r="R516" s="147"/>
      <c r="S516" s="147"/>
      <c r="T516" s="147"/>
      <c r="U516" s="147"/>
      <c r="V516" s="147"/>
      <c r="W516" s="147"/>
      <c r="X516" s="147"/>
      <c r="Y516" s="147"/>
      <c r="Z516" s="147"/>
      <c r="AA516" s="147"/>
      <c r="AB516" s="147"/>
      <c r="AC516" s="147"/>
      <c r="AD516" s="147"/>
      <c r="AE516" s="147"/>
      <c r="AF516" s="147"/>
      <c r="AG516" s="147"/>
      <c r="AH516" s="147"/>
      <c r="AI516" s="147"/>
      <c r="AJ516" s="147"/>
      <c r="AK516" s="147"/>
      <c r="AL516" s="147"/>
      <c r="AM516" s="147"/>
      <c r="AN516" s="147"/>
      <c r="AO516" s="147"/>
      <c r="AP516" s="147"/>
      <c r="AQ516" s="147"/>
      <c r="AR516" s="147"/>
      <c r="AS516" s="147"/>
      <c r="AT516" s="147"/>
      <c r="AU516" s="147"/>
      <c r="AV516" s="147"/>
      <c r="AW516" s="147"/>
    </row>
    <row r="517">
      <c r="A517" s="631"/>
      <c r="B517" s="631"/>
      <c r="C517" s="632"/>
      <c r="D517" s="633"/>
      <c r="E517" s="634"/>
      <c r="F517" s="635"/>
      <c r="G517" s="636"/>
      <c r="H517" s="637"/>
      <c r="I517" s="643"/>
      <c r="J517" s="644"/>
      <c r="K517" s="147"/>
      <c r="L517" s="632"/>
      <c r="M517" s="147"/>
      <c r="N517" s="640"/>
      <c r="O517" s="640"/>
      <c r="P517" s="641"/>
      <c r="Q517" s="642"/>
      <c r="R517" s="147"/>
      <c r="S517" s="147"/>
      <c r="T517" s="147"/>
      <c r="U517" s="147"/>
      <c r="V517" s="147"/>
      <c r="W517" s="147"/>
      <c r="X517" s="147"/>
      <c r="Y517" s="147"/>
      <c r="Z517" s="147"/>
      <c r="AA517" s="147"/>
      <c r="AB517" s="147"/>
      <c r="AC517" s="147"/>
      <c r="AD517" s="147"/>
      <c r="AE517" s="147"/>
      <c r="AF517" s="147"/>
      <c r="AG517" s="147"/>
      <c r="AH517" s="147"/>
      <c r="AI517" s="147"/>
      <c r="AJ517" s="147"/>
      <c r="AK517" s="147"/>
      <c r="AL517" s="147"/>
      <c r="AM517" s="147"/>
      <c r="AN517" s="147"/>
      <c r="AO517" s="147"/>
      <c r="AP517" s="147"/>
      <c r="AQ517" s="147"/>
      <c r="AR517" s="147"/>
      <c r="AS517" s="147"/>
      <c r="AT517" s="147"/>
      <c r="AU517" s="147"/>
      <c r="AV517" s="147"/>
      <c r="AW517" s="147"/>
    </row>
    <row r="518">
      <c r="A518" s="631"/>
      <c r="B518" s="631"/>
      <c r="C518" s="632"/>
      <c r="D518" s="633"/>
      <c r="E518" s="634"/>
      <c r="F518" s="635"/>
      <c r="G518" s="636"/>
      <c r="H518" s="637"/>
      <c r="I518" s="643"/>
      <c r="J518" s="644"/>
      <c r="K518" s="147"/>
      <c r="L518" s="632"/>
      <c r="M518" s="147"/>
      <c r="N518" s="640"/>
      <c r="O518" s="640"/>
      <c r="P518" s="641"/>
      <c r="Q518" s="642"/>
      <c r="R518" s="147"/>
      <c r="S518" s="147"/>
      <c r="T518" s="147"/>
      <c r="U518" s="147"/>
      <c r="V518" s="147"/>
      <c r="W518" s="147"/>
      <c r="X518" s="147"/>
      <c r="Y518" s="147"/>
      <c r="Z518" s="147"/>
      <c r="AA518" s="147"/>
      <c r="AB518" s="147"/>
      <c r="AC518" s="147"/>
      <c r="AD518" s="147"/>
      <c r="AE518" s="147"/>
      <c r="AF518" s="147"/>
      <c r="AG518" s="147"/>
      <c r="AH518" s="147"/>
      <c r="AI518" s="147"/>
      <c r="AJ518" s="147"/>
      <c r="AK518" s="147"/>
      <c r="AL518" s="147"/>
      <c r="AM518" s="147"/>
      <c r="AN518" s="147"/>
      <c r="AO518" s="147"/>
      <c r="AP518" s="147"/>
      <c r="AQ518" s="147"/>
      <c r="AR518" s="147"/>
      <c r="AS518" s="147"/>
      <c r="AT518" s="147"/>
      <c r="AU518" s="147"/>
      <c r="AV518" s="147"/>
      <c r="AW518" s="147"/>
    </row>
    <row r="519">
      <c r="A519" s="631"/>
      <c r="B519" s="631"/>
      <c r="C519" s="632"/>
      <c r="D519" s="633"/>
      <c r="E519" s="634"/>
      <c r="F519" s="635"/>
      <c r="G519" s="636"/>
      <c r="H519" s="637"/>
      <c r="I519" s="643"/>
      <c r="J519" s="644"/>
      <c r="K519" s="147"/>
      <c r="L519" s="632"/>
      <c r="M519" s="147"/>
      <c r="N519" s="640"/>
      <c r="O519" s="640"/>
      <c r="P519" s="641"/>
      <c r="Q519" s="642"/>
      <c r="R519" s="147"/>
      <c r="S519" s="147"/>
      <c r="T519" s="147"/>
      <c r="U519" s="147"/>
      <c r="V519" s="147"/>
      <c r="W519" s="147"/>
      <c r="X519" s="147"/>
      <c r="Y519" s="147"/>
      <c r="Z519" s="147"/>
      <c r="AA519" s="147"/>
      <c r="AB519" s="147"/>
      <c r="AC519" s="147"/>
      <c r="AD519" s="147"/>
      <c r="AE519" s="147"/>
      <c r="AF519" s="147"/>
      <c r="AG519" s="147"/>
      <c r="AH519" s="147"/>
      <c r="AI519" s="147"/>
      <c r="AJ519" s="147"/>
      <c r="AK519" s="147"/>
      <c r="AL519" s="147"/>
      <c r="AM519" s="147"/>
      <c r="AN519" s="147"/>
      <c r="AO519" s="147"/>
      <c r="AP519" s="147"/>
      <c r="AQ519" s="147"/>
      <c r="AR519" s="147"/>
      <c r="AS519" s="147"/>
      <c r="AT519" s="147"/>
      <c r="AU519" s="147"/>
      <c r="AV519" s="147"/>
      <c r="AW519" s="147"/>
    </row>
    <row r="520">
      <c r="A520" s="631"/>
      <c r="B520" s="631"/>
      <c r="C520" s="632"/>
      <c r="D520" s="633"/>
      <c r="E520" s="634"/>
      <c r="F520" s="635"/>
      <c r="G520" s="636"/>
      <c r="H520" s="637"/>
      <c r="I520" s="643"/>
      <c r="J520" s="644"/>
      <c r="K520" s="147"/>
      <c r="L520" s="632"/>
      <c r="M520" s="147"/>
      <c r="N520" s="640"/>
      <c r="O520" s="640"/>
      <c r="P520" s="641"/>
      <c r="Q520" s="642"/>
      <c r="R520" s="147"/>
      <c r="S520" s="147"/>
      <c r="T520" s="147"/>
      <c r="U520" s="147"/>
      <c r="V520" s="147"/>
      <c r="W520" s="147"/>
      <c r="X520" s="147"/>
      <c r="Y520" s="147"/>
      <c r="Z520" s="147"/>
      <c r="AA520" s="147"/>
      <c r="AB520" s="147"/>
      <c r="AC520" s="147"/>
      <c r="AD520" s="147"/>
      <c r="AE520" s="147"/>
      <c r="AF520" s="147"/>
      <c r="AG520" s="147"/>
      <c r="AH520" s="147"/>
      <c r="AI520" s="147"/>
      <c r="AJ520" s="147"/>
      <c r="AK520" s="147"/>
      <c r="AL520" s="147"/>
      <c r="AM520" s="147"/>
      <c r="AN520" s="147"/>
      <c r="AO520" s="147"/>
      <c r="AP520" s="147"/>
      <c r="AQ520" s="147"/>
      <c r="AR520" s="147"/>
      <c r="AS520" s="147"/>
      <c r="AT520" s="147"/>
      <c r="AU520" s="147"/>
      <c r="AV520" s="147"/>
      <c r="AW520" s="147"/>
    </row>
    <row r="521">
      <c r="A521" s="631"/>
      <c r="B521" s="631"/>
      <c r="C521" s="632"/>
      <c r="D521" s="633"/>
      <c r="E521" s="634"/>
      <c r="F521" s="635"/>
      <c r="G521" s="636"/>
      <c r="H521" s="637"/>
      <c r="I521" s="643"/>
      <c r="J521" s="644"/>
      <c r="K521" s="147"/>
      <c r="L521" s="632"/>
      <c r="M521" s="147"/>
      <c r="N521" s="640"/>
      <c r="O521" s="640"/>
      <c r="P521" s="641"/>
      <c r="Q521" s="642"/>
      <c r="R521" s="147"/>
      <c r="S521" s="147"/>
      <c r="T521" s="147"/>
      <c r="U521" s="147"/>
      <c r="V521" s="147"/>
      <c r="W521" s="147"/>
      <c r="X521" s="147"/>
      <c r="Y521" s="147"/>
      <c r="Z521" s="147"/>
      <c r="AA521" s="147"/>
      <c r="AB521" s="147"/>
      <c r="AC521" s="147"/>
      <c r="AD521" s="147"/>
      <c r="AE521" s="147"/>
      <c r="AF521" s="147"/>
      <c r="AG521" s="147"/>
      <c r="AH521" s="147"/>
      <c r="AI521" s="147"/>
      <c r="AJ521" s="147"/>
      <c r="AK521" s="147"/>
      <c r="AL521" s="147"/>
      <c r="AM521" s="147"/>
      <c r="AN521" s="147"/>
      <c r="AO521" s="147"/>
      <c r="AP521" s="147"/>
      <c r="AQ521" s="147"/>
      <c r="AR521" s="147"/>
      <c r="AS521" s="147"/>
      <c r="AT521" s="147"/>
      <c r="AU521" s="147"/>
      <c r="AV521" s="147"/>
      <c r="AW521" s="147"/>
    </row>
    <row r="522">
      <c r="A522" s="631"/>
      <c r="B522" s="631"/>
      <c r="C522" s="632"/>
      <c r="D522" s="633"/>
      <c r="E522" s="634"/>
      <c r="F522" s="635"/>
      <c r="G522" s="636"/>
      <c r="H522" s="637"/>
      <c r="I522" s="643"/>
      <c r="J522" s="644"/>
      <c r="K522" s="147"/>
      <c r="L522" s="632"/>
      <c r="M522" s="147"/>
      <c r="N522" s="640"/>
      <c r="O522" s="640"/>
      <c r="P522" s="641"/>
      <c r="Q522" s="642"/>
      <c r="R522" s="147"/>
      <c r="S522" s="147"/>
      <c r="T522" s="147"/>
      <c r="U522" s="147"/>
      <c r="V522" s="147"/>
      <c r="W522" s="147"/>
      <c r="X522" s="147"/>
      <c r="Y522" s="147"/>
      <c r="Z522" s="147"/>
      <c r="AA522" s="147"/>
      <c r="AB522" s="147"/>
      <c r="AC522" s="147"/>
      <c r="AD522" s="147"/>
      <c r="AE522" s="147"/>
      <c r="AF522" s="147"/>
      <c r="AG522" s="147"/>
      <c r="AH522" s="147"/>
      <c r="AI522" s="147"/>
      <c r="AJ522" s="147"/>
      <c r="AK522" s="147"/>
      <c r="AL522" s="147"/>
      <c r="AM522" s="147"/>
      <c r="AN522" s="147"/>
      <c r="AO522" s="147"/>
      <c r="AP522" s="147"/>
      <c r="AQ522" s="147"/>
      <c r="AR522" s="147"/>
      <c r="AS522" s="147"/>
      <c r="AT522" s="147"/>
      <c r="AU522" s="147"/>
      <c r="AV522" s="147"/>
      <c r="AW522" s="147"/>
    </row>
    <row r="523">
      <c r="A523" s="631"/>
      <c r="B523" s="631"/>
      <c r="C523" s="632"/>
      <c r="D523" s="633"/>
      <c r="E523" s="634"/>
      <c r="F523" s="635"/>
      <c r="G523" s="636"/>
      <c r="H523" s="637"/>
      <c r="I523" s="643"/>
      <c r="J523" s="644"/>
      <c r="K523" s="147"/>
      <c r="L523" s="632"/>
      <c r="M523" s="147"/>
      <c r="N523" s="640"/>
      <c r="O523" s="640"/>
      <c r="P523" s="641"/>
      <c r="Q523" s="642"/>
      <c r="R523" s="147"/>
      <c r="S523" s="147"/>
      <c r="T523" s="147"/>
      <c r="U523" s="147"/>
      <c r="V523" s="147"/>
      <c r="W523" s="147"/>
      <c r="X523" s="147"/>
      <c r="Y523" s="147"/>
      <c r="Z523" s="147"/>
      <c r="AA523" s="147"/>
      <c r="AB523" s="147"/>
      <c r="AC523" s="147"/>
      <c r="AD523" s="147"/>
      <c r="AE523" s="147"/>
      <c r="AF523" s="147"/>
      <c r="AG523" s="147"/>
      <c r="AH523" s="147"/>
      <c r="AI523" s="147"/>
      <c r="AJ523" s="147"/>
      <c r="AK523" s="147"/>
      <c r="AL523" s="147"/>
      <c r="AM523" s="147"/>
      <c r="AN523" s="147"/>
      <c r="AO523" s="147"/>
      <c r="AP523" s="147"/>
      <c r="AQ523" s="147"/>
      <c r="AR523" s="147"/>
      <c r="AS523" s="147"/>
      <c r="AT523" s="147"/>
      <c r="AU523" s="147"/>
      <c r="AV523" s="147"/>
      <c r="AW523" s="147"/>
    </row>
    <row r="524">
      <c r="A524" s="631"/>
      <c r="B524" s="631"/>
      <c r="C524" s="632"/>
      <c r="D524" s="633"/>
      <c r="E524" s="634"/>
      <c r="F524" s="635"/>
      <c r="G524" s="636"/>
      <c r="H524" s="637"/>
      <c r="I524" s="643"/>
      <c r="J524" s="644"/>
      <c r="K524" s="147"/>
      <c r="L524" s="632"/>
      <c r="M524" s="147"/>
      <c r="N524" s="640"/>
      <c r="O524" s="640"/>
      <c r="P524" s="641"/>
      <c r="Q524" s="642"/>
      <c r="R524" s="147"/>
      <c r="S524" s="147"/>
      <c r="T524" s="147"/>
      <c r="U524" s="147"/>
      <c r="V524" s="147"/>
      <c r="W524" s="147"/>
      <c r="X524" s="147"/>
      <c r="Y524" s="147"/>
      <c r="Z524" s="147"/>
      <c r="AA524" s="147"/>
      <c r="AB524" s="147"/>
      <c r="AC524" s="147"/>
      <c r="AD524" s="147"/>
      <c r="AE524" s="147"/>
      <c r="AF524" s="147"/>
      <c r="AG524" s="147"/>
      <c r="AH524" s="147"/>
      <c r="AI524" s="147"/>
      <c r="AJ524" s="147"/>
      <c r="AK524" s="147"/>
      <c r="AL524" s="147"/>
      <c r="AM524" s="147"/>
      <c r="AN524" s="147"/>
      <c r="AO524" s="147"/>
      <c r="AP524" s="147"/>
      <c r="AQ524" s="147"/>
      <c r="AR524" s="147"/>
      <c r="AS524" s="147"/>
      <c r="AT524" s="147"/>
      <c r="AU524" s="147"/>
      <c r="AV524" s="147"/>
      <c r="AW524" s="147"/>
    </row>
    <row r="525">
      <c r="A525" s="631"/>
      <c r="B525" s="631"/>
      <c r="C525" s="632"/>
      <c r="D525" s="633"/>
      <c r="E525" s="634"/>
      <c r="F525" s="635"/>
      <c r="G525" s="636"/>
      <c r="H525" s="637"/>
      <c r="I525" s="643"/>
      <c r="J525" s="644"/>
      <c r="K525" s="147"/>
      <c r="L525" s="632"/>
      <c r="M525" s="147"/>
      <c r="N525" s="640"/>
      <c r="O525" s="640"/>
      <c r="P525" s="641"/>
      <c r="Q525" s="642"/>
      <c r="R525" s="147"/>
      <c r="S525" s="147"/>
      <c r="T525" s="147"/>
      <c r="U525" s="147"/>
      <c r="V525" s="147"/>
      <c r="W525" s="147"/>
      <c r="X525" s="147"/>
      <c r="Y525" s="147"/>
      <c r="Z525" s="147"/>
      <c r="AA525" s="147"/>
      <c r="AB525" s="147"/>
      <c r="AC525" s="147"/>
      <c r="AD525" s="147"/>
      <c r="AE525" s="147"/>
      <c r="AF525" s="147"/>
      <c r="AG525" s="147"/>
      <c r="AH525" s="147"/>
      <c r="AI525" s="147"/>
      <c r="AJ525" s="147"/>
      <c r="AK525" s="147"/>
      <c r="AL525" s="147"/>
      <c r="AM525" s="147"/>
      <c r="AN525" s="147"/>
      <c r="AO525" s="147"/>
      <c r="AP525" s="147"/>
      <c r="AQ525" s="147"/>
      <c r="AR525" s="147"/>
      <c r="AS525" s="147"/>
      <c r="AT525" s="147"/>
      <c r="AU525" s="147"/>
      <c r="AV525" s="147"/>
      <c r="AW525" s="147"/>
    </row>
    <row r="526">
      <c r="A526" s="631"/>
      <c r="B526" s="631"/>
      <c r="C526" s="632"/>
      <c r="D526" s="633"/>
      <c r="E526" s="634"/>
      <c r="F526" s="635"/>
      <c r="G526" s="636"/>
      <c r="H526" s="637"/>
      <c r="I526" s="643"/>
      <c r="J526" s="644"/>
      <c r="K526" s="147"/>
      <c r="L526" s="632"/>
      <c r="M526" s="147"/>
      <c r="N526" s="640"/>
      <c r="O526" s="640"/>
      <c r="P526" s="641"/>
      <c r="Q526" s="642"/>
      <c r="R526" s="147"/>
      <c r="S526" s="147"/>
      <c r="T526" s="147"/>
      <c r="U526" s="147"/>
      <c r="V526" s="147"/>
      <c r="W526" s="147"/>
      <c r="X526" s="147"/>
      <c r="Y526" s="147"/>
      <c r="Z526" s="147"/>
      <c r="AA526" s="147"/>
      <c r="AB526" s="147"/>
      <c r="AC526" s="147"/>
      <c r="AD526" s="147"/>
      <c r="AE526" s="147"/>
      <c r="AF526" s="147"/>
      <c r="AG526" s="147"/>
      <c r="AH526" s="147"/>
      <c r="AI526" s="147"/>
      <c r="AJ526" s="147"/>
      <c r="AK526" s="147"/>
      <c r="AL526" s="147"/>
      <c r="AM526" s="147"/>
      <c r="AN526" s="147"/>
      <c r="AO526" s="147"/>
      <c r="AP526" s="147"/>
      <c r="AQ526" s="147"/>
      <c r="AR526" s="147"/>
      <c r="AS526" s="147"/>
      <c r="AT526" s="147"/>
      <c r="AU526" s="147"/>
      <c r="AV526" s="147"/>
      <c r="AW526" s="147"/>
    </row>
    <row r="527">
      <c r="A527" s="631"/>
      <c r="B527" s="631"/>
      <c r="C527" s="632"/>
      <c r="D527" s="633"/>
      <c r="E527" s="634"/>
      <c r="F527" s="635"/>
      <c r="G527" s="636"/>
      <c r="H527" s="637"/>
      <c r="I527" s="643"/>
      <c r="J527" s="644"/>
      <c r="K527" s="147"/>
      <c r="L527" s="632"/>
      <c r="M527" s="147"/>
      <c r="N527" s="640"/>
      <c r="O527" s="640"/>
      <c r="P527" s="641"/>
      <c r="Q527" s="642"/>
      <c r="R527" s="147"/>
      <c r="S527" s="147"/>
      <c r="T527" s="147"/>
      <c r="U527" s="147"/>
      <c r="V527" s="147"/>
      <c r="W527" s="147"/>
      <c r="X527" s="147"/>
      <c r="Y527" s="147"/>
      <c r="Z527" s="147"/>
      <c r="AA527" s="147"/>
      <c r="AB527" s="147"/>
      <c r="AC527" s="147"/>
      <c r="AD527" s="147"/>
      <c r="AE527" s="147"/>
      <c r="AF527" s="147"/>
      <c r="AG527" s="147"/>
      <c r="AH527" s="147"/>
      <c r="AI527" s="147"/>
      <c r="AJ527" s="147"/>
      <c r="AK527" s="147"/>
      <c r="AL527" s="147"/>
      <c r="AM527" s="147"/>
      <c r="AN527" s="147"/>
      <c r="AO527" s="147"/>
      <c r="AP527" s="147"/>
      <c r="AQ527" s="147"/>
      <c r="AR527" s="147"/>
      <c r="AS527" s="147"/>
      <c r="AT527" s="147"/>
      <c r="AU527" s="147"/>
      <c r="AV527" s="147"/>
      <c r="AW527" s="147"/>
    </row>
    <row r="528">
      <c r="A528" s="631"/>
      <c r="B528" s="631"/>
      <c r="C528" s="632"/>
      <c r="D528" s="633"/>
      <c r="E528" s="634"/>
      <c r="F528" s="635"/>
      <c r="G528" s="636"/>
      <c r="H528" s="637"/>
      <c r="I528" s="643"/>
      <c r="J528" s="644"/>
      <c r="K528" s="147"/>
      <c r="L528" s="632"/>
      <c r="M528" s="147"/>
      <c r="N528" s="640"/>
      <c r="O528" s="640"/>
      <c r="P528" s="641"/>
      <c r="Q528" s="642"/>
      <c r="R528" s="147"/>
      <c r="S528" s="147"/>
      <c r="T528" s="147"/>
      <c r="U528" s="147"/>
      <c r="V528" s="147"/>
      <c r="W528" s="147"/>
      <c r="X528" s="147"/>
      <c r="Y528" s="147"/>
      <c r="Z528" s="147"/>
      <c r="AA528" s="147"/>
      <c r="AB528" s="147"/>
      <c r="AC528" s="147"/>
      <c r="AD528" s="147"/>
      <c r="AE528" s="147"/>
      <c r="AF528" s="147"/>
      <c r="AG528" s="147"/>
      <c r="AH528" s="147"/>
      <c r="AI528" s="147"/>
      <c r="AJ528" s="147"/>
      <c r="AK528" s="147"/>
      <c r="AL528" s="147"/>
      <c r="AM528" s="147"/>
      <c r="AN528" s="147"/>
      <c r="AO528" s="147"/>
      <c r="AP528" s="147"/>
      <c r="AQ528" s="147"/>
      <c r="AR528" s="147"/>
      <c r="AS528" s="147"/>
      <c r="AT528" s="147"/>
      <c r="AU528" s="147"/>
      <c r="AV528" s="147"/>
      <c r="AW528" s="147"/>
    </row>
    <row r="529">
      <c r="A529" s="631"/>
      <c r="B529" s="631"/>
      <c r="C529" s="632"/>
      <c r="D529" s="633"/>
      <c r="E529" s="634"/>
      <c r="F529" s="635"/>
      <c r="G529" s="636"/>
      <c r="H529" s="637"/>
      <c r="I529" s="643"/>
      <c r="J529" s="644"/>
      <c r="K529" s="147"/>
      <c r="L529" s="632"/>
      <c r="M529" s="147"/>
      <c r="N529" s="640"/>
      <c r="O529" s="640"/>
      <c r="P529" s="641"/>
      <c r="Q529" s="642"/>
      <c r="R529" s="147"/>
      <c r="S529" s="147"/>
      <c r="T529" s="147"/>
      <c r="U529" s="147"/>
      <c r="V529" s="147"/>
      <c r="W529" s="147"/>
      <c r="X529" s="147"/>
      <c r="Y529" s="147"/>
      <c r="Z529" s="147"/>
      <c r="AA529" s="147"/>
      <c r="AB529" s="147"/>
      <c r="AC529" s="147"/>
      <c r="AD529" s="147"/>
      <c r="AE529" s="147"/>
      <c r="AF529" s="147"/>
      <c r="AG529" s="147"/>
      <c r="AH529" s="147"/>
      <c r="AI529" s="147"/>
      <c r="AJ529" s="147"/>
      <c r="AK529" s="147"/>
      <c r="AL529" s="147"/>
      <c r="AM529" s="147"/>
      <c r="AN529" s="147"/>
      <c r="AO529" s="147"/>
      <c r="AP529" s="147"/>
      <c r="AQ529" s="147"/>
      <c r="AR529" s="147"/>
      <c r="AS529" s="147"/>
      <c r="AT529" s="147"/>
      <c r="AU529" s="147"/>
      <c r="AV529" s="147"/>
      <c r="AW529" s="147"/>
    </row>
    <row r="530">
      <c r="A530" s="631"/>
      <c r="B530" s="631"/>
      <c r="C530" s="632"/>
      <c r="D530" s="633"/>
      <c r="E530" s="634"/>
      <c r="F530" s="635"/>
      <c r="G530" s="636"/>
      <c r="H530" s="637"/>
      <c r="I530" s="643"/>
      <c r="J530" s="644"/>
      <c r="K530" s="147"/>
      <c r="L530" s="632"/>
      <c r="M530" s="147"/>
      <c r="N530" s="640"/>
      <c r="O530" s="640"/>
      <c r="P530" s="641"/>
      <c r="Q530" s="642"/>
      <c r="R530" s="147"/>
      <c r="S530" s="147"/>
      <c r="T530" s="147"/>
      <c r="U530" s="147"/>
      <c r="V530" s="147"/>
      <c r="W530" s="147"/>
      <c r="X530" s="147"/>
      <c r="Y530" s="147"/>
      <c r="Z530" s="147"/>
      <c r="AA530" s="147"/>
      <c r="AB530" s="147"/>
      <c r="AC530" s="147"/>
      <c r="AD530" s="147"/>
      <c r="AE530" s="147"/>
      <c r="AF530" s="147"/>
      <c r="AG530" s="147"/>
      <c r="AH530" s="147"/>
      <c r="AI530" s="147"/>
      <c r="AJ530" s="147"/>
      <c r="AK530" s="147"/>
      <c r="AL530" s="147"/>
      <c r="AM530" s="147"/>
      <c r="AN530" s="147"/>
      <c r="AO530" s="147"/>
      <c r="AP530" s="147"/>
      <c r="AQ530" s="147"/>
      <c r="AR530" s="147"/>
      <c r="AS530" s="147"/>
      <c r="AT530" s="147"/>
      <c r="AU530" s="147"/>
      <c r="AV530" s="147"/>
      <c r="AW530" s="147"/>
    </row>
    <row r="531">
      <c r="A531" s="631"/>
      <c r="B531" s="631"/>
      <c r="C531" s="632"/>
      <c r="D531" s="633"/>
      <c r="E531" s="634"/>
      <c r="F531" s="635"/>
      <c r="G531" s="636"/>
      <c r="H531" s="637"/>
      <c r="I531" s="643"/>
      <c r="J531" s="644"/>
      <c r="K531" s="147"/>
      <c r="L531" s="632"/>
      <c r="M531" s="147"/>
      <c r="N531" s="640"/>
      <c r="O531" s="640"/>
      <c r="P531" s="641"/>
      <c r="Q531" s="642"/>
      <c r="R531" s="147"/>
      <c r="S531" s="147"/>
      <c r="T531" s="147"/>
      <c r="U531" s="147"/>
      <c r="V531" s="147"/>
      <c r="W531" s="147"/>
      <c r="X531" s="147"/>
      <c r="Y531" s="147"/>
      <c r="Z531" s="147"/>
      <c r="AA531" s="147"/>
      <c r="AB531" s="147"/>
      <c r="AC531" s="147"/>
      <c r="AD531" s="147"/>
      <c r="AE531" s="147"/>
      <c r="AF531" s="147"/>
      <c r="AG531" s="147"/>
      <c r="AH531" s="147"/>
      <c r="AI531" s="147"/>
      <c r="AJ531" s="147"/>
      <c r="AK531" s="147"/>
      <c r="AL531" s="147"/>
      <c r="AM531" s="147"/>
      <c r="AN531" s="147"/>
      <c r="AO531" s="147"/>
      <c r="AP531" s="147"/>
      <c r="AQ531" s="147"/>
      <c r="AR531" s="147"/>
      <c r="AS531" s="147"/>
      <c r="AT531" s="147"/>
      <c r="AU531" s="147"/>
      <c r="AV531" s="147"/>
      <c r="AW531" s="147"/>
    </row>
    <row r="532">
      <c r="A532" s="631"/>
      <c r="B532" s="631"/>
      <c r="C532" s="632"/>
      <c r="D532" s="633"/>
      <c r="E532" s="634"/>
      <c r="F532" s="635"/>
      <c r="G532" s="636"/>
      <c r="H532" s="637"/>
      <c r="I532" s="643"/>
      <c r="J532" s="644"/>
      <c r="K532" s="147"/>
      <c r="L532" s="632"/>
      <c r="M532" s="147"/>
      <c r="N532" s="640"/>
      <c r="O532" s="640"/>
      <c r="P532" s="641"/>
      <c r="Q532" s="642"/>
      <c r="R532" s="147"/>
      <c r="S532" s="147"/>
      <c r="T532" s="147"/>
      <c r="U532" s="147"/>
      <c r="V532" s="147"/>
      <c r="W532" s="147"/>
      <c r="X532" s="147"/>
      <c r="Y532" s="147"/>
      <c r="Z532" s="147"/>
      <c r="AA532" s="147"/>
      <c r="AB532" s="147"/>
      <c r="AC532" s="147"/>
      <c r="AD532" s="147"/>
      <c r="AE532" s="147"/>
      <c r="AF532" s="147"/>
      <c r="AG532" s="147"/>
      <c r="AH532" s="147"/>
      <c r="AI532" s="147"/>
      <c r="AJ532" s="147"/>
      <c r="AK532" s="147"/>
      <c r="AL532" s="147"/>
      <c r="AM532" s="147"/>
      <c r="AN532" s="147"/>
      <c r="AO532" s="147"/>
      <c r="AP532" s="147"/>
      <c r="AQ532" s="147"/>
      <c r="AR532" s="147"/>
      <c r="AS532" s="147"/>
      <c r="AT532" s="147"/>
      <c r="AU532" s="147"/>
      <c r="AV532" s="147"/>
      <c r="AW532" s="147"/>
    </row>
    <row r="533">
      <c r="A533" s="631"/>
      <c r="B533" s="631"/>
      <c r="C533" s="632"/>
      <c r="D533" s="633"/>
      <c r="E533" s="634"/>
      <c r="F533" s="635"/>
      <c r="G533" s="636"/>
      <c r="H533" s="637"/>
      <c r="I533" s="643"/>
      <c r="J533" s="644"/>
      <c r="K533" s="147"/>
      <c r="L533" s="632"/>
      <c r="M533" s="147"/>
      <c r="N533" s="640"/>
      <c r="O533" s="640"/>
      <c r="P533" s="641"/>
      <c r="Q533" s="642"/>
      <c r="R533" s="147"/>
      <c r="S533" s="147"/>
      <c r="T533" s="147"/>
      <c r="U533" s="147"/>
      <c r="V533" s="147"/>
      <c r="W533" s="147"/>
      <c r="X533" s="147"/>
      <c r="Y533" s="147"/>
      <c r="Z533" s="147"/>
      <c r="AA533" s="147"/>
      <c r="AB533" s="147"/>
      <c r="AC533" s="147"/>
      <c r="AD533" s="147"/>
      <c r="AE533" s="147"/>
      <c r="AF533" s="147"/>
      <c r="AG533" s="147"/>
      <c r="AH533" s="147"/>
      <c r="AI533" s="147"/>
      <c r="AJ533" s="147"/>
      <c r="AK533" s="147"/>
      <c r="AL533" s="147"/>
      <c r="AM533" s="147"/>
      <c r="AN533" s="147"/>
      <c r="AO533" s="147"/>
      <c r="AP533" s="147"/>
      <c r="AQ533" s="147"/>
      <c r="AR533" s="147"/>
      <c r="AS533" s="147"/>
      <c r="AT533" s="147"/>
      <c r="AU533" s="147"/>
      <c r="AV533" s="147"/>
      <c r="AW533" s="147"/>
    </row>
    <row r="534">
      <c r="A534" s="631"/>
      <c r="B534" s="631"/>
      <c r="C534" s="632"/>
      <c r="D534" s="633"/>
      <c r="E534" s="634"/>
      <c r="F534" s="635"/>
      <c r="G534" s="636"/>
      <c r="H534" s="637"/>
      <c r="I534" s="643"/>
      <c r="J534" s="644"/>
      <c r="K534" s="147"/>
      <c r="L534" s="632"/>
      <c r="M534" s="147"/>
      <c r="N534" s="640"/>
      <c r="O534" s="640"/>
      <c r="P534" s="641"/>
      <c r="Q534" s="642"/>
      <c r="R534" s="147"/>
      <c r="S534" s="147"/>
      <c r="T534" s="147"/>
      <c r="U534" s="147"/>
      <c r="V534" s="147"/>
      <c r="W534" s="147"/>
      <c r="X534" s="147"/>
      <c r="Y534" s="147"/>
      <c r="Z534" s="147"/>
      <c r="AA534" s="147"/>
      <c r="AB534" s="147"/>
      <c r="AC534" s="147"/>
      <c r="AD534" s="147"/>
      <c r="AE534" s="147"/>
      <c r="AF534" s="147"/>
      <c r="AG534" s="147"/>
      <c r="AH534" s="147"/>
      <c r="AI534" s="147"/>
      <c r="AJ534" s="147"/>
      <c r="AK534" s="147"/>
      <c r="AL534" s="147"/>
      <c r="AM534" s="147"/>
      <c r="AN534" s="147"/>
      <c r="AO534" s="147"/>
      <c r="AP534" s="147"/>
      <c r="AQ534" s="147"/>
      <c r="AR534" s="147"/>
      <c r="AS534" s="147"/>
      <c r="AT534" s="147"/>
      <c r="AU534" s="147"/>
      <c r="AV534" s="147"/>
      <c r="AW534" s="147"/>
    </row>
    <row r="535">
      <c r="A535" s="631"/>
      <c r="B535" s="631"/>
      <c r="C535" s="632"/>
      <c r="D535" s="633"/>
      <c r="E535" s="634"/>
      <c r="F535" s="635"/>
      <c r="G535" s="636"/>
      <c r="H535" s="637"/>
      <c r="I535" s="643"/>
      <c r="J535" s="644"/>
      <c r="K535" s="147"/>
      <c r="L535" s="632"/>
      <c r="M535" s="147"/>
      <c r="N535" s="640"/>
      <c r="O535" s="640"/>
      <c r="P535" s="641"/>
      <c r="Q535" s="642"/>
      <c r="R535" s="147"/>
      <c r="S535" s="147"/>
      <c r="T535" s="147"/>
      <c r="U535" s="147"/>
      <c r="V535" s="147"/>
      <c r="W535" s="147"/>
      <c r="X535" s="147"/>
      <c r="Y535" s="147"/>
      <c r="Z535" s="147"/>
      <c r="AA535" s="147"/>
      <c r="AB535" s="147"/>
      <c r="AC535" s="147"/>
      <c r="AD535" s="147"/>
      <c r="AE535" s="147"/>
      <c r="AF535" s="147"/>
      <c r="AG535" s="147"/>
      <c r="AH535" s="147"/>
      <c r="AI535" s="147"/>
      <c r="AJ535" s="147"/>
      <c r="AK535" s="147"/>
      <c r="AL535" s="147"/>
      <c r="AM535" s="147"/>
      <c r="AN535" s="147"/>
      <c r="AO535" s="147"/>
      <c r="AP535" s="147"/>
      <c r="AQ535" s="147"/>
      <c r="AR535" s="147"/>
      <c r="AS535" s="147"/>
      <c r="AT535" s="147"/>
      <c r="AU535" s="147"/>
      <c r="AV535" s="147"/>
      <c r="AW535" s="147"/>
    </row>
    <row r="536">
      <c r="A536" s="631"/>
      <c r="B536" s="631"/>
      <c r="C536" s="632"/>
      <c r="D536" s="633"/>
      <c r="E536" s="634"/>
      <c r="F536" s="635"/>
      <c r="G536" s="636"/>
      <c r="H536" s="637"/>
      <c r="I536" s="643"/>
      <c r="J536" s="644"/>
      <c r="K536" s="147"/>
      <c r="L536" s="632"/>
      <c r="M536" s="147"/>
      <c r="N536" s="640"/>
      <c r="O536" s="640"/>
      <c r="P536" s="641"/>
      <c r="Q536" s="642"/>
      <c r="R536" s="147"/>
      <c r="S536" s="147"/>
      <c r="T536" s="147"/>
      <c r="U536" s="147"/>
      <c r="V536" s="147"/>
      <c r="W536" s="147"/>
      <c r="X536" s="147"/>
      <c r="Y536" s="147"/>
      <c r="Z536" s="147"/>
      <c r="AA536" s="147"/>
      <c r="AB536" s="147"/>
      <c r="AC536" s="147"/>
      <c r="AD536" s="147"/>
      <c r="AE536" s="147"/>
      <c r="AF536" s="147"/>
      <c r="AG536" s="147"/>
      <c r="AH536" s="147"/>
      <c r="AI536" s="147"/>
      <c r="AJ536" s="147"/>
      <c r="AK536" s="147"/>
      <c r="AL536" s="147"/>
      <c r="AM536" s="147"/>
      <c r="AN536" s="147"/>
      <c r="AO536" s="147"/>
      <c r="AP536" s="147"/>
      <c r="AQ536" s="147"/>
      <c r="AR536" s="147"/>
      <c r="AS536" s="147"/>
      <c r="AT536" s="147"/>
      <c r="AU536" s="147"/>
      <c r="AV536" s="147"/>
      <c r="AW536" s="147"/>
    </row>
    <row r="537">
      <c r="A537" s="631"/>
      <c r="B537" s="631"/>
      <c r="C537" s="632"/>
      <c r="D537" s="633"/>
      <c r="E537" s="634"/>
      <c r="F537" s="635"/>
      <c r="G537" s="636"/>
      <c r="H537" s="637"/>
      <c r="I537" s="643"/>
      <c r="J537" s="644"/>
      <c r="K537" s="147"/>
      <c r="L537" s="632"/>
      <c r="M537" s="147"/>
      <c r="N537" s="640"/>
      <c r="O537" s="640"/>
      <c r="P537" s="641"/>
      <c r="Q537" s="642"/>
      <c r="R537" s="147"/>
      <c r="S537" s="147"/>
      <c r="T537" s="147"/>
      <c r="U537" s="147"/>
      <c r="V537" s="147"/>
      <c r="W537" s="147"/>
      <c r="X537" s="147"/>
      <c r="Y537" s="147"/>
      <c r="Z537" s="147"/>
      <c r="AA537" s="147"/>
      <c r="AB537" s="147"/>
      <c r="AC537" s="147"/>
      <c r="AD537" s="147"/>
      <c r="AE537" s="147"/>
      <c r="AF537" s="147"/>
      <c r="AG537" s="147"/>
      <c r="AH537" s="147"/>
      <c r="AI537" s="147"/>
      <c r="AJ537" s="147"/>
      <c r="AK537" s="147"/>
      <c r="AL537" s="147"/>
      <c r="AM537" s="147"/>
      <c r="AN537" s="147"/>
      <c r="AO537" s="147"/>
      <c r="AP537" s="147"/>
      <c r="AQ537" s="147"/>
      <c r="AR537" s="147"/>
      <c r="AS537" s="147"/>
      <c r="AT537" s="147"/>
      <c r="AU537" s="147"/>
      <c r="AV537" s="147"/>
      <c r="AW537" s="147"/>
    </row>
    <row r="538">
      <c r="A538" s="631"/>
      <c r="B538" s="631"/>
      <c r="C538" s="632"/>
      <c r="D538" s="633"/>
      <c r="E538" s="634"/>
      <c r="F538" s="635"/>
      <c r="G538" s="636"/>
      <c r="H538" s="637"/>
      <c r="I538" s="643"/>
      <c r="J538" s="644"/>
      <c r="K538" s="147"/>
      <c r="L538" s="632"/>
      <c r="M538" s="147"/>
      <c r="N538" s="640"/>
      <c r="O538" s="640"/>
      <c r="P538" s="641"/>
      <c r="Q538" s="642"/>
      <c r="R538" s="147"/>
      <c r="S538" s="147"/>
      <c r="T538" s="147"/>
      <c r="U538" s="147"/>
      <c r="V538" s="147"/>
      <c r="W538" s="147"/>
      <c r="X538" s="147"/>
      <c r="Y538" s="147"/>
      <c r="Z538" s="147"/>
      <c r="AA538" s="147"/>
      <c r="AB538" s="147"/>
      <c r="AC538" s="147"/>
      <c r="AD538" s="147"/>
      <c r="AE538" s="147"/>
      <c r="AF538" s="147"/>
      <c r="AG538" s="147"/>
      <c r="AH538" s="147"/>
      <c r="AI538" s="147"/>
      <c r="AJ538" s="147"/>
      <c r="AK538" s="147"/>
      <c r="AL538" s="147"/>
      <c r="AM538" s="147"/>
      <c r="AN538" s="147"/>
      <c r="AO538" s="147"/>
      <c r="AP538" s="147"/>
      <c r="AQ538" s="147"/>
      <c r="AR538" s="147"/>
      <c r="AS538" s="147"/>
      <c r="AT538" s="147"/>
      <c r="AU538" s="147"/>
      <c r="AV538" s="147"/>
      <c r="AW538" s="147"/>
    </row>
    <row r="539">
      <c r="A539" s="631"/>
      <c r="B539" s="631"/>
      <c r="C539" s="632"/>
      <c r="D539" s="633"/>
      <c r="E539" s="634"/>
      <c r="F539" s="635"/>
      <c r="G539" s="636"/>
      <c r="H539" s="637"/>
      <c r="I539" s="643"/>
      <c r="J539" s="644"/>
      <c r="K539" s="147"/>
      <c r="L539" s="632"/>
      <c r="M539" s="147"/>
      <c r="N539" s="640"/>
      <c r="O539" s="640"/>
      <c r="P539" s="641"/>
      <c r="Q539" s="642"/>
      <c r="R539" s="147"/>
      <c r="S539" s="147"/>
      <c r="T539" s="147"/>
      <c r="U539" s="147"/>
      <c r="V539" s="147"/>
      <c r="W539" s="147"/>
      <c r="X539" s="147"/>
      <c r="Y539" s="147"/>
      <c r="Z539" s="147"/>
      <c r="AA539" s="147"/>
      <c r="AB539" s="147"/>
      <c r="AC539" s="147"/>
      <c r="AD539" s="147"/>
      <c r="AE539" s="147"/>
      <c r="AF539" s="147"/>
      <c r="AG539" s="147"/>
      <c r="AH539" s="147"/>
      <c r="AI539" s="147"/>
      <c r="AJ539" s="147"/>
      <c r="AK539" s="147"/>
      <c r="AL539" s="147"/>
      <c r="AM539" s="147"/>
      <c r="AN539" s="147"/>
      <c r="AO539" s="147"/>
      <c r="AP539" s="147"/>
      <c r="AQ539" s="147"/>
      <c r="AR539" s="147"/>
      <c r="AS539" s="147"/>
      <c r="AT539" s="147"/>
      <c r="AU539" s="147"/>
      <c r="AV539" s="147"/>
      <c r="AW539" s="147"/>
    </row>
    <row r="540">
      <c r="A540" s="631"/>
      <c r="B540" s="631"/>
      <c r="C540" s="632"/>
      <c r="D540" s="633"/>
      <c r="E540" s="634"/>
      <c r="F540" s="635"/>
      <c r="G540" s="636"/>
      <c r="H540" s="637"/>
      <c r="I540" s="643"/>
      <c r="J540" s="644"/>
      <c r="K540" s="147"/>
      <c r="L540" s="632"/>
      <c r="M540" s="147"/>
      <c r="N540" s="640"/>
      <c r="O540" s="640"/>
      <c r="P540" s="641"/>
      <c r="Q540" s="642"/>
      <c r="R540" s="147"/>
      <c r="S540" s="147"/>
      <c r="T540" s="147"/>
      <c r="U540" s="147"/>
      <c r="V540" s="147"/>
      <c r="W540" s="147"/>
      <c r="X540" s="147"/>
      <c r="Y540" s="147"/>
      <c r="Z540" s="147"/>
      <c r="AA540" s="147"/>
      <c r="AB540" s="147"/>
      <c r="AC540" s="147"/>
      <c r="AD540" s="147"/>
      <c r="AE540" s="147"/>
      <c r="AF540" s="147"/>
      <c r="AG540" s="147"/>
      <c r="AH540" s="147"/>
      <c r="AI540" s="147"/>
      <c r="AJ540" s="147"/>
      <c r="AK540" s="147"/>
      <c r="AL540" s="147"/>
      <c r="AM540" s="147"/>
      <c r="AN540" s="147"/>
      <c r="AO540" s="147"/>
      <c r="AP540" s="147"/>
      <c r="AQ540" s="147"/>
      <c r="AR540" s="147"/>
      <c r="AS540" s="147"/>
      <c r="AT540" s="147"/>
      <c r="AU540" s="147"/>
      <c r="AV540" s="147"/>
      <c r="AW540" s="147"/>
    </row>
    <row r="541">
      <c r="A541" s="631"/>
      <c r="B541" s="631"/>
      <c r="C541" s="632"/>
      <c r="D541" s="633"/>
      <c r="E541" s="634"/>
      <c r="F541" s="635"/>
      <c r="G541" s="636"/>
      <c r="H541" s="637"/>
      <c r="I541" s="643"/>
      <c r="J541" s="644"/>
      <c r="K541" s="147"/>
      <c r="L541" s="632"/>
      <c r="M541" s="147"/>
      <c r="N541" s="640"/>
      <c r="O541" s="640"/>
      <c r="P541" s="641"/>
      <c r="Q541" s="642"/>
      <c r="R541" s="147"/>
      <c r="S541" s="147"/>
      <c r="T541" s="147"/>
      <c r="U541" s="147"/>
      <c r="V541" s="147"/>
      <c r="W541" s="147"/>
      <c r="X541" s="147"/>
      <c r="Y541" s="147"/>
      <c r="Z541" s="147"/>
      <c r="AA541" s="147"/>
      <c r="AB541" s="147"/>
      <c r="AC541" s="147"/>
      <c r="AD541" s="147"/>
      <c r="AE541" s="147"/>
      <c r="AF541" s="147"/>
      <c r="AG541" s="147"/>
      <c r="AH541" s="147"/>
      <c r="AI541" s="147"/>
      <c r="AJ541" s="147"/>
      <c r="AK541" s="147"/>
      <c r="AL541" s="147"/>
      <c r="AM541" s="147"/>
      <c r="AN541" s="147"/>
      <c r="AO541" s="147"/>
      <c r="AP541" s="147"/>
      <c r="AQ541" s="147"/>
      <c r="AR541" s="147"/>
      <c r="AS541" s="147"/>
      <c r="AT541" s="147"/>
      <c r="AU541" s="147"/>
      <c r="AV541" s="147"/>
      <c r="AW541" s="147"/>
    </row>
    <row r="542">
      <c r="A542" s="631"/>
      <c r="B542" s="631"/>
      <c r="C542" s="632"/>
      <c r="D542" s="633"/>
      <c r="E542" s="634"/>
      <c r="F542" s="635"/>
      <c r="G542" s="636"/>
      <c r="H542" s="637"/>
      <c r="I542" s="643"/>
      <c r="J542" s="644"/>
      <c r="K542" s="147"/>
      <c r="L542" s="632"/>
      <c r="M542" s="147"/>
      <c r="N542" s="640"/>
      <c r="O542" s="640"/>
      <c r="P542" s="641"/>
      <c r="Q542" s="642"/>
      <c r="R542" s="147"/>
      <c r="S542" s="147"/>
      <c r="T542" s="147"/>
      <c r="U542" s="147"/>
      <c r="V542" s="147"/>
      <c r="W542" s="147"/>
      <c r="X542" s="147"/>
      <c r="Y542" s="147"/>
      <c r="Z542" s="147"/>
      <c r="AA542" s="147"/>
      <c r="AB542" s="147"/>
      <c r="AC542" s="147"/>
      <c r="AD542" s="147"/>
      <c r="AE542" s="147"/>
      <c r="AF542" s="147"/>
      <c r="AG542" s="147"/>
      <c r="AH542" s="147"/>
      <c r="AI542" s="147"/>
      <c r="AJ542" s="147"/>
      <c r="AK542" s="147"/>
      <c r="AL542" s="147"/>
      <c r="AM542" s="147"/>
      <c r="AN542" s="147"/>
      <c r="AO542" s="147"/>
      <c r="AP542" s="147"/>
      <c r="AQ542" s="147"/>
      <c r="AR542" s="147"/>
      <c r="AS542" s="147"/>
      <c r="AT542" s="147"/>
      <c r="AU542" s="147"/>
      <c r="AV542" s="147"/>
      <c r="AW542" s="147"/>
    </row>
    <row r="543">
      <c r="A543" s="631"/>
      <c r="B543" s="631"/>
      <c r="C543" s="632"/>
      <c r="D543" s="633"/>
      <c r="E543" s="634"/>
      <c r="F543" s="635"/>
      <c r="G543" s="636"/>
      <c r="H543" s="637"/>
      <c r="I543" s="643"/>
      <c r="J543" s="644"/>
      <c r="K543" s="147"/>
      <c r="L543" s="632"/>
      <c r="M543" s="147"/>
      <c r="N543" s="640"/>
      <c r="O543" s="640"/>
      <c r="P543" s="641"/>
      <c r="Q543" s="642"/>
      <c r="R543" s="147"/>
      <c r="S543" s="147"/>
      <c r="T543" s="147"/>
      <c r="U543" s="147"/>
      <c r="V543" s="147"/>
      <c r="W543" s="147"/>
      <c r="X543" s="147"/>
      <c r="Y543" s="147"/>
      <c r="Z543" s="147"/>
      <c r="AA543" s="147"/>
      <c r="AB543" s="147"/>
      <c r="AC543" s="147"/>
      <c r="AD543" s="147"/>
      <c r="AE543" s="147"/>
      <c r="AF543" s="147"/>
      <c r="AG543" s="147"/>
      <c r="AH543" s="147"/>
      <c r="AI543" s="147"/>
      <c r="AJ543" s="147"/>
      <c r="AK543" s="147"/>
      <c r="AL543" s="147"/>
      <c r="AM543" s="147"/>
      <c r="AN543" s="147"/>
      <c r="AO543" s="147"/>
      <c r="AP543" s="147"/>
      <c r="AQ543" s="147"/>
      <c r="AR543" s="147"/>
      <c r="AS543" s="147"/>
      <c r="AT543" s="147"/>
      <c r="AU543" s="147"/>
      <c r="AV543" s="147"/>
      <c r="AW543" s="147"/>
    </row>
    <row r="544">
      <c r="A544" s="631"/>
      <c r="B544" s="631"/>
      <c r="C544" s="632"/>
      <c r="D544" s="633"/>
      <c r="E544" s="634"/>
      <c r="F544" s="635"/>
      <c r="G544" s="636"/>
      <c r="H544" s="637"/>
      <c r="I544" s="643"/>
      <c r="J544" s="644"/>
      <c r="K544" s="147"/>
      <c r="L544" s="632"/>
      <c r="M544" s="147"/>
      <c r="N544" s="640"/>
      <c r="O544" s="640"/>
      <c r="P544" s="641"/>
      <c r="Q544" s="642"/>
      <c r="R544" s="147"/>
      <c r="S544" s="147"/>
      <c r="T544" s="147"/>
      <c r="U544" s="147"/>
      <c r="V544" s="147"/>
      <c r="W544" s="147"/>
      <c r="X544" s="147"/>
      <c r="Y544" s="147"/>
      <c r="Z544" s="147"/>
      <c r="AA544" s="147"/>
      <c r="AB544" s="147"/>
      <c r="AC544" s="147"/>
      <c r="AD544" s="147"/>
      <c r="AE544" s="147"/>
      <c r="AF544" s="147"/>
      <c r="AG544" s="147"/>
      <c r="AH544" s="147"/>
      <c r="AI544" s="147"/>
      <c r="AJ544" s="147"/>
      <c r="AK544" s="147"/>
      <c r="AL544" s="147"/>
      <c r="AM544" s="147"/>
      <c r="AN544" s="147"/>
      <c r="AO544" s="147"/>
      <c r="AP544" s="147"/>
      <c r="AQ544" s="147"/>
      <c r="AR544" s="147"/>
      <c r="AS544" s="147"/>
      <c r="AT544" s="147"/>
      <c r="AU544" s="147"/>
      <c r="AV544" s="147"/>
      <c r="AW544" s="147"/>
    </row>
    <row r="545">
      <c r="A545" s="631"/>
      <c r="B545" s="631"/>
      <c r="C545" s="632"/>
      <c r="D545" s="633"/>
      <c r="E545" s="634"/>
      <c r="F545" s="635"/>
      <c r="G545" s="636"/>
      <c r="H545" s="637"/>
      <c r="I545" s="643"/>
      <c r="J545" s="644"/>
      <c r="K545" s="147"/>
      <c r="L545" s="632"/>
      <c r="M545" s="147"/>
      <c r="N545" s="640"/>
      <c r="O545" s="640"/>
      <c r="P545" s="641"/>
      <c r="Q545" s="642"/>
      <c r="R545" s="147"/>
      <c r="S545" s="147"/>
      <c r="T545" s="147"/>
      <c r="U545" s="147"/>
      <c r="V545" s="147"/>
      <c r="W545" s="147"/>
      <c r="X545" s="147"/>
      <c r="Y545" s="147"/>
      <c r="Z545" s="147"/>
      <c r="AA545" s="147"/>
      <c r="AB545" s="147"/>
      <c r="AC545" s="147"/>
      <c r="AD545" s="147"/>
      <c r="AE545" s="147"/>
      <c r="AF545" s="147"/>
      <c r="AG545" s="147"/>
      <c r="AH545" s="147"/>
      <c r="AI545" s="147"/>
      <c r="AJ545" s="147"/>
      <c r="AK545" s="147"/>
      <c r="AL545" s="147"/>
      <c r="AM545" s="147"/>
      <c r="AN545" s="147"/>
      <c r="AO545" s="147"/>
      <c r="AP545" s="147"/>
      <c r="AQ545" s="147"/>
      <c r="AR545" s="147"/>
      <c r="AS545" s="147"/>
      <c r="AT545" s="147"/>
      <c r="AU545" s="147"/>
      <c r="AV545" s="147"/>
      <c r="AW545" s="147"/>
    </row>
    <row r="546">
      <c r="A546" s="631"/>
      <c r="B546" s="631"/>
      <c r="C546" s="632"/>
      <c r="D546" s="633"/>
      <c r="E546" s="634"/>
      <c r="F546" s="635"/>
      <c r="G546" s="636"/>
      <c r="H546" s="637"/>
      <c r="I546" s="643"/>
      <c r="J546" s="644"/>
      <c r="K546" s="147"/>
      <c r="L546" s="632"/>
      <c r="M546" s="147"/>
      <c r="N546" s="640"/>
      <c r="O546" s="640"/>
      <c r="P546" s="641"/>
      <c r="Q546" s="642"/>
      <c r="R546" s="147"/>
      <c r="S546" s="147"/>
      <c r="T546" s="147"/>
      <c r="U546" s="147"/>
      <c r="V546" s="147"/>
      <c r="W546" s="147"/>
      <c r="X546" s="147"/>
      <c r="Y546" s="147"/>
      <c r="Z546" s="147"/>
      <c r="AA546" s="147"/>
      <c r="AB546" s="147"/>
      <c r="AC546" s="147"/>
      <c r="AD546" s="147"/>
      <c r="AE546" s="147"/>
      <c r="AF546" s="147"/>
      <c r="AG546" s="147"/>
      <c r="AH546" s="147"/>
      <c r="AI546" s="147"/>
      <c r="AJ546" s="147"/>
      <c r="AK546" s="147"/>
      <c r="AL546" s="147"/>
      <c r="AM546" s="147"/>
      <c r="AN546" s="147"/>
      <c r="AO546" s="147"/>
      <c r="AP546" s="147"/>
      <c r="AQ546" s="147"/>
      <c r="AR546" s="147"/>
      <c r="AS546" s="147"/>
      <c r="AT546" s="147"/>
      <c r="AU546" s="147"/>
      <c r="AV546" s="147"/>
      <c r="AW546" s="147"/>
    </row>
    <row r="547">
      <c r="A547" s="631"/>
      <c r="B547" s="631"/>
      <c r="C547" s="632"/>
      <c r="D547" s="633"/>
      <c r="E547" s="634"/>
      <c r="F547" s="635"/>
      <c r="G547" s="636"/>
      <c r="H547" s="637"/>
      <c r="I547" s="643"/>
      <c r="J547" s="644"/>
      <c r="K547" s="147"/>
      <c r="L547" s="632"/>
      <c r="M547" s="147"/>
      <c r="N547" s="640"/>
      <c r="O547" s="640"/>
      <c r="P547" s="641"/>
      <c r="Q547" s="642"/>
      <c r="R547" s="147"/>
      <c r="S547" s="147"/>
      <c r="T547" s="147"/>
      <c r="U547" s="147"/>
      <c r="V547" s="147"/>
      <c r="W547" s="147"/>
      <c r="X547" s="147"/>
      <c r="Y547" s="147"/>
      <c r="Z547" s="147"/>
      <c r="AA547" s="147"/>
      <c r="AB547" s="147"/>
      <c r="AC547" s="147"/>
      <c r="AD547" s="147"/>
      <c r="AE547" s="147"/>
      <c r="AF547" s="147"/>
      <c r="AG547" s="147"/>
      <c r="AH547" s="147"/>
      <c r="AI547" s="147"/>
      <c r="AJ547" s="147"/>
      <c r="AK547" s="147"/>
      <c r="AL547" s="147"/>
      <c r="AM547" s="147"/>
      <c r="AN547" s="147"/>
      <c r="AO547" s="147"/>
      <c r="AP547" s="147"/>
      <c r="AQ547" s="147"/>
      <c r="AR547" s="147"/>
      <c r="AS547" s="147"/>
      <c r="AT547" s="147"/>
      <c r="AU547" s="147"/>
      <c r="AV547" s="147"/>
      <c r="AW547" s="147"/>
    </row>
    <row r="548">
      <c r="A548" s="631"/>
      <c r="B548" s="631"/>
      <c r="C548" s="632"/>
      <c r="D548" s="633"/>
      <c r="E548" s="634"/>
      <c r="F548" s="635"/>
      <c r="G548" s="636"/>
      <c r="H548" s="637"/>
      <c r="I548" s="643"/>
      <c r="J548" s="644"/>
      <c r="K548" s="147"/>
      <c r="L548" s="632"/>
      <c r="M548" s="147"/>
      <c r="N548" s="640"/>
      <c r="O548" s="640"/>
      <c r="P548" s="641"/>
      <c r="Q548" s="642"/>
      <c r="R548" s="147"/>
      <c r="S548" s="147"/>
      <c r="T548" s="147"/>
      <c r="U548" s="147"/>
      <c r="V548" s="147"/>
      <c r="W548" s="147"/>
      <c r="X548" s="147"/>
      <c r="Y548" s="147"/>
      <c r="Z548" s="147"/>
      <c r="AA548" s="147"/>
      <c r="AB548" s="147"/>
      <c r="AC548" s="147"/>
      <c r="AD548" s="147"/>
      <c r="AE548" s="147"/>
      <c r="AF548" s="147"/>
      <c r="AG548" s="147"/>
      <c r="AH548" s="147"/>
      <c r="AI548" s="147"/>
      <c r="AJ548" s="147"/>
      <c r="AK548" s="147"/>
      <c r="AL548" s="147"/>
      <c r="AM548" s="147"/>
      <c r="AN548" s="147"/>
      <c r="AO548" s="147"/>
      <c r="AP548" s="147"/>
      <c r="AQ548" s="147"/>
      <c r="AR548" s="147"/>
      <c r="AS548" s="147"/>
      <c r="AT548" s="147"/>
      <c r="AU548" s="147"/>
      <c r="AV548" s="147"/>
      <c r="AW548" s="147"/>
    </row>
    <row r="549">
      <c r="A549" s="631"/>
      <c r="B549" s="631"/>
      <c r="C549" s="632"/>
      <c r="D549" s="633"/>
      <c r="E549" s="634"/>
      <c r="F549" s="635"/>
      <c r="G549" s="636"/>
      <c r="H549" s="637"/>
      <c r="I549" s="643"/>
      <c r="J549" s="644"/>
      <c r="K549" s="147"/>
      <c r="L549" s="632"/>
      <c r="M549" s="147"/>
      <c r="N549" s="640"/>
      <c r="O549" s="640"/>
      <c r="P549" s="641"/>
      <c r="Q549" s="642"/>
      <c r="R549" s="147"/>
      <c r="S549" s="147"/>
      <c r="T549" s="147"/>
      <c r="U549" s="147"/>
      <c r="V549" s="147"/>
      <c r="W549" s="147"/>
      <c r="X549" s="147"/>
      <c r="Y549" s="147"/>
      <c r="Z549" s="147"/>
      <c r="AA549" s="147"/>
      <c r="AB549" s="147"/>
      <c r="AC549" s="147"/>
      <c r="AD549" s="147"/>
      <c r="AE549" s="147"/>
      <c r="AF549" s="147"/>
      <c r="AG549" s="147"/>
      <c r="AH549" s="147"/>
      <c r="AI549" s="147"/>
      <c r="AJ549" s="147"/>
      <c r="AK549" s="147"/>
      <c r="AL549" s="147"/>
      <c r="AM549" s="147"/>
      <c r="AN549" s="147"/>
      <c r="AO549" s="147"/>
      <c r="AP549" s="147"/>
      <c r="AQ549" s="147"/>
      <c r="AR549" s="147"/>
      <c r="AS549" s="147"/>
      <c r="AT549" s="147"/>
      <c r="AU549" s="147"/>
      <c r="AV549" s="147"/>
      <c r="AW549" s="147"/>
    </row>
    <row r="550">
      <c r="A550" s="631"/>
      <c r="B550" s="631"/>
      <c r="C550" s="632"/>
      <c r="D550" s="633"/>
      <c r="E550" s="634"/>
      <c r="F550" s="635"/>
      <c r="G550" s="636"/>
      <c r="H550" s="637"/>
      <c r="I550" s="643"/>
      <c r="J550" s="644"/>
      <c r="K550" s="147"/>
      <c r="L550" s="632"/>
      <c r="M550" s="147"/>
      <c r="N550" s="640"/>
      <c r="O550" s="640"/>
      <c r="P550" s="641"/>
      <c r="Q550" s="642"/>
      <c r="R550" s="147"/>
      <c r="S550" s="147"/>
      <c r="T550" s="147"/>
      <c r="U550" s="147"/>
      <c r="V550" s="147"/>
      <c r="W550" s="147"/>
      <c r="X550" s="147"/>
      <c r="Y550" s="147"/>
      <c r="Z550" s="147"/>
      <c r="AA550" s="147"/>
      <c r="AB550" s="147"/>
      <c r="AC550" s="147"/>
      <c r="AD550" s="147"/>
      <c r="AE550" s="147"/>
      <c r="AF550" s="147"/>
      <c r="AG550" s="147"/>
      <c r="AH550" s="147"/>
      <c r="AI550" s="147"/>
      <c r="AJ550" s="147"/>
      <c r="AK550" s="147"/>
      <c r="AL550" s="147"/>
      <c r="AM550" s="147"/>
      <c r="AN550" s="147"/>
      <c r="AO550" s="147"/>
      <c r="AP550" s="147"/>
      <c r="AQ550" s="147"/>
      <c r="AR550" s="147"/>
      <c r="AS550" s="147"/>
      <c r="AT550" s="147"/>
      <c r="AU550" s="147"/>
      <c r="AV550" s="147"/>
      <c r="AW550" s="147"/>
    </row>
    <row r="551">
      <c r="A551" s="631"/>
      <c r="B551" s="631"/>
      <c r="C551" s="632"/>
      <c r="D551" s="633"/>
      <c r="E551" s="634"/>
      <c r="F551" s="635"/>
      <c r="G551" s="636"/>
      <c r="H551" s="637"/>
      <c r="I551" s="643"/>
      <c r="J551" s="644"/>
      <c r="K551" s="147"/>
      <c r="L551" s="632"/>
      <c r="M551" s="147"/>
      <c r="N551" s="640"/>
      <c r="O551" s="640"/>
      <c r="P551" s="641"/>
      <c r="Q551" s="642"/>
      <c r="R551" s="147"/>
      <c r="S551" s="147"/>
      <c r="T551" s="147"/>
      <c r="U551" s="147"/>
      <c r="V551" s="147"/>
      <c r="W551" s="147"/>
      <c r="X551" s="147"/>
      <c r="Y551" s="147"/>
      <c r="Z551" s="147"/>
      <c r="AA551" s="147"/>
      <c r="AB551" s="147"/>
      <c r="AC551" s="147"/>
      <c r="AD551" s="147"/>
      <c r="AE551" s="147"/>
      <c r="AF551" s="147"/>
      <c r="AG551" s="147"/>
      <c r="AH551" s="147"/>
      <c r="AI551" s="147"/>
      <c r="AJ551" s="147"/>
      <c r="AK551" s="147"/>
      <c r="AL551" s="147"/>
      <c r="AM551" s="147"/>
      <c r="AN551" s="147"/>
      <c r="AO551" s="147"/>
      <c r="AP551" s="147"/>
      <c r="AQ551" s="147"/>
      <c r="AR551" s="147"/>
      <c r="AS551" s="147"/>
      <c r="AT551" s="147"/>
      <c r="AU551" s="147"/>
      <c r="AV551" s="147"/>
      <c r="AW551" s="147"/>
    </row>
    <row r="552">
      <c r="A552" s="631"/>
      <c r="B552" s="631"/>
      <c r="C552" s="632"/>
      <c r="D552" s="633"/>
      <c r="E552" s="634"/>
      <c r="F552" s="635"/>
      <c r="G552" s="636"/>
      <c r="H552" s="637"/>
      <c r="I552" s="643"/>
      <c r="J552" s="644"/>
      <c r="K552" s="147"/>
      <c r="L552" s="632"/>
      <c r="M552" s="147"/>
      <c r="N552" s="640"/>
      <c r="O552" s="640"/>
      <c r="P552" s="641"/>
      <c r="Q552" s="642"/>
      <c r="R552" s="147"/>
      <c r="S552" s="147"/>
      <c r="T552" s="147"/>
      <c r="U552" s="147"/>
      <c r="V552" s="147"/>
      <c r="W552" s="147"/>
      <c r="X552" s="147"/>
      <c r="Y552" s="147"/>
      <c r="Z552" s="147"/>
      <c r="AA552" s="147"/>
      <c r="AB552" s="147"/>
      <c r="AC552" s="147"/>
      <c r="AD552" s="147"/>
      <c r="AE552" s="147"/>
      <c r="AF552" s="147"/>
      <c r="AG552" s="147"/>
      <c r="AH552" s="147"/>
      <c r="AI552" s="147"/>
      <c r="AJ552" s="147"/>
      <c r="AK552" s="147"/>
      <c r="AL552" s="147"/>
      <c r="AM552" s="147"/>
      <c r="AN552" s="147"/>
      <c r="AO552" s="147"/>
      <c r="AP552" s="147"/>
      <c r="AQ552" s="147"/>
      <c r="AR552" s="147"/>
      <c r="AS552" s="147"/>
      <c r="AT552" s="147"/>
      <c r="AU552" s="147"/>
      <c r="AV552" s="147"/>
      <c r="AW552" s="147"/>
    </row>
    <row r="553">
      <c r="A553" s="631"/>
      <c r="B553" s="631"/>
      <c r="C553" s="632"/>
      <c r="D553" s="633"/>
      <c r="E553" s="634"/>
      <c r="F553" s="635"/>
      <c r="G553" s="636"/>
      <c r="H553" s="637"/>
      <c r="I553" s="643"/>
      <c r="J553" s="644"/>
      <c r="K553" s="147"/>
      <c r="L553" s="632"/>
      <c r="M553" s="147"/>
      <c r="N553" s="640"/>
      <c r="O553" s="640"/>
      <c r="P553" s="641"/>
      <c r="Q553" s="642"/>
      <c r="R553" s="147"/>
      <c r="S553" s="147"/>
      <c r="T553" s="147"/>
      <c r="U553" s="147"/>
      <c r="V553" s="147"/>
      <c r="W553" s="147"/>
      <c r="X553" s="147"/>
      <c r="Y553" s="147"/>
      <c r="Z553" s="147"/>
      <c r="AA553" s="147"/>
      <c r="AB553" s="147"/>
      <c r="AC553" s="147"/>
      <c r="AD553" s="147"/>
      <c r="AE553" s="147"/>
      <c r="AF553" s="147"/>
      <c r="AG553" s="147"/>
      <c r="AH553" s="147"/>
      <c r="AI553" s="147"/>
      <c r="AJ553" s="147"/>
      <c r="AK553" s="147"/>
      <c r="AL553" s="147"/>
      <c r="AM553" s="147"/>
      <c r="AN553" s="147"/>
      <c r="AO553" s="147"/>
      <c r="AP553" s="147"/>
      <c r="AQ553" s="147"/>
      <c r="AR553" s="147"/>
      <c r="AS553" s="147"/>
      <c r="AT553" s="147"/>
      <c r="AU553" s="147"/>
      <c r="AV553" s="147"/>
      <c r="AW553" s="147"/>
    </row>
    <row r="554">
      <c r="A554" s="631"/>
      <c r="B554" s="631"/>
      <c r="C554" s="632"/>
      <c r="D554" s="633"/>
      <c r="E554" s="634"/>
      <c r="F554" s="635"/>
      <c r="G554" s="636"/>
      <c r="H554" s="637"/>
      <c r="I554" s="643"/>
      <c r="J554" s="644"/>
      <c r="K554" s="147"/>
      <c r="L554" s="632"/>
      <c r="M554" s="147"/>
      <c r="N554" s="640"/>
      <c r="O554" s="640"/>
      <c r="P554" s="641"/>
      <c r="Q554" s="642"/>
      <c r="R554" s="147"/>
      <c r="S554" s="147"/>
      <c r="T554" s="147"/>
      <c r="U554" s="147"/>
      <c r="V554" s="147"/>
      <c r="W554" s="147"/>
      <c r="X554" s="147"/>
      <c r="Y554" s="147"/>
      <c r="Z554" s="147"/>
      <c r="AA554" s="147"/>
      <c r="AB554" s="147"/>
      <c r="AC554" s="147"/>
      <c r="AD554" s="147"/>
      <c r="AE554" s="147"/>
      <c r="AF554" s="147"/>
      <c r="AG554" s="147"/>
      <c r="AH554" s="147"/>
      <c r="AI554" s="147"/>
      <c r="AJ554" s="147"/>
      <c r="AK554" s="147"/>
      <c r="AL554" s="147"/>
      <c r="AM554" s="147"/>
      <c r="AN554" s="147"/>
      <c r="AO554" s="147"/>
      <c r="AP554" s="147"/>
      <c r="AQ554" s="147"/>
      <c r="AR554" s="147"/>
      <c r="AS554" s="147"/>
      <c r="AT554" s="147"/>
      <c r="AU554" s="147"/>
      <c r="AV554" s="147"/>
      <c r="AW554" s="147"/>
    </row>
    <row r="555">
      <c r="A555" s="631"/>
      <c r="B555" s="631"/>
      <c r="C555" s="632"/>
      <c r="D555" s="633"/>
      <c r="E555" s="634"/>
      <c r="F555" s="635"/>
      <c r="G555" s="636"/>
      <c r="H555" s="637"/>
      <c r="I555" s="643"/>
      <c r="J555" s="644"/>
      <c r="K555" s="147"/>
      <c r="L555" s="632"/>
      <c r="M555" s="147"/>
      <c r="N555" s="640"/>
      <c r="O555" s="640"/>
      <c r="P555" s="641"/>
      <c r="Q555" s="642"/>
      <c r="R555" s="147"/>
      <c r="S555" s="147"/>
      <c r="T555" s="147"/>
      <c r="U555" s="147"/>
      <c r="V555" s="147"/>
      <c r="W555" s="147"/>
      <c r="X555" s="147"/>
      <c r="Y555" s="147"/>
      <c r="Z555" s="147"/>
      <c r="AA555" s="147"/>
      <c r="AB555" s="147"/>
      <c r="AC555" s="147"/>
      <c r="AD555" s="147"/>
      <c r="AE555" s="147"/>
      <c r="AF555" s="147"/>
      <c r="AG555" s="147"/>
      <c r="AH555" s="147"/>
      <c r="AI555" s="147"/>
      <c r="AJ555" s="147"/>
      <c r="AK555" s="147"/>
      <c r="AL555" s="147"/>
      <c r="AM555" s="147"/>
      <c r="AN555" s="147"/>
      <c r="AO555" s="147"/>
      <c r="AP555" s="147"/>
      <c r="AQ555" s="147"/>
      <c r="AR555" s="147"/>
      <c r="AS555" s="147"/>
      <c r="AT555" s="147"/>
      <c r="AU555" s="147"/>
      <c r="AV555" s="147"/>
      <c r="AW555" s="147"/>
    </row>
    <row r="556">
      <c r="A556" s="631"/>
      <c r="B556" s="631"/>
      <c r="C556" s="632"/>
      <c r="D556" s="633"/>
      <c r="E556" s="634"/>
      <c r="F556" s="635"/>
      <c r="G556" s="636"/>
      <c r="H556" s="637"/>
      <c r="I556" s="643"/>
      <c r="J556" s="644"/>
      <c r="K556" s="147"/>
      <c r="L556" s="632"/>
      <c r="M556" s="147"/>
      <c r="N556" s="640"/>
      <c r="O556" s="640"/>
      <c r="P556" s="641"/>
      <c r="Q556" s="642"/>
      <c r="R556" s="147"/>
      <c r="S556" s="147"/>
      <c r="T556" s="147"/>
      <c r="U556" s="147"/>
      <c r="V556" s="147"/>
      <c r="W556" s="147"/>
      <c r="X556" s="147"/>
      <c r="Y556" s="147"/>
      <c r="Z556" s="147"/>
      <c r="AA556" s="147"/>
      <c r="AB556" s="147"/>
      <c r="AC556" s="147"/>
      <c r="AD556" s="147"/>
      <c r="AE556" s="147"/>
      <c r="AF556" s="147"/>
      <c r="AG556" s="147"/>
      <c r="AH556" s="147"/>
      <c r="AI556" s="147"/>
      <c r="AJ556" s="147"/>
      <c r="AK556" s="147"/>
      <c r="AL556" s="147"/>
      <c r="AM556" s="147"/>
      <c r="AN556" s="147"/>
      <c r="AO556" s="147"/>
      <c r="AP556" s="147"/>
      <c r="AQ556" s="147"/>
      <c r="AR556" s="147"/>
      <c r="AS556" s="147"/>
      <c r="AT556" s="147"/>
      <c r="AU556" s="147"/>
      <c r="AV556" s="147"/>
      <c r="AW556" s="147"/>
    </row>
    <row r="557">
      <c r="A557" s="631"/>
      <c r="B557" s="631"/>
      <c r="C557" s="632"/>
      <c r="D557" s="633"/>
      <c r="E557" s="634"/>
      <c r="F557" s="635"/>
      <c r="G557" s="636"/>
      <c r="H557" s="637"/>
      <c r="I557" s="643"/>
      <c r="J557" s="644"/>
      <c r="K557" s="147"/>
      <c r="L557" s="632"/>
      <c r="M557" s="147"/>
      <c r="N557" s="640"/>
      <c r="O557" s="640"/>
      <c r="P557" s="641"/>
      <c r="Q557" s="642"/>
      <c r="R557" s="147"/>
      <c r="S557" s="147"/>
      <c r="T557" s="147"/>
      <c r="U557" s="147"/>
      <c r="V557" s="147"/>
      <c r="W557" s="147"/>
      <c r="X557" s="147"/>
      <c r="Y557" s="147"/>
      <c r="Z557" s="147"/>
      <c r="AA557" s="147"/>
      <c r="AB557" s="147"/>
      <c r="AC557" s="147"/>
      <c r="AD557" s="147"/>
      <c r="AE557" s="147"/>
      <c r="AF557" s="147"/>
      <c r="AG557" s="147"/>
      <c r="AH557" s="147"/>
      <c r="AI557" s="147"/>
      <c r="AJ557" s="147"/>
      <c r="AK557" s="147"/>
      <c r="AL557" s="147"/>
      <c r="AM557" s="147"/>
      <c r="AN557" s="147"/>
      <c r="AO557" s="147"/>
      <c r="AP557" s="147"/>
      <c r="AQ557" s="147"/>
      <c r="AR557" s="147"/>
      <c r="AS557" s="147"/>
      <c r="AT557" s="147"/>
      <c r="AU557" s="147"/>
      <c r="AV557" s="147"/>
      <c r="AW557" s="147"/>
    </row>
    <row r="558">
      <c r="A558" s="631"/>
      <c r="B558" s="631"/>
      <c r="C558" s="632"/>
      <c r="D558" s="633"/>
      <c r="E558" s="634"/>
      <c r="F558" s="635"/>
      <c r="G558" s="636"/>
      <c r="H558" s="637"/>
      <c r="I558" s="643"/>
      <c r="J558" s="644"/>
      <c r="K558" s="147"/>
      <c r="L558" s="632"/>
      <c r="M558" s="147"/>
      <c r="N558" s="640"/>
      <c r="O558" s="640"/>
      <c r="P558" s="641"/>
      <c r="Q558" s="642"/>
      <c r="R558" s="147"/>
      <c r="S558" s="147"/>
      <c r="T558" s="147"/>
      <c r="U558" s="147"/>
      <c r="V558" s="147"/>
      <c r="W558" s="147"/>
      <c r="X558" s="147"/>
      <c r="Y558" s="147"/>
      <c r="Z558" s="147"/>
      <c r="AA558" s="147"/>
      <c r="AB558" s="147"/>
      <c r="AC558" s="147"/>
      <c r="AD558" s="147"/>
      <c r="AE558" s="147"/>
      <c r="AF558" s="147"/>
      <c r="AG558" s="147"/>
      <c r="AH558" s="147"/>
      <c r="AI558" s="147"/>
      <c r="AJ558" s="147"/>
      <c r="AK558" s="147"/>
      <c r="AL558" s="147"/>
      <c r="AM558" s="147"/>
      <c r="AN558" s="147"/>
      <c r="AO558" s="147"/>
      <c r="AP558" s="147"/>
      <c r="AQ558" s="147"/>
      <c r="AR558" s="147"/>
      <c r="AS558" s="147"/>
      <c r="AT558" s="147"/>
      <c r="AU558" s="147"/>
      <c r="AV558" s="147"/>
      <c r="AW558" s="147"/>
    </row>
    <row r="559">
      <c r="A559" s="631"/>
      <c r="B559" s="631"/>
      <c r="C559" s="632"/>
      <c r="D559" s="633"/>
      <c r="E559" s="634"/>
      <c r="F559" s="635"/>
      <c r="G559" s="636"/>
      <c r="H559" s="637"/>
      <c r="I559" s="643"/>
      <c r="J559" s="644"/>
      <c r="K559" s="147"/>
      <c r="L559" s="632"/>
      <c r="M559" s="147"/>
      <c r="N559" s="640"/>
      <c r="O559" s="640"/>
      <c r="P559" s="641"/>
      <c r="Q559" s="642"/>
      <c r="R559" s="147"/>
      <c r="S559" s="147"/>
      <c r="T559" s="147"/>
      <c r="U559" s="147"/>
      <c r="V559" s="147"/>
      <c r="W559" s="147"/>
      <c r="X559" s="147"/>
      <c r="Y559" s="147"/>
      <c r="Z559" s="147"/>
      <c r="AA559" s="147"/>
      <c r="AB559" s="147"/>
      <c r="AC559" s="147"/>
      <c r="AD559" s="147"/>
      <c r="AE559" s="147"/>
      <c r="AF559" s="147"/>
      <c r="AG559" s="147"/>
      <c r="AH559" s="147"/>
      <c r="AI559" s="147"/>
      <c r="AJ559" s="147"/>
      <c r="AK559" s="147"/>
      <c r="AL559" s="147"/>
      <c r="AM559" s="147"/>
      <c r="AN559" s="147"/>
      <c r="AO559" s="147"/>
      <c r="AP559" s="147"/>
      <c r="AQ559" s="147"/>
      <c r="AR559" s="147"/>
      <c r="AS559" s="147"/>
      <c r="AT559" s="147"/>
      <c r="AU559" s="147"/>
      <c r="AV559" s="147"/>
      <c r="AW559" s="147"/>
    </row>
    <row r="560">
      <c r="A560" s="631"/>
      <c r="B560" s="631"/>
      <c r="C560" s="632"/>
      <c r="D560" s="633"/>
      <c r="E560" s="634"/>
      <c r="F560" s="635"/>
      <c r="G560" s="636"/>
      <c r="H560" s="637"/>
      <c r="I560" s="643"/>
      <c r="J560" s="644"/>
      <c r="K560" s="147"/>
      <c r="L560" s="632"/>
      <c r="M560" s="147"/>
      <c r="N560" s="640"/>
      <c r="O560" s="640"/>
      <c r="P560" s="641"/>
      <c r="Q560" s="642"/>
      <c r="R560" s="147"/>
      <c r="S560" s="147"/>
      <c r="T560" s="147"/>
      <c r="U560" s="147"/>
      <c r="V560" s="147"/>
      <c r="W560" s="147"/>
      <c r="X560" s="147"/>
      <c r="Y560" s="147"/>
      <c r="Z560" s="147"/>
      <c r="AA560" s="147"/>
      <c r="AB560" s="147"/>
      <c r="AC560" s="147"/>
      <c r="AD560" s="147"/>
      <c r="AE560" s="147"/>
      <c r="AF560" s="147"/>
      <c r="AG560" s="147"/>
      <c r="AH560" s="147"/>
      <c r="AI560" s="147"/>
      <c r="AJ560" s="147"/>
      <c r="AK560" s="147"/>
      <c r="AL560" s="147"/>
      <c r="AM560" s="147"/>
      <c r="AN560" s="147"/>
      <c r="AO560" s="147"/>
      <c r="AP560" s="147"/>
      <c r="AQ560" s="147"/>
      <c r="AR560" s="147"/>
      <c r="AS560" s="147"/>
      <c r="AT560" s="147"/>
      <c r="AU560" s="147"/>
      <c r="AV560" s="147"/>
      <c r="AW560" s="147"/>
    </row>
    <row r="561">
      <c r="A561" s="631"/>
      <c r="B561" s="631"/>
      <c r="C561" s="632"/>
      <c r="D561" s="633"/>
      <c r="E561" s="634"/>
      <c r="F561" s="635"/>
      <c r="G561" s="636"/>
      <c r="H561" s="637"/>
      <c r="I561" s="643"/>
      <c r="J561" s="644"/>
      <c r="K561" s="147"/>
      <c r="L561" s="632"/>
      <c r="M561" s="147"/>
      <c r="N561" s="640"/>
      <c r="O561" s="640"/>
      <c r="P561" s="641"/>
      <c r="Q561" s="642"/>
      <c r="R561" s="147"/>
      <c r="S561" s="147"/>
      <c r="T561" s="147"/>
      <c r="U561" s="147"/>
      <c r="V561" s="147"/>
      <c r="W561" s="147"/>
      <c r="X561" s="147"/>
      <c r="Y561" s="147"/>
      <c r="Z561" s="147"/>
      <c r="AA561" s="147"/>
      <c r="AB561" s="147"/>
      <c r="AC561" s="147"/>
      <c r="AD561" s="147"/>
      <c r="AE561" s="147"/>
      <c r="AF561" s="147"/>
      <c r="AG561" s="147"/>
      <c r="AH561" s="147"/>
      <c r="AI561" s="147"/>
      <c r="AJ561" s="147"/>
      <c r="AK561" s="147"/>
      <c r="AL561" s="147"/>
      <c r="AM561" s="147"/>
      <c r="AN561" s="147"/>
      <c r="AO561" s="147"/>
      <c r="AP561" s="147"/>
      <c r="AQ561" s="147"/>
      <c r="AR561" s="147"/>
      <c r="AS561" s="147"/>
      <c r="AT561" s="147"/>
      <c r="AU561" s="147"/>
      <c r="AV561" s="147"/>
      <c r="AW561" s="147"/>
    </row>
    <row r="562">
      <c r="A562" s="631"/>
      <c r="B562" s="631"/>
      <c r="C562" s="632"/>
      <c r="D562" s="633"/>
      <c r="E562" s="634"/>
      <c r="F562" s="635"/>
      <c r="G562" s="636"/>
      <c r="H562" s="637"/>
      <c r="I562" s="643"/>
      <c r="J562" s="644"/>
      <c r="K562" s="147"/>
      <c r="L562" s="632"/>
      <c r="M562" s="147"/>
      <c r="N562" s="640"/>
      <c r="O562" s="640"/>
      <c r="P562" s="641"/>
      <c r="Q562" s="642"/>
      <c r="R562" s="147"/>
      <c r="S562" s="147"/>
      <c r="T562" s="147"/>
      <c r="U562" s="147"/>
      <c r="V562" s="147"/>
      <c r="W562" s="147"/>
      <c r="X562" s="147"/>
      <c r="Y562" s="147"/>
      <c r="Z562" s="147"/>
      <c r="AA562" s="147"/>
      <c r="AB562" s="147"/>
      <c r="AC562" s="147"/>
      <c r="AD562" s="147"/>
      <c r="AE562" s="147"/>
      <c r="AF562" s="147"/>
      <c r="AG562" s="147"/>
      <c r="AH562" s="147"/>
      <c r="AI562" s="147"/>
      <c r="AJ562" s="147"/>
      <c r="AK562" s="147"/>
      <c r="AL562" s="147"/>
      <c r="AM562" s="147"/>
      <c r="AN562" s="147"/>
      <c r="AO562" s="147"/>
      <c r="AP562" s="147"/>
      <c r="AQ562" s="147"/>
      <c r="AR562" s="147"/>
      <c r="AS562" s="147"/>
      <c r="AT562" s="147"/>
      <c r="AU562" s="147"/>
      <c r="AV562" s="147"/>
      <c r="AW562" s="147"/>
    </row>
    <row r="563">
      <c r="A563" s="631"/>
      <c r="B563" s="631"/>
      <c r="C563" s="632"/>
      <c r="D563" s="633"/>
      <c r="E563" s="634"/>
      <c r="F563" s="635"/>
      <c r="G563" s="636"/>
      <c r="H563" s="637"/>
      <c r="I563" s="643"/>
      <c r="J563" s="644"/>
      <c r="K563" s="147"/>
      <c r="L563" s="632"/>
      <c r="M563" s="147"/>
      <c r="N563" s="640"/>
      <c r="O563" s="640"/>
      <c r="P563" s="641"/>
      <c r="Q563" s="642"/>
      <c r="R563" s="147"/>
      <c r="S563" s="147"/>
      <c r="T563" s="147"/>
      <c r="U563" s="147"/>
      <c r="V563" s="147"/>
      <c r="W563" s="147"/>
      <c r="X563" s="147"/>
      <c r="Y563" s="147"/>
      <c r="Z563" s="147"/>
      <c r="AA563" s="147"/>
      <c r="AB563" s="147"/>
      <c r="AC563" s="147"/>
      <c r="AD563" s="147"/>
      <c r="AE563" s="147"/>
      <c r="AF563" s="147"/>
      <c r="AG563" s="147"/>
      <c r="AH563" s="147"/>
      <c r="AI563" s="147"/>
      <c r="AJ563" s="147"/>
      <c r="AK563" s="147"/>
      <c r="AL563" s="147"/>
      <c r="AM563" s="147"/>
      <c r="AN563" s="147"/>
      <c r="AO563" s="147"/>
      <c r="AP563" s="147"/>
      <c r="AQ563" s="147"/>
      <c r="AR563" s="147"/>
      <c r="AS563" s="147"/>
      <c r="AT563" s="147"/>
      <c r="AU563" s="147"/>
      <c r="AV563" s="147"/>
      <c r="AW563" s="147"/>
    </row>
    <row r="564">
      <c r="A564" s="631"/>
      <c r="B564" s="631"/>
      <c r="C564" s="632"/>
      <c r="D564" s="633"/>
      <c r="E564" s="634"/>
      <c r="F564" s="635"/>
      <c r="G564" s="636"/>
      <c r="H564" s="637"/>
      <c r="I564" s="643"/>
      <c r="J564" s="644"/>
      <c r="K564" s="147"/>
      <c r="L564" s="632"/>
      <c r="M564" s="147"/>
      <c r="N564" s="640"/>
      <c r="O564" s="640"/>
      <c r="P564" s="641"/>
      <c r="Q564" s="642"/>
      <c r="R564" s="147"/>
      <c r="S564" s="147"/>
      <c r="T564" s="147"/>
      <c r="U564" s="147"/>
      <c r="V564" s="147"/>
      <c r="W564" s="147"/>
      <c r="X564" s="147"/>
      <c r="Y564" s="147"/>
      <c r="Z564" s="147"/>
      <c r="AA564" s="147"/>
      <c r="AB564" s="147"/>
      <c r="AC564" s="147"/>
      <c r="AD564" s="147"/>
      <c r="AE564" s="147"/>
      <c r="AF564" s="147"/>
      <c r="AG564" s="147"/>
      <c r="AH564" s="147"/>
      <c r="AI564" s="147"/>
      <c r="AJ564" s="147"/>
      <c r="AK564" s="147"/>
      <c r="AL564" s="147"/>
      <c r="AM564" s="147"/>
      <c r="AN564" s="147"/>
      <c r="AO564" s="147"/>
      <c r="AP564" s="147"/>
      <c r="AQ564" s="147"/>
      <c r="AR564" s="147"/>
      <c r="AS564" s="147"/>
      <c r="AT564" s="147"/>
      <c r="AU564" s="147"/>
      <c r="AV564" s="147"/>
      <c r="AW564" s="147"/>
    </row>
    <row r="565">
      <c r="A565" s="631"/>
      <c r="B565" s="631"/>
      <c r="C565" s="632"/>
      <c r="D565" s="633"/>
      <c r="E565" s="634"/>
      <c r="F565" s="635"/>
      <c r="G565" s="636"/>
      <c r="H565" s="637"/>
      <c r="I565" s="643"/>
      <c r="J565" s="644"/>
      <c r="K565" s="147"/>
      <c r="L565" s="632"/>
      <c r="M565" s="147"/>
      <c r="N565" s="640"/>
      <c r="O565" s="640"/>
      <c r="P565" s="641"/>
      <c r="Q565" s="642"/>
      <c r="R565" s="147"/>
      <c r="S565" s="147"/>
      <c r="T565" s="147"/>
      <c r="U565" s="147"/>
      <c r="V565" s="147"/>
      <c r="W565" s="147"/>
      <c r="X565" s="147"/>
      <c r="Y565" s="147"/>
      <c r="Z565" s="147"/>
      <c r="AA565" s="147"/>
      <c r="AB565" s="147"/>
      <c r="AC565" s="147"/>
      <c r="AD565" s="147"/>
      <c r="AE565" s="147"/>
      <c r="AF565" s="147"/>
      <c r="AG565" s="147"/>
      <c r="AH565" s="147"/>
      <c r="AI565" s="147"/>
      <c r="AJ565" s="147"/>
      <c r="AK565" s="147"/>
      <c r="AL565" s="147"/>
      <c r="AM565" s="147"/>
      <c r="AN565" s="147"/>
      <c r="AO565" s="147"/>
      <c r="AP565" s="147"/>
      <c r="AQ565" s="147"/>
      <c r="AR565" s="147"/>
      <c r="AS565" s="147"/>
      <c r="AT565" s="147"/>
      <c r="AU565" s="147"/>
      <c r="AV565" s="147"/>
      <c r="AW565" s="147"/>
    </row>
    <row r="566">
      <c r="A566" s="631"/>
      <c r="B566" s="631"/>
      <c r="C566" s="632"/>
      <c r="D566" s="633"/>
      <c r="E566" s="634"/>
      <c r="F566" s="635"/>
      <c r="G566" s="636"/>
      <c r="H566" s="637"/>
      <c r="I566" s="643"/>
      <c r="J566" s="644"/>
      <c r="K566" s="147"/>
      <c r="L566" s="632"/>
      <c r="M566" s="147"/>
      <c r="N566" s="640"/>
      <c r="O566" s="640"/>
      <c r="P566" s="641"/>
      <c r="Q566" s="642"/>
      <c r="R566" s="147"/>
      <c r="S566" s="147"/>
      <c r="T566" s="147"/>
      <c r="U566" s="147"/>
      <c r="V566" s="147"/>
      <c r="W566" s="147"/>
      <c r="X566" s="147"/>
      <c r="Y566" s="147"/>
      <c r="Z566" s="147"/>
      <c r="AA566" s="147"/>
      <c r="AB566" s="147"/>
      <c r="AC566" s="147"/>
      <c r="AD566" s="147"/>
      <c r="AE566" s="147"/>
      <c r="AF566" s="147"/>
      <c r="AG566" s="147"/>
      <c r="AH566" s="147"/>
      <c r="AI566" s="147"/>
      <c r="AJ566" s="147"/>
      <c r="AK566" s="147"/>
      <c r="AL566" s="147"/>
      <c r="AM566" s="147"/>
      <c r="AN566" s="147"/>
      <c r="AO566" s="147"/>
      <c r="AP566" s="147"/>
      <c r="AQ566" s="147"/>
      <c r="AR566" s="147"/>
      <c r="AS566" s="147"/>
      <c r="AT566" s="147"/>
      <c r="AU566" s="147"/>
      <c r="AV566" s="147"/>
      <c r="AW566" s="147"/>
    </row>
    <row r="567">
      <c r="A567" s="631"/>
      <c r="B567" s="631"/>
      <c r="C567" s="632"/>
      <c r="D567" s="633"/>
      <c r="E567" s="634"/>
      <c r="F567" s="635"/>
      <c r="G567" s="636"/>
      <c r="H567" s="637"/>
      <c r="I567" s="643"/>
      <c r="J567" s="644"/>
      <c r="K567" s="147"/>
      <c r="L567" s="632"/>
      <c r="M567" s="147"/>
      <c r="N567" s="640"/>
      <c r="O567" s="640"/>
      <c r="P567" s="641"/>
      <c r="Q567" s="642"/>
      <c r="R567" s="147"/>
      <c r="S567" s="147"/>
      <c r="T567" s="147"/>
      <c r="U567" s="147"/>
      <c r="V567" s="147"/>
      <c r="W567" s="147"/>
      <c r="X567" s="147"/>
      <c r="Y567" s="147"/>
      <c r="Z567" s="147"/>
      <c r="AA567" s="147"/>
      <c r="AB567" s="147"/>
      <c r="AC567" s="147"/>
      <c r="AD567" s="147"/>
      <c r="AE567" s="147"/>
      <c r="AF567" s="147"/>
      <c r="AG567" s="147"/>
      <c r="AH567" s="147"/>
      <c r="AI567" s="147"/>
      <c r="AJ567" s="147"/>
      <c r="AK567" s="147"/>
      <c r="AL567" s="147"/>
      <c r="AM567" s="147"/>
      <c r="AN567" s="147"/>
      <c r="AO567" s="147"/>
      <c r="AP567" s="147"/>
      <c r="AQ567" s="147"/>
      <c r="AR567" s="147"/>
      <c r="AS567" s="147"/>
      <c r="AT567" s="147"/>
      <c r="AU567" s="147"/>
      <c r="AV567" s="147"/>
      <c r="AW567" s="147"/>
    </row>
    <row r="568">
      <c r="A568" s="631"/>
      <c r="B568" s="631"/>
      <c r="C568" s="632"/>
      <c r="D568" s="633"/>
      <c r="E568" s="634"/>
      <c r="F568" s="635"/>
      <c r="G568" s="636"/>
      <c r="H568" s="637"/>
      <c r="I568" s="643"/>
      <c r="J568" s="644"/>
      <c r="K568" s="147"/>
      <c r="L568" s="632"/>
      <c r="M568" s="147"/>
      <c r="N568" s="640"/>
      <c r="O568" s="640"/>
      <c r="P568" s="641"/>
      <c r="Q568" s="642"/>
      <c r="R568" s="147"/>
      <c r="S568" s="147"/>
      <c r="T568" s="147"/>
      <c r="U568" s="147"/>
      <c r="V568" s="147"/>
      <c r="W568" s="147"/>
      <c r="X568" s="147"/>
      <c r="Y568" s="147"/>
      <c r="Z568" s="147"/>
      <c r="AA568" s="147"/>
      <c r="AB568" s="147"/>
      <c r="AC568" s="147"/>
      <c r="AD568" s="147"/>
      <c r="AE568" s="147"/>
      <c r="AF568" s="147"/>
      <c r="AG568" s="147"/>
      <c r="AH568" s="147"/>
      <c r="AI568" s="147"/>
      <c r="AJ568" s="147"/>
      <c r="AK568" s="147"/>
      <c r="AL568" s="147"/>
      <c r="AM568" s="147"/>
      <c r="AN568" s="147"/>
      <c r="AO568" s="147"/>
      <c r="AP568" s="147"/>
      <c r="AQ568" s="147"/>
      <c r="AR568" s="147"/>
      <c r="AS568" s="147"/>
      <c r="AT568" s="147"/>
      <c r="AU568" s="147"/>
      <c r="AV568" s="147"/>
      <c r="AW568" s="147"/>
    </row>
    <row r="569">
      <c r="A569" s="631"/>
      <c r="B569" s="631"/>
      <c r="C569" s="632"/>
      <c r="D569" s="633"/>
      <c r="E569" s="634"/>
      <c r="F569" s="635"/>
      <c r="G569" s="636"/>
      <c r="H569" s="637"/>
      <c r="I569" s="643"/>
      <c r="J569" s="644"/>
      <c r="K569" s="147"/>
      <c r="L569" s="632"/>
      <c r="M569" s="147"/>
      <c r="N569" s="640"/>
      <c r="O569" s="640"/>
      <c r="P569" s="641"/>
      <c r="Q569" s="642"/>
      <c r="R569" s="147"/>
      <c r="S569" s="147"/>
      <c r="T569" s="147"/>
      <c r="U569" s="147"/>
      <c r="V569" s="147"/>
      <c r="W569" s="147"/>
      <c r="X569" s="147"/>
      <c r="Y569" s="147"/>
      <c r="Z569" s="147"/>
      <c r="AA569" s="147"/>
      <c r="AB569" s="147"/>
      <c r="AC569" s="147"/>
      <c r="AD569" s="147"/>
      <c r="AE569" s="147"/>
      <c r="AF569" s="147"/>
      <c r="AG569" s="147"/>
      <c r="AH569" s="147"/>
      <c r="AI569" s="147"/>
      <c r="AJ569" s="147"/>
      <c r="AK569" s="147"/>
      <c r="AL569" s="147"/>
      <c r="AM569" s="147"/>
      <c r="AN569" s="147"/>
      <c r="AO569" s="147"/>
      <c r="AP569" s="147"/>
      <c r="AQ569" s="147"/>
      <c r="AR569" s="147"/>
      <c r="AS569" s="147"/>
      <c r="AT569" s="147"/>
      <c r="AU569" s="147"/>
      <c r="AV569" s="147"/>
      <c r="AW569" s="147"/>
    </row>
    <row r="570">
      <c r="A570" s="631"/>
      <c r="B570" s="631"/>
      <c r="C570" s="632"/>
      <c r="D570" s="633"/>
      <c r="E570" s="634"/>
      <c r="F570" s="635"/>
      <c r="G570" s="636"/>
      <c r="H570" s="637"/>
      <c r="I570" s="643"/>
      <c r="J570" s="644"/>
      <c r="K570" s="147"/>
      <c r="L570" s="632"/>
      <c r="M570" s="147"/>
      <c r="N570" s="640"/>
      <c r="O570" s="640"/>
      <c r="P570" s="641"/>
      <c r="Q570" s="642"/>
      <c r="R570" s="147"/>
      <c r="S570" s="147"/>
      <c r="T570" s="147"/>
      <c r="U570" s="147"/>
      <c r="V570" s="147"/>
      <c r="W570" s="147"/>
      <c r="X570" s="147"/>
      <c r="Y570" s="147"/>
      <c r="Z570" s="147"/>
      <c r="AA570" s="147"/>
      <c r="AB570" s="147"/>
      <c r="AC570" s="147"/>
      <c r="AD570" s="147"/>
      <c r="AE570" s="147"/>
      <c r="AF570" s="147"/>
      <c r="AG570" s="147"/>
      <c r="AH570" s="147"/>
      <c r="AI570" s="147"/>
      <c r="AJ570" s="147"/>
      <c r="AK570" s="147"/>
      <c r="AL570" s="147"/>
      <c r="AM570" s="147"/>
      <c r="AN570" s="147"/>
      <c r="AO570" s="147"/>
      <c r="AP570" s="147"/>
      <c r="AQ570" s="147"/>
      <c r="AR570" s="147"/>
      <c r="AS570" s="147"/>
      <c r="AT570" s="147"/>
      <c r="AU570" s="147"/>
      <c r="AV570" s="147"/>
      <c r="AW570" s="147"/>
    </row>
    <row r="571">
      <c r="A571" s="631"/>
      <c r="B571" s="631"/>
      <c r="C571" s="632"/>
      <c r="D571" s="633"/>
      <c r="E571" s="634"/>
      <c r="F571" s="635"/>
      <c r="G571" s="636"/>
      <c r="H571" s="637"/>
      <c r="I571" s="643"/>
      <c r="J571" s="644"/>
      <c r="K571" s="147"/>
      <c r="L571" s="632"/>
      <c r="M571" s="147"/>
      <c r="N571" s="640"/>
      <c r="O571" s="640"/>
      <c r="P571" s="641"/>
      <c r="Q571" s="642"/>
      <c r="R571" s="147"/>
      <c r="S571" s="147"/>
      <c r="T571" s="147"/>
      <c r="U571" s="147"/>
      <c r="V571" s="147"/>
      <c r="W571" s="147"/>
      <c r="X571" s="147"/>
      <c r="Y571" s="147"/>
      <c r="Z571" s="147"/>
      <c r="AA571" s="147"/>
      <c r="AB571" s="147"/>
      <c r="AC571" s="147"/>
      <c r="AD571" s="147"/>
      <c r="AE571" s="147"/>
      <c r="AF571" s="147"/>
      <c r="AG571" s="147"/>
      <c r="AH571" s="147"/>
      <c r="AI571" s="147"/>
      <c r="AJ571" s="147"/>
      <c r="AK571" s="147"/>
      <c r="AL571" s="147"/>
      <c r="AM571" s="147"/>
      <c r="AN571" s="147"/>
      <c r="AO571" s="147"/>
      <c r="AP571" s="147"/>
      <c r="AQ571" s="147"/>
      <c r="AR571" s="147"/>
      <c r="AS571" s="147"/>
      <c r="AT571" s="147"/>
      <c r="AU571" s="147"/>
      <c r="AV571" s="147"/>
      <c r="AW571" s="147"/>
    </row>
    <row r="572">
      <c r="A572" s="631"/>
      <c r="B572" s="631"/>
      <c r="C572" s="632"/>
      <c r="D572" s="633"/>
      <c r="E572" s="634"/>
      <c r="F572" s="635"/>
      <c r="G572" s="636"/>
      <c r="H572" s="637"/>
      <c r="I572" s="643"/>
      <c r="J572" s="644"/>
      <c r="K572" s="147"/>
      <c r="L572" s="632"/>
      <c r="M572" s="147"/>
      <c r="N572" s="640"/>
      <c r="O572" s="640"/>
      <c r="P572" s="641"/>
      <c r="Q572" s="642"/>
      <c r="R572" s="147"/>
      <c r="S572" s="147"/>
      <c r="T572" s="147"/>
      <c r="U572" s="147"/>
      <c r="V572" s="147"/>
      <c r="W572" s="147"/>
      <c r="X572" s="147"/>
      <c r="Y572" s="147"/>
      <c r="Z572" s="147"/>
      <c r="AA572" s="147"/>
      <c r="AB572" s="147"/>
      <c r="AC572" s="147"/>
      <c r="AD572" s="147"/>
      <c r="AE572" s="147"/>
      <c r="AF572" s="147"/>
      <c r="AG572" s="147"/>
      <c r="AH572" s="147"/>
      <c r="AI572" s="147"/>
      <c r="AJ572" s="147"/>
      <c r="AK572" s="147"/>
      <c r="AL572" s="147"/>
      <c r="AM572" s="147"/>
      <c r="AN572" s="147"/>
      <c r="AO572" s="147"/>
      <c r="AP572" s="147"/>
      <c r="AQ572" s="147"/>
      <c r="AR572" s="147"/>
      <c r="AS572" s="147"/>
      <c r="AT572" s="147"/>
      <c r="AU572" s="147"/>
      <c r="AV572" s="147"/>
      <c r="AW572" s="147"/>
    </row>
    <row r="573">
      <c r="A573" s="631"/>
      <c r="B573" s="631"/>
      <c r="C573" s="632"/>
      <c r="D573" s="633"/>
      <c r="E573" s="634"/>
      <c r="F573" s="635"/>
      <c r="G573" s="636"/>
      <c r="H573" s="637"/>
      <c r="I573" s="643"/>
      <c r="J573" s="644"/>
      <c r="K573" s="147"/>
      <c r="L573" s="632"/>
      <c r="M573" s="147"/>
      <c r="N573" s="640"/>
      <c r="O573" s="640"/>
      <c r="P573" s="641"/>
      <c r="Q573" s="642"/>
      <c r="R573" s="147"/>
      <c r="S573" s="147"/>
      <c r="T573" s="147"/>
      <c r="U573" s="147"/>
      <c r="V573" s="147"/>
      <c r="W573" s="147"/>
      <c r="X573" s="147"/>
      <c r="Y573" s="147"/>
      <c r="Z573" s="147"/>
      <c r="AA573" s="147"/>
      <c r="AB573" s="147"/>
      <c r="AC573" s="147"/>
      <c r="AD573" s="147"/>
      <c r="AE573" s="147"/>
      <c r="AF573" s="147"/>
      <c r="AG573" s="147"/>
      <c r="AH573" s="147"/>
      <c r="AI573" s="147"/>
      <c r="AJ573" s="147"/>
      <c r="AK573" s="147"/>
      <c r="AL573" s="147"/>
      <c r="AM573" s="147"/>
      <c r="AN573" s="147"/>
      <c r="AO573" s="147"/>
      <c r="AP573" s="147"/>
      <c r="AQ573" s="147"/>
      <c r="AR573" s="147"/>
      <c r="AS573" s="147"/>
      <c r="AT573" s="147"/>
      <c r="AU573" s="147"/>
      <c r="AV573" s="147"/>
      <c r="AW573" s="147"/>
    </row>
    <row r="574">
      <c r="A574" s="631"/>
      <c r="B574" s="631"/>
      <c r="C574" s="632"/>
      <c r="D574" s="633"/>
      <c r="E574" s="634"/>
      <c r="F574" s="635"/>
      <c r="G574" s="636"/>
      <c r="H574" s="637"/>
      <c r="I574" s="643"/>
      <c r="J574" s="644"/>
      <c r="K574" s="147"/>
      <c r="L574" s="632"/>
      <c r="M574" s="147"/>
      <c r="N574" s="640"/>
      <c r="O574" s="640"/>
      <c r="P574" s="641"/>
      <c r="Q574" s="642"/>
      <c r="R574" s="147"/>
      <c r="S574" s="147"/>
      <c r="T574" s="147"/>
      <c r="U574" s="147"/>
      <c r="V574" s="147"/>
      <c r="W574" s="147"/>
      <c r="X574" s="147"/>
      <c r="Y574" s="147"/>
      <c r="Z574" s="147"/>
      <c r="AA574" s="147"/>
      <c r="AB574" s="147"/>
      <c r="AC574" s="147"/>
      <c r="AD574" s="147"/>
      <c r="AE574" s="147"/>
      <c r="AF574" s="147"/>
      <c r="AG574" s="147"/>
      <c r="AH574" s="147"/>
      <c r="AI574" s="147"/>
      <c r="AJ574" s="147"/>
      <c r="AK574" s="147"/>
      <c r="AL574" s="147"/>
      <c r="AM574" s="147"/>
      <c r="AN574" s="147"/>
      <c r="AO574" s="147"/>
      <c r="AP574" s="147"/>
      <c r="AQ574" s="147"/>
      <c r="AR574" s="147"/>
      <c r="AS574" s="147"/>
      <c r="AT574" s="147"/>
      <c r="AU574" s="147"/>
      <c r="AV574" s="147"/>
      <c r="AW574" s="147"/>
    </row>
    <row r="575">
      <c r="A575" s="631"/>
      <c r="B575" s="631"/>
      <c r="C575" s="632"/>
      <c r="D575" s="633"/>
      <c r="E575" s="634"/>
      <c r="F575" s="635"/>
      <c r="G575" s="636"/>
      <c r="H575" s="637"/>
      <c r="I575" s="643"/>
      <c r="J575" s="644"/>
      <c r="K575" s="147"/>
      <c r="L575" s="632"/>
      <c r="M575" s="147"/>
      <c r="N575" s="640"/>
      <c r="O575" s="640"/>
      <c r="P575" s="641"/>
      <c r="Q575" s="642"/>
      <c r="R575" s="147"/>
      <c r="S575" s="147"/>
      <c r="T575" s="147"/>
      <c r="U575" s="147"/>
      <c r="V575" s="147"/>
      <c r="W575" s="147"/>
      <c r="X575" s="147"/>
      <c r="Y575" s="147"/>
      <c r="Z575" s="147"/>
      <c r="AA575" s="147"/>
      <c r="AB575" s="147"/>
      <c r="AC575" s="147"/>
      <c r="AD575" s="147"/>
      <c r="AE575" s="147"/>
      <c r="AF575" s="147"/>
      <c r="AG575" s="147"/>
      <c r="AH575" s="147"/>
      <c r="AI575" s="147"/>
      <c r="AJ575" s="147"/>
      <c r="AK575" s="147"/>
      <c r="AL575" s="147"/>
      <c r="AM575" s="147"/>
      <c r="AN575" s="147"/>
      <c r="AO575" s="147"/>
      <c r="AP575" s="147"/>
      <c r="AQ575" s="147"/>
      <c r="AR575" s="147"/>
      <c r="AS575" s="147"/>
      <c r="AT575" s="147"/>
      <c r="AU575" s="147"/>
      <c r="AV575" s="147"/>
      <c r="AW575" s="147"/>
    </row>
    <row r="576">
      <c r="A576" s="631"/>
      <c r="B576" s="631"/>
      <c r="C576" s="632"/>
      <c r="D576" s="633"/>
      <c r="E576" s="634"/>
      <c r="F576" s="635"/>
      <c r="G576" s="636"/>
      <c r="H576" s="637"/>
      <c r="I576" s="643"/>
      <c r="J576" s="644"/>
      <c r="K576" s="147"/>
      <c r="L576" s="632"/>
      <c r="M576" s="147"/>
      <c r="N576" s="640"/>
      <c r="O576" s="640"/>
      <c r="P576" s="641"/>
      <c r="Q576" s="642"/>
      <c r="R576" s="147"/>
      <c r="S576" s="147"/>
      <c r="T576" s="147"/>
      <c r="U576" s="147"/>
      <c r="V576" s="147"/>
      <c r="W576" s="147"/>
      <c r="X576" s="147"/>
      <c r="Y576" s="147"/>
      <c r="Z576" s="147"/>
      <c r="AA576" s="147"/>
      <c r="AB576" s="147"/>
      <c r="AC576" s="147"/>
      <c r="AD576" s="147"/>
      <c r="AE576" s="147"/>
      <c r="AF576" s="147"/>
      <c r="AG576" s="147"/>
      <c r="AH576" s="147"/>
      <c r="AI576" s="147"/>
      <c r="AJ576" s="147"/>
      <c r="AK576" s="147"/>
      <c r="AL576" s="147"/>
      <c r="AM576" s="147"/>
      <c r="AN576" s="147"/>
      <c r="AO576" s="147"/>
      <c r="AP576" s="147"/>
      <c r="AQ576" s="147"/>
      <c r="AR576" s="147"/>
      <c r="AS576" s="147"/>
      <c r="AT576" s="147"/>
      <c r="AU576" s="147"/>
      <c r="AV576" s="147"/>
      <c r="AW576" s="147"/>
    </row>
    <row r="577">
      <c r="A577" s="631"/>
      <c r="B577" s="631"/>
      <c r="C577" s="632"/>
      <c r="D577" s="633"/>
      <c r="E577" s="634"/>
      <c r="F577" s="635"/>
      <c r="G577" s="636"/>
      <c r="H577" s="637"/>
      <c r="I577" s="643"/>
      <c r="J577" s="644"/>
      <c r="K577" s="147"/>
      <c r="L577" s="632"/>
      <c r="M577" s="147"/>
      <c r="N577" s="640"/>
      <c r="O577" s="640"/>
      <c r="P577" s="641"/>
      <c r="Q577" s="642"/>
      <c r="R577" s="147"/>
      <c r="S577" s="147"/>
      <c r="T577" s="147"/>
      <c r="U577" s="147"/>
      <c r="V577" s="147"/>
      <c r="W577" s="147"/>
      <c r="X577" s="147"/>
      <c r="Y577" s="147"/>
      <c r="Z577" s="147"/>
      <c r="AA577" s="147"/>
      <c r="AB577" s="147"/>
      <c r="AC577" s="147"/>
      <c r="AD577" s="147"/>
      <c r="AE577" s="147"/>
      <c r="AF577" s="147"/>
      <c r="AG577" s="147"/>
      <c r="AH577" s="147"/>
      <c r="AI577" s="147"/>
      <c r="AJ577" s="147"/>
      <c r="AK577" s="147"/>
      <c r="AL577" s="147"/>
      <c r="AM577" s="147"/>
      <c r="AN577" s="147"/>
      <c r="AO577" s="147"/>
      <c r="AP577" s="147"/>
      <c r="AQ577" s="147"/>
      <c r="AR577" s="147"/>
      <c r="AS577" s="147"/>
      <c r="AT577" s="147"/>
      <c r="AU577" s="147"/>
      <c r="AV577" s="147"/>
      <c r="AW577" s="147"/>
    </row>
    <row r="578">
      <c r="A578" s="631"/>
      <c r="B578" s="631"/>
      <c r="C578" s="632"/>
      <c r="D578" s="633"/>
      <c r="E578" s="634"/>
      <c r="F578" s="635"/>
      <c r="G578" s="636"/>
      <c r="H578" s="637"/>
      <c r="I578" s="643"/>
      <c r="J578" s="644"/>
      <c r="K578" s="147"/>
      <c r="L578" s="632"/>
      <c r="M578" s="147"/>
      <c r="N578" s="640"/>
      <c r="O578" s="640"/>
      <c r="P578" s="641"/>
      <c r="Q578" s="642"/>
      <c r="R578" s="147"/>
      <c r="S578" s="147"/>
      <c r="T578" s="147"/>
      <c r="U578" s="147"/>
      <c r="V578" s="147"/>
      <c r="W578" s="147"/>
      <c r="X578" s="147"/>
      <c r="Y578" s="147"/>
      <c r="Z578" s="147"/>
      <c r="AA578" s="147"/>
      <c r="AB578" s="147"/>
      <c r="AC578" s="147"/>
      <c r="AD578" s="147"/>
      <c r="AE578" s="147"/>
      <c r="AF578" s="147"/>
      <c r="AG578" s="147"/>
      <c r="AH578" s="147"/>
      <c r="AI578" s="147"/>
      <c r="AJ578" s="147"/>
      <c r="AK578" s="147"/>
      <c r="AL578" s="147"/>
      <c r="AM578" s="147"/>
      <c r="AN578" s="147"/>
      <c r="AO578" s="147"/>
      <c r="AP578" s="147"/>
      <c r="AQ578" s="147"/>
      <c r="AR578" s="147"/>
      <c r="AS578" s="147"/>
      <c r="AT578" s="147"/>
      <c r="AU578" s="147"/>
      <c r="AV578" s="147"/>
      <c r="AW578" s="147"/>
    </row>
    <row r="579">
      <c r="A579" s="631"/>
      <c r="B579" s="631"/>
      <c r="C579" s="632"/>
      <c r="D579" s="633"/>
      <c r="E579" s="634"/>
      <c r="F579" s="635"/>
      <c r="G579" s="636"/>
      <c r="H579" s="637"/>
      <c r="I579" s="643"/>
      <c r="J579" s="644"/>
      <c r="K579" s="147"/>
      <c r="L579" s="632"/>
      <c r="M579" s="147"/>
      <c r="N579" s="640"/>
      <c r="O579" s="640"/>
      <c r="P579" s="641"/>
      <c r="Q579" s="642"/>
      <c r="R579" s="147"/>
      <c r="S579" s="147"/>
      <c r="T579" s="147"/>
      <c r="U579" s="147"/>
      <c r="V579" s="147"/>
      <c r="W579" s="147"/>
      <c r="X579" s="147"/>
      <c r="Y579" s="147"/>
      <c r="Z579" s="147"/>
      <c r="AA579" s="147"/>
      <c r="AB579" s="147"/>
      <c r="AC579" s="147"/>
      <c r="AD579" s="147"/>
      <c r="AE579" s="147"/>
      <c r="AF579" s="147"/>
      <c r="AG579" s="147"/>
      <c r="AH579" s="147"/>
      <c r="AI579" s="147"/>
      <c r="AJ579" s="147"/>
      <c r="AK579" s="147"/>
      <c r="AL579" s="147"/>
      <c r="AM579" s="147"/>
      <c r="AN579" s="147"/>
      <c r="AO579" s="147"/>
      <c r="AP579" s="147"/>
      <c r="AQ579" s="147"/>
      <c r="AR579" s="147"/>
      <c r="AS579" s="147"/>
      <c r="AT579" s="147"/>
      <c r="AU579" s="147"/>
      <c r="AV579" s="147"/>
      <c r="AW579" s="147"/>
    </row>
    <row r="580">
      <c r="A580" s="631"/>
      <c r="B580" s="631"/>
      <c r="C580" s="632"/>
      <c r="D580" s="633"/>
      <c r="E580" s="634"/>
      <c r="F580" s="635"/>
      <c r="G580" s="636"/>
      <c r="H580" s="637"/>
      <c r="I580" s="643"/>
      <c r="J580" s="644"/>
      <c r="K580" s="147"/>
      <c r="L580" s="632"/>
      <c r="M580" s="147"/>
      <c r="N580" s="640"/>
      <c r="O580" s="640"/>
      <c r="P580" s="641"/>
      <c r="Q580" s="642"/>
      <c r="R580" s="147"/>
      <c r="S580" s="147"/>
      <c r="T580" s="147"/>
      <c r="U580" s="147"/>
      <c r="V580" s="147"/>
      <c r="W580" s="147"/>
      <c r="X580" s="147"/>
      <c r="Y580" s="147"/>
      <c r="Z580" s="147"/>
      <c r="AA580" s="147"/>
      <c r="AB580" s="147"/>
      <c r="AC580" s="147"/>
      <c r="AD580" s="147"/>
      <c r="AE580" s="147"/>
      <c r="AF580" s="147"/>
      <c r="AG580" s="147"/>
      <c r="AH580" s="147"/>
      <c r="AI580" s="147"/>
      <c r="AJ580" s="147"/>
      <c r="AK580" s="147"/>
      <c r="AL580" s="147"/>
      <c r="AM580" s="147"/>
      <c r="AN580" s="147"/>
      <c r="AO580" s="147"/>
      <c r="AP580" s="147"/>
      <c r="AQ580" s="147"/>
      <c r="AR580" s="147"/>
      <c r="AS580" s="147"/>
      <c r="AT580" s="147"/>
      <c r="AU580" s="147"/>
      <c r="AV580" s="147"/>
      <c r="AW580" s="147"/>
    </row>
    <row r="581">
      <c r="A581" s="631"/>
      <c r="B581" s="631"/>
      <c r="C581" s="632"/>
      <c r="D581" s="633"/>
      <c r="E581" s="634"/>
      <c r="F581" s="635"/>
      <c r="G581" s="636"/>
      <c r="H581" s="637"/>
      <c r="I581" s="643"/>
      <c r="J581" s="644"/>
      <c r="K581" s="147"/>
      <c r="L581" s="632"/>
      <c r="M581" s="147"/>
      <c r="N581" s="640"/>
      <c r="O581" s="640"/>
      <c r="P581" s="641"/>
      <c r="Q581" s="642"/>
      <c r="R581" s="147"/>
      <c r="S581" s="147"/>
      <c r="T581" s="147"/>
      <c r="U581" s="147"/>
      <c r="V581" s="147"/>
      <c r="W581" s="147"/>
      <c r="X581" s="147"/>
      <c r="Y581" s="147"/>
      <c r="Z581" s="147"/>
      <c r="AA581" s="147"/>
      <c r="AB581" s="147"/>
      <c r="AC581" s="147"/>
      <c r="AD581" s="147"/>
      <c r="AE581" s="147"/>
      <c r="AF581" s="147"/>
      <c r="AG581" s="147"/>
      <c r="AH581" s="147"/>
      <c r="AI581" s="147"/>
      <c r="AJ581" s="147"/>
      <c r="AK581" s="147"/>
      <c r="AL581" s="147"/>
      <c r="AM581" s="147"/>
      <c r="AN581" s="147"/>
      <c r="AO581" s="147"/>
      <c r="AP581" s="147"/>
      <c r="AQ581" s="147"/>
      <c r="AR581" s="147"/>
      <c r="AS581" s="147"/>
      <c r="AT581" s="147"/>
      <c r="AU581" s="147"/>
      <c r="AV581" s="147"/>
      <c r="AW581" s="147"/>
    </row>
    <row r="582">
      <c r="A582" s="631"/>
      <c r="B582" s="631"/>
      <c r="C582" s="632"/>
      <c r="D582" s="633"/>
      <c r="E582" s="634"/>
      <c r="F582" s="635"/>
      <c r="G582" s="636"/>
      <c r="H582" s="637"/>
      <c r="I582" s="643"/>
      <c r="J582" s="644"/>
      <c r="K582" s="147"/>
      <c r="L582" s="632"/>
      <c r="M582" s="147"/>
      <c r="N582" s="640"/>
      <c r="O582" s="640"/>
      <c r="P582" s="641"/>
      <c r="Q582" s="642"/>
      <c r="R582" s="147"/>
      <c r="S582" s="147"/>
      <c r="T582" s="147"/>
      <c r="U582" s="147"/>
      <c r="V582" s="147"/>
      <c r="W582" s="147"/>
      <c r="X582" s="147"/>
      <c r="Y582" s="147"/>
      <c r="Z582" s="147"/>
      <c r="AA582" s="147"/>
      <c r="AB582" s="147"/>
      <c r="AC582" s="147"/>
      <c r="AD582" s="147"/>
      <c r="AE582" s="147"/>
      <c r="AF582" s="147"/>
      <c r="AG582" s="147"/>
      <c r="AH582" s="147"/>
      <c r="AI582" s="147"/>
      <c r="AJ582" s="147"/>
      <c r="AK582" s="147"/>
      <c r="AL582" s="147"/>
      <c r="AM582" s="147"/>
      <c r="AN582" s="147"/>
      <c r="AO582" s="147"/>
      <c r="AP582" s="147"/>
      <c r="AQ582" s="147"/>
      <c r="AR582" s="147"/>
      <c r="AS582" s="147"/>
      <c r="AT582" s="147"/>
      <c r="AU582" s="147"/>
      <c r="AV582" s="147"/>
      <c r="AW582" s="147"/>
    </row>
    <row r="583">
      <c r="A583" s="631"/>
      <c r="B583" s="631"/>
      <c r="C583" s="632"/>
      <c r="D583" s="633"/>
      <c r="E583" s="634"/>
      <c r="F583" s="635"/>
      <c r="G583" s="636"/>
      <c r="H583" s="637"/>
      <c r="I583" s="643"/>
      <c r="J583" s="644"/>
      <c r="K583" s="147"/>
      <c r="L583" s="632"/>
      <c r="M583" s="147"/>
      <c r="N583" s="640"/>
      <c r="O583" s="640"/>
      <c r="P583" s="641"/>
      <c r="Q583" s="642"/>
      <c r="R583" s="147"/>
      <c r="S583" s="147"/>
      <c r="T583" s="147"/>
      <c r="U583" s="147"/>
      <c r="V583" s="147"/>
      <c r="W583" s="147"/>
      <c r="X583" s="147"/>
      <c r="Y583" s="147"/>
      <c r="Z583" s="147"/>
      <c r="AA583" s="147"/>
      <c r="AB583" s="147"/>
      <c r="AC583" s="147"/>
      <c r="AD583" s="147"/>
      <c r="AE583" s="147"/>
      <c r="AF583" s="147"/>
      <c r="AG583" s="147"/>
      <c r="AH583" s="147"/>
      <c r="AI583" s="147"/>
      <c r="AJ583" s="147"/>
      <c r="AK583" s="147"/>
      <c r="AL583" s="147"/>
      <c r="AM583" s="147"/>
      <c r="AN583" s="147"/>
      <c r="AO583" s="147"/>
      <c r="AP583" s="147"/>
      <c r="AQ583" s="147"/>
      <c r="AR583" s="147"/>
      <c r="AS583" s="147"/>
      <c r="AT583" s="147"/>
      <c r="AU583" s="147"/>
      <c r="AV583" s="147"/>
      <c r="AW583" s="147"/>
    </row>
    <row r="584">
      <c r="A584" s="631"/>
      <c r="B584" s="631"/>
      <c r="C584" s="632"/>
      <c r="D584" s="633"/>
      <c r="E584" s="634"/>
      <c r="F584" s="635"/>
      <c r="G584" s="636"/>
      <c r="H584" s="637"/>
      <c r="I584" s="643"/>
      <c r="J584" s="644"/>
      <c r="K584" s="147"/>
      <c r="L584" s="632"/>
      <c r="M584" s="147"/>
      <c r="N584" s="640"/>
      <c r="O584" s="640"/>
      <c r="P584" s="641"/>
      <c r="Q584" s="642"/>
      <c r="R584" s="147"/>
      <c r="S584" s="147"/>
      <c r="T584" s="147"/>
      <c r="U584" s="147"/>
      <c r="V584" s="147"/>
      <c r="W584" s="147"/>
      <c r="X584" s="147"/>
      <c r="Y584" s="147"/>
      <c r="Z584" s="147"/>
      <c r="AA584" s="147"/>
      <c r="AB584" s="147"/>
      <c r="AC584" s="147"/>
      <c r="AD584" s="147"/>
      <c r="AE584" s="147"/>
      <c r="AF584" s="147"/>
      <c r="AG584" s="147"/>
      <c r="AH584" s="147"/>
      <c r="AI584" s="147"/>
      <c r="AJ584" s="147"/>
      <c r="AK584" s="147"/>
      <c r="AL584" s="147"/>
      <c r="AM584" s="147"/>
      <c r="AN584" s="147"/>
      <c r="AO584" s="147"/>
      <c r="AP584" s="147"/>
      <c r="AQ584" s="147"/>
      <c r="AR584" s="147"/>
      <c r="AS584" s="147"/>
      <c r="AT584" s="147"/>
      <c r="AU584" s="147"/>
      <c r="AV584" s="147"/>
      <c r="AW584" s="147"/>
    </row>
    <row r="585">
      <c r="A585" s="631"/>
      <c r="B585" s="631"/>
      <c r="C585" s="632"/>
      <c r="D585" s="633"/>
      <c r="E585" s="634"/>
      <c r="F585" s="635"/>
      <c r="G585" s="636"/>
      <c r="H585" s="637"/>
      <c r="I585" s="643"/>
      <c r="J585" s="644"/>
      <c r="K585" s="147"/>
      <c r="L585" s="632"/>
      <c r="M585" s="147"/>
      <c r="N585" s="640"/>
      <c r="O585" s="640"/>
      <c r="P585" s="641"/>
      <c r="Q585" s="642"/>
      <c r="R585" s="147"/>
      <c r="S585" s="147"/>
      <c r="T585" s="147"/>
      <c r="U585" s="147"/>
      <c r="V585" s="147"/>
      <c r="W585" s="147"/>
      <c r="X585" s="147"/>
      <c r="Y585" s="147"/>
      <c r="Z585" s="147"/>
      <c r="AA585" s="147"/>
      <c r="AB585" s="147"/>
      <c r="AC585" s="147"/>
      <c r="AD585" s="147"/>
      <c r="AE585" s="147"/>
      <c r="AF585" s="147"/>
      <c r="AG585" s="147"/>
      <c r="AH585" s="147"/>
      <c r="AI585" s="147"/>
      <c r="AJ585" s="147"/>
      <c r="AK585" s="147"/>
      <c r="AL585" s="147"/>
      <c r="AM585" s="147"/>
      <c r="AN585" s="147"/>
      <c r="AO585" s="147"/>
      <c r="AP585" s="147"/>
      <c r="AQ585" s="147"/>
      <c r="AR585" s="147"/>
      <c r="AS585" s="147"/>
      <c r="AT585" s="147"/>
      <c r="AU585" s="147"/>
      <c r="AV585" s="147"/>
      <c r="AW585" s="147"/>
    </row>
    <row r="586">
      <c r="A586" s="631"/>
      <c r="B586" s="631"/>
      <c r="C586" s="632"/>
      <c r="D586" s="633"/>
      <c r="E586" s="634"/>
      <c r="F586" s="635"/>
      <c r="G586" s="636"/>
      <c r="H586" s="637"/>
      <c r="I586" s="643"/>
      <c r="J586" s="644"/>
      <c r="K586" s="147"/>
      <c r="L586" s="632"/>
      <c r="M586" s="147"/>
      <c r="N586" s="640"/>
      <c r="O586" s="640"/>
      <c r="P586" s="641"/>
      <c r="Q586" s="642"/>
      <c r="R586" s="147"/>
      <c r="S586" s="147"/>
      <c r="T586" s="147"/>
      <c r="U586" s="147"/>
      <c r="V586" s="147"/>
      <c r="W586" s="147"/>
      <c r="X586" s="147"/>
      <c r="Y586" s="147"/>
      <c r="Z586" s="147"/>
      <c r="AA586" s="147"/>
      <c r="AB586" s="147"/>
      <c r="AC586" s="147"/>
      <c r="AD586" s="147"/>
      <c r="AE586" s="147"/>
      <c r="AF586" s="147"/>
      <c r="AG586" s="147"/>
      <c r="AH586" s="147"/>
      <c r="AI586" s="147"/>
      <c r="AJ586" s="147"/>
      <c r="AK586" s="147"/>
      <c r="AL586" s="147"/>
      <c r="AM586" s="147"/>
      <c r="AN586" s="147"/>
      <c r="AO586" s="147"/>
      <c r="AP586" s="147"/>
      <c r="AQ586" s="147"/>
      <c r="AR586" s="147"/>
      <c r="AS586" s="147"/>
      <c r="AT586" s="147"/>
      <c r="AU586" s="147"/>
      <c r="AV586" s="147"/>
      <c r="AW586" s="147"/>
    </row>
    <row r="587">
      <c r="A587" s="631"/>
      <c r="B587" s="631"/>
      <c r="C587" s="632"/>
      <c r="D587" s="633"/>
      <c r="E587" s="634"/>
      <c r="F587" s="635"/>
      <c r="G587" s="636"/>
      <c r="H587" s="637"/>
      <c r="I587" s="643"/>
      <c r="J587" s="644"/>
      <c r="K587" s="147"/>
      <c r="L587" s="632"/>
      <c r="M587" s="147"/>
      <c r="N587" s="640"/>
      <c r="O587" s="640"/>
      <c r="P587" s="641"/>
      <c r="Q587" s="642"/>
      <c r="R587" s="147"/>
      <c r="S587" s="147"/>
      <c r="T587" s="147"/>
      <c r="U587" s="147"/>
      <c r="V587" s="147"/>
      <c r="W587" s="147"/>
      <c r="X587" s="147"/>
      <c r="Y587" s="147"/>
      <c r="Z587" s="147"/>
      <c r="AA587" s="147"/>
      <c r="AB587" s="147"/>
      <c r="AC587" s="147"/>
      <c r="AD587" s="147"/>
      <c r="AE587" s="147"/>
      <c r="AF587" s="147"/>
      <c r="AG587" s="147"/>
      <c r="AH587" s="147"/>
      <c r="AI587" s="147"/>
      <c r="AJ587" s="147"/>
      <c r="AK587" s="147"/>
      <c r="AL587" s="147"/>
      <c r="AM587" s="147"/>
      <c r="AN587" s="147"/>
      <c r="AO587" s="147"/>
      <c r="AP587" s="147"/>
      <c r="AQ587" s="147"/>
      <c r="AR587" s="147"/>
      <c r="AS587" s="147"/>
      <c r="AT587" s="147"/>
      <c r="AU587" s="147"/>
      <c r="AV587" s="147"/>
      <c r="AW587" s="147"/>
    </row>
    <row r="588">
      <c r="A588" s="631"/>
      <c r="B588" s="631"/>
      <c r="C588" s="632"/>
      <c r="D588" s="633"/>
      <c r="E588" s="634"/>
      <c r="F588" s="635"/>
      <c r="G588" s="636"/>
      <c r="H588" s="637"/>
      <c r="I588" s="643"/>
      <c r="J588" s="644"/>
      <c r="K588" s="147"/>
      <c r="L588" s="632"/>
      <c r="M588" s="147"/>
      <c r="N588" s="640"/>
      <c r="O588" s="640"/>
      <c r="P588" s="641"/>
      <c r="Q588" s="642"/>
      <c r="R588" s="147"/>
      <c r="S588" s="147"/>
      <c r="T588" s="147"/>
      <c r="U588" s="147"/>
      <c r="V588" s="147"/>
      <c r="W588" s="147"/>
      <c r="X588" s="147"/>
      <c r="Y588" s="147"/>
      <c r="Z588" s="147"/>
      <c r="AA588" s="147"/>
      <c r="AB588" s="147"/>
      <c r="AC588" s="147"/>
      <c r="AD588" s="147"/>
      <c r="AE588" s="147"/>
      <c r="AF588" s="147"/>
      <c r="AG588" s="147"/>
      <c r="AH588" s="147"/>
      <c r="AI588" s="147"/>
      <c r="AJ588" s="147"/>
      <c r="AK588" s="147"/>
      <c r="AL588" s="147"/>
      <c r="AM588" s="147"/>
      <c r="AN588" s="147"/>
      <c r="AO588" s="147"/>
      <c r="AP588" s="147"/>
      <c r="AQ588" s="147"/>
      <c r="AR588" s="147"/>
      <c r="AS588" s="147"/>
      <c r="AT588" s="147"/>
      <c r="AU588" s="147"/>
      <c r="AV588" s="147"/>
      <c r="AW588" s="147"/>
    </row>
    <row r="589">
      <c r="A589" s="631"/>
      <c r="B589" s="631"/>
      <c r="C589" s="632"/>
      <c r="D589" s="633"/>
      <c r="E589" s="634"/>
      <c r="F589" s="635"/>
      <c r="G589" s="636"/>
      <c r="H589" s="637"/>
      <c r="I589" s="643"/>
      <c r="J589" s="644"/>
      <c r="K589" s="147"/>
      <c r="L589" s="632"/>
      <c r="M589" s="147"/>
      <c r="N589" s="640"/>
      <c r="O589" s="640"/>
      <c r="P589" s="641"/>
      <c r="Q589" s="642"/>
      <c r="R589" s="147"/>
      <c r="S589" s="147"/>
      <c r="T589" s="147"/>
      <c r="U589" s="147"/>
      <c r="V589" s="147"/>
      <c r="W589" s="147"/>
      <c r="X589" s="147"/>
      <c r="Y589" s="147"/>
      <c r="Z589" s="147"/>
      <c r="AA589" s="147"/>
      <c r="AB589" s="147"/>
      <c r="AC589" s="147"/>
      <c r="AD589" s="147"/>
      <c r="AE589" s="147"/>
      <c r="AF589" s="147"/>
      <c r="AG589" s="147"/>
      <c r="AH589" s="147"/>
      <c r="AI589" s="147"/>
      <c r="AJ589" s="147"/>
      <c r="AK589" s="147"/>
      <c r="AL589" s="147"/>
      <c r="AM589" s="147"/>
      <c r="AN589" s="147"/>
      <c r="AO589" s="147"/>
      <c r="AP589" s="147"/>
      <c r="AQ589" s="147"/>
      <c r="AR589" s="147"/>
      <c r="AS589" s="147"/>
      <c r="AT589" s="147"/>
      <c r="AU589" s="147"/>
      <c r="AV589" s="147"/>
      <c r="AW589" s="147"/>
    </row>
    <row r="590">
      <c r="A590" s="631"/>
      <c r="B590" s="631"/>
      <c r="C590" s="632"/>
      <c r="D590" s="633"/>
      <c r="E590" s="634"/>
      <c r="F590" s="635"/>
      <c r="G590" s="636"/>
      <c r="H590" s="637"/>
      <c r="I590" s="643"/>
      <c r="J590" s="644"/>
      <c r="K590" s="147"/>
      <c r="L590" s="632"/>
      <c r="M590" s="147"/>
      <c r="N590" s="640"/>
      <c r="O590" s="640"/>
      <c r="P590" s="641"/>
      <c r="Q590" s="642"/>
      <c r="R590" s="147"/>
      <c r="S590" s="147"/>
      <c r="T590" s="147"/>
      <c r="U590" s="147"/>
      <c r="V590" s="147"/>
      <c r="W590" s="147"/>
      <c r="X590" s="147"/>
      <c r="Y590" s="147"/>
      <c r="Z590" s="147"/>
      <c r="AA590" s="147"/>
      <c r="AB590" s="147"/>
      <c r="AC590" s="147"/>
      <c r="AD590" s="147"/>
      <c r="AE590" s="147"/>
      <c r="AF590" s="147"/>
      <c r="AG590" s="147"/>
      <c r="AH590" s="147"/>
      <c r="AI590" s="147"/>
      <c r="AJ590" s="147"/>
      <c r="AK590" s="147"/>
      <c r="AL590" s="147"/>
      <c r="AM590" s="147"/>
      <c r="AN590" s="147"/>
      <c r="AO590" s="147"/>
      <c r="AP590" s="147"/>
      <c r="AQ590" s="147"/>
      <c r="AR590" s="147"/>
      <c r="AS590" s="147"/>
      <c r="AT590" s="147"/>
      <c r="AU590" s="147"/>
      <c r="AV590" s="147"/>
      <c r="AW590" s="147"/>
    </row>
    <row r="591">
      <c r="A591" s="631"/>
      <c r="B591" s="631"/>
      <c r="C591" s="632"/>
      <c r="D591" s="633"/>
      <c r="E591" s="634"/>
      <c r="F591" s="635"/>
      <c r="G591" s="636"/>
      <c r="H591" s="637"/>
      <c r="I591" s="643"/>
      <c r="J591" s="644"/>
      <c r="K591" s="147"/>
      <c r="L591" s="632"/>
      <c r="M591" s="147"/>
      <c r="N591" s="640"/>
      <c r="O591" s="640"/>
      <c r="P591" s="641"/>
      <c r="Q591" s="642"/>
      <c r="R591" s="147"/>
      <c r="S591" s="147"/>
      <c r="T591" s="147"/>
      <c r="U591" s="147"/>
      <c r="V591" s="147"/>
      <c r="W591" s="147"/>
      <c r="X591" s="147"/>
      <c r="Y591" s="147"/>
      <c r="Z591" s="147"/>
      <c r="AA591" s="147"/>
      <c r="AB591" s="147"/>
      <c r="AC591" s="147"/>
      <c r="AD591" s="147"/>
      <c r="AE591" s="147"/>
      <c r="AF591" s="147"/>
      <c r="AG591" s="147"/>
      <c r="AH591" s="147"/>
      <c r="AI591" s="147"/>
      <c r="AJ591" s="147"/>
      <c r="AK591" s="147"/>
      <c r="AL591" s="147"/>
      <c r="AM591" s="147"/>
      <c r="AN591" s="147"/>
      <c r="AO591" s="147"/>
      <c r="AP591" s="147"/>
      <c r="AQ591" s="147"/>
      <c r="AR591" s="147"/>
      <c r="AS591" s="147"/>
      <c r="AT591" s="147"/>
      <c r="AU591" s="147"/>
      <c r="AV591" s="147"/>
      <c r="AW591" s="147"/>
    </row>
    <row r="592">
      <c r="A592" s="631"/>
      <c r="B592" s="631"/>
      <c r="C592" s="632"/>
      <c r="D592" s="633"/>
      <c r="E592" s="634"/>
      <c r="F592" s="635"/>
      <c r="G592" s="636"/>
      <c r="H592" s="637"/>
      <c r="I592" s="643"/>
      <c r="J592" s="644"/>
      <c r="K592" s="147"/>
      <c r="L592" s="632"/>
      <c r="M592" s="147"/>
      <c r="N592" s="640"/>
      <c r="O592" s="640"/>
      <c r="P592" s="641"/>
      <c r="Q592" s="642"/>
      <c r="R592" s="147"/>
      <c r="S592" s="147"/>
      <c r="T592" s="147"/>
      <c r="U592" s="147"/>
      <c r="V592" s="147"/>
      <c r="W592" s="147"/>
      <c r="X592" s="147"/>
      <c r="Y592" s="147"/>
      <c r="Z592" s="147"/>
      <c r="AA592" s="147"/>
      <c r="AB592" s="147"/>
      <c r="AC592" s="147"/>
      <c r="AD592" s="147"/>
      <c r="AE592" s="147"/>
      <c r="AF592" s="147"/>
      <c r="AG592" s="147"/>
      <c r="AH592" s="147"/>
      <c r="AI592" s="147"/>
      <c r="AJ592" s="147"/>
      <c r="AK592" s="147"/>
      <c r="AL592" s="147"/>
      <c r="AM592" s="147"/>
      <c r="AN592" s="147"/>
      <c r="AO592" s="147"/>
      <c r="AP592" s="147"/>
      <c r="AQ592" s="147"/>
      <c r="AR592" s="147"/>
      <c r="AS592" s="147"/>
      <c r="AT592" s="147"/>
      <c r="AU592" s="147"/>
      <c r="AV592" s="147"/>
      <c r="AW592" s="147"/>
    </row>
    <row r="593">
      <c r="A593" s="631"/>
      <c r="B593" s="631"/>
      <c r="C593" s="632"/>
      <c r="D593" s="633"/>
      <c r="E593" s="634"/>
      <c r="F593" s="635"/>
      <c r="G593" s="636"/>
      <c r="H593" s="637"/>
      <c r="I593" s="643"/>
      <c r="J593" s="644"/>
      <c r="K593" s="147"/>
      <c r="L593" s="632"/>
      <c r="M593" s="147"/>
      <c r="N593" s="640"/>
      <c r="O593" s="640"/>
      <c r="P593" s="641"/>
      <c r="Q593" s="642"/>
      <c r="R593" s="147"/>
      <c r="S593" s="147"/>
      <c r="T593" s="147"/>
      <c r="U593" s="147"/>
      <c r="V593" s="147"/>
      <c r="W593" s="147"/>
      <c r="X593" s="147"/>
      <c r="Y593" s="147"/>
      <c r="Z593" s="147"/>
      <c r="AA593" s="147"/>
      <c r="AB593" s="147"/>
      <c r="AC593" s="147"/>
      <c r="AD593" s="147"/>
      <c r="AE593" s="147"/>
      <c r="AF593" s="147"/>
      <c r="AG593" s="147"/>
      <c r="AH593" s="147"/>
      <c r="AI593" s="147"/>
      <c r="AJ593" s="147"/>
      <c r="AK593" s="147"/>
      <c r="AL593" s="147"/>
      <c r="AM593" s="147"/>
      <c r="AN593" s="147"/>
      <c r="AO593" s="147"/>
      <c r="AP593" s="147"/>
      <c r="AQ593" s="147"/>
      <c r="AR593" s="147"/>
      <c r="AS593" s="147"/>
      <c r="AT593" s="147"/>
      <c r="AU593" s="147"/>
      <c r="AV593" s="147"/>
      <c r="AW593" s="147"/>
    </row>
    <row r="594">
      <c r="A594" s="631"/>
      <c r="B594" s="631"/>
      <c r="C594" s="632"/>
      <c r="D594" s="633"/>
      <c r="E594" s="634"/>
      <c r="F594" s="635"/>
      <c r="G594" s="636"/>
      <c r="H594" s="637"/>
      <c r="I594" s="643"/>
      <c r="J594" s="644"/>
      <c r="K594" s="147"/>
      <c r="L594" s="632"/>
      <c r="M594" s="147"/>
      <c r="N594" s="640"/>
      <c r="O594" s="640"/>
      <c r="P594" s="641"/>
      <c r="Q594" s="642"/>
      <c r="R594" s="147"/>
      <c r="S594" s="147"/>
      <c r="T594" s="147"/>
      <c r="U594" s="147"/>
      <c r="V594" s="147"/>
      <c r="W594" s="147"/>
      <c r="X594" s="147"/>
      <c r="Y594" s="147"/>
      <c r="Z594" s="147"/>
      <c r="AA594" s="147"/>
      <c r="AB594" s="147"/>
      <c r="AC594" s="147"/>
      <c r="AD594" s="147"/>
      <c r="AE594" s="147"/>
      <c r="AF594" s="147"/>
      <c r="AG594" s="147"/>
      <c r="AH594" s="147"/>
      <c r="AI594" s="147"/>
      <c r="AJ594" s="147"/>
      <c r="AK594" s="147"/>
      <c r="AL594" s="147"/>
      <c r="AM594" s="147"/>
      <c r="AN594" s="147"/>
      <c r="AO594" s="147"/>
      <c r="AP594" s="147"/>
      <c r="AQ594" s="147"/>
      <c r="AR594" s="147"/>
      <c r="AS594" s="147"/>
      <c r="AT594" s="147"/>
      <c r="AU594" s="147"/>
      <c r="AV594" s="147"/>
      <c r="AW594" s="147"/>
    </row>
    <row r="595">
      <c r="A595" s="631"/>
      <c r="B595" s="631"/>
      <c r="C595" s="632"/>
      <c r="D595" s="633"/>
      <c r="E595" s="634"/>
      <c r="F595" s="635"/>
      <c r="G595" s="636"/>
      <c r="H595" s="637"/>
      <c r="I595" s="643"/>
      <c r="J595" s="644"/>
      <c r="K595" s="147"/>
      <c r="L595" s="632"/>
      <c r="M595" s="147"/>
      <c r="N595" s="640"/>
      <c r="O595" s="640"/>
      <c r="P595" s="641"/>
      <c r="Q595" s="642"/>
      <c r="R595" s="147"/>
      <c r="S595" s="147"/>
      <c r="T595" s="147"/>
      <c r="U595" s="147"/>
      <c r="V595" s="147"/>
      <c r="W595" s="147"/>
      <c r="X595" s="147"/>
      <c r="Y595" s="147"/>
      <c r="Z595" s="147"/>
      <c r="AA595" s="147"/>
      <c r="AB595" s="147"/>
      <c r="AC595" s="147"/>
      <c r="AD595" s="147"/>
      <c r="AE595" s="147"/>
      <c r="AF595" s="147"/>
      <c r="AG595" s="147"/>
      <c r="AH595" s="147"/>
      <c r="AI595" s="147"/>
      <c r="AJ595" s="147"/>
      <c r="AK595" s="147"/>
      <c r="AL595" s="147"/>
      <c r="AM595" s="147"/>
      <c r="AN595" s="147"/>
      <c r="AO595" s="147"/>
      <c r="AP595" s="147"/>
      <c r="AQ595" s="147"/>
      <c r="AR595" s="147"/>
      <c r="AS595" s="147"/>
      <c r="AT595" s="147"/>
      <c r="AU595" s="147"/>
      <c r="AV595" s="147"/>
      <c r="AW595" s="147"/>
    </row>
    <row r="596">
      <c r="A596" s="631"/>
      <c r="B596" s="631"/>
      <c r="C596" s="632"/>
      <c r="D596" s="633"/>
      <c r="E596" s="634"/>
      <c r="F596" s="635"/>
      <c r="G596" s="636"/>
      <c r="H596" s="637"/>
      <c r="I596" s="643"/>
      <c r="J596" s="644"/>
      <c r="K596" s="147"/>
      <c r="L596" s="632"/>
      <c r="M596" s="147"/>
      <c r="N596" s="640"/>
      <c r="O596" s="640"/>
      <c r="P596" s="641"/>
      <c r="Q596" s="642"/>
      <c r="R596" s="147"/>
      <c r="S596" s="147"/>
      <c r="T596" s="147"/>
      <c r="U596" s="147"/>
      <c r="V596" s="147"/>
      <c r="W596" s="147"/>
      <c r="X596" s="147"/>
      <c r="Y596" s="147"/>
      <c r="Z596" s="147"/>
      <c r="AA596" s="147"/>
      <c r="AB596" s="147"/>
      <c r="AC596" s="147"/>
      <c r="AD596" s="147"/>
      <c r="AE596" s="147"/>
      <c r="AF596" s="147"/>
      <c r="AG596" s="147"/>
      <c r="AH596" s="147"/>
      <c r="AI596" s="147"/>
      <c r="AJ596" s="147"/>
      <c r="AK596" s="147"/>
      <c r="AL596" s="147"/>
      <c r="AM596" s="147"/>
      <c r="AN596" s="147"/>
      <c r="AO596" s="147"/>
      <c r="AP596" s="147"/>
      <c r="AQ596" s="147"/>
      <c r="AR596" s="147"/>
      <c r="AS596" s="147"/>
      <c r="AT596" s="147"/>
      <c r="AU596" s="147"/>
      <c r="AV596" s="147"/>
      <c r="AW596" s="147"/>
    </row>
    <row r="597">
      <c r="A597" s="631"/>
      <c r="B597" s="631"/>
      <c r="C597" s="632"/>
      <c r="D597" s="633"/>
      <c r="E597" s="634"/>
      <c r="F597" s="635"/>
      <c r="G597" s="636"/>
      <c r="H597" s="637"/>
      <c r="I597" s="643"/>
      <c r="J597" s="644"/>
      <c r="K597" s="147"/>
      <c r="L597" s="632"/>
      <c r="M597" s="147"/>
      <c r="N597" s="640"/>
      <c r="O597" s="640"/>
      <c r="P597" s="641"/>
      <c r="Q597" s="642"/>
      <c r="R597" s="147"/>
      <c r="S597" s="147"/>
      <c r="T597" s="147"/>
      <c r="U597" s="147"/>
      <c r="V597" s="147"/>
      <c r="W597" s="147"/>
      <c r="X597" s="147"/>
      <c r="Y597" s="147"/>
      <c r="Z597" s="147"/>
      <c r="AA597" s="147"/>
      <c r="AB597" s="147"/>
      <c r="AC597" s="147"/>
      <c r="AD597" s="147"/>
      <c r="AE597" s="147"/>
      <c r="AF597" s="147"/>
      <c r="AG597" s="147"/>
      <c r="AH597" s="147"/>
      <c r="AI597" s="147"/>
      <c r="AJ597" s="147"/>
      <c r="AK597" s="147"/>
      <c r="AL597" s="147"/>
      <c r="AM597" s="147"/>
      <c r="AN597" s="147"/>
      <c r="AO597" s="147"/>
      <c r="AP597" s="147"/>
      <c r="AQ597" s="147"/>
      <c r="AR597" s="147"/>
      <c r="AS597" s="147"/>
      <c r="AT597" s="147"/>
      <c r="AU597" s="147"/>
      <c r="AV597" s="147"/>
      <c r="AW597" s="147"/>
    </row>
    <row r="598">
      <c r="A598" s="631"/>
      <c r="B598" s="631"/>
      <c r="C598" s="632"/>
      <c r="D598" s="633"/>
      <c r="E598" s="634"/>
      <c r="F598" s="635"/>
      <c r="G598" s="636"/>
      <c r="H598" s="637"/>
      <c r="I598" s="643"/>
      <c r="J598" s="644"/>
      <c r="K598" s="147"/>
      <c r="L598" s="632"/>
      <c r="M598" s="147"/>
      <c r="N598" s="640"/>
      <c r="O598" s="640"/>
      <c r="P598" s="641"/>
      <c r="Q598" s="642"/>
      <c r="R598" s="147"/>
      <c r="S598" s="147"/>
      <c r="T598" s="147"/>
      <c r="U598" s="147"/>
      <c r="V598" s="147"/>
      <c r="W598" s="147"/>
      <c r="X598" s="147"/>
      <c r="Y598" s="147"/>
      <c r="Z598" s="147"/>
      <c r="AA598" s="147"/>
      <c r="AB598" s="147"/>
      <c r="AC598" s="147"/>
      <c r="AD598" s="147"/>
      <c r="AE598" s="147"/>
      <c r="AF598" s="147"/>
      <c r="AG598" s="147"/>
      <c r="AH598" s="147"/>
      <c r="AI598" s="147"/>
      <c r="AJ598" s="147"/>
      <c r="AK598" s="147"/>
      <c r="AL598" s="147"/>
      <c r="AM598" s="147"/>
      <c r="AN598" s="147"/>
      <c r="AO598" s="147"/>
      <c r="AP598" s="147"/>
      <c r="AQ598" s="147"/>
      <c r="AR598" s="147"/>
      <c r="AS598" s="147"/>
      <c r="AT598" s="147"/>
      <c r="AU598" s="147"/>
      <c r="AV598" s="147"/>
      <c r="AW598" s="147"/>
    </row>
    <row r="599">
      <c r="A599" s="631"/>
      <c r="B599" s="631"/>
      <c r="C599" s="632"/>
      <c r="D599" s="633"/>
      <c r="E599" s="634"/>
      <c r="F599" s="635"/>
      <c r="G599" s="636"/>
      <c r="H599" s="637"/>
      <c r="I599" s="643"/>
      <c r="J599" s="644"/>
      <c r="K599" s="147"/>
      <c r="L599" s="632"/>
      <c r="M599" s="147"/>
      <c r="N599" s="640"/>
      <c r="O599" s="640"/>
      <c r="P599" s="641"/>
      <c r="Q599" s="642"/>
      <c r="R599" s="147"/>
      <c r="S599" s="147"/>
      <c r="T599" s="147"/>
      <c r="U599" s="147"/>
      <c r="V599" s="147"/>
      <c r="W599" s="147"/>
      <c r="X599" s="147"/>
      <c r="Y599" s="147"/>
      <c r="Z599" s="147"/>
      <c r="AA599" s="147"/>
      <c r="AB599" s="147"/>
      <c r="AC599" s="147"/>
      <c r="AD599" s="147"/>
      <c r="AE599" s="147"/>
      <c r="AF599" s="147"/>
      <c r="AG599" s="147"/>
      <c r="AH599" s="147"/>
      <c r="AI599" s="147"/>
      <c r="AJ599" s="147"/>
      <c r="AK599" s="147"/>
      <c r="AL599" s="147"/>
      <c r="AM599" s="147"/>
      <c r="AN599" s="147"/>
      <c r="AO599" s="147"/>
      <c r="AP599" s="147"/>
      <c r="AQ599" s="147"/>
      <c r="AR599" s="147"/>
      <c r="AS599" s="147"/>
      <c r="AT599" s="147"/>
      <c r="AU599" s="147"/>
      <c r="AV599" s="147"/>
      <c r="AW599" s="147"/>
    </row>
    <row r="600">
      <c r="A600" s="631"/>
      <c r="B600" s="631"/>
      <c r="C600" s="632"/>
      <c r="D600" s="633"/>
      <c r="E600" s="634"/>
      <c r="F600" s="635"/>
      <c r="G600" s="636"/>
      <c r="H600" s="637"/>
      <c r="I600" s="643"/>
      <c r="J600" s="644"/>
      <c r="K600" s="147"/>
      <c r="L600" s="632"/>
      <c r="M600" s="147"/>
      <c r="N600" s="640"/>
      <c r="O600" s="640"/>
      <c r="P600" s="641"/>
      <c r="Q600" s="642"/>
      <c r="R600" s="147"/>
      <c r="S600" s="147"/>
      <c r="T600" s="147"/>
      <c r="U600" s="147"/>
      <c r="V600" s="147"/>
      <c r="W600" s="147"/>
      <c r="X600" s="147"/>
      <c r="Y600" s="147"/>
      <c r="Z600" s="147"/>
      <c r="AA600" s="147"/>
      <c r="AB600" s="147"/>
      <c r="AC600" s="147"/>
      <c r="AD600" s="147"/>
      <c r="AE600" s="147"/>
      <c r="AF600" s="147"/>
      <c r="AG600" s="147"/>
      <c r="AH600" s="147"/>
      <c r="AI600" s="147"/>
      <c r="AJ600" s="147"/>
      <c r="AK600" s="147"/>
      <c r="AL600" s="147"/>
      <c r="AM600" s="147"/>
      <c r="AN600" s="147"/>
      <c r="AO600" s="147"/>
      <c r="AP600" s="147"/>
      <c r="AQ600" s="147"/>
      <c r="AR600" s="147"/>
      <c r="AS600" s="147"/>
      <c r="AT600" s="147"/>
      <c r="AU600" s="147"/>
      <c r="AV600" s="147"/>
      <c r="AW600" s="147"/>
    </row>
    <row r="601">
      <c r="A601" s="631"/>
      <c r="B601" s="631"/>
      <c r="C601" s="632"/>
      <c r="D601" s="633"/>
      <c r="E601" s="634"/>
      <c r="F601" s="635"/>
      <c r="G601" s="636"/>
      <c r="H601" s="637"/>
      <c r="I601" s="643"/>
      <c r="J601" s="644"/>
      <c r="K601" s="147"/>
      <c r="L601" s="632"/>
      <c r="M601" s="147"/>
      <c r="N601" s="640"/>
      <c r="O601" s="640"/>
      <c r="P601" s="641"/>
      <c r="Q601" s="642"/>
      <c r="R601" s="147"/>
      <c r="S601" s="147"/>
      <c r="T601" s="147"/>
      <c r="U601" s="147"/>
      <c r="V601" s="147"/>
      <c r="W601" s="147"/>
      <c r="X601" s="147"/>
      <c r="Y601" s="147"/>
      <c r="Z601" s="147"/>
      <c r="AA601" s="147"/>
      <c r="AB601" s="147"/>
      <c r="AC601" s="147"/>
      <c r="AD601" s="147"/>
      <c r="AE601" s="147"/>
      <c r="AF601" s="147"/>
      <c r="AG601" s="147"/>
      <c r="AH601" s="147"/>
      <c r="AI601" s="147"/>
      <c r="AJ601" s="147"/>
      <c r="AK601" s="147"/>
      <c r="AL601" s="147"/>
      <c r="AM601" s="147"/>
      <c r="AN601" s="147"/>
      <c r="AO601" s="147"/>
      <c r="AP601" s="147"/>
      <c r="AQ601" s="147"/>
      <c r="AR601" s="147"/>
      <c r="AS601" s="147"/>
      <c r="AT601" s="147"/>
      <c r="AU601" s="147"/>
      <c r="AV601" s="147"/>
      <c r="AW601" s="147"/>
    </row>
    <row r="602">
      <c r="A602" s="631"/>
      <c r="B602" s="631"/>
      <c r="C602" s="632"/>
      <c r="D602" s="633"/>
      <c r="E602" s="634"/>
      <c r="F602" s="635"/>
      <c r="G602" s="636"/>
      <c r="H602" s="637"/>
      <c r="I602" s="643"/>
      <c r="J602" s="644"/>
      <c r="K602" s="147"/>
      <c r="L602" s="632"/>
      <c r="M602" s="147"/>
      <c r="N602" s="640"/>
      <c r="O602" s="640"/>
      <c r="P602" s="641"/>
      <c r="Q602" s="642"/>
      <c r="R602" s="147"/>
      <c r="S602" s="147"/>
      <c r="T602" s="147"/>
      <c r="U602" s="147"/>
      <c r="V602" s="147"/>
      <c r="W602" s="147"/>
      <c r="X602" s="147"/>
      <c r="Y602" s="147"/>
      <c r="Z602" s="147"/>
      <c r="AA602" s="147"/>
      <c r="AB602" s="147"/>
      <c r="AC602" s="147"/>
      <c r="AD602" s="147"/>
      <c r="AE602" s="147"/>
      <c r="AF602" s="147"/>
      <c r="AG602" s="147"/>
      <c r="AH602" s="147"/>
      <c r="AI602" s="147"/>
      <c r="AJ602" s="147"/>
      <c r="AK602" s="147"/>
      <c r="AL602" s="147"/>
      <c r="AM602" s="147"/>
      <c r="AN602" s="147"/>
      <c r="AO602" s="147"/>
      <c r="AP602" s="147"/>
      <c r="AQ602" s="147"/>
      <c r="AR602" s="147"/>
      <c r="AS602" s="147"/>
      <c r="AT602" s="147"/>
      <c r="AU602" s="147"/>
      <c r="AV602" s="147"/>
      <c r="AW602" s="147"/>
    </row>
    <row r="603">
      <c r="A603" s="631"/>
      <c r="B603" s="631"/>
      <c r="C603" s="632"/>
      <c r="D603" s="633"/>
      <c r="E603" s="634"/>
      <c r="F603" s="635"/>
      <c r="G603" s="636"/>
      <c r="H603" s="637"/>
      <c r="I603" s="643"/>
      <c r="J603" s="644"/>
      <c r="K603" s="147"/>
      <c r="L603" s="632"/>
      <c r="M603" s="147"/>
      <c r="N603" s="640"/>
      <c r="O603" s="640"/>
      <c r="P603" s="641"/>
      <c r="Q603" s="642"/>
      <c r="R603" s="147"/>
      <c r="S603" s="147"/>
      <c r="T603" s="147"/>
      <c r="U603" s="147"/>
      <c r="V603" s="147"/>
      <c r="W603" s="147"/>
      <c r="X603" s="147"/>
      <c r="Y603" s="147"/>
      <c r="Z603" s="147"/>
      <c r="AA603" s="147"/>
      <c r="AB603" s="147"/>
      <c r="AC603" s="147"/>
      <c r="AD603" s="147"/>
      <c r="AE603" s="147"/>
      <c r="AF603" s="147"/>
      <c r="AG603" s="147"/>
      <c r="AH603" s="147"/>
      <c r="AI603" s="147"/>
      <c r="AJ603" s="147"/>
      <c r="AK603" s="147"/>
      <c r="AL603" s="147"/>
      <c r="AM603" s="147"/>
      <c r="AN603" s="147"/>
      <c r="AO603" s="147"/>
      <c r="AP603" s="147"/>
      <c r="AQ603" s="147"/>
      <c r="AR603" s="147"/>
      <c r="AS603" s="147"/>
      <c r="AT603" s="147"/>
      <c r="AU603" s="147"/>
      <c r="AV603" s="147"/>
      <c r="AW603" s="147"/>
    </row>
    <row r="604">
      <c r="A604" s="631"/>
      <c r="B604" s="631"/>
      <c r="C604" s="632"/>
      <c r="D604" s="633"/>
      <c r="E604" s="634"/>
      <c r="F604" s="635"/>
      <c r="G604" s="636"/>
      <c r="H604" s="637"/>
      <c r="I604" s="643"/>
      <c r="J604" s="644"/>
      <c r="K604" s="147"/>
      <c r="L604" s="632"/>
      <c r="M604" s="147"/>
      <c r="N604" s="640"/>
      <c r="O604" s="640"/>
      <c r="P604" s="641"/>
      <c r="Q604" s="642"/>
      <c r="R604" s="147"/>
      <c r="S604" s="147"/>
      <c r="T604" s="147"/>
      <c r="U604" s="147"/>
      <c r="V604" s="147"/>
      <c r="W604" s="147"/>
      <c r="X604" s="147"/>
      <c r="Y604" s="147"/>
      <c r="Z604" s="147"/>
      <c r="AA604" s="147"/>
      <c r="AB604" s="147"/>
      <c r="AC604" s="147"/>
      <c r="AD604" s="147"/>
      <c r="AE604" s="147"/>
      <c r="AF604" s="147"/>
      <c r="AG604" s="147"/>
      <c r="AH604" s="147"/>
      <c r="AI604" s="147"/>
      <c r="AJ604" s="147"/>
      <c r="AK604" s="147"/>
      <c r="AL604" s="147"/>
      <c r="AM604" s="147"/>
      <c r="AN604" s="147"/>
      <c r="AO604" s="147"/>
      <c r="AP604" s="147"/>
      <c r="AQ604" s="147"/>
      <c r="AR604" s="147"/>
      <c r="AS604" s="147"/>
      <c r="AT604" s="147"/>
      <c r="AU604" s="147"/>
      <c r="AV604" s="147"/>
      <c r="AW604" s="147"/>
    </row>
    <row r="605">
      <c r="A605" s="631"/>
      <c r="B605" s="631"/>
      <c r="C605" s="632"/>
      <c r="D605" s="633"/>
      <c r="E605" s="634"/>
      <c r="F605" s="635"/>
      <c r="G605" s="636"/>
      <c r="H605" s="637"/>
      <c r="I605" s="643"/>
      <c r="J605" s="644"/>
      <c r="K605" s="147"/>
      <c r="L605" s="632"/>
      <c r="M605" s="147"/>
      <c r="N605" s="640"/>
      <c r="O605" s="640"/>
      <c r="P605" s="641"/>
      <c r="Q605" s="642"/>
      <c r="R605" s="147"/>
      <c r="S605" s="147"/>
      <c r="T605" s="147"/>
      <c r="U605" s="147"/>
      <c r="V605" s="147"/>
      <c r="W605" s="147"/>
      <c r="X605" s="147"/>
      <c r="Y605" s="147"/>
      <c r="Z605" s="147"/>
      <c r="AA605" s="147"/>
      <c r="AB605" s="147"/>
      <c r="AC605" s="147"/>
      <c r="AD605" s="147"/>
      <c r="AE605" s="147"/>
      <c r="AF605" s="147"/>
      <c r="AG605" s="147"/>
      <c r="AH605" s="147"/>
      <c r="AI605" s="147"/>
      <c r="AJ605" s="147"/>
      <c r="AK605" s="147"/>
      <c r="AL605" s="147"/>
      <c r="AM605" s="147"/>
      <c r="AN605" s="147"/>
      <c r="AO605" s="147"/>
      <c r="AP605" s="147"/>
      <c r="AQ605" s="147"/>
      <c r="AR605" s="147"/>
      <c r="AS605" s="147"/>
      <c r="AT605" s="147"/>
      <c r="AU605" s="147"/>
      <c r="AV605" s="147"/>
      <c r="AW605" s="147"/>
    </row>
    <row r="606">
      <c r="A606" s="631"/>
      <c r="B606" s="631"/>
      <c r="C606" s="632"/>
      <c r="D606" s="633"/>
      <c r="E606" s="634"/>
      <c r="F606" s="635"/>
      <c r="G606" s="636"/>
      <c r="H606" s="637"/>
      <c r="I606" s="643"/>
      <c r="J606" s="644"/>
      <c r="K606" s="147"/>
      <c r="L606" s="632"/>
      <c r="M606" s="147"/>
      <c r="N606" s="640"/>
      <c r="O606" s="640"/>
      <c r="P606" s="641"/>
      <c r="Q606" s="642"/>
      <c r="R606" s="147"/>
      <c r="S606" s="147"/>
      <c r="T606" s="147"/>
      <c r="U606" s="147"/>
      <c r="V606" s="147"/>
      <c r="W606" s="147"/>
      <c r="X606" s="147"/>
      <c r="Y606" s="147"/>
      <c r="Z606" s="147"/>
      <c r="AA606" s="147"/>
      <c r="AB606" s="147"/>
      <c r="AC606" s="147"/>
      <c r="AD606" s="147"/>
      <c r="AE606" s="147"/>
      <c r="AF606" s="147"/>
      <c r="AG606" s="147"/>
      <c r="AH606" s="147"/>
      <c r="AI606" s="147"/>
      <c r="AJ606" s="147"/>
      <c r="AK606" s="147"/>
      <c r="AL606" s="147"/>
      <c r="AM606" s="147"/>
      <c r="AN606" s="147"/>
      <c r="AO606" s="147"/>
      <c r="AP606" s="147"/>
      <c r="AQ606" s="147"/>
      <c r="AR606" s="147"/>
      <c r="AS606" s="147"/>
      <c r="AT606" s="147"/>
      <c r="AU606" s="147"/>
      <c r="AV606" s="147"/>
      <c r="AW606" s="147"/>
    </row>
    <row r="607">
      <c r="A607" s="631"/>
      <c r="B607" s="631"/>
      <c r="C607" s="632"/>
      <c r="D607" s="633"/>
      <c r="E607" s="634"/>
      <c r="F607" s="635"/>
      <c r="G607" s="636"/>
      <c r="H607" s="637"/>
      <c r="I607" s="643"/>
      <c r="J607" s="644"/>
      <c r="K607" s="147"/>
      <c r="L607" s="632"/>
      <c r="M607" s="147"/>
      <c r="N607" s="640"/>
      <c r="O607" s="640"/>
      <c r="P607" s="641"/>
      <c r="Q607" s="642"/>
      <c r="R607" s="147"/>
      <c r="S607" s="147"/>
      <c r="T607" s="147"/>
      <c r="U607" s="147"/>
      <c r="V607" s="147"/>
      <c r="W607" s="147"/>
      <c r="X607" s="147"/>
      <c r="Y607" s="147"/>
      <c r="Z607" s="147"/>
      <c r="AA607" s="147"/>
      <c r="AB607" s="147"/>
      <c r="AC607" s="147"/>
      <c r="AD607" s="147"/>
      <c r="AE607" s="147"/>
      <c r="AF607" s="147"/>
      <c r="AG607" s="147"/>
      <c r="AH607" s="147"/>
      <c r="AI607" s="147"/>
      <c r="AJ607" s="147"/>
      <c r="AK607" s="147"/>
      <c r="AL607" s="147"/>
      <c r="AM607" s="147"/>
      <c r="AN607" s="147"/>
      <c r="AO607" s="147"/>
      <c r="AP607" s="147"/>
      <c r="AQ607" s="147"/>
      <c r="AR607" s="147"/>
      <c r="AS607" s="147"/>
      <c r="AT607" s="147"/>
      <c r="AU607" s="147"/>
      <c r="AV607" s="147"/>
      <c r="AW607" s="147"/>
    </row>
    <row r="608">
      <c r="A608" s="631"/>
      <c r="B608" s="631"/>
      <c r="C608" s="632"/>
      <c r="D608" s="633"/>
      <c r="E608" s="634"/>
      <c r="F608" s="635"/>
      <c r="G608" s="636"/>
      <c r="H608" s="637"/>
      <c r="I608" s="643"/>
      <c r="J608" s="644"/>
      <c r="K608" s="147"/>
      <c r="L608" s="632"/>
      <c r="M608" s="147"/>
      <c r="N608" s="640"/>
      <c r="O608" s="640"/>
      <c r="P608" s="641"/>
      <c r="Q608" s="642"/>
      <c r="R608" s="147"/>
      <c r="S608" s="147"/>
      <c r="T608" s="147"/>
      <c r="U608" s="147"/>
      <c r="V608" s="147"/>
      <c r="W608" s="147"/>
      <c r="X608" s="147"/>
      <c r="Y608" s="147"/>
      <c r="Z608" s="147"/>
      <c r="AA608" s="147"/>
      <c r="AB608" s="147"/>
      <c r="AC608" s="147"/>
      <c r="AD608" s="147"/>
      <c r="AE608" s="147"/>
      <c r="AF608" s="147"/>
      <c r="AG608" s="147"/>
      <c r="AH608" s="147"/>
      <c r="AI608" s="147"/>
      <c r="AJ608" s="147"/>
      <c r="AK608" s="147"/>
      <c r="AL608" s="147"/>
      <c r="AM608" s="147"/>
      <c r="AN608" s="147"/>
      <c r="AO608" s="147"/>
      <c r="AP608" s="147"/>
      <c r="AQ608" s="147"/>
      <c r="AR608" s="147"/>
      <c r="AS608" s="147"/>
      <c r="AT608" s="147"/>
      <c r="AU608" s="147"/>
      <c r="AV608" s="147"/>
      <c r="AW608" s="147"/>
    </row>
    <row r="609">
      <c r="A609" s="631"/>
      <c r="B609" s="631"/>
      <c r="C609" s="632"/>
      <c r="D609" s="633"/>
      <c r="E609" s="634"/>
      <c r="F609" s="635"/>
      <c r="G609" s="636"/>
      <c r="H609" s="637"/>
      <c r="I609" s="643"/>
      <c r="J609" s="644"/>
      <c r="K609" s="147"/>
      <c r="L609" s="632"/>
      <c r="M609" s="147"/>
      <c r="N609" s="640"/>
      <c r="O609" s="640"/>
      <c r="P609" s="641"/>
      <c r="Q609" s="642"/>
      <c r="R609" s="147"/>
      <c r="S609" s="147"/>
      <c r="T609" s="147"/>
      <c r="U609" s="147"/>
      <c r="V609" s="147"/>
      <c r="W609" s="147"/>
      <c r="X609" s="147"/>
      <c r="Y609" s="147"/>
      <c r="Z609" s="147"/>
      <c r="AA609" s="147"/>
      <c r="AB609" s="147"/>
      <c r="AC609" s="147"/>
      <c r="AD609" s="147"/>
      <c r="AE609" s="147"/>
      <c r="AF609" s="147"/>
      <c r="AG609" s="147"/>
      <c r="AH609" s="147"/>
      <c r="AI609" s="147"/>
      <c r="AJ609" s="147"/>
      <c r="AK609" s="147"/>
      <c r="AL609" s="147"/>
      <c r="AM609" s="147"/>
      <c r="AN609" s="147"/>
      <c r="AO609" s="147"/>
      <c r="AP609" s="147"/>
      <c r="AQ609" s="147"/>
      <c r="AR609" s="147"/>
      <c r="AS609" s="147"/>
      <c r="AT609" s="147"/>
      <c r="AU609" s="147"/>
      <c r="AV609" s="147"/>
      <c r="AW609" s="147"/>
    </row>
    <row r="610">
      <c r="A610" s="631"/>
      <c r="B610" s="631"/>
      <c r="C610" s="632"/>
      <c r="D610" s="633"/>
      <c r="E610" s="634"/>
      <c r="F610" s="635"/>
      <c r="G610" s="636"/>
      <c r="H610" s="637"/>
      <c r="I610" s="643"/>
      <c r="J610" s="644"/>
      <c r="K610" s="147"/>
      <c r="L610" s="632"/>
      <c r="M610" s="147"/>
      <c r="N610" s="640"/>
      <c r="O610" s="640"/>
      <c r="P610" s="641"/>
      <c r="Q610" s="642"/>
      <c r="R610" s="147"/>
      <c r="S610" s="147"/>
      <c r="T610" s="147"/>
      <c r="U610" s="147"/>
      <c r="V610" s="147"/>
      <c r="W610" s="147"/>
      <c r="X610" s="147"/>
      <c r="Y610" s="147"/>
      <c r="Z610" s="147"/>
      <c r="AA610" s="147"/>
      <c r="AB610" s="147"/>
      <c r="AC610" s="147"/>
      <c r="AD610" s="147"/>
      <c r="AE610" s="147"/>
      <c r="AF610" s="147"/>
      <c r="AG610" s="147"/>
      <c r="AH610" s="147"/>
      <c r="AI610" s="147"/>
      <c r="AJ610" s="147"/>
      <c r="AK610" s="147"/>
      <c r="AL610" s="147"/>
      <c r="AM610" s="147"/>
      <c r="AN610" s="147"/>
      <c r="AO610" s="147"/>
      <c r="AP610" s="147"/>
      <c r="AQ610" s="147"/>
      <c r="AR610" s="147"/>
      <c r="AS610" s="147"/>
      <c r="AT610" s="147"/>
      <c r="AU610" s="147"/>
      <c r="AV610" s="147"/>
      <c r="AW610" s="147"/>
    </row>
    <row r="611">
      <c r="A611" s="631"/>
      <c r="B611" s="631"/>
      <c r="C611" s="632"/>
      <c r="D611" s="633"/>
      <c r="E611" s="634"/>
      <c r="F611" s="635"/>
      <c r="G611" s="636"/>
      <c r="H611" s="637"/>
      <c r="I611" s="643"/>
      <c r="J611" s="644"/>
      <c r="K611" s="147"/>
      <c r="L611" s="632"/>
      <c r="M611" s="147"/>
      <c r="N611" s="640"/>
      <c r="O611" s="640"/>
      <c r="P611" s="641"/>
      <c r="Q611" s="642"/>
      <c r="R611" s="147"/>
      <c r="S611" s="147"/>
      <c r="T611" s="147"/>
      <c r="U611" s="147"/>
      <c r="V611" s="147"/>
      <c r="W611" s="147"/>
      <c r="X611" s="147"/>
      <c r="Y611" s="147"/>
      <c r="Z611" s="147"/>
      <c r="AA611" s="147"/>
      <c r="AB611" s="147"/>
      <c r="AC611" s="147"/>
      <c r="AD611" s="147"/>
      <c r="AE611" s="147"/>
      <c r="AF611" s="147"/>
      <c r="AG611" s="147"/>
      <c r="AH611" s="147"/>
      <c r="AI611" s="147"/>
      <c r="AJ611" s="147"/>
      <c r="AK611" s="147"/>
      <c r="AL611" s="147"/>
      <c r="AM611" s="147"/>
      <c r="AN611" s="147"/>
      <c r="AO611" s="147"/>
      <c r="AP611" s="147"/>
      <c r="AQ611" s="147"/>
      <c r="AR611" s="147"/>
      <c r="AS611" s="147"/>
      <c r="AT611" s="147"/>
      <c r="AU611" s="147"/>
      <c r="AV611" s="147"/>
      <c r="AW611" s="147"/>
    </row>
    <row r="612">
      <c r="A612" s="631"/>
      <c r="B612" s="631"/>
      <c r="C612" s="632"/>
      <c r="D612" s="633"/>
      <c r="E612" s="634"/>
      <c r="F612" s="635"/>
      <c r="G612" s="636"/>
      <c r="H612" s="637"/>
      <c r="I612" s="643"/>
      <c r="J612" s="644"/>
      <c r="K612" s="147"/>
      <c r="L612" s="632"/>
      <c r="M612" s="147"/>
      <c r="N612" s="640"/>
      <c r="O612" s="640"/>
      <c r="P612" s="641"/>
      <c r="Q612" s="642"/>
      <c r="R612" s="147"/>
      <c r="S612" s="147"/>
      <c r="T612" s="147"/>
      <c r="U612" s="147"/>
      <c r="V612" s="147"/>
      <c r="W612" s="147"/>
      <c r="X612" s="147"/>
      <c r="Y612" s="147"/>
      <c r="Z612" s="147"/>
      <c r="AA612" s="147"/>
      <c r="AB612" s="147"/>
      <c r="AC612" s="147"/>
      <c r="AD612" s="147"/>
      <c r="AE612" s="147"/>
      <c r="AF612" s="147"/>
      <c r="AG612" s="147"/>
      <c r="AH612" s="147"/>
      <c r="AI612" s="147"/>
      <c r="AJ612" s="147"/>
      <c r="AK612" s="147"/>
      <c r="AL612" s="147"/>
      <c r="AM612" s="147"/>
      <c r="AN612" s="147"/>
      <c r="AO612" s="147"/>
      <c r="AP612" s="147"/>
      <c r="AQ612" s="147"/>
      <c r="AR612" s="147"/>
      <c r="AS612" s="147"/>
      <c r="AT612" s="147"/>
      <c r="AU612" s="147"/>
      <c r="AV612" s="147"/>
      <c r="AW612" s="147"/>
    </row>
    <row r="613">
      <c r="A613" s="631"/>
      <c r="B613" s="631"/>
      <c r="C613" s="632"/>
      <c r="D613" s="633"/>
      <c r="E613" s="634"/>
      <c r="F613" s="635"/>
      <c r="G613" s="636"/>
      <c r="H613" s="637"/>
      <c r="I613" s="643"/>
      <c r="J613" s="644"/>
      <c r="K613" s="147"/>
      <c r="L613" s="632"/>
      <c r="M613" s="147"/>
      <c r="N613" s="640"/>
      <c r="O613" s="640"/>
      <c r="P613" s="641"/>
      <c r="Q613" s="642"/>
      <c r="R613" s="147"/>
      <c r="S613" s="147"/>
      <c r="T613" s="147"/>
      <c r="U613" s="147"/>
      <c r="V613" s="147"/>
      <c r="W613" s="147"/>
      <c r="X613" s="147"/>
      <c r="Y613" s="147"/>
      <c r="Z613" s="147"/>
      <c r="AA613" s="147"/>
      <c r="AB613" s="147"/>
      <c r="AC613" s="147"/>
      <c r="AD613" s="147"/>
      <c r="AE613" s="147"/>
      <c r="AF613" s="147"/>
      <c r="AG613" s="147"/>
      <c r="AH613" s="147"/>
      <c r="AI613" s="147"/>
      <c r="AJ613" s="147"/>
      <c r="AK613" s="147"/>
      <c r="AL613" s="147"/>
      <c r="AM613" s="147"/>
      <c r="AN613" s="147"/>
      <c r="AO613" s="147"/>
      <c r="AP613" s="147"/>
      <c r="AQ613" s="147"/>
      <c r="AR613" s="147"/>
      <c r="AS613" s="147"/>
      <c r="AT613" s="147"/>
      <c r="AU613" s="147"/>
      <c r="AV613" s="147"/>
      <c r="AW613" s="147"/>
    </row>
    <row r="614">
      <c r="A614" s="631"/>
      <c r="B614" s="631"/>
      <c r="C614" s="632"/>
      <c r="D614" s="633"/>
      <c r="E614" s="634"/>
      <c r="F614" s="635"/>
      <c r="G614" s="636"/>
      <c r="H614" s="637"/>
      <c r="I614" s="643"/>
      <c r="J614" s="644"/>
      <c r="K614" s="147"/>
      <c r="L614" s="632"/>
      <c r="M614" s="147"/>
      <c r="N614" s="640"/>
      <c r="O614" s="640"/>
      <c r="P614" s="641"/>
      <c r="Q614" s="642"/>
      <c r="R614" s="147"/>
      <c r="S614" s="147"/>
      <c r="T614" s="147"/>
      <c r="U614" s="147"/>
      <c r="V614" s="147"/>
      <c r="W614" s="147"/>
      <c r="X614" s="147"/>
      <c r="Y614" s="147"/>
      <c r="Z614" s="147"/>
      <c r="AA614" s="147"/>
      <c r="AB614" s="147"/>
      <c r="AC614" s="147"/>
      <c r="AD614" s="147"/>
      <c r="AE614" s="147"/>
      <c r="AF614" s="147"/>
      <c r="AG614" s="147"/>
      <c r="AH614" s="147"/>
      <c r="AI614" s="147"/>
      <c r="AJ614" s="147"/>
      <c r="AK614" s="147"/>
      <c r="AL614" s="147"/>
      <c r="AM614" s="147"/>
      <c r="AN614" s="147"/>
      <c r="AO614" s="147"/>
      <c r="AP614" s="147"/>
      <c r="AQ614" s="147"/>
      <c r="AR614" s="147"/>
      <c r="AS614" s="147"/>
      <c r="AT614" s="147"/>
      <c r="AU614" s="147"/>
      <c r="AV614" s="147"/>
      <c r="AW614" s="147"/>
    </row>
    <row r="615">
      <c r="A615" s="631"/>
      <c r="B615" s="631"/>
      <c r="C615" s="632"/>
      <c r="D615" s="633"/>
      <c r="E615" s="634"/>
      <c r="F615" s="635"/>
      <c r="G615" s="636"/>
      <c r="H615" s="637"/>
      <c r="I615" s="643"/>
      <c r="J615" s="644"/>
      <c r="K615" s="147"/>
      <c r="L615" s="632"/>
      <c r="M615" s="147"/>
      <c r="N615" s="640"/>
      <c r="O615" s="640"/>
      <c r="P615" s="641"/>
      <c r="Q615" s="642"/>
      <c r="R615" s="147"/>
      <c r="S615" s="147"/>
      <c r="T615" s="147"/>
      <c r="U615" s="147"/>
      <c r="V615" s="147"/>
      <c r="W615" s="147"/>
      <c r="X615" s="147"/>
      <c r="Y615" s="147"/>
      <c r="Z615" s="147"/>
      <c r="AA615" s="147"/>
      <c r="AB615" s="147"/>
      <c r="AC615" s="147"/>
      <c r="AD615" s="147"/>
      <c r="AE615" s="147"/>
      <c r="AF615" s="147"/>
      <c r="AG615" s="147"/>
      <c r="AH615" s="147"/>
      <c r="AI615" s="147"/>
      <c r="AJ615" s="147"/>
      <c r="AK615" s="147"/>
      <c r="AL615" s="147"/>
      <c r="AM615" s="147"/>
      <c r="AN615" s="147"/>
      <c r="AO615" s="147"/>
      <c r="AP615" s="147"/>
      <c r="AQ615" s="147"/>
      <c r="AR615" s="147"/>
      <c r="AS615" s="147"/>
      <c r="AT615" s="147"/>
      <c r="AU615" s="147"/>
      <c r="AV615" s="147"/>
      <c r="AW615" s="147"/>
    </row>
    <row r="616">
      <c r="A616" s="631"/>
      <c r="B616" s="631"/>
      <c r="C616" s="632"/>
      <c r="D616" s="633"/>
      <c r="E616" s="634"/>
      <c r="F616" s="635"/>
      <c r="G616" s="636"/>
      <c r="H616" s="637"/>
      <c r="I616" s="643"/>
      <c r="J616" s="644"/>
      <c r="K616" s="147"/>
      <c r="L616" s="632"/>
      <c r="M616" s="147"/>
      <c r="N616" s="640"/>
      <c r="O616" s="640"/>
      <c r="P616" s="641"/>
      <c r="Q616" s="642"/>
      <c r="R616" s="147"/>
      <c r="S616" s="147"/>
      <c r="T616" s="147"/>
      <c r="U616" s="147"/>
      <c r="V616" s="147"/>
      <c r="W616" s="147"/>
      <c r="X616" s="147"/>
      <c r="Y616" s="147"/>
      <c r="Z616" s="147"/>
      <c r="AA616" s="147"/>
      <c r="AB616" s="147"/>
      <c r="AC616" s="147"/>
      <c r="AD616" s="147"/>
      <c r="AE616" s="147"/>
      <c r="AF616" s="147"/>
      <c r="AG616" s="147"/>
      <c r="AH616" s="147"/>
      <c r="AI616" s="147"/>
      <c r="AJ616" s="147"/>
      <c r="AK616" s="147"/>
      <c r="AL616" s="147"/>
      <c r="AM616" s="147"/>
      <c r="AN616" s="147"/>
      <c r="AO616" s="147"/>
      <c r="AP616" s="147"/>
      <c r="AQ616" s="147"/>
      <c r="AR616" s="147"/>
      <c r="AS616" s="147"/>
      <c r="AT616" s="147"/>
      <c r="AU616" s="147"/>
      <c r="AV616" s="147"/>
      <c r="AW616" s="147"/>
    </row>
    <row r="617">
      <c r="A617" s="631"/>
      <c r="B617" s="631"/>
      <c r="C617" s="632"/>
      <c r="D617" s="633"/>
      <c r="E617" s="634"/>
      <c r="F617" s="635"/>
      <c r="G617" s="636"/>
      <c r="H617" s="637"/>
      <c r="I617" s="643"/>
      <c r="J617" s="644"/>
      <c r="K617" s="147"/>
      <c r="L617" s="632"/>
      <c r="M617" s="147"/>
      <c r="N617" s="640"/>
      <c r="O617" s="640"/>
      <c r="P617" s="641"/>
      <c r="Q617" s="642"/>
      <c r="R617" s="147"/>
      <c r="S617" s="147"/>
      <c r="T617" s="147"/>
      <c r="U617" s="147"/>
      <c r="V617" s="147"/>
      <c r="W617" s="147"/>
      <c r="X617" s="147"/>
      <c r="Y617" s="147"/>
      <c r="Z617" s="147"/>
      <c r="AA617" s="147"/>
      <c r="AB617" s="147"/>
      <c r="AC617" s="147"/>
      <c r="AD617" s="147"/>
      <c r="AE617" s="147"/>
      <c r="AF617" s="147"/>
      <c r="AG617" s="147"/>
      <c r="AH617" s="147"/>
      <c r="AI617" s="147"/>
      <c r="AJ617" s="147"/>
      <c r="AK617" s="147"/>
      <c r="AL617" s="147"/>
      <c r="AM617" s="147"/>
      <c r="AN617" s="147"/>
      <c r="AO617" s="147"/>
      <c r="AP617" s="147"/>
      <c r="AQ617" s="147"/>
      <c r="AR617" s="147"/>
      <c r="AS617" s="147"/>
      <c r="AT617" s="147"/>
      <c r="AU617" s="147"/>
      <c r="AV617" s="147"/>
      <c r="AW617" s="147"/>
    </row>
    <row r="618">
      <c r="A618" s="631"/>
      <c r="B618" s="631"/>
      <c r="C618" s="632"/>
      <c r="D618" s="633"/>
      <c r="E618" s="634"/>
      <c r="F618" s="635"/>
      <c r="G618" s="636"/>
      <c r="H618" s="637"/>
      <c r="I618" s="643"/>
      <c r="J618" s="644"/>
      <c r="K618" s="147"/>
      <c r="L618" s="632"/>
      <c r="M618" s="147"/>
      <c r="N618" s="640"/>
      <c r="O618" s="640"/>
      <c r="P618" s="641"/>
      <c r="Q618" s="642"/>
      <c r="R618" s="147"/>
      <c r="S618" s="147"/>
      <c r="T618" s="147"/>
      <c r="U618" s="147"/>
      <c r="V618" s="147"/>
      <c r="W618" s="147"/>
      <c r="X618" s="147"/>
      <c r="Y618" s="147"/>
      <c r="Z618" s="147"/>
      <c r="AA618" s="147"/>
      <c r="AB618" s="147"/>
      <c r="AC618" s="147"/>
      <c r="AD618" s="147"/>
      <c r="AE618" s="147"/>
      <c r="AF618" s="147"/>
      <c r="AG618" s="147"/>
      <c r="AH618" s="147"/>
      <c r="AI618" s="147"/>
      <c r="AJ618" s="147"/>
      <c r="AK618" s="147"/>
      <c r="AL618" s="147"/>
      <c r="AM618" s="147"/>
      <c r="AN618" s="147"/>
      <c r="AO618" s="147"/>
      <c r="AP618" s="147"/>
      <c r="AQ618" s="147"/>
      <c r="AR618" s="147"/>
      <c r="AS618" s="147"/>
      <c r="AT618" s="147"/>
      <c r="AU618" s="147"/>
      <c r="AV618" s="147"/>
      <c r="AW618" s="147"/>
    </row>
    <row r="619">
      <c r="A619" s="631"/>
      <c r="B619" s="631"/>
      <c r="C619" s="632"/>
      <c r="D619" s="633"/>
      <c r="E619" s="634"/>
      <c r="F619" s="635"/>
      <c r="G619" s="636"/>
      <c r="H619" s="637"/>
      <c r="I619" s="643"/>
      <c r="J619" s="644"/>
      <c r="K619" s="147"/>
      <c r="L619" s="632"/>
      <c r="M619" s="147"/>
      <c r="N619" s="640"/>
      <c r="O619" s="640"/>
      <c r="P619" s="641"/>
      <c r="Q619" s="642"/>
      <c r="R619" s="147"/>
      <c r="S619" s="147"/>
      <c r="T619" s="147"/>
      <c r="U619" s="147"/>
      <c r="V619" s="147"/>
      <c r="W619" s="147"/>
      <c r="X619" s="147"/>
      <c r="Y619" s="147"/>
      <c r="Z619" s="147"/>
      <c r="AA619" s="147"/>
      <c r="AB619" s="147"/>
      <c r="AC619" s="147"/>
      <c r="AD619" s="147"/>
      <c r="AE619" s="147"/>
      <c r="AF619" s="147"/>
      <c r="AG619" s="147"/>
      <c r="AH619" s="147"/>
      <c r="AI619" s="147"/>
      <c r="AJ619" s="147"/>
      <c r="AK619" s="147"/>
      <c r="AL619" s="147"/>
      <c r="AM619" s="147"/>
      <c r="AN619" s="147"/>
      <c r="AO619" s="147"/>
      <c r="AP619" s="147"/>
      <c r="AQ619" s="147"/>
      <c r="AR619" s="147"/>
      <c r="AS619" s="147"/>
      <c r="AT619" s="147"/>
      <c r="AU619" s="147"/>
      <c r="AV619" s="147"/>
      <c r="AW619" s="147"/>
    </row>
    <row r="620">
      <c r="A620" s="631"/>
      <c r="B620" s="631"/>
      <c r="C620" s="632"/>
      <c r="D620" s="633"/>
      <c r="E620" s="634"/>
      <c r="F620" s="635"/>
      <c r="G620" s="636"/>
      <c r="H620" s="637"/>
      <c r="I620" s="643"/>
      <c r="J620" s="644"/>
      <c r="K620" s="147"/>
      <c r="L620" s="632"/>
      <c r="M620" s="147"/>
      <c r="N620" s="640"/>
      <c r="O620" s="640"/>
      <c r="P620" s="641"/>
      <c r="Q620" s="642"/>
      <c r="R620" s="147"/>
      <c r="S620" s="147"/>
      <c r="T620" s="147"/>
      <c r="U620" s="147"/>
      <c r="V620" s="147"/>
      <c r="W620" s="147"/>
      <c r="X620" s="147"/>
      <c r="Y620" s="147"/>
      <c r="Z620" s="147"/>
      <c r="AA620" s="147"/>
      <c r="AB620" s="147"/>
      <c r="AC620" s="147"/>
      <c r="AD620" s="147"/>
      <c r="AE620" s="147"/>
      <c r="AF620" s="147"/>
      <c r="AG620" s="147"/>
      <c r="AH620" s="147"/>
      <c r="AI620" s="147"/>
      <c r="AJ620" s="147"/>
      <c r="AK620" s="147"/>
      <c r="AL620" s="147"/>
      <c r="AM620" s="147"/>
      <c r="AN620" s="147"/>
      <c r="AO620" s="147"/>
      <c r="AP620" s="147"/>
      <c r="AQ620" s="147"/>
      <c r="AR620" s="147"/>
      <c r="AS620" s="147"/>
      <c r="AT620" s="147"/>
      <c r="AU620" s="147"/>
      <c r="AV620" s="147"/>
      <c r="AW620" s="147"/>
    </row>
    <row r="621">
      <c r="A621" s="631"/>
      <c r="B621" s="631"/>
      <c r="C621" s="632"/>
      <c r="D621" s="633"/>
      <c r="E621" s="634"/>
      <c r="F621" s="635"/>
      <c r="G621" s="636"/>
      <c r="H621" s="637"/>
      <c r="I621" s="643"/>
      <c r="J621" s="644"/>
      <c r="K621" s="147"/>
      <c r="L621" s="632"/>
      <c r="M621" s="147"/>
      <c r="N621" s="640"/>
      <c r="O621" s="640"/>
      <c r="P621" s="641"/>
      <c r="Q621" s="642"/>
      <c r="R621" s="147"/>
      <c r="S621" s="147"/>
      <c r="T621" s="147"/>
      <c r="U621" s="147"/>
      <c r="V621" s="147"/>
      <c r="W621" s="147"/>
      <c r="X621" s="147"/>
      <c r="Y621" s="147"/>
      <c r="Z621" s="147"/>
      <c r="AA621" s="147"/>
      <c r="AB621" s="147"/>
      <c r="AC621" s="147"/>
      <c r="AD621" s="147"/>
      <c r="AE621" s="147"/>
      <c r="AF621" s="147"/>
      <c r="AG621" s="147"/>
      <c r="AH621" s="147"/>
      <c r="AI621" s="147"/>
      <c r="AJ621" s="147"/>
      <c r="AK621" s="147"/>
      <c r="AL621" s="147"/>
      <c r="AM621" s="147"/>
      <c r="AN621" s="147"/>
      <c r="AO621" s="147"/>
      <c r="AP621" s="147"/>
      <c r="AQ621" s="147"/>
      <c r="AR621" s="147"/>
      <c r="AS621" s="147"/>
      <c r="AT621" s="147"/>
      <c r="AU621" s="147"/>
      <c r="AV621" s="147"/>
      <c r="AW621" s="147"/>
    </row>
    <row r="622">
      <c r="A622" s="631"/>
      <c r="B622" s="631"/>
      <c r="C622" s="632"/>
      <c r="D622" s="633"/>
      <c r="E622" s="634"/>
      <c r="F622" s="635"/>
      <c r="G622" s="636"/>
      <c r="H622" s="637"/>
      <c r="I622" s="643"/>
      <c r="J622" s="644"/>
      <c r="K622" s="147"/>
      <c r="L622" s="632"/>
      <c r="M622" s="147"/>
      <c r="N622" s="640"/>
      <c r="O622" s="640"/>
      <c r="P622" s="641"/>
      <c r="Q622" s="642"/>
      <c r="R622" s="147"/>
      <c r="S622" s="147"/>
      <c r="T622" s="147"/>
      <c r="U622" s="147"/>
      <c r="V622" s="147"/>
      <c r="W622" s="147"/>
      <c r="X622" s="147"/>
      <c r="Y622" s="147"/>
      <c r="Z622" s="147"/>
      <c r="AA622" s="147"/>
      <c r="AB622" s="147"/>
      <c r="AC622" s="147"/>
      <c r="AD622" s="147"/>
      <c r="AE622" s="147"/>
      <c r="AF622" s="147"/>
      <c r="AG622" s="147"/>
      <c r="AH622" s="147"/>
      <c r="AI622" s="147"/>
      <c r="AJ622" s="147"/>
      <c r="AK622" s="147"/>
      <c r="AL622" s="147"/>
      <c r="AM622" s="147"/>
      <c r="AN622" s="147"/>
      <c r="AO622" s="147"/>
      <c r="AP622" s="147"/>
      <c r="AQ622" s="147"/>
      <c r="AR622" s="147"/>
      <c r="AS622" s="147"/>
      <c r="AT622" s="147"/>
      <c r="AU622" s="147"/>
      <c r="AV622" s="147"/>
      <c r="AW622" s="147"/>
    </row>
    <row r="623">
      <c r="A623" s="631"/>
      <c r="B623" s="631"/>
      <c r="C623" s="632"/>
      <c r="D623" s="633"/>
      <c r="E623" s="634"/>
      <c r="F623" s="635"/>
      <c r="G623" s="636"/>
      <c r="H623" s="637"/>
      <c r="I623" s="643"/>
      <c r="J623" s="644"/>
      <c r="K623" s="147"/>
      <c r="L623" s="632"/>
      <c r="M623" s="147"/>
      <c r="N623" s="640"/>
      <c r="O623" s="640"/>
      <c r="P623" s="641"/>
      <c r="Q623" s="642"/>
      <c r="R623" s="147"/>
      <c r="S623" s="147"/>
      <c r="T623" s="147"/>
      <c r="U623" s="147"/>
      <c r="V623" s="147"/>
      <c r="W623" s="147"/>
      <c r="X623" s="147"/>
      <c r="Y623" s="147"/>
      <c r="Z623" s="147"/>
      <c r="AA623" s="147"/>
      <c r="AB623" s="147"/>
      <c r="AC623" s="147"/>
      <c r="AD623" s="147"/>
      <c r="AE623" s="147"/>
      <c r="AF623" s="147"/>
      <c r="AG623" s="147"/>
      <c r="AH623" s="147"/>
      <c r="AI623" s="147"/>
      <c r="AJ623" s="147"/>
      <c r="AK623" s="147"/>
      <c r="AL623" s="147"/>
      <c r="AM623" s="147"/>
      <c r="AN623" s="147"/>
      <c r="AO623" s="147"/>
      <c r="AP623" s="147"/>
      <c r="AQ623" s="147"/>
      <c r="AR623" s="147"/>
      <c r="AS623" s="147"/>
      <c r="AT623" s="147"/>
      <c r="AU623" s="147"/>
      <c r="AV623" s="147"/>
      <c r="AW623" s="147"/>
    </row>
    <row r="624">
      <c r="A624" s="631"/>
      <c r="B624" s="631"/>
      <c r="C624" s="632"/>
      <c r="D624" s="633"/>
      <c r="E624" s="634"/>
      <c r="F624" s="635"/>
      <c r="G624" s="636"/>
      <c r="H624" s="637"/>
      <c r="I624" s="643"/>
      <c r="J624" s="644"/>
      <c r="K624" s="147"/>
      <c r="L624" s="632"/>
      <c r="M624" s="147"/>
      <c r="N624" s="640"/>
      <c r="O624" s="640"/>
      <c r="P624" s="641"/>
      <c r="Q624" s="642"/>
      <c r="R624" s="147"/>
      <c r="S624" s="147"/>
      <c r="T624" s="147"/>
      <c r="U624" s="147"/>
      <c r="V624" s="147"/>
      <c r="W624" s="147"/>
      <c r="X624" s="147"/>
      <c r="Y624" s="147"/>
      <c r="Z624" s="147"/>
      <c r="AA624" s="147"/>
      <c r="AB624" s="147"/>
      <c r="AC624" s="147"/>
      <c r="AD624" s="147"/>
      <c r="AE624" s="147"/>
      <c r="AF624" s="147"/>
      <c r="AG624" s="147"/>
      <c r="AH624" s="147"/>
      <c r="AI624" s="147"/>
      <c r="AJ624" s="147"/>
      <c r="AK624" s="147"/>
      <c r="AL624" s="147"/>
      <c r="AM624" s="147"/>
      <c r="AN624" s="147"/>
      <c r="AO624" s="147"/>
      <c r="AP624" s="147"/>
      <c r="AQ624" s="147"/>
      <c r="AR624" s="147"/>
      <c r="AS624" s="147"/>
      <c r="AT624" s="147"/>
      <c r="AU624" s="147"/>
      <c r="AV624" s="147"/>
      <c r="AW624" s="147"/>
    </row>
    <row r="625">
      <c r="A625" s="631"/>
      <c r="B625" s="631"/>
      <c r="C625" s="632"/>
      <c r="D625" s="633"/>
      <c r="E625" s="634"/>
      <c r="F625" s="635"/>
      <c r="G625" s="636"/>
      <c r="H625" s="637"/>
      <c r="I625" s="643"/>
      <c r="J625" s="644"/>
      <c r="K625" s="147"/>
      <c r="L625" s="632"/>
      <c r="M625" s="147"/>
      <c r="N625" s="640"/>
      <c r="O625" s="640"/>
      <c r="P625" s="641"/>
      <c r="Q625" s="642"/>
      <c r="R625" s="147"/>
      <c r="S625" s="147"/>
      <c r="T625" s="147"/>
      <c r="U625" s="147"/>
      <c r="V625" s="147"/>
      <c r="W625" s="147"/>
      <c r="X625" s="147"/>
      <c r="Y625" s="147"/>
      <c r="Z625" s="147"/>
      <c r="AA625" s="147"/>
      <c r="AB625" s="147"/>
      <c r="AC625" s="147"/>
      <c r="AD625" s="147"/>
      <c r="AE625" s="147"/>
      <c r="AF625" s="147"/>
      <c r="AG625" s="147"/>
      <c r="AH625" s="147"/>
      <c r="AI625" s="147"/>
      <c r="AJ625" s="147"/>
      <c r="AK625" s="147"/>
      <c r="AL625" s="147"/>
      <c r="AM625" s="147"/>
      <c r="AN625" s="147"/>
      <c r="AO625" s="147"/>
      <c r="AP625" s="147"/>
      <c r="AQ625" s="147"/>
      <c r="AR625" s="147"/>
      <c r="AS625" s="147"/>
      <c r="AT625" s="147"/>
      <c r="AU625" s="147"/>
      <c r="AV625" s="147"/>
      <c r="AW625" s="147"/>
    </row>
    <row r="626">
      <c r="A626" s="631"/>
      <c r="B626" s="631"/>
      <c r="C626" s="632"/>
      <c r="D626" s="633"/>
      <c r="E626" s="634"/>
      <c r="F626" s="635"/>
      <c r="G626" s="636"/>
      <c r="H626" s="637"/>
      <c r="I626" s="643"/>
      <c r="J626" s="644"/>
      <c r="K626" s="147"/>
      <c r="L626" s="632"/>
      <c r="M626" s="147"/>
      <c r="N626" s="640"/>
      <c r="O626" s="640"/>
      <c r="P626" s="641"/>
      <c r="Q626" s="642"/>
      <c r="R626" s="147"/>
      <c r="S626" s="147"/>
      <c r="T626" s="147"/>
      <c r="U626" s="147"/>
      <c r="V626" s="147"/>
      <c r="W626" s="147"/>
      <c r="X626" s="147"/>
      <c r="Y626" s="147"/>
      <c r="Z626" s="147"/>
      <c r="AA626" s="147"/>
      <c r="AB626" s="147"/>
      <c r="AC626" s="147"/>
      <c r="AD626" s="147"/>
      <c r="AE626" s="147"/>
      <c r="AF626" s="147"/>
      <c r="AG626" s="147"/>
      <c r="AH626" s="147"/>
      <c r="AI626" s="147"/>
      <c r="AJ626" s="147"/>
      <c r="AK626" s="147"/>
      <c r="AL626" s="147"/>
      <c r="AM626" s="147"/>
      <c r="AN626" s="147"/>
      <c r="AO626" s="147"/>
      <c r="AP626" s="147"/>
      <c r="AQ626" s="147"/>
      <c r="AR626" s="147"/>
      <c r="AS626" s="147"/>
      <c r="AT626" s="147"/>
      <c r="AU626" s="147"/>
      <c r="AV626" s="147"/>
      <c r="AW626" s="147"/>
    </row>
    <row r="627">
      <c r="A627" s="631"/>
      <c r="B627" s="631"/>
      <c r="C627" s="632"/>
      <c r="D627" s="633"/>
      <c r="E627" s="634"/>
      <c r="F627" s="635"/>
      <c r="G627" s="636"/>
      <c r="H627" s="637"/>
      <c r="I627" s="643"/>
      <c r="J627" s="644"/>
      <c r="K627" s="147"/>
      <c r="L627" s="632"/>
      <c r="M627" s="147"/>
      <c r="N627" s="640"/>
      <c r="O627" s="640"/>
      <c r="P627" s="641"/>
      <c r="Q627" s="642"/>
      <c r="R627" s="147"/>
      <c r="S627" s="147"/>
      <c r="T627" s="147"/>
      <c r="U627" s="147"/>
      <c r="V627" s="147"/>
      <c r="W627" s="147"/>
      <c r="X627" s="147"/>
      <c r="Y627" s="147"/>
      <c r="Z627" s="147"/>
      <c r="AA627" s="147"/>
      <c r="AB627" s="147"/>
      <c r="AC627" s="147"/>
      <c r="AD627" s="147"/>
      <c r="AE627" s="147"/>
      <c r="AF627" s="147"/>
      <c r="AG627" s="147"/>
      <c r="AH627" s="147"/>
      <c r="AI627" s="147"/>
      <c r="AJ627" s="147"/>
      <c r="AK627" s="147"/>
      <c r="AL627" s="147"/>
      <c r="AM627" s="147"/>
      <c r="AN627" s="147"/>
      <c r="AO627" s="147"/>
      <c r="AP627" s="147"/>
      <c r="AQ627" s="147"/>
      <c r="AR627" s="147"/>
      <c r="AS627" s="147"/>
      <c r="AT627" s="147"/>
      <c r="AU627" s="147"/>
      <c r="AV627" s="147"/>
      <c r="AW627" s="147"/>
    </row>
    <row r="628">
      <c r="A628" s="631"/>
      <c r="B628" s="631"/>
      <c r="C628" s="632"/>
      <c r="D628" s="633"/>
      <c r="E628" s="634"/>
      <c r="F628" s="635"/>
      <c r="G628" s="636"/>
      <c r="H628" s="637"/>
      <c r="I628" s="643"/>
      <c r="J628" s="644"/>
      <c r="K628" s="147"/>
      <c r="L628" s="632"/>
      <c r="M628" s="147"/>
      <c r="N628" s="640"/>
      <c r="O628" s="640"/>
      <c r="P628" s="641"/>
      <c r="Q628" s="642"/>
      <c r="R628" s="147"/>
      <c r="S628" s="147"/>
      <c r="T628" s="147"/>
      <c r="U628" s="147"/>
      <c r="V628" s="147"/>
      <c r="W628" s="147"/>
      <c r="X628" s="147"/>
      <c r="Y628" s="147"/>
      <c r="Z628" s="147"/>
      <c r="AA628" s="147"/>
      <c r="AB628" s="147"/>
      <c r="AC628" s="147"/>
      <c r="AD628" s="147"/>
      <c r="AE628" s="147"/>
      <c r="AF628" s="147"/>
      <c r="AG628" s="147"/>
      <c r="AH628" s="147"/>
      <c r="AI628" s="147"/>
      <c r="AJ628" s="147"/>
      <c r="AK628" s="147"/>
      <c r="AL628" s="147"/>
      <c r="AM628" s="147"/>
      <c r="AN628" s="147"/>
      <c r="AO628" s="147"/>
      <c r="AP628" s="147"/>
      <c r="AQ628" s="147"/>
      <c r="AR628" s="147"/>
      <c r="AS628" s="147"/>
      <c r="AT628" s="147"/>
      <c r="AU628" s="147"/>
      <c r="AV628" s="147"/>
      <c r="AW628" s="147"/>
    </row>
    <row r="629">
      <c r="A629" s="631"/>
      <c r="B629" s="631"/>
      <c r="C629" s="632"/>
      <c r="D629" s="633"/>
      <c r="E629" s="634"/>
      <c r="F629" s="635"/>
      <c r="G629" s="636"/>
      <c r="H629" s="637"/>
      <c r="I629" s="643"/>
      <c r="J629" s="644"/>
      <c r="K629" s="147"/>
      <c r="L629" s="632"/>
      <c r="M629" s="147"/>
      <c r="N629" s="640"/>
      <c r="O629" s="640"/>
      <c r="P629" s="641"/>
      <c r="Q629" s="642"/>
      <c r="R629" s="147"/>
      <c r="S629" s="147"/>
      <c r="T629" s="147"/>
      <c r="U629" s="147"/>
      <c r="V629" s="147"/>
      <c r="W629" s="147"/>
      <c r="X629" s="147"/>
      <c r="Y629" s="147"/>
      <c r="Z629" s="147"/>
      <c r="AA629" s="147"/>
      <c r="AB629" s="147"/>
      <c r="AC629" s="147"/>
      <c r="AD629" s="147"/>
      <c r="AE629" s="147"/>
      <c r="AF629" s="147"/>
      <c r="AG629" s="147"/>
      <c r="AH629" s="147"/>
      <c r="AI629" s="147"/>
      <c r="AJ629" s="147"/>
      <c r="AK629" s="147"/>
      <c r="AL629" s="147"/>
      <c r="AM629" s="147"/>
      <c r="AN629" s="147"/>
      <c r="AO629" s="147"/>
      <c r="AP629" s="147"/>
      <c r="AQ629" s="147"/>
      <c r="AR629" s="147"/>
      <c r="AS629" s="147"/>
      <c r="AT629" s="147"/>
      <c r="AU629" s="147"/>
      <c r="AV629" s="147"/>
      <c r="AW629" s="147"/>
    </row>
    <row r="630">
      <c r="A630" s="631"/>
      <c r="B630" s="631"/>
      <c r="C630" s="632"/>
      <c r="D630" s="633"/>
      <c r="E630" s="634"/>
      <c r="F630" s="635"/>
      <c r="G630" s="636"/>
      <c r="H630" s="637"/>
      <c r="I630" s="643"/>
      <c r="J630" s="644"/>
      <c r="K630" s="147"/>
      <c r="L630" s="632"/>
      <c r="M630" s="147"/>
      <c r="N630" s="640"/>
      <c r="O630" s="640"/>
      <c r="P630" s="641"/>
      <c r="Q630" s="642"/>
      <c r="R630" s="147"/>
      <c r="S630" s="147"/>
      <c r="T630" s="147"/>
      <c r="U630" s="147"/>
      <c r="V630" s="147"/>
      <c r="W630" s="147"/>
      <c r="X630" s="147"/>
      <c r="Y630" s="147"/>
      <c r="Z630" s="147"/>
      <c r="AA630" s="147"/>
      <c r="AB630" s="147"/>
      <c r="AC630" s="147"/>
      <c r="AD630" s="147"/>
      <c r="AE630" s="147"/>
      <c r="AF630" s="147"/>
      <c r="AG630" s="147"/>
      <c r="AH630" s="147"/>
      <c r="AI630" s="147"/>
      <c r="AJ630" s="147"/>
      <c r="AK630" s="147"/>
      <c r="AL630" s="147"/>
      <c r="AM630" s="147"/>
      <c r="AN630" s="147"/>
      <c r="AO630" s="147"/>
      <c r="AP630" s="147"/>
      <c r="AQ630" s="147"/>
      <c r="AR630" s="147"/>
      <c r="AS630" s="147"/>
      <c r="AT630" s="147"/>
      <c r="AU630" s="147"/>
      <c r="AV630" s="147"/>
      <c r="AW630" s="147"/>
    </row>
    <row r="631">
      <c r="A631" s="631"/>
      <c r="B631" s="631"/>
      <c r="C631" s="632"/>
      <c r="D631" s="633"/>
      <c r="E631" s="634"/>
      <c r="F631" s="635"/>
      <c r="G631" s="636"/>
      <c r="H631" s="637"/>
      <c r="I631" s="643"/>
      <c r="J631" s="644"/>
      <c r="K631" s="147"/>
      <c r="L631" s="632"/>
      <c r="M631" s="147"/>
      <c r="N631" s="640"/>
      <c r="O631" s="640"/>
      <c r="P631" s="641"/>
      <c r="Q631" s="642"/>
      <c r="R631" s="147"/>
      <c r="S631" s="147"/>
      <c r="T631" s="147"/>
      <c r="U631" s="147"/>
      <c r="V631" s="147"/>
      <c r="W631" s="147"/>
      <c r="X631" s="147"/>
      <c r="Y631" s="147"/>
      <c r="Z631" s="147"/>
      <c r="AA631" s="147"/>
      <c r="AB631" s="147"/>
      <c r="AC631" s="147"/>
      <c r="AD631" s="147"/>
      <c r="AE631" s="147"/>
      <c r="AF631" s="147"/>
      <c r="AG631" s="147"/>
      <c r="AH631" s="147"/>
      <c r="AI631" s="147"/>
      <c r="AJ631" s="147"/>
      <c r="AK631" s="147"/>
      <c r="AL631" s="147"/>
      <c r="AM631" s="147"/>
      <c r="AN631" s="147"/>
      <c r="AO631" s="147"/>
      <c r="AP631" s="147"/>
      <c r="AQ631" s="147"/>
      <c r="AR631" s="147"/>
      <c r="AS631" s="147"/>
      <c r="AT631" s="147"/>
      <c r="AU631" s="147"/>
      <c r="AV631" s="147"/>
      <c r="AW631" s="147"/>
    </row>
    <row r="632">
      <c r="A632" s="631"/>
      <c r="B632" s="631"/>
      <c r="C632" s="632"/>
      <c r="D632" s="633"/>
      <c r="E632" s="634"/>
      <c r="F632" s="635"/>
      <c r="G632" s="636"/>
      <c r="H632" s="637"/>
      <c r="I632" s="643"/>
      <c r="J632" s="644"/>
      <c r="K632" s="147"/>
      <c r="L632" s="632"/>
      <c r="M632" s="147"/>
      <c r="N632" s="640"/>
      <c r="O632" s="640"/>
      <c r="P632" s="641"/>
      <c r="Q632" s="642"/>
      <c r="R632" s="147"/>
      <c r="S632" s="147"/>
      <c r="T632" s="147"/>
      <c r="U632" s="147"/>
      <c r="V632" s="147"/>
      <c r="W632" s="147"/>
      <c r="X632" s="147"/>
      <c r="Y632" s="147"/>
      <c r="Z632" s="147"/>
      <c r="AA632" s="147"/>
      <c r="AB632" s="147"/>
      <c r="AC632" s="147"/>
      <c r="AD632" s="147"/>
      <c r="AE632" s="147"/>
      <c r="AF632" s="147"/>
      <c r="AG632" s="147"/>
      <c r="AH632" s="147"/>
      <c r="AI632" s="147"/>
      <c r="AJ632" s="147"/>
      <c r="AK632" s="147"/>
      <c r="AL632" s="147"/>
      <c r="AM632" s="147"/>
      <c r="AN632" s="147"/>
      <c r="AO632" s="147"/>
      <c r="AP632" s="147"/>
      <c r="AQ632" s="147"/>
      <c r="AR632" s="147"/>
      <c r="AS632" s="147"/>
      <c r="AT632" s="147"/>
      <c r="AU632" s="147"/>
      <c r="AV632" s="147"/>
      <c r="AW632" s="147"/>
    </row>
    <row r="633">
      <c r="A633" s="631"/>
      <c r="B633" s="631"/>
      <c r="C633" s="632"/>
      <c r="D633" s="633"/>
      <c r="E633" s="634"/>
      <c r="F633" s="635"/>
      <c r="G633" s="636"/>
      <c r="H633" s="637"/>
      <c r="I633" s="643"/>
      <c r="J633" s="644"/>
      <c r="K633" s="147"/>
      <c r="L633" s="632"/>
      <c r="M633" s="147"/>
      <c r="N633" s="640"/>
      <c r="O633" s="640"/>
      <c r="P633" s="641"/>
      <c r="Q633" s="642"/>
      <c r="R633" s="147"/>
      <c r="S633" s="147"/>
      <c r="T633" s="147"/>
      <c r="U633" s="147"/>
      <c r="V633" s="147"/>
      <c r="W633" s="147"/>
      <c r="X633" s="147"/>
      <c r="Y633" s="147"/>
      <c r="Z633" s="147"/>
      <c r="AA633" s="147"/>
      <c r="AB633" s="147"/>
      <c r="AC633" s="147"/>
      <c r="AD633" s="147"/>
      <c r="AE633" s="147"/>
      <c r="AF633" s="147"/>
      <c r="AG633" s="147"/>
      <c r="AH633" s="147"/>
      <c r="AI633" s="147"/>
      <c r="AJ633" s="147"/>
      <c r="AK633" s="147"/>
      <c r="AL633" s="147"/>
      <c r="AM633" s="147"/>
      <c r="AN633" s="147"/>
      <c r="AO633" s="147"/>
      <c r="AP633" s="147"/>
      <c r="AQ633" s="147"/>
      <c r="AR633" s="147"/>
      <c r="AS633" s="147"/>
      <c r="AT633" s="147"/>
      <c r="AU633" s="147"/>
      <c r="AV633" s="147"/>
      <c r="AW633" s="147"/>
    </row>
    <row r="634">
      <c r="A634" s="631"/>
      <c r="B634" s="631"/>
      <c r="C634" s="632"/>
      <c r="D634" s="633"/>
      <c r="E634" s="634"/>
      <c r="F634" s="635"/>
      <c r="G634" s="636"/>
      <c r="H634" s="637"/>
      <c r="I634" s="643"/>
      <c r="J634" s="644"/>
      <c r="K634" s="147"/>
      <c r="L634" s="632"/>
      <c r="M634" s="147"/>
      <c r="N634" s="640"/>
      <c r="O634" s="640"/>
      <c r="P634" s="641"/>
      <c r="Q634" s="642"/>
      <c r="R634" s="147"/>
      <c r="S634" s="147"/>
      <c r="T634" s="147"/>
      <c r="U634" s="147"/>
      <c r="V634" s="147"/>
      <c r="W634" s="147"/>
      <c r="X634" s="147"/>
      <c r="Y634" s="147"/>
      <c r="Z634" s="147"/>
      <c r="AA634" s="147"/>
      <c r="AB634" s="147"/>
      <c r="AC634" s="147"/>
      <c r="AD634" s="147"/>
      <c r="AE634" s="147"/>
      <c r="AF634" s="147"/>
      <c r="AG634" s="147"/>
      <c r="AH634" s="147"/>
      <c r="AI634" s="147"/>
      <c r="AJ634" s="147"/>
      <c r="AK634" s="147"/>
      <c r="AL634" s="147"/>
      <c r="AM634" s="147"/>
      <c r="AN634" s="147"/>
      <c r="AO634" s="147"/>
      <c r="AP634" s="147"/>
      <c r="AQ634" s="147"/>
      <c r="AR634" s="147"/>
      <c r="AS634" s="147"/>
      <c r="AT634" s="147"/>
      <c r="AU634" s="147"/>
      <c r="AV634" s="147"/>
      <c r="AW634" s="147"/>
    </row>
    <row r="635">
      <c r="A635" s="631"/>
      <c r="B635" s="631"/>
      <c r="C635" s="632"/>
      <c r="D635" s="633"/>
      <c r="E635" s="634"/>
      <c r="F635" s="635"/>
      <c r="G635" s="636"/>
      <c r="H635" s="637"/>
      <c r="I635" s="643"/>
      <c r="J635" s="644"/>
      <c r="K635" s="147"/>
      <c r="L635" s="632"/>
      <c r="M635" s="147"/>
      <c r="N635" s="640"/>
      <c r="O635" s="640"/>
      <c r="P635" s="641"/>
      <c r="Q635" s="642"/>
      <c r="R635" s="147"/>
      <c r="S635" s="147"/>
      <c r="T635" s="147"/>
      <c r="U635" s="147"/>
      <c r="V635" s="147"/>
      <c r="W635" s="147"/>
      <c r="X635" s="147"/>
      <c r="Y635" s="147"/>
      <c r="Z635" s="147"/>
      <c r="AA635" s="147"/>
      <c r="AB635" s="147"/>
      <c r="AC635" s="147"/>
      <c r="AD635" s="147"/>
      <c r="AE635" s="147"/>
      <c r="AF635" s="147"/>
      <c r="AG635" s="147"/>
      <c r="AH635" s="147"/>
      <c r="AI635" s="147"/>
      <c r="AJ635" s="147"/>
      <c r="AK635" s="147"/>
      <c r="AL635" s="147"/>
      <c r="AM635" s="147"/>
      <c r="AN635" s="147"/>
      <c r="AO635" s="147"/>
      <c r="AP635" s="147"/>
      <c r="AQ635" s="147"/>
      <c r="AR635" s="147"/>
      <c r="AS635" s="147"/>
      <c r="AT635" s="147"/>
      <c r="AU635" s="147"/>
      <c r="AV635" s="147"/>
      <c r="AW635" s="147"/>
    </row>
    <row r="636">
      <c r="A636" s="631"/>
      <c r="B636" s="631"/>
      <c r="C636" s="632"/>
      <c r="D636" s="633"/>
      <c r="E636" s="634"/>
      <c r="F636" s="635"/>
      <c r="G636" s="636"/>
      <c r="H636" s="637"/>
      <c r="I636" s="643"/>
      <c r="J636" s="644"/>
      <c r="K636" s="147"/>
      <c r="L636" s="632"/>
      <c r="M636" s="147"/>
      <c r="N636" s="640"/>
      <c r="O636" s="640"/>
      <c r="P636" s="641"/>
      <c r="Q636" s="642"/>
      <c r="R636" s="147"/>
      <c r="S636" s="147"/>
      <c r="T636" s="147"/>
      <c r="U636" s="147"/>
      <c r="V636" s="147"/>
      <c r="W636" s="147"/>
      <c r="X636" s="147"/>
      <c r="Y636" s="147"/>
      <c r="Z636" s="147"/>
      <c r="AA636" s="147"/>
      <c r="AB636" s="147"/>
      <c r="AC636" s="147"/>
      <c r="AD636" s="147"/>
      <c r="AE636" s="147"/>
      <c r="AF636" s="147"/>
      <c r="AG636" s="147"/>
      <c r="AH636" s="147"/>
      <c r="AI636" s="147"/>
      <c r="AJ636" s="147"/>
      <c r="AK636" s="147"/>
      <c r="AL636" s="147"/>
      <c r="AM636" s="147"/>
      <c r="AN636" s="147"/>
      <c r="AO636" s="147"/>
      <c r="AP636" s="147"/>
      <c r="AQ636" s="147"/>
      <c r="AR636" s="147"/>
      <c r="AS636" s="147"/>
      <c r="AT636" s="147"/>
      <c r="AU636" s="147"/>
      <c r="AV636" s="147"/>
      <c r="AW636" s="147"/>
    </row>
    <row r="637">
      <c r="A637" s="631"/>
      <c r="B637" s="631"/>
      <c r="C637" s="632"/>
      <c r="D637" s="633"/>
      <c r="E637" s="634"/>
      <c r="F637" s="635"/>
      <c r="G637" s="636"/>
      <c r="H637" s="637"/>
      <c r="I637" s="643"/>
      <c r="J637" s="644"/>
      <c r="K637" s="147"/>
      <c r="L637" s="632"/>
      <c r="M637" s="147"/>
      <c r="N637" s="640"/>
      <c r="O637" s="640"/>
      <c r="P637" s="641"/>
      <c r="Q637" s="642"/>
      <c r="R637" s="147"/>
      <c r="S637" s="147"/>
      <c r="T637" s="147"/>
      <c r="U637" s="147"/>
      <c r="V637" s="147"/>
      <c r="W637" s="147"/>
      <c r="X637" s="147"/>
      <c r="Y637" s="147"/>
      <c r="Z637" s="147"/>
      <c r="AA637" s="147"/>
      <c r="AB637" s="147"/>
      <c r="AC637" s="147"/>
      <c r="AD637" s="147"/>
      <c r="AE637" s="147"/>
      <c r="AF637" s="147"/>
      <c r="AG637" s="147"/>
      <c r="AH637" s="147"/>
      <c r="AI637" s="147"/>
      <c r="AJ637" s="147"/>
      <c r="AK637" s="147"/>
      <c r="AL637" s="147"/>
      <c r="AM637" s="147"/>
      <c r="AN637" s="147"/>
      <c r="AO637" s="147"/>
      <c r="AP637" s="147"/>
      <c r="AQ637" s="147"/>
      <c r="AR637" s="147"/>
      <c r="AS637" s="147"/>
      <c r="AT637" s="147"/>
      <c r="AU637" s="147"/>
      <c r="AV637" s="147"/>
      <c r="AW637" s="147"/>
    </row>
    <row r="638">
      <c r="A638" s="631"/>
      <c r="B638" s="631"/>
      <c r="C638" s="632"/>
      <c r="D638" s="633"/>
      <c r="E638" s="634"/>
      <c r="F638" s="635"/>
      <c r="G638" s="636"/>
      <c r="H638" s="637"/>
      <c r="I638" s="643"/>
      <c r="J638" s="644"/>
      <c r="K638" s="147"/>
      <c r="L638" s="632"/>
      <c r="M638" s="147"/>
      <c r="N638" s="640"/>
      <c r="O638" s="640"/>
      <c r="P638" s="641"/>
      <c r="Q638" s="642"/>
      <c r="R638" s="147"/>
      <c r="S638" s="147"/>
      <c r="T638" s="147"/>
      <c r="U638" s="147"/>
      <c r="V638" s="147"/>
      <c r="W638" s="147"/>
      <c r="X638" s="147"/>
      <c r="Y638" s="147"/>
      <c r="Z638" s="147"/>
      <c r="AA638" s="147"/>
      <c r="AB638" s="147"/>
      <c r="AC638" s="147"/>
      <c r="AD638" s="147"/>
      <c r="AE638" s="147"/>
      <c r="AF638" s="147"/>
      <c r="AG638" s="147"/>
      <c r="AH638" s="147"/>
      <c r="AI638" s="147"/>
      <c r="AJ638" s="147"/>
      <c r="AK638" s="147"/>
      <c r="AL638" s="147"/>
      <c r="AM638" s="147"/>
      <c r="AN638" s="147"/>
      <c r="AO638" s="147"/>
      <c r="AP638" s="147"/>
      <c r="AQ638" s="147"/>
      <c r="AR638" s="147"/>
      <c r="AS638" s="147"/>
      <c r="AT638" s="147"/>
      <c r="AU638" s="147"/>
      <c r="AV638" s="147"/>
      <c r="AW638" s="147"/>
    </row>
    <row r="639">
      <c r="A639" s="631"/>
      <c r="B639" s="631"/>
      <c r="C639" s="632"/>
      <c r="D639" s="633"/>
      <c r="E639" s="634"/>
      <c r="F639" s="635"/>
      <c r="G639" s="636"/>
      <c r="H639" s="637"/>
      <c r="I639" s="643"/>
      <c r="J639" s="644"/>
      <c r="K639" s="147"/>
      <c r="L639" s="632"/>
      <c r="M639" s="147"/>
      <c r="N639" s="640"/>
      <c r="O639" s="640"/>
      <c r="P639" s="641"/>
      <c r="Q639" s="642"/>
      <c r="R639" s="147"/>
      <c r="S639" s="147"/>
      <c r="T639" s="147"/>
      <c r="U639" s="147"/>
      <c r="V639" s="147"/>
      <c r="W639" s="147"/>
      <c r="X639" s="147"/>
      <c r="Y639" s="147"/>
      <c r="Z639" s="147"/>
      <c r="AA639" s="147"/>
      <c r="AB639" s="147"/>
      <c r="AC639" s="147"/>
      <c r="AD639" s="147"/>
      <c r="AE639" s="147"/>
      <c r="AF639" s="147"/>
      <c r="AG639" s="147"/>
      <c r="AH639" s="147"/>
      <c r="AI639" s="147"/>
      <c r="AJ639" s="147"/>
      <c r="AK639" s="147"/>
      <c r="AL639" s="147"/>
      <c r="AM639" s="147"/>
      <c r="AN639" s="147"/>
      <c r="AO639" s="147"/>
      <c r="AP639" s="147"/>
      <c r="AQ639" s="147"/>
      <c r="AR639" s="147"/>
      <c r="AS639" s="147"/>
      <c r="AT639" s="147"/>
      <c r="AU639" s="147"/>
      <c r="AV639" s="147"/>
      <c r="AW639" s="147"/>
    </row>
    <row r="640">
      <c r="A640" s="631"/>
      <c r="B640" s="631"/>
      <c r="C640" s="632"/>
      <c r="D640" s="633"/>
      <c r="E640" s="634"/>
      <c r="F640" s="635"/>
      <c r="G640" s="636"/>
      <c r="H640" s="637"/>
      <c r="I640" s="643"/>
      <c r="J640" s="644"/>
      <c r="K640" s="147"/>
      <c r="L640" s="632"/>
      <c r="M640" s="147"/>
      <c r="N640" s="640"/>
      <c r="O640" s="640"/>
      <c r="P640" s="641"/>
      <c r="Q640" s="642"/>
      <c r="R640" s="147"/>
      <c r="S640" s="147"/>
      <c r="T640" s="147"/>
      <c r="U640" s="147"/>
      <c r="V640" s="147"/>
      <c r="W640" s="147"/>
      <c r="X640" s="147"/>
      <c r="Y640" s="147"/>
      <c r="Z640" s="147"/>
      <c r="AA640" s="147"/>
      <c r="AB640" s="147"/>
      <c r="AC640" s="147"/>
      <c r="AD640" s="147"/>
      <c r="AE640" s="147"/>
      <c r="AF640" s="147"/>
      <c r="AG640" s="147"/>
      <c r="AH640" s="147"/>
      <c r="AI640" s="147"/>
      <c r="AJ640" s="147"/>
      <c r="AK640" s="147"/>
      <c r="AL640" s="147"/>
      <c r="AM640" s="147"/>
      <c r="AN640" s="147"/>
      <c r="AO640" s="147"/>
      <c r="AP640" s="147"/>
      <c r="AQ640" s="147"/>
      <c r="AR640" s="147"/>
      <c r="AS640" s="147"/>
      <c r="AT640" s="147"/>
      <c r="AU640" s="147"/>
      <c r="AV640" s="147"/>
      <c r="AW640" s="147"/>
    </row>
    <row r="641">
      <c r="A641" s="631"/>
      <c r="B641" s="631"/>
      <c r="C641" s="632"/>
      <c r="D641" s="633"/>
      <c r="E641" s="634"/>
      <c r="F641" s="635"/>
      <c r="G641" s="636"/>
      <c r="H641" s="637"/>
      <c r="I641" s="643"/>
      <c r="J641" s="644"/>
      <c r="K641" s="147"/>
      <c r="L641" s="632"/>
      <c r="M641" s="147"/>
      <c r="N641" s="640"/>
      <c r="O641" s="640"/>
      <c r="P641" s="641"/>
      <c r="Q641" s="642"/>
      <c r="R641" s="147"/>
      <c r="S641" s="147"/>
      <c r="T641" s="147"/>
      <c r="U641" s="147"/>
      <c r="V641" s="147"/>
      <c r="W641" s="147"/>
      <c r="X641" s="147"/>
      <c r="Y641" s="147"/>
      <c r="Z641" s="147"/>
      <c r="AA641" s="147"/>
      <c r="AB641" s="147"/>
      <c r="AC641" s="147"/>
      <c r="AD641" s="147"/>
      <c r="AE641" s="147"/>
      <c r="AF641" s="147"/>
      <c r="AG641" s="147"/>
      <c r="AH641" s="147"/>
      <c r="AI641" s="147"/>
      <c r="AJ641" s="147"/>
      <c r="AK641" s="147"/>
      <c r="AL641" s="147"/>
      <c r="AM641" s="147"/>
      <c r="AN641" s="147"/>
      <c r="AO641" s="147"/>
      <c r="AP641" s="147"/>
      <c r="AQ641" s="147"/>
      <c r="AR641" s="147"/>
      <c r="AS641" s="147"/>
      <c r="AT641" s="147"/>
      <c r="AU641" s="147"/>
      <c r="AV641" s="147"/>
      <c r="AW641" s="147"/>
    </row>
    <row r="642">
      <c r="A642" s="631"/>
      <c r="B642" s="631"/>
      <c r="C642" s="632"/>
      <c r="D642" s="633"/>
      <c r="E642" s="634"/>
      <c r="F642" s="635"/>
      <c r="G642" s="636"/>
      <c r="H642" s="637"/>
      <c r="I642" s="643"/>
      <c r="J642" s="644"/>
      <c r="K642" s="147"/>
      <c r="L642" s="632"/>
      <c r="M642" s="147"/>
      <c r="N642" s="640"/>
      <c r="O642" s="640"/>
      <c r="P642" s="641"/>
      <c r="Q642" s="642"/>
      <c r="R642" s="147"/>
      <c r="S642" s="147"/>
      <c r="T642" s="147"/>
      <c r="U642" s="147"/>
      <c r="V642" s="147"/>
      <c r="W642" s="147"/>
      <c r="X642" s="147"/>
      <c r="Y642" s="147"/>
      <c r="Z642" s="147"/>
      <c r="AA642" s="147"/>
      <c r="AB642" s="147"/>
      <c r="AC642" s="147"/>
      <c r="AD642" s="147"/>
      <c r="AE642" s="147"/>
      <c r="AF642" s="147"/>
      <c r="AG642" s="147"/>
      <c r="AH642" s="147"/>
      <c r="AI642" s="147"/>
      <c r="AJ642" s="147"/>
      <c r="AK642" s="147"/>
      <c r="AL642" s="147"/>
      <c r="AM642" s="147"/>
      <c r="AN642" s="147"/>
      <c r="AO642" s="147"/>
      <c r="AP642" s="147"/>
      <c r="AQ642" s="147"/>
      <c r="AR642" s="147"/>
      <c r="AS642" s="147"/>
      <c r="AT642" s="147"/>
      <c r="AU642" s="147"/>
      <c r="AV642" s="147"/>
      <c r="AW642" s="147"/>
    </row>
    <row r="643">
      <c r="A643" s="631"/>
      <c r="B643" s="631"/>
      <c r="C643" s="632"/>
      <c r="D643" s="633"/>
      <c r="E643" s="634"/>
      <c r="F643" s="635"/>
      <c r="G643" s="636"/>
      <c r="H643" s="637"/>
      <c r="I643" s="643"/>
      <c r="J643" s="644"/>
      <c r="K643" s="147"/>
      <c r="L643" s="632"/>
      <c r="M643" s="147"/>
      <c r="N643" s="640"/>
      <c r="O643" s="640"/>
      <c r="P643" s="641"/>
      <c r="Q643" s="642"/>
      <c r="R643" s="147"/>
      <c r="S643" s="147"/>
      <c r="T643" s="147"/>
      <c r="U643" s="147"/>
      <c r="V643" s="147"/>
      <c r="W643" s="147"/>
      <c r="X643" s="147"/>
      <c r="Y643" s="147"/>
      <c r="Z643" s="147"/>
      <c r="AA643" s="147"/>
      <c r="AB643" s="147"/>
      <c r="AC643" s="147"/>
      <c r="AD643" s="147"/>
      <c r="AE643" s="147"/>
      <c r="AF643" s="147"/>
      <c r="AG643" s="147"/>
      <c r="AH643" s="147"/>
      <c r="AI643" s="147"/>
      <c r="AJ643" s="147"/>
      <c r="AK643" s="147"/>
      <c r="AL643" s="147"/>
      <c r="AM643" s="147"/>
      <c r="AN643" s="147"/>
      <c r="AO643" s="147"/>
      <c r="AP643" s="147"/>
      <c r="AQ643" s="147"/>
      <c r="AR643" s="147"/>
      <c r="AS643" s="147"/>
      <c r="AT643" s="147"/>
      <c r="AU643" s="147"/>
      <c r="AV643" s="147"/>
      <c r="AW643" s="147"/>
    </row>
    <row r="644">
      <c r="A644" s="631"/>
      <c r="B644" s="631"/>
      <c r="C644" s="632"/>
      <c r="D644" s="633"/>
      <c r="E644" s="634"/>
      <c r="F644" s="635"/>
      <c r="G644" s="636"/>
      <c r="H644" s="637"/>
      <c r="I644" s="643"/>
      <c r="J644" s="644"/>
      <c r="K644" s="147"/>
      <c r="L644" s="632"/>
      <c r="M644" s="147"/>
      <c r="N644" s="640"/>
      <c r="O644" s="640"/>
      <c r="P644" s="641"/>
      <c r="Q644" s="642"/>
      <c r="R644" s="147"/>
      <c r="S644" s="147"/>
      <c r="T644" s="147"/>
      <c r="U644" s="147"/>
      <c r="V644" s="147"/>
      <c r="W644" s="147"/>
      <c r="X644" s="147"/>
      <c r="Y644" s="147"/>
      <c r="Z644" s="147"/>
      <c r="AA644" s="147"/>
      <c r="AB644" s="147"/>
      <c r="AC644" s="147"/>
      <c r="AD644" s="147"/>
      <c r="AE644" s="147"/>
      <c r="AF644" s="147"/>
      <c r="AG644" s="147"/>
      <c r="AH644" s="147"/>
      <c r="AI644" s="147"/>
      <c r="AJ644" s="147"/>
      <c r="AK644" s="147"/>
      <c r="AL644" s="147"/>
      <c r="AM644" s="147"/>
      <c r="AN644" s="147"/>
      <c r="AO644" s="147"/>
      <c r="AP644" s="147"/>
      <c r="AQ644" s="147"/>
      <c r="AR644" s="147"/>
      <c r="AS644" s="147"/>
      <c r="AT644" s="147"/>
      <c r="AU644" s="147"/>
      <c r="AV644" s="147"/>
      <c r="AW644" s="147"/>
    </row>
    <row r="645">
      <c r="A645" s="631"/>
      <c r="B645" s="631"/>
      <c r="C645" s="632"/>
      <c r="D645" s="633"/>
      <c r="E645" s="634"/>
      <c r="F645" s="635"/>
      <c r="G645" s="636"/>
      <c r="H645" s="637"/>
      <c r="I645" s="643"/>
      <c r="J645" s="644"/>
      <c r="K645" s="147"/>
      <c r="L645" s="632"/>
      <c r="M645" s="147"/>
      <c r="N645" s="640"/>
      <c r="O645" s="640"/>
      <c r="P645" s="641"/>
      <c r="Q645" s="642"/>
      <c r="R645" s="147"/>
      <c r="S645" s="147"/>
      <c r="T645" s="147"/>
      <c r="U645" s="147"/>
      <c r="V645" s="147"/>
      <c r="W645" s="147"/>
      <c r="X645" s="147"/>
      <c r="Y645" s="147"/>
      <c r="Z645" s="147"/>
      <c r="AA645" s="147"/>
      <c r="AB645" s="147"/>
      <c r="AC645" s="147"/>
      <c r="AD645" s="147"/>
      <c r="AE645" s="147"/>
      <c r="AF645" s="147"/>
      <c r="AG645" s="147"/>
      <c r="AH645" s="147"/>
      <c r="AI645" s="147"/>
      <c r="AJ645" s="147"/>
      <c r="AK645" s="147"/>
      <c r="AL645" s="147"/>
      <c r="AM645" s="147"/>
      <c r="AN645" s="147"/>
      <c r="AO645" s="147"/>
      <c r="AP645" s="147"/>
      <c r="AQ645" s="147"/>
      <c r="AR645" s="147"/>
      <c r="AS645" s="147"/>
      <c r="AT645" s="147"/>
      <c r="AU645" s="147"/>
      <c r="AV645" s="147"/>
      <c r="AW645" s="147"/>
    </row>
    <row r="646">
      <c r="A646" s="631"/>
      <c r="B646" s="631"/>
      <c r="C646" s="632"/>
      <c r="D646" s="633"/>
      <c r="E646" s="634"/>
      <c r="F646" s="635"/>
      <c r="G646" s="636"/>
      <c r="H646" s="637"/>
      <c r="I646" s="643"/>
      <c r="J646" s="644"/>
      <c r="K646" s="147"/>
      <c r="L646" s="632"/>
      <c r="M646" s="147"/>
      <c r="N646" s="640"/>
      <c r="O646" s="640"/>
      <c r="P646" s="641"/>
      <c r="Q646" s="642"/>
      <c r="R646" s="147"/>
      <c r="S646" s="147"/>
      <c r="T646" s="147"/>
      <c r="U646" s="147"/>
      <c r="V646" s="147"/>
      <c r="W646" s="147"/>
      <c r="X646" s="147"/>
      <c r="Y646" s="147"/>
      <c r="Z646" s="147"/>
      <c r="AA646" s="147"/>
      <c r="AB646" s="147"/>
      <c r="AC646" s="147"/>
      <c r="AD646" s="147"/>
      <c r="AE646" s="147"/>
      <c r="AF646" s="147"/>
      <c r="AG646" s="147"/>
      <c r="AH646" s="147"/>
      <c r="AI646" s="147"/>
      <c r="AJ646" s="147"/>
      <c r="AK646" s="147"/>
      <c r="AL646" s="147"/>
      <c r="AM646" s="147"/>
      <c r="AN646" s="147"/>
      <c r="AO646" s="147"/>
      <c r="AP646" s="147"/>
      <c r="AQ646" s="147"/>
      <c r="AR646" s="147"/>
      <c r="AS646" s="147"/>
      <c r="AT646" s="147"/>
      <c r="AU646" s="147"/>
      <c r="AV646" s="147"/>
      <c r="AW646" s="147"/>
    </row>
    <row r="647">
      <c r="A647" s="631"/>
      <c r="B647" s="631"/>
      <c r="C647" s="632"/>
      <c r="D647" s="633"/>
      <c r="E647" s="634"/>
      <c r="F647" s="635"/>
      <c r="G647" s="636"/>
      <c r="H647" s="637"/>
      <c r="I647" s="643"/>
      <c r="J647" s="644"/>
      <c r="K647" s="147"/>
      <c r="L647" s="632"/>
      <c r="M647" s="147"/>
      <c r="N647" s="640"/>
      <c r="O647" s="640"/>
      <c r="P647" s="641"/>
      <c r="Q647" s="642"/>
      <c r="R647" s="147"/>
      <c r="S647" s="147"/>
      <c r="T647" s="147"/>
      <c r="U647" s="147"/>
      <c r="V647" s="147"/>
      <c r="W647" s="147"/>
      <c r="X647" s="147"/>
      <c r="Y647" s="147"/>
      <c r="Z647" s="147"/>
      <c r="AA647" s="147"/>
      <c r="AB647" s="147"/>
      <c r="AC647" s="147"/>
      <c r="AD647" s="147"/>
      <c r="AE647" s="147"/>
      <c r="AF647" s="147"/>
      <c r="AG647" s="147"/>
      <c r="AH647" s="147"/>
      <c r="AI647" s="147"/>
      <c r="AJ647" s="147"/>
      <c r="AK647" s="147"/>
      <c r="AL647" s="147"/>
      <c r="AM647" s="147"/>
      <c r="AN647" s="147"/>
      <c r="AO647" s="147"/>
      <c r="AP647" s="147"/>
      <c r="AQ647" s="147"/>
      <c r="AR647" s="147"/>
      <c r="AS647" s="147"/>
      <c r="AT647" s="147"/>
      <c r="AU647" s="147"/>
      <c r="AV647" s="147"/>
      <c r="AW647" s="147"/>
    </row>
    <row r="648">
      <c r="A648" s="631"/>
      <c r="B648" s="631"/>
      <c r="C648" s="632"/>
      <c r="D648" s="633"/>
      <c r="E648" s="634"/>
      <c r="F648" s="635"/>
      <c r="G648" s="636"/>
      <c r="H648" s="637"/>
      <c r="I648" s="643"/>
      <c r="J648" s="644"/>
      <c r="K648" s="147"/>
      <c r="L648" s="632"/>
      <c r="M648" s="147"/>
      <c r="N648" s="640"/>
      <c r="O648" s="640"/>
      <c r="P648" s="641"/>
      <c r="Q648" s="642"/>
      <c r="R648" s="147"/>
      <c r="S648" s="147"/>
      <c r="T648" s="147"/>
      <c r="U648" s="147"/>
      <c r="V648" s="147"/>
      <c r="W648" s="147"/>
      <c r="X648" s="147"/>
      <c r="Y648" s="147"/>
      <c r="Z648" s="147"/>
      <c r="AA648" s="147"/>
      <c r="AB648" s="147"/>
      <c r="AC648" s="147"/>
      <c r="AD648" s="147"/>
      <c r="AE648" s="147"/>
      <c r="AF648" s="147"/>
      <c r="AG648" s="147"/>
      <c r="AH648" s="147"/>
      <c r="AI648" s="147"/>
      <c r="AJ648" s="147"/>
      <c r="AK648" s="147"/>
      <c r="AL648" s="147"/>
      <c r="AM648" s="147"/>
      <c r="AN648" s="147"/>
      <c r="AO648" s="147"/>
      <c r="AP648" s="147"/>
      <c r="AQ648" s="147"/>
      <c r="AR648" s="147"/>
      <c r="AS648" s="147"/>
      <c r="AT648" s="147"/>
      <c r="AU648" s="147"/>
      <c r="AV648" s="147"/>
      <c r="AW648" s="147"/>
    </row>
    <row r="649">
      <c r="A649" s="631"/>
      <c r="B649" s="631"/>
      <c r="C649" s="632"/>
      <c r="D649" s="633"/>
      <c r="E649" s="634"/>
      <c r="F649" s="635"/>
      <c r="G649" s="636"/>
      <c r="H649" s="637"/>
      <c r="I649" s="643"/>
      <c r="J649" s="644"/>
      <c r="K649" s="147"/>
      <c r="L649" s="632"/>
      <c r="M649" s="147"/>
      <c r="N649" s="640"/>
      <c r="O649" s="640"/>
      <c r="P649" s="641"/>
      <c r="Q649" s="642"/>
      <c r="R649" s="147"/>
      <c r="S649" s="147"/>
      <c r="T649" s="147"/>
      <c r="U649" s="147"/>
      <c r="V649" s="147"/>
      <c r="W649" s="147"/>
      <c r="X649" s="147"/>
      <c r="Y649" s="147"/>
      <c r="Z649" s="147"/>
      <c r="AA649" s="147"/>
      <c r="AB649" s="147"/>
      <c r="AC649" s="147"/>
      <c r="AD649" s="147"/>
      <c r="AE649" s="147"/>
      <c r="AF649" s="147"/>
      <c r="AG649" s="147"/>
      <c r="AH649" s="147"/>
      <c r="AI649" s="147"/>
      <c r="AJ649" s="147"/>
      <c r="AK649" s="147"/>
      <c r="AL649" s="147"/>
      <c r="AM649" s="147"/>
      <c r="AN649" s="147"/>
      <c r="AO649" s="147"/>
      <c r="AP649" s="147"/>
      <c r="AQ649" s="147"/>
      <c r="AR649" s="147"/>
      <c r="AS649" s="147"/>
      <c r="AT649" s="147"/>
      <c r="AU649" s="147"/>
      <c r="AV649" s="147"/>
      <c r="AW649" s="147"/>
    </row>
    <row r="650">
      <c r="A650" s="631"/>
      <c r="B650" s="631"/>
      <c r="C650" s="632"/>
      <c r="D650" s="633"/>
      <c r="E650" s="634"/>
      <c r="F650" s="635"/>
      <c r="G650" s="636"/>
      <c r="H650" s="637"/>
      <c r="I650" s="643"/>
      <c r="J650" s="644"/>
      <c r="K650" s="147"/>
      <c r="L650" s="632"/>
      <c r="M650" s="147"/>
      <c r="N650" s="640"/>
      <c r="O650" s="640"/>
      <c r="P650" s="641"/>
      <c r="Q650" s="642"/>
      <c r="R650" s="147"/>
      <c r="S650" s="147"/>
      <c r="T650" s="147"/>
      <c r="U650" s="147"/>
      <c r="V650" s="147"/>
      <c r="W650" s="147"/>
      <c r="X650" s="147"/>
      <c r="Y650" s="147"/>
      <c r="Z650" s="147"/>
      <c r="AA650" s="147"/>
      <c r="AB650" s="147"/>
      <c r="AC650" s="147"/>
      <c r="AD650" s="147"/>
      <c r="AE650" s="147"/>
      <c r="AF650" s="147"/>
      <c r="AG650" s="147"/>
      <c r="AH650" s="147"/>
      <c r="AI650" s="147"/>
      <c r="AJ650" s="147"/>
      <c r="AK650" s="147"/>
      <c r="AL650" s="147"/>
      <c r="AM650" s="147"/>
      <c r="AN650" s="147"/>
      <c r="AO650" s="147"/>
      <c r="AP650" s="147"/>
      <c r="AQ650" s="147"/>
      <c r="AR650" s="147"/>
      <c r="AS650" s="147"/>
      <c r="AT650" s="147"/>
      <c r="AU650" s="147"/>
      <c r="AV650" s="147"/>
      <c r="AW650" s="147"/>
    </row>
    <row r="651">
      <c r="A651" s="631"/>
      <c r="B651" s="631"/>
      <c r="C651" s="632"/>
      <c r="D651" s="633"/>
      <c r="E651" s="634"/>
      <c r="F651" s="635"/>
      <c r="G651" s="636"/>
      <c r="H651" s="637"/>
      <c r="I651" s="643"/>
      <c r="J651" s="644"/>
      <c r="K651" s="147"/>
      <c r="L651" s="632"/>
      <c r="M651" s="147"/>
      <c r="N651" s="640"/>
      <c r="O651" s="640"/>
      <c r="P651" s="641"/>
      <c r="Q651" s="642"/>
      <c r="R651" s="147"/>
      <c r="S651" s="147"/>
      <c r="T651" s="147"/>
      <c r="U651" s="147"/>
      <c r="V651" s="147"/>
      <c r="W651" s="147"/>
      <c r="X651" s="147"/>
      <c r="Y651" s="147"/>
      <c r="Z651" s="147"/>
      <c r="AA651" s="147"/>
      <c r="AB651" s="147"/>
      <c r="AC651" s="147"/>
      <c r="AD651" s="147"/>
      <c r="AE651" s="147"/>
      <c r="AF651" s="147"/>
      <c r="AG651" s="147"/>
      <c r="AH651" s="147"/>
      <c r="AI651" s="147"/>
      <c r="AJ651" s="147"/>
      <c r="AK651" s="147"/>
      <c r="AL651" s="147"/>
      <c r="AM651" s="147"/>
      <c r="AN651" s="147"/>
      <c r="AO651" s="147"/>
      <c r="AP651" s="147"/>
      <c r="AQ651" s="147"/>
      <c r="AR651" s="147"/>
      <c r="AS651" s="147"/>
      <c r="AT651" s="147"/>
      <c r="AU651" s="147"/>
      <c r="AV651" s="147"/>
      <c r="AW651" s="147"/>
    </row>
    <row r="652">
      <c r="A652" s="631"/>
      <c r="B652" s="631"/>
      <c r="C652" s="632"/>
      <c r="D652" s="633"/>
      <c r="E652" s="634"/>
      <c r="F652" s="635"/>
      <c r="G652" s="636"/>
      <c r="H652" s="637"/>
      <c r="I652" s="643"/>
      <c r="J652" s="644"/>
      <c r="K652" s="147"/>
      <c r="L652" s="632"/>
      <c r="M652" s="147"/>
      <c r="N652" s="640"/>
      <c r="O652" s="640"/>
      <c r="P652" s="641"/>
      <c r="Q652" s="642"/>
      <c r="R652" s="147"/>
      <c r="S652" s="147"/>
      <c r="T652" s="147"/>
      <c r="U652" s="147"/>
      <c r="V652" s="147"/>
      <c r="W652" s="147"/>
      <c r="X652" s="147"/>
      <c r="Y652" s="147"/>
      <c r="Z652" s="147"/>
      <c r="AA652" s="147"/>
      <c r="AB652" s="147"/>
      <c r="AC652" s="147"/>
      <c r="AD652" s="147"/>
      <c r="AE652" s="147"/>
      <c r="AF652" s="147"/>
      <c r="AG652" s="147"/>
      <c r="AH652" s="147"/>
      <c r="AI652" s="147"/>
      <c r="AJ652" s="147"/>
      <c r="AK652" s="147"/>
      <c r="AL652" s="147"/>
      <c r="AM652" s="147"/>
      <c r="AN652" s="147"/>
      <c r="AO652" s="147"/>
      <c r="AP652" s="147"/>
      <c r="AQ652" s="147"/>
      <c r="AR652" s="147"/>
      <c r="AS652" s="147"/>
      <c r="AT652" s="147"/>
      <c r="AU652" s="147"/>
      <c r="AV652" s="147"/>
      <c r="AW652" s="147"/>
    </row>
    <row r="653">
      <c r="A653" s="631"/>
      <c r="B653" s="631"/>
      <c r="C653" s="632"/>
      <c r="D653" s="633"/>
      <c r="E653" s="634"/>
      <c r="F653" s="635"/>
      <c r="G653" s="636"/>
      <c r="H653" s="637"/>
      <c r="I653" s="643"/>
      <c r="J653" s="644"/>
      <c r="K653" s="147"/>
      <c r="L653" s="632"/>
      <c r="M653" s="147"/>
      <c r="N653" s="640"/>
      <c r="O653" s="640"/>
      <c r="P653" s="641"/>
      <c r="Q653" s="642"/>
      <c r="R653" s="147"/>
      <c r="S653" s="147"/>
      <c r="T653" s="147"/>
      <c r="U653" s="147"/>
      <c r="V653" s="147"/>
      <c r="W653" s="147"/>
      <c r="X653" s="147"/>
      <c r="Y653" s="147"/>
      <c r="Z653" s="147"/>
      <c r="AA653" s="147"/>
      <c r="AB653" s="147"/>
      <c r="AC653" s="147"/>
      <c r="AD653" s="147"/>
      <c r="AE653" s="147"/>
      <c r="AF653" s="147"/>
      <c r="AG653" s="147"/>
      <c r="AH653" s="147"/>
      <c r="AI653" s="147"/>
      <c r="AJ653" s="147"/>
      <c r="AK653" s="147"/>
      <c r="AL653" s="147"/>
      <c r="AM653" s="147"/>
      <c r="AN653" s="147"/>
      <c r="AO653" s="147"/>
      <c r="AP653" s="147"/>
      <c r="AQ653" s="147"/>
      <c r="AR653" s="147"/>
      <c r="AS653" s="147"/>
      <c r="AT653" s="147"/>
      <c r="AU653" s="147"/>
      <c r="AV653" s="147"/>
      <c r="AW653" s="147"/>
    </row>
    <row r="654">
      <c r="A654" s="631"/>
      <c r="B654" s="631"/>
      <c r="C654" s="632"/>
      <c r="D654" s="633"/>
      <c r="E654" s="634"/>
      <c r="F654" s="635"/>
      <c r="G654" s="636"/>
      <c r="H654" s="637"/>
      <c r="I654" s="643"/>
      <c r="J654" s="644"/>
      <c r="K654" s="147"/>
      <c r="L654" s="632"/>
      <c r="M654" s="147"/>
      <c r="N654" s="640"/>
      <c r="O654" s="640"/>
      <c r="P654" s="641"/>
      <c r="Q654" s="642"/>
      <c r="R654" s="147"/>
      <c r="S654" s="147"/>
      <c r="T654" s="147"/>
      <c r="U654" s="147"/>
      <c r="V654" s="147"/>
      <c r="W654" s="147"/>
      <c r="X654" s="147"/>
      <c r="Y654" s="147"/>
      <c r="Z654" s="147"/>
      <c r="AA654" s="147"/>
      <c r="AB654" s="147"/>
      <c r="AC654" s="147"/>
      <c r="AD654" s="147"/>
      <c r="AE654" s="147"/>
      <c r="AF654" s="147"/>
      <c r="AG654" s="147"/>
      <c r="AH654" s="147"/>
      <c r="AI654" s="147"/>
      <c r="AJ654" s="147"/>
      <c r="AK654" s="147"/>
      <c r="AL654" s="147"/>
      <c r="AM654" s="147"/>
      <c r="AN654" s="147"/>
      <c r="AO654" s="147"/>
      <c r="AP654" s="147"/>
      <c r="AQ654" s="147"/>
      <c r="AR654" s="147"/>
      <c r="AS654" s="147"/>
      <c r="AT654" s="147"/>
      <c r="AU654" s="147"/>
      <c r="AV654" s="147"/>
      <c r="AW654" s="147"/>
    </row>
    <row r="655">
      <c r="A655" s="631"/>
      <c r="B655" s="631"/>
      <c r="C655" s="632"/>
      <c r="D655" s="633"/>
      <c r="E655" s="634"/>
      <c r="F655" s="635"/>
      <c r="G655" s="636"/>
      <c r="H655" s="637"/>
      <c r="I655" s="643"/>
      <c r="J655" s="644"/>
      <c r="K655" s="147"/>
      <c r="L655" s="632"/>
      <c r="M655" s="147"/>
      <c r="N655" s="640"/>
      <c r="O655" s="640"/>
      <c r="P655" s="641"/>
      <c r="Q655" s="642"/>
      <c r="R655" s="147"/>
      <c r="S655" s="147"/>
      <c r="T655" s="147"/>
      <c r="U655" s="147"/>
      <c r="V655" s="147"/>
      <c r="W655" s="147"/>
      <c r="X655" s="147"/>
      <c r="Y655" s="147"/>
      <c r="Z655" s="147"/>
      <c r="AA655" s="147"/>
      <c r="AB655" s="147"/>
      <c r="AC655" s="147"/>
      <c r="AD655" s="147"/>
      <c r="AE655" s="147"/>
      <c r="AF655" s="147"/>
      <c r="AG655" s="147"/>
      <c r="AH655" s="147"/>
      <c r="AI655" s="147"/>
      <c r="AJ655" s="147"/>
      <c r="AK655" s="147"/>
      <c r="AL655" s="147"/>
      <c r="AM655" s="147"/>
      <c r="AN655" s="147"/>
      <c r="AO655" s="147"/>
      <c r="AP655" s="147"/>
      <c r="AQ655" s="147"/>
      <c r="AR655" s="147"/>
      <c r="AS655" s="147"/>
      <c r="AT655" s="147"/>
      <c r="AU655" s="147"/>
      <c r="AV655" s="147"/>
      <c r="AW655" s="147"/>
    </row>
    <row r="656">
      <c r="A656" s="631"/>
      <c r="B656" s="631"/>
      <c r="C656" s="632"/>
      <c r="D656" s="633"/>
      <c r="E656" s="634"/>
      <c r="F656" s="635"/>
      <c r="G656" s="636"/>
      <c r="H656" s="637"/>
      <c r="I656" s="643"/>
      <c r="J656" s="644"/>
      <c r="K656" s="147"/>
      <c r="L656" s="632"/>
      <c r="M656" s="147"/>
      <c r="N656" s="640"/>
      <c r="O656" s="640"/>
      <c r="P656" s="641"/>
      <c r="Q656" s="642"/>
      <c r="R656" s="147"/>
      <c r="S656" s="147"/>
      <c r="T656" s="147"/>
      <c r="U656" s="147"/>
      <c r="V656" s="147"/>
      <c r="W656" s="147"/>
      <c r="X656" s="147"/>
      <c r="Y656" s="147"/>
      <c r="Z656" s="147"/>
      <c r="AA656" s="147"/>
      <c r="AB656" s="147"/>
      <c r="AC656" s="147"/>
      <c r="AD656" s="147"/>
      <c r="AE656" s="147"/>
      <c r="AF656" s="147"/>
      <c r="AG656" s="147"/>
      <c r="AH656" s="147"/>
      <c r="AI656" s="147"/>
      <c r="AJ656" s="147"/>
      <c r="AK656" s="147"/>
      <c r="AL656" s="147"/>
      <c r="AM656" s="147"/>
      <c r="AN656" s="147"/>
      <c r="AO656" s="147"/>
      <c r="AP656" s="147"/>
      <c r="AQ656" s="147"/>
      <c r="AR656" s="147"/>
      <c r="AS656" s="147"/>
      <c r="AT656" s="147"/>
      <c r="AU656" s="147"/>
      <c r="AV656" s="147"/>
      <c r="AW656" s="147"/>
    </row>
    <row r="657">
      <c r="A657" s="631"/>
      <c r="B657" s="631"/>
      <c r="C657" s="632"/>
      <c r="D657" s="633"/>
      <c r="E657" s="634"/>
      <c r="F657" s="635"/>
      <c r="G657" s="636"/>
      <c r="H657" s="637"/>
      <c r="I657" s="643"/>
      <c r="J657" s="644"/>
      <c r="K657" s="147"/>
      <c r="L657" s="632"/>
      <c r="M657" s="147"/>
      <c r="N657" s="640"/>
      <c r="O657" s="640"/>
      <c r="P657" s="641"/>
      <c r="Q657" s="642"/>
      <c r="R657" s="147"/>
      <c r="S657" s="147"/>
      <c r="T657" s="147"/>
      <c r="U657" s="147"/>
      <c r="V657" s="147"/>
      <c r="W657" s="147"/>
      <c r="X657" s="147"/>
      <c r="Y657" s="147"/>
      <c r="Z657" s="147"/>
      <c r="AA657" s="147"/>
      <c r="AB657" s="147"/>
      <c r="AC657" s="147"/>
      <c r="AD657" s="147"/>
      <c r="AE657" s="147"/>
      <c r="AF657" s="147"/>
      <c r="AG657" s="147"/>
      <c r="AH657" s="147"/>
      <c r="AI657" s="147"/>
      <c r="AJ657" s="147"/>
      <c r="AK657" s="147"/>
      <c r="AL657" s="147"/>
      <c r="AM657" s="147"/>
      <c r="AN657" s="147"/>
      <c r="AO657" s="147"/>
      <c r="AP657" s="147"/>
      <c r="AQ657" s="147"/>
      <c r="AR657" s="147"/>
      <c r="AS657" s="147"/>
      <c r="AT657" s="147"/>
      <c r="AU657" s="147"/>
      <c r="AV657" s="147"/>
      <c r="AW657" s="147"/>
    </row>
    <row r="658">
      <c r="A658" s="631"/>
      <c r="B658" s="631"/>
      <c r="C658" s="632"/>
      <c r="D658" s="633"/>
      <c r="E658" s="634"/>
      <c r="F658" s="635"/>
      <c r="G658" s="636"/>
      <c r="H658" s="637"/>
      <c r="I658" s="643"/>
      <c r="J658" s="644"/>
      <c r="K658" s="147"/>
      <c r="L658" s="632"/>
      <c r="M658" s="147"/>
      <c r="N658" s="640"/>
      <c r="O658" s="640"/>
      <c r="P658" s="641"/>
      <c r="Q658" s="642"/>
      <c r="R658" s="147"/>
      <c r="S658" s="147"/>
      <c r="T658" s="147"/>
      <c r="U658" s="147"/>
      <c r="V658" s="147"/>
      <c r="W658" s="147"/>
      <c r="X658" s="147"/>
      <c r="Y658" s="147"/>
      <c r="Z658" s="147"/>
      <c r="AA658" s="147"/>
      <c r="AB658" s="147"/>
      <c r="AC658" s="147"/>
      <c r="AD658" s="147"/>
      <c r="AE658" s="147"/>
      <c r="AF658" s="147"/>
      <c r="AG658" s="147"/>
      <c r="AH658" s="147"/>
      <c r="AI658" s="147"/>
      <c r="AJ658" s="147"/>
      <c r="AK658" s="147"/>
      <c r="AL658" s="147"/>
      <c r="AM658" s="147"/>
      <c r="AN658" s="147"/>
      <c r="AO658" s="147"/>
      <c r="AP658" s="147"/>
      <c r="AQ658" s="147"/>
      <c r="AR658" s="147"/>
      <c r="AS658" s="147"/>
      <c r="AT658" s="147"/>
      <c r="AU658" s="147"/>
      <c r="AV658" s="147"/>
      <c r="AW658" s="147"/>
    </row>
    <row r="659">
      <c r="A659" s="631"/>
      <c r="B659" s="631"/>
      <c r="C659" s="632"/>
      <c r="D659" s="633"/>
      <c r="E659" s="634"/>
      <c r="F659" s="635"/>
      <c r="G659" s="636"/>
      <c r="H659" s="637"/>
      <c r="I659" s="643"/>
      <c r="J659" s="644"/>
      <c r="K659" s="147"/>
      <c r="L659" s="632"/>
      <c r="M659" s="147"/>
      <c r="N659" s="640"/>
      <c r="O659" s="640"/>
      <c r="P659" s="641"/>
      <c r="Q659" s="642"/>
      <c r="R659" s="147"/>
      <c r="S659" s="147"/>
      <c r="T659" s="147"/>
      <c r="U659" s="147"/>
      <c r="V659" s="147"/>
      <c r="W659" s="147"/>
      <c r="X659" s="147"/>
      <c r="Y659" s="147"/>
      <c r="Z659" s="147"/>
      <c r="AA659" s="147"/>
      <c r="AB659" s="147"/>
      <c r="AC659" s="147"/>
      <c r="AD659" s="147"/>
      <c r="AE659" s="147"/>
      <c r="AF659" s="147"/>
      <c r="AG659" s="147"/>
      <c r="AH659" s="147"/>
      <c r="AI659" s="147"/>
      <c r="AJ659" s="147"/>
      <c r="AK659" s="147"/>
      <c r="AL659" s="147"/>
      <c r="AM659" s="147"/>
      <c r="AN659" s="147"/>
      <c r="AO659" s="147"/>
      <c r="AP659" s="147"/>
      <c r="AQ659" s="147"/>
      <c r="AR659" s="147"/>
      <c r="AS659" s="147"/>
      <c r="AT659" s="147"/>
      <c r="AU659" s="147"/>
      <c r="AV659" s="147"/>
      <c r="AW659" s="147"/>
    </row>
    <row r="660">
      <c r="A660" s="631"/>
      <c r="B660" s="631"/>
      <c r="C660" s="632"/>
      <c r="D660" s="633"/>
      <c r="E660" s="634"/>
      <c r="F660" s="635"/>
      <c r="G660" s="636"/>
      <c r="H660" s="637"/>
      <c r="I660" s="643"/>
      <c r="J660" s="644"/>
      <c r="K660" s="147"/>
      <c r="L660" s="632"/>
      <c r="M660" s="147"/>
      <c r="N660" s="640"/>
      <c r="O660" s="640"/>
      <c r="P660" s="641"/>
      <c r="Q660" s="642"/>
      <c r="R660" s="147"/>
      <c r="S660" s="147"/>
      <c r="T660" s="147"/>
      <c r="U660" s="147"/>
      <c r="V660" s="147"/>
      <c r="W660" s="147"/>
      <c r="X660" s="147"/>
      <c r="Y660" s="147"/>
      <c r="Z660" s="147"/>
      <c r="AA660" s="147"/>
      <c r="AB660" s="147"/>
      <c r="AC660" s="147"/>
      <c r="AD660" s="147"/>
      <c r="AE660" s="147"/>
      <c r="AF660" s="147"/>
      <c r="AG660" s="147"/>
      <c r="AH660" s="147"/>
      <c r="AI660" s="147"/>
      <c r="AJ660" s="147"/>
      <c r="AK660" s="147"/>
      <c r="AL660" s="147"/>
      <c r="AM660" s="147"/>
      <c r="AN660" s="147"/>
      <c r="AO660" s="147"/>
      <c r="AP660" s="147"/>
      <c r="AQ660" s="147"/>
      <c r="AR660" s="147"/>
      <c r="AS660" s="147"/>
      <c r="AT660" s="147"/>
      <c r="AU660" s="147"/>
      <c r="AV660" s="147"/>
      <c r="AW660" s="147"/>
    </row>
    <row r="661">
      <c r="A661" s="631"/>
      <c r="B661" s="631"/>
      <c r="C661" s="632"/>
      <c r="D661" s="633"/>
      <c r="E661" s="634"/>
      <c r="F661" s="635"/>
      <c r="G661" s="636"/>
      <c r="H661" s="637"/>
      <c r="I661" s="643"/>
      <c r="J661" s="644"/>
      <c r="K661" s="147"/>
      <c r="L661" s="632"/>
      <c r="M661" s="147"/>
      <c r="N661" s="640"/>
      <c r="O661" s="640"/>
      <c r="P661" s="641"/>
      <c r="Q661" s="642"/>
      <c r="R661" s="147"/>
      <c r="S661" s="147"/>
      <c r="T661" s="147"/>
      <c r="U661" s="147"/>
      <c r="V661" s="147"/>
      <c r="W661" s="147"/>
      <c r="X661" s="147"/>
      <c r="Y661" s="147"/>
      <c r="Z661" s="147"/>
      <c r="AA661" s="147"/>
      <c r="AB661" s="147"/>
      <c r="AC661" s="147"/>
      <c r="AD661" s="147"/>
      <c r="AE661" s="147"/>
      <c r="AF661" s="147"/>
      <c r="AG661" s="147"/>
      <c r="AH661" s="147"/>
      <c r="AI661" s="147"/>
      <c r="AJ661" s="147"/>
      <c r="AK661" s="147"/>
      <c r="AL661" s="147"/>
      <c r="AM661" s="147"/>
      <c r="AN661" s="147"/>
      <c r="AO661" s="147"/>
      <c r="AP661" s="147"/>
      <c r="AQ661" s="147"/>
      <c r="AR661" s="147"/>
      <c r="AS661" s="147"/>
      <c r="AT661" s="147"/>
      <c r="AU661" s="147"/>
      <c r="AV661" s="147"/>
      <c r="AW661" s="147"/>
    </row>
    <row r="662">
      <c r="A662" s="631"/>
      <c r="B662" s="631"/>
      <c r="C662" s="632"/>
      <c r="D662" s="633"/>
      <c r="E662" s="634"/>
      <c r="F662" s="635"/>
      <c r="G662" s="636"/>
      <c r="H662" s="637"/>
      <c r="I662" s="643"/>
      <c r="J662" s="644"/>
      <c r="K662" s="147"/>
      <c r="L662" s="632"/>
      <c r="M662" s="147"/>
      <c r="N662" s="640"/>
      <c r="O662" s="640"/>
      <c r="P662" s="641"/>
      <c r="Q662" s="642"/>
      <c r="R662" s="147"/>
      <c r="S662" s="147"/>
      <c r="T662" s="147"/>
      <c r="U662" s="147"/>
      <c r="V662" s="147"/>
      <c r="W662" s="147"/>
      <c r="X662" s="147"/>
      <c r="Y662" s="147"/>
      <c r="Z662" s="147"/>
      <c r="AA662" s="147"/>
      <c r="AB662" s="147"/>
      <c r="AC662" s="147"/>
      <c r="AD662" s="147"/>
      <c r="AE662" s="147"/>
      <c r="AF662" s="147"/>
      <c r="AG662" s="147"/>
      <c r="AH662" s="147"/>
      <c r="AI662" s="147"/>
      <c r="AJ662" s="147"/>
      <c r="AK662" s="147"/>
      <c r="AL662" s="147"/>
      <c r="AM662" s="147"/>
      <c r="AN662" s="147"/>
      <c r="AO662" s="147"/>
      <c r="AP662" s="147"/>
      <c r="AQ662" s="147"/>
      <c r="AR662" s="147"/>
      <c r="AS662" s="147"/>
      <c r="AT662" s="147"/>
      <c r="AU662" s="147"/>
      <c r="AV662" s="147"/>
      <c r="AW662" s="147"/>
    </row>
    <row r="663">
      <c r="A663" s="631"/>
      <c r="B663" s="631"/>
      <c r="C663" s="632"/>
      <c r="D663" s="633"/>
      <c r="E663" s="634"/>
      <c r="F663" s="635"/>
      <c r="G663" s="636"/>
      <c r="H663" s="637"/>
      <c r="I663" s="643"/>
      <c r="J663" s="644"/>
      <c r="K663" s="147"/>
      <c r="L663" s="632"/>
      <c r="M663" s="147"/>
      <c r="N663" s="640"/>
      <c r="O663" s="640"/>
      <c r="P663" s="641"/>
      <c r="Q663" s="642"/>
      <c r="R663" s="147"/>
      <c r="S663" s="147"/>
      <c r="T663" s="147"/>
      <c r="U663" s="147"/>
      <c r="V663" s="147"/>
      <c r="W663" s="147"/>
      <c r="X663" s="147"/>
      <c r="Y663" s="147"/>
      <c r="Z663" s="147"/>
      <c r="AA663" s="147"/>
      <c r="AB663" s="147"/>
      <c r="AC663" s="147"/>
      <c r="AD663" s="147"/>
      <c r="AE663" s="147"/>
      <c r="AF663" s="147"/>
      <c r="AG663" s="147"/>
      <c r="AH663" s="147"/>
      <c r="AI663" s="147"/>
      <c r="AJ663" s="147"/>
      <c r="AK663" s="147"/>
      <c r="AL663" s="147"/>
      <c r="AM663" s="147"/>
      <c r="AN663" s="147"/>
      <c r="AO663" s="147"/>
      <c r="AP663" s="147"/>
      <c r="AQ663" s="147"/>
      <c r="AR663" s="147"/>
      <c r="AS663" s="147"/>
      <c r="AT663" s="147"/>
      <c r="AU663" s="147"/>
      <c r="AV663" s="147"/>
      <c r="AW663" s="147"/>
    </row>
    <row r="664">
      <c r="A664" s="631"/>
      <c r="B664" s="631"/>
      <c r="C664" s="632"/>
      <c r="D664" s="633"/>
      <c r="E664" s="634"/>
      <c r="F664" s="635"/>
      <c r="G664" s="636"/>
      <c r="H664" s="637"/>
      <c r="I664" s="643"/>
      <c r="J664" s="644"/>
      <c r="K664" s="147"/>
      <c r="L664" s="632"/>
      <c r="M664" s="147"/>
      <c r="N664" s="640"/>
      <c r="O664" s="640"/>
      <c r="P664" s="641"/>
      <c r="Q664" s="642"/>
      <c r="R664" s="147"/>
      <c r="S664" s="147"/>
      <c r="T664" s="147"/>
      <c r="U664" s="147"/>
      <c r="V664" s="147"/>
      <c r="W664" s="147"/>
      <c r="X664" s="147"/>
      <c r="Y664" s="147"/>
      <c r="Z664" s="147"/>
      <c r="AA664" s="147"/>
      <c r="AB664" s="147"/>
      <c r="AC664" s="147"/>
      <c r="AD664" s="147"/>
      <c r="AE664" s="147"/>
      <c r="AF664" s="147"/>
      <c r="AG664" s="147"/>
      <c r="AH664" s="147"/>
      <c r="AI664" s="147"/>
      <c r="AJ664" s="147"/>
      <c r="AK664" s="147"/>
      <c r="AL664" s="147"/>
      <c r="AM664" s="147"/>
      <c r="AN664" s="147"/>
      <c r="AO664" s="147"/>
      <c r="AP664" s="147"/>
      <c r="AQ664" s="147"/>
      <c r="AR664" s="147"/>
      <c r="AS664" s="147"/>
      <c r="AT664" s="147"/>
      <c r="AU664" s="147"/>
      <c r="AV664" s="147"/>
      <c r="AW664" s="147"/>
    </row>
    <row r="665">
      <c r="A665" s="631"/>
      <c r="B665" s="631"/>
      <c r="C665" s="632"/>
      <c r="D665" s="633"/>
      <c r="E665" s="634"/>
      <c r="F665" s="635"/>
      <c r="G665" s="636"/>
      <c r="H665" s="637"/>
      <c r="I665" s="643"/>
      <c r="J665" s="644"/>
      <c r="K665" s="147"/>
      <c r="L665" s="632"/>
      <c r="M665" s="147"/>
      <c r="N665" s="640"/>
      <c r="O665" s="640"/>
      <c r="P665" s="641"/>
      <c r="Q665" s="642"/>
      <c r="R665" s="147"/>
      <c r="S665" s="147"/>
      <c r="T665" s="147"/>
      <c r="U665" s="147"/>
      <c r="V665" s="147"/>
      <c r="W665" s="147"/>
      <c r="X665" s="147"/>
      <c r="Y665" s="147"/>
      <c r="Z665" s="147"/>
      <c r="AA665" s="147"/>
      <c r="AB665" s="147"/>
      <c r="AC665" s="147"/>
      <c r="AD665" s="147"/>
      <c r="AE665" s="147"/>
      <c r="AF665" s="147"/>
      <c r="AG665" s="147"/>
      <c r="AH665" s="147"/>
      <c r="AI665" s="147"/>
      <c r="AJ665" s="147"/>
      <c r="AK665" s="147"/>
      <c r="AL665" s="147"/>
      <c r="AM665" s="147"/>
      <c r="AN665" s="147"/>
      <c r="AO665" s="147"/>
      <c r="AP665" s="147"/>
      <c r="AQ665" s="147"/>
      <c r="AR665" s="147"/>
      <c r="AS665" s="147"/>
      <c r="AT665" s="147"/>
      <c r="AU665" s="147"/>
      <c r="AV665" s="147"/>
      <c r="AW665" s="147"/>
    </row>
    <row r="666">
      <c r="A666" s="631"/>
      <c r="B666" s="631"/>
      <c r="C666" s="632"/>
      <c r="D666" s="633"/>
      <c r="E666" s="634"/>
      <c r="F666" s="635"/>
      <c r="G666" s="636"/>
      <c r="H666" s="637"/>
      <c r="I666" s="643"/>
      <c r="J666" s="644"/>
      <c r="K666" s="147"/>
      <c r="L666" s="632"/>
      <c r="M666" s="147"/>
      <c r="N666" s="640"/>
      <c r="O666" s="640"/>
      <c r="P666" s="641"/>
      <c r="Q666" s="642"/>
      <c r="R666" s="147"/>
      <c r="S666" s="147"/>
      <c r="T666" s="147"/>
      <c r="U666" s="147"/>
      <c r="V666" s="147"/>
      <c r="W666" s="147"/>
      <c r="X666" s="147"/>
      <c r="Y666" s="147"/>
      <c r="Z666" s="147"/>
      <c r="AA666" s="147"/>
      <c r="AB666" s="147"/>
      <c r="AC666" s="147"/>
      <c r="AD666" s="147"/>
      <c r="AE666" s="147"/>
      <c r="AF666" s="147"/>
      <c r="AG666" s="147"/>
      <c r="AH666" s="147"/>
      <c r="AI666" s="147"/>
      <c r="AJ666" s="147"/>
      <c r="AK666" s="147"/>
      <c r="AL666" s="147"/>
      <c r="AM666" s="147"/>
      <c r="AN666" s="147"/>
      <c r="AO666" s="147"/>
      <c r="AP666" s="147"/>
      <c r="AQ666" s="147"/>
      <c r="AR666" s="147"/>
      <c r="AS666" s="147"/>
      <c r="AT666" s="147"/>
      <c r="AU666" s="147"/>
      <c r="AV666" s="147"/>
      <c r="AW666" s="147"/>
    </row>
    <row r="667">
      <c r="A667" s="631"/>
      <c r="B667" s="631"/>
      <c r="C667" s="632"/>
      <c r="D667" s="633"/>
      <c r="E667" s="634"/>
      <c r="F667" s="635"/>
      <c r="G667" s="636"/>
      <c r="H667" s="637"/>
      <c r="I667" s="643"/>
      <c r="J667" s="644"/>
      <c r="K667" s="147"/>
      <c r="L667" s="632"/>
      <c r="M667" s="147"/>
      <c r="N667" s="640"/>
      <c r="O667" s="640"/>
      <c r="P667" s="641"/>
      <c r="Q667" s="642"/>
      <c r="R667" s="147"/>
      <c r="S667" s="147"/>
      <c r="T667" s="147"/>
      <c r="U667" s="147"/>
      <c r="V667" s="147"/>
      <c r="W667" s="147"/>
      <c r="X667" s="147"/>
      <c r="Y667" s="147"/>
      <c r="Z667" s="147"/>
      <c r="AA667" s="147"/>
      <c r="AB667" s="147"/>
      <c r="AC667" s="147"/>
      <c r="AD667" s="147"/>
      <c r="AE667" s="147"/>
      <c r="AF667" s="147"/>
      <c r="AG667" s="147"/>
      <c r="AH667" s="147"/>
      <c r="AI667" s="147"/>
      <c r="AJ667" s="147"/>
      <c r="AK667" s="147"/>
      <c r="AL667" s="147"/>
      <c r="AM667" s="147"/>
      <c r="AN667" s="147"/>
      <c r="AO667" s="147"/>
      <c r="AP667" s="147"/>
      <c r="AQ667" s="147"/>
      <c r="AR667" s="147"/>
      <c r="AS667" s="147"/>
      <c r="AT667" s="147"/>
      <c r="AU667" s="147"/>
      <c r="AV667" s="147"/>
      <c r="AW667" s="147"/>
    </row>
    <row r="668">
      <c r="A668" s="631"/>
      <c r="B668" s="631"/>
      <c r="C668" s="632"/>
      <c r="D668" s="633"/>
      <c r="E668" s="634"/>
      <c r="F668" s="635"/>
      <c r="G668" s="636"/>
      <c r="H668" s="637"/>
      <c r="I668" s="643"/>
      <c r="J668" s="644"/>
      <c r="K668" s="147"/>
      <c r="L668" s="632"/>
      <c r="M668" s="147"/>
      <c r="N668" s="640"/>
      <c r="O668" s="640"/>
      <c r="P668" s="641"/>
      <c r="Q668" s="642"/>
      <c r="R668" s="147"/>
      <c r="S668" s="147"/>
      <c r="T668" s="147"/>
      <c r="U668" s="147"/>
      <c r="V668" s="147"/>
      <c r="W668" s="147"/>
      <c r="X668" s="147"/>
      <c r="Y668" s="147"/>
      <c r="Z668" s="147"/>
      <c r="AA668" s="147"/>
      <c r="AB668" s="147"/>
      <c r="AC668" s="147"/>
      <c r="AD668" s="147"/>
      <c r="AE668" s="147"/>
      <c r="AF668" s="147"/>
      <c r="AG668" s="147"/>
      <c r="AH668" s="147"/>
      <c r="AI668" s="147"/>
      <c r="AJ668" s="147"/>
      <c r="AK668" s="147"/>
      <c r="AL668" s="147"/>
      <c r="AM668" s="147"/>
      <c r="AN668" s="147"/>
      <c r="AO668" s="147"/>
      <c r="AP668" s="147"/>
      <c r="AQ668" s="147"/>
      <c r="AR668" s="147"/>
      <c r="AS668" s="147"/>
      <c r="AT668" s="147"/>
      <c r="AU668" s="147"/>
      <c r="AV668" s="147"/>
      <c r="AW668" s="147"/>
    </row>
    <row r="669">
      <c r="A669" s="631"/>
      <c r="B669" s="631"/>
      <c r="C669" s="632"/>
      <c r="D669" s="633"/>
      <c r="E669" s="634"/>
      <c r="F669" s="635"/>
      <c r="G669" s="636"/>
      <c r="H669" s="637"/>
      <c r="I669" s="643"/>
      <c r="J669" s="644"/>
      <c r="K669" s="147"/>
      <c r="L669" s="632"/>
      <c r="M669" s="147"/>
      <c r="N669" s="640"/>
      <c r="O669" s="640"/>
      <c r="P669" s="641"/>
      <c r="Q669" s="642"/>
      <c r="R669" s="147"/>
      <c r="S669" s="147"/>
      <c r="T669" s="147"/>
      <c r="U669" s="147"/>
      <c r="V669" s="147"/>
      <c r="W669" s="147"/>
      <c r="X669" s="147"/>
      <c r="Y669" s="147"/>
      <c r="Z669" s="147"/>
      <c r="AA669" s="147"/>
      <c r="AB669" s="147"/>
      <c r="AC669" s="147"/>
      <c r="AD669" s="147"/>
      <c r="AE669" s="147"/>
      <c r="AF669" s="147"/>
      <c r="AG669" s="147"/>
      <c r="AH669" s="147"/>
      <c r="AI669" s="147"/>
      <c r="AJ669" s="147"/>
      <c r="AK669" s="147"/>
      <c r="AL669" s="147"/>
      <c r="AM669" s="147"/>
      <c r="AN669" s="147"/>
      <c r="AO669" s="147"/>
      <c r="AP669" s="147"/>
      <c r="AQ669" s="147"/>
      <c r="AR669" s="147"/>
      <c r="AS669" s="147"/>
      <c r="AT669" s="147"/>
      <c r="AU669" s="147"/>
      <c r="AV669" s="147"/>
      <c r="AW669" s="147"/>
    </row>
    <row r="670">
      <c r="A670" s="631"/>
      <c r="B670" s="631"/>
      <c r="C670" s="632"/>
      <c r="D670" s="633"/>
      <c r="E670" s="634"/>
      <c r="F670" s="635"/>
      <c r="G670" s="636"/>
      <c r="H670" s="637"/>
      <c r="I670" s="643"/>
      <c r="J670" s="644"/>
      <c r="K670" s="147"/>
      <c r="L670" s="632"/>
      <c r="M670" s="147"/>
      <c r="N670" s="640"/>
      <c r="O670" s="640"/>
      <c r="P670" s="641"/>
      <c r="Q670" s="642"/>
      <c r="R670" s="147"/>
      <c r="S670" s="147"/>
      <c r="T670" s="147"/>
      <c r="U670" s="147"/>
      <c r="V670" s="147"/>
      <c r="W670" s="147"/>
      <c r="X670" s="147"/>
      <c r="Y670" s="147"/>
      <c r="Z670" s="147"/>
      <c r="AA670" s="147"/>
      <c r="AB670" s="147"/>
      <c r="AC670" s="147"/>
      <c r="AD670" s="147"/>
      <c r="AE670" s="147"/>
      <c r="AF670" s="147"/>
      <c r="AG670" s="147"/>
      <c r="AH670" s="147"/>
      <c r="AI670" s="147"/>
      <c r="AJ670" s="147"/>
      <c r="AK670" s="147"/>
      <c r="AL670" s="147"/>
      <c r="AM670" s="147"/>
      <c r="AN670" s="147"/>
      <c r="AO670" s="147"/>
      <c r="AP670" s="147"/>
      <c r="AQ670" s="147"/>
      <c r="AR670" s="147"/>
      <c r="AS670" s="147"/>
      <c r="AT670" s="147"/>
      <c r="AU670" s="147"/>
      <c r="AV670" s="147"/>
      <c r="AW670" s="147"/>
    </row>
    <row r="671">
      <c r="A671" s="631"/>
      <c r="B671" s="631"/>
      <c r="C671" s="632"/>
      <c r="D671" s="633"/>
      <c r="E671" s="634"/>
      <c r="F671" s="635"/>
      <c r="G671" s="636"/>
      <c r="H671" s="637"/>
      <c r="I671" s="643"/>
      <c r="J671" s="644"/>
      <c r="K671" s="147"/>
      <c r="L671" s="632"/>
      <c r="M671" s="147"/>
      <c r="N671" s="640"/>
      <c r="O671" s="640"/>
      <c r="P671" s="641"/>
      <c r="Q671" s="642"/>
      <c r="R671" s="147"/>
      <c r="S671" s="147"/>
      <c r="T671" s="147"/>
      <c r="U671" s="147"/>
      <c r="V671" s="147"/>
      <c r="W671" s="147"/>
      <c r="X671" s="147"/>
      <c r="Y671" s="147"/>
      <c r="Z671" s="147"/>
      <c r="AA671" s="147"/>
      <c r="AB671" s="147"/>
      <c r="AC671" s="147"/>
      <c r="AD671" s="147"/>
      <c r="AE671" s="147"/>
      <c r="AF671" s="147"/>
      <c r="AG671" s="147"/>
      <c r="AH671" s="147"/>
      <c r="AI671" s="147"/>
      <c r="AJ671" s="147"/>
      <c r="AK671" s="147"/>
      <c r="AL671" s="147"/>
      <c r="AM671" s="147"/>
      <c r="AN671" s="147"/>
      <c r="AO671" s="147"/>
      <c r="AP671" s="147"/>
      <c r="AQ671" s="147"/>
      <c r="AR671" s="147"/>
      <c r="AS671" s="147"/>
      <c r="AT671" s="147"/>
      <c r="AU671" s="147"/>
      <c r="AV671" s="147"/>
      <c r="AW671" s="147"/>
    </row>
    <row r="672">
      <c r="A672" s="631"/>
      <c r="B672" s="631"/>
      <c r="C672" s="632"/>
      <c r="D672" s="633"/>
      <c r="E672" s="634"/>
      <c r="F672" s="635"/>
      <c r="G672" s="636"/>
      <c r="H672" s="637"/>
      <c r="I672" s="643"/>
      <c r="J672" s="644"/>
      <c r="K672" s="147"/>
      <c r="L672" s="632"/>
      <c r="M672" s="147"/>
      <c r="N672" s="640"/>
      <c r="O672" s="640"/>
      <c r="P672" s="641"/>
      <c r="Q672" s="642"/>
      <c r="R672" s="147"/>
      <c r="S672" s="147"/>
      <c r="T672" s="147"/>
      <c r="U672" s="147"/>
      <c r="V672" s="147"/>
      <c r="W672" s="147"/>
      <c r="X672" s="147"/>
      <c r="Y672" s="147"/>
      <c r="Z672" s="147"/>
      <c r="AA672" s="147"/>
      <c r="AB672" s="147"/>
      <c r="AC672" s="147"/>
      <c r="AD672" s="147"/>
      <c r="AE672" s="147"/>
      <c r="AF672" s="147"/>
      <c r="AG672" s="147"/>
      <c r="AH672" s="147"/>
      <c r="AI672" s="147"/>
      <c r="AJ672" s="147"/>
      <c r="AK672" s="147"/>
      <c r="AL672" s="147"/>
      <c r="AM672" s="147"/>
      <c r="AN672" s="147"/>
      <c r="AO672" s="147"/>
      <c r="AP672" s="147"/>
      <c r="AQ672" s="147"/>
      <c r="AR672" s="147"/>
      <c r="AS672" s="147"/>
      <c r="AT672" s="147"/>
      <c r="AU672" s="147"/>
      <c r="AV672" s="147"/>
      <c r="AW672" s="147"/>
    </row>
    <row r="673">
      <c r="A673" s="631"/>
      <c r="B673" s="631"/>
      <c r="C673" s="632"/>
      <c r="D673" s="633"/>
      <c r="E673" s="634"/>
      <c r="F673" s="635"/>
      <c r="G673" s="636"/>
      <c r="H673" s="637"/>
      <c r="I673" s="643"/>
      <c r="J673" s="644"/>
      <c r="K673" s="147"/>
      <c r="L673" s="632"/>
      <c r="M673" s="147"/>
      <c r="N673" s="640"/>
      <c r="O673" s="640"/>
      <c r="P673" s="641"/>
      <c r="Q673" s="642"/>
      <c r="R673" s="147"/>
      <c r="S673" s="147"/>
      <c r="T673" s="147"/>
      <c r="U673" s="147"/>
      <c r="V673" s="147"/>
      <c r="W673" s="147"/>
      <c r="X673" s="147"/>
      <c r="Y673" s="147"/>
      <c r="Z673" s="147"/>
      <c r="AA673" s="147"/>
      <c r="AB673" s="147"/>
      <c r="AC673" s="147"/>
      <c r="AD673" s="147"/>
      <c r="AE673" s="147"/>
      <c r="AF673" s="147"/>
      <c r="AG673" s="147"/>
      <c r="AH673" s="147"/>
      <c r="AI673" s="147"/>
      <c r="AJ673" s="147"/>
      <c r="AK673" s="147"/>
      <c r="AL673" s="147"/>
      <c r="AM673" s="147"/>
      <c r="AN673" s="147"/>
      <c r="AO673" s="147"/>
      <c r="AP673" s="147"/>
      <c r="AQ673" s="147"/>
      <c r="AR673" s="147"/>
      <c r="AS673" s="147"/>
      <c r="AT673" s="147"/>
      <c r="AU673" s="147"/>
      <c r="AV673" s="147"/>
      <c r="AW673" s="147"/>
    </row>
    <row r="674">
      <c r="A674" s="631"/>
      <c r="B674" s="631"/>
      <c r="C674" s="632"/>
      <c r="D674" s="633"/>
      <c r="E674" s="634"/>
      <c r="F674" s="635"/>
      <c r="G674" s="636"/>
      <c r="H674" s="637"/>
      <c r="I674" s="643"/>
      <c r="J674" s="644"/>
      <c r="K674" s="147"/>
      <c r="L674" s="632"/>
      <c r="M674" s="147"/>
      <c r="N674" s="640"/>
      <c r="O674" s="640"/>
      <c r="P674" s="641"/>
      <c r="Q674" s="642"/>
      <c r="R674" s="147"/>
      <c r="S674" s="147"/>
      <c r="T674" s="147"/>
      <c r="U674" s="147"/>
      <c r="V674" s="147"/>
      <c r="W674" s="147"/>
      <c r="X674" s="147"/>
      <c r="Y674" s="147"/>
      <c r="Z674" s="147"/>
      <c r="AA674" s="147"/>
      <c r="AB674" s="147"/>
      <c r="AC674" s="147"/>
      <c r="AD674" s="147"/>
      <c r="AE674" s="147"/>
      <c r="AF674" s="147"/>
      <c r="AG674" s="147"/>
      <c r="AH674" s="147"/>
      <c r="AI674" s="147"/>
      <c r="AJ674" s="147"/>
      <c r="AK674" s="147"/>
      <c r="AL674" s="147"/>
      <c r="AM674" s="147"/>
      <c r="AN674" s="147"/>
      <c r="AO674" s="147"/>
      <c r="AP674" s="147"/>
      <c r="AQ674" s="147"/>
      <c r="AR674" s="147"/>
      <c r="AS674" s="147"/>
      <c r="AT674" s="147"/>
      <c r="AU674" s="147"/>
      <c r="AV674" s="147"/>
      <c r="AW674" s="147"/>
    </row>
    <row r="675">
      <c r="A675" s="631"/>
      <c r="B675" s="631"/>
      <c r="C675" s="632"/>
      <c r="D675" s="633"/>
      <c r="E675" s="634"/>
      <c r="F675" s="635"/>
      <c r="G675" s="636"/>
      <c r="H675" s="637"/>
      <c r="I675" s="643"/>
      <c r="J675" s="644"/>
      <c r="K675" s="147"/>
      <c r="L675" s="632"/>
      <c r="M675" s="147"/>
      <c r="N675" s="640"/>
      <c r="O675" s="640"/>
      <c r="P675" s="641"/>
      <c r="Q675" s="642"/>
      <c r="R675" s="147"/>
      <c r="S675" s="147"/>
      <c r="T675" s="147"/>
      <c r="U675" s="147"/>
      <c r="V675" s="147"/>
      <c r="W675" s="147"/>
      <c r="X675" s="147"/>
      <c r="Y675" s="147"/>
      <c r="Z675" s="147"/>
      <c r="AA675" s="147"/>
      <c r="AB675" s="147"/>
      <c r="AC675" s="147"/>
      <c r="AD675" s="147"/>
      <c r="AE675" s="147"/>
      <c r="AF675" s="147"/>
      <c r="AG675" s="147"/>
      <c r="AH675" s="147"/>
      <c r="AI675" s="147"/>
      <c r="AJ675" s="147"/>
      <c r="AK675" s="147"/>
      <c r="AL675" s="147"/>
      <c r="AM675" s="147"/>
      <c r="AN675" s="147"/>
      <c r="AO675" s="147"/>
      <c r="AP675" s="147"/>
      <c r="AQ675" s="147"/>
      <c r="AR675" s="147"/>
      <c r="AS675" s="147"/>
      <c r="AT675" s="147"/>
      <c r="AU675" s="147"/>
      <c r="AV675" s="147"/>
      <c r="AW675" s="147"/>
    </row>
    <row r="676">
      <c r="A676" s="631"/>
      <c r="B676" s="631"/>
      <c r="C676" s="632"/>
      <c r="D676" s="633"/>
      <c r="E676" s="634"/>
      <c r="F676" s="635"/>
      <c r="G676" s="636"/>
      <c r="H676" s="637"/>
      <c r="I676" s="643"/>
      <c r="J676" s="644"/>
      <c r="K676" s="147"/>
      <c r="L676" s="632"/>
      <c r="M676" s="147"/>
      <c r="N676" s="640"/>
      <c r="O676" s="640"/>
      <c r="P676" s="641"/>
      <c r="Q676" s="642"/>
      <c r="R676" s="147"/>
      <c r="S676" s="147"/>
      <c r="T676" s="147"/>
      <c r="U676" s="147"/>
      <c r="V676" s="147"/>
      <c r="W676" s="147"/>
      <c r="X676" s="147"/>
      <c r="Y676" s="147"/>
      <c r="Z676" s="147"/>
      <c r="AA676" s="147"/>
      <c r="AB676" s="147"/>
      <c r="AC676" s="147"/>
      <c r="AD676" s="147"/>
      <c r="AE676" s="147"/>
      <c r="AF676" s="147"/>
      <c r="AG676" s="147"/>
      <c r="AH676" s="147"/>
      <c r="AI676" s="147"/>
      <c r="AJ676" s="147"/>
      <c r="AK676" s="147"/>
      <c r="AL676" s="147"/>
      <c r="AM676" s="147"/>
      <c r="AN676" s="147"/>
      <c r="AO676" s="147"/>
      <c r="AP676" s="147"/>
      <c r="AQ676" s="147"/>
      <c r="AR676" s="147"/>
      <c r="AS676" s="147"/>
      <c r="AT676" s="147"/>
      <c r="AU676" s="147"/>
      <c r="AV676" s="147"/>
      <c r="AW676" s="147"/>
    </row>
    <row r="677">
      <c r="A677" s="631"/>
      <c r="B677" s="631"/>
      <c r="C677" s="632"/>
      <c r="D677" s="633"/>
      <c r="E677" s="634"/>
      <c r="F677" s="635"/>
      <c r="G677" s="636"/>
      <c r="H677" s="637"/>
      <c r="I677" s="643"/>
      <c r="J677" s="644"/>
      <c r="K677" s="147"/>
      <c r="L677" s="632"/>
      <c r="M677" s="147"/>
      <c r="N677" s="640"/>
      <c r="O677" s="640"/>
      <c r="P677" s="641"/>
      <c r="Q677" s="642"/>
      <c r="R677" s="147"/>
      <c r="S677" s="147"/>
      <c r="T677" s="147"/>
      <c r="U677" s="147"/>
      <c r="V677" s="147"/>
      <c r="W677" s="147"/>
      <c r="X677" s="147"/>
      <c r="Y677" s="147"/>
      <c r="Z677" s="147"/>
      <c r="AA677" s="147"/>
      <c r="AB677" s="147"/>
      <c r="AC677" s="147"/>
      <c r="AD677" s="147"/>
      <c r="AE677" s="147"/>
      <c r="AF677" s="147"/>
      <c r="AG677" s="147"/>
      <c r="AH677" s="147"/>
      <c r="AI677" s="147"/>
      <c r="AJ677" s="147"/>
      <c r="AK677" s="147"/>
      <c r="AL677" s="147"/>
      <c r="AM677" s="147"/>
      <c r="AN677" s="147"/>
      <c r="AO677" s="147"/>
      <c r="AP677" s="147"/>
      <c r="AQ677" s="147"/>
      <c r="AR677" s="147"/>
      <c r="AS677" s="147"/>
      <c r="AT677" s="147"/>
      <c r="AU677" s="147"/>
      <c r="AV677" s="147"/>
      <c r="AW677" s="147"/>
    </row>
    <row r="678">
      <c r="A678" s="631"/>
      <c r="B678" s="631"/>
      <c r="C678" s="632"/>
      <c r="D678" s="633"/>
      <c r="E678" s="634"/>
      <c r="F678" s="635"/>
      <c r="G678" s="636"/>
      <c r="H678" s="637"/>
      <c r="I678" s="643"/>
      <c r="J678" s="644"/>
      <c r="K678" s="147"/>
      <c r="L678" s="632"/>
      <c r="M678" s="147"/>
      <c r="N678" s="640"/>
      <c r="O678" s="640"/>
      <c r="P678" s="641"/>
      <c r="Q678" s="642"/>
      <c r="R678" s="147"/>
      <c r="S678" s="147"/>
      <c r="T678" s="147"/>
      <c r="U678" s="147"/>
      <c r="V678" s="147"/>
      <c r="W678" s="147"/>
      <c r="X678" s="147"/>
      <c r="Y678" s="147"/>
      <c r="Z678" s="147"/>
      <c r="AA678" s="147"/>
      <c r="AB678" s="147"/>
      <c r="AC678" s="147"/>
      <c r="AD678" s="147"/>
      <c r="AE678" s="147"/>
      <c r="AF678" s="147"/>
      <c r="AG678" s="147"/>
      <c r="AH678" s="147"/>
      <c r="AI678" s="147"/>
      <c r="AJ678" s="147"/>
      <c r="AK678" s="147"/>
      <c r="AL678" s="147"/>
      <c r="AM678" s="147"/>
      <c r="AN678" s="147"/>
      <c r="AO678" s="147"/>
      <c r="AP678" s="147"/>
      <c r="AQ678" s="147"/>
      <c r="AR678" s="147"/>
      <c r="AS678" s="147"/>
      <c r="AT678" s="147"/>
      <c r="AU678" s="147"/>
      <c r="AV678" s="147"/>
      <c r="AW678" s="147"/>
    </row>
    <row r="679">
      <c r="A679" s="631"/>
      <c r="B679" s="631"/>
      <c r="C679" s="632"/>
      <c r="D679" s="633"/>
      <c r="E679" s="634"/>
      <c r="F679" s="635"/>
      <c r="G679" s="636"/>
      <c r="H679" s="637"/>
      <c r="I679" s="643"/>
      <c r="J679" s="644"/>
      <c r="K679" s="147"/>
      <c r="L679" s="632"/>
      <c r="M679" s="147"/>
      <c r="N679" s="640"/>
      <c r="O679" s="640"/>
      <c r="P679" s="641"/>
      <c r="Q679" s="642"/>
      <c r="R679" s="147"/>
      <c r="S679" s="147"/>
      <c r="T679" s="147"/>
      <c r="U679" s="147"/>
      <c r="V679" s="147"/>
      <c r="W679" s="147"/>
      <c r="X679" s="147"/>
      <c r="Y679" s="147"/>
      <c r="Z679" s="147"/>
      <c r="AA679" s="147"/>
      <c r="AB679" s="147"/>
      <c r="AC679" s="147"/>
      <c r="AD679" s="147"/>
      <c r="AE679" s="147"/>
      <c r="AF679" s="147"/>
      <c r="AG679" s="147"/>
      <c r="AH679" s="147"/>
      <c r="AI679" s="147"/>
      <c r="AJ679" s="147"/>
      <c r="AK679" s="147"/>
      <c r="AL679" s="147"/>
      <c r="AM679" s="147"/>
      <c r="AN679" s="147"/>
      <c r="AO679" s="147"/>
      <c r="AP679" s="147"/>
      <c r="AQ679" s="147"/>
      <c r="AR679" s="147"/>
      <c r="AS679" s="147"/>
      <c r="AT679" s="147"/>
      <c r="AU679" s="147"/>
      <c r="AV679" s="147"/>
      <c r="AW679" s="147"/>
    </row>
    <row r="680">
      <c r="A680" s="631"/>
      <c r="B680" s="631"/>
      <c r="C680" s="632"/>
      <c r="D680" s="633"/>
      <c r="E680" s="634"/>
      <c r="F680" s="635"/>
      <c r="G680" s="636"/>
      <c r="H680" s="637"/>
      <c r="I680" s="643"/>
      <c r="J680" s="644"/>
      <c r="K680" s="147"/>
      <c r="L680" s="632"/>
      <c r="M680" s="147"/>
      <c r="N680" s="640"/>
      <c r="O680" s="640"/>
      <c r="P680" s="641"/>
      <c r="Q680" s="642"/>
      <c r="R680" s="147"/>
      <c r="S680" s="147"/>
      <c r="T680" s="147"/>
      <c r="U680" s="147"/>
      <c r="V680" s="147"/>
      <c r="W680" s="147"/>
      <c r="X680" s="147"/>
      <c r="Y680" s="147"/>
      <c r="Z680" s="147"/>
      <c r="AA680" s="147"/>
      <c r="AB680" s="147"/>
      <c r="AC680" s="147"/>
      <c r="AD680" s="147"/>
      <c r="AE680" s="147"/>
      <c r="AF680" s="147"/>
      <c r="AG680" s="147"/>
      <c r="AH680" s="147"/>
      <c r="AI680" s="147"/>
      <c r="AJ680" s="147"/>
      <c r="AK680" s="147"/>
      <c r="AL680" s="147"/>
      <c r="AM680" s="147"/>
      <c r="AN680" s="147"/>
      <c r="AO680" s="147"/>
      <c r="AP680" s="147"/>
      <c r="AQ680" s="147"/>
      <c r="AR680" s="147"/>
      <c r="AS680" s="147"/>
      <c r="AT680" s="147"/>
      <c r="AU680" s="147"/>
      <c r="AV680" s="147"/>
      <c r="AW680" s="147"/>
    </row>
    <row r="681">
      <c r="A681" s="631"/>
      <c r="B681" s="631"/>
      <c r="C681" s="632"/>
      <c r="D681" s="633"/>
      <c r="E681" s="634"/>
      <c r="F681" s="635"/>
      <c r="G681" s="636"/>
      <c r="H681" s="637"/>
      <c r="I681" s="643"/>
      <c r="J681" s="644"/>
      <c r="K681" s="147"/>
      <c r="L681" s="632"/>
      <c r="M681" s="147"/>
      <c r="N681" s="640"/>
      <c r="O681" s="640"/>
      <c r="P681" s="641"/>
      <c r="Q681" s="642"/>
      <c r="R681" s="147"/>
      <c r="S681" s="147"/>
      <c r="T681" s="147"/>
      <c r="U681" s="147"/>
      <c r="V681" s="147"/>
      <c r="W681" s="147"/>
      <c r="X681" s="147"/>
      <c r="Y681" s="147"/>
      <c r="Z681" s="147"/>
      <c r="AA681" s="147"/>
      <c r="AB681" s="147"/>
      <c r="AC681" s="147"/>
      <c r="AD681" s="147"/>
      <c r="AE681" s="147"/>
      <c r="AF681" s="147"/>
      <c r="AG681" s="147"/>
      <c r="AH681" s="147"/>
      <c r="AI681" s="147"/>
      <c r="AJ681" s="147"/>
      <c r="AK681" s="147"/>
      <c r="AL681" s="147"/>
      <c r="AM681" s="147"/>
      <c r="AN681" s="147"/>
      <c r="AO681" s="147"/>
      <c r="AP681" s="147"/>
      <c r="AQ681" s="147"/>
      <c r="AR681" s="147"/>
      <c r="AS681" s="147"/>
      <c r="AT681" s="147"/>
      <c r="AU681" s="147"/>
      <c r="AV681" s="147"/>
      <c r="AW681" s="147"/>
    </row>
    <row r="682">
      <c r="A682" s="631"/>
      <c r="B682" s="631"/>
      <c r="C682" s="632"/>
      <c r="D682" s="633"/>
      <c r="E682" s="634"/>
      <c r="F682" s="635"/>
      <c r="G682" s="636"/>
      <c r="H682" s="637"/>
      <c r="I682" s="643"/>
      <c r="J682" s="644"/>
      <c r="K682" s="147"/>
      <c r="L682" s="632"/>
      <c r="M682" s="147"/>
      <c r="N682" s="640"/>
      <c r="O682" s="640"/>
      <c r="P682" s="641"/>
      <c r="Q682" s="642"/>
      <c r="R682" s="147"/>
      <c r="S682" s="147"/>
      <c r="T682" s="147"/>
      <c r="U682" s="147"/>
      <c r="V682" s="147"/>
      <c r="W682" s="147"/>
      <c r="X682" s="147"/>
      <c r="Y682" s="147"/>
      <c r="Z682" s="147"/>
      <c r="AA682" s="147"/>
      <c r="AB682" s="147"/>
      <c r="AC682" s="147"/>
      <c r="AD682" s="147"/>
      <c r="AE682" s="147"/>
      <c r="AF682" s="147"/>
      <c r="AG682" s="147"/>
      <c r="AH682" s="147"/>
      <c r="AI682" s="147"/>
      <c r="AJ682" s="147"/>
      <c r="AK682" s="147"/>
      <c r="AL682" s="147"/>
      <c r="AM682" s="147"/>
      <c r="AN682" s="147"/>
      <c r="AO682" s="147"/>
      <c r="AP682" s="147"/>
      <c r="AQ682" s="147"/>
      <c r="AR682" s="147"/>
      <c r="AS682" s="147"/>
      <c r="AT682" s="147"/>
      <c r="AU682" s="147"/>
      <c r="AV682" s="147"/>
      <c r="AW682" s="147"/>
    </row>
    <row r="683">
      <c r="A683" s="631"/>
      <c r="B683" s="631"/>
      <c r="C683" s="632"/>
      <c r="D683" s="633"/>
      <c r="E683" s="634"/>
      <c r="F683" s="635"/>
      <c r="G683" s="636"/>
      <c r="H683" s="637"/>
      <c r="I683" s="643"/>
      <c r="J683" s="644"/>
      <c r="K683" s="147"/>
      <c r="L683" s="632"/>
      <c r="M683" s="147"/>
      <c r="N683" s="640"/>
      <c r="O683" s="640"/>
      <c r="P683" s="641"/>
      <c r="Q683" s="642"/>
      <c r="R683" s="147"/>
      <c r="S683" s="147"/>
      <c r="T683" s="147"/>
      <c r="U683" s="147"/>
      <c r="V683" s="147"/>
      <c r="W683" s="147"/>
      <c r="X683" s="147"/>
      <c r="Y683" s="147"/>
      <c r="Z683" s="147"/>
      <c r="AA683" s="147"/>
      <c r="AB683" s="147"/>
      <c r="AC683" s="147"/>
      <c r="AD683" s="147"/>
      <c r="AE683" s="147"/>
      <c r="AF683" s="147"/>
      <c r="AG683" s="147"/>
      <c r="AH683" s="147"/>
      <c r="AI683" s="147"/>
      <c r="AJ683" s="147"/>
      <c r="AK683" s="147"/>
      <c r="AL683" s="147"/>
      <c r="AM683" s="147"/>
      <c r="AN683" s="147"/>
      <c r="AO683" s="147"/>
      <c r="AP683" s="147"/>
      <c r="AQ683" s="147"/>
      <c r="AR683" s="147"/>
      <c r="AS683" s="147"/>
      <c r="AT683" s="147"/>
      <c r="AU683" s="147"/>
      <c r="AV683" s="147"/>
      <c r="AW683" s="147"/>
    </row>
    <row r="684">
      <c r="A684" s="631"/>
      <c r="B684" s="631"/>
      <c r="C684" s="632"/>
      <c r="D684" s="633"/>
      <c r="E684" s="634"/>
      <c r="F684" s="635"/>
      <c r="G684" s="636"/>
      <c r="H684" s="637"/>
      <c r="I684" s="643"/>
      <c r="J684" s="644"/>
      <c r="K684" s="147"/>
      <c r="L684" s="632"/>
      <c r="M684" s="147"/>
      <c r="N684" s="640"/>
      <c r="O684" s="640"/>
      <c r="P684" s="641"/>
      <c r="Q684" s="642"/>
      <c r="R684" s="147"/>
      <c r="S684" s="147"/>
      <c r="T684" s="147"/>
      <c r="U684" s="147"/>
      <c r="V684" s="147"/>
      <c r="W684" s="147"/>
      <c r="X684" s="147"/>
      <c r="Y684" s="147"/>
      <c r="Z684" s="147"/>
      <c r="AA684" s="147"/>
      <c r="AB684" s="147"/>
      <c r="AC684" s="147"/>
      <c r="AD684" s="147"/>
      <c r="AE684" s="147"/>
      <c r="AF684" s="147"/>
      <c r="AG684" s="147"/>
      <c r="AH684" s="147"/>
      <c r="AI684" s="147"/>
      <c r="AJ684" s="147"/>
      <c r="AK684" s="147"/>
      <c r="AL684" s="147"/>
      <c r="AM684" s="147"/>
      <c r="AN684" s="147"/>
      <c r="AO684" s="147"/>
      <c r="AP684" s="147"/>
      <c r="AQ684" s="147"/>
      <c r="AR684" s="147"/>
      <c r="AS684" s="147"/>
      <c r="AT684" s="147"/>
      <c r="AU684" s="147"/>
      <c r="AV684" s="147"/>
      <c r="AW684" s="147"/>
    </row>
    <row r="685">
      <c r="A685" s="631"/>
      <c r="B685" s="631"/>
      <c r="C685" s="632"/>
      <c r="D685" s="633"/>
      <c r="E685" s="634"/>
      <c r="F685" s="635"/>
      <c r="G685" s="636"/>
      <c r="H685" s="637"/>
      <c r="I685" s="643"/>
      <c r="J685" s="644"/>
      <c r="K685" s="147"/>
      <c r="L685" s="632"/>
      <c r="M685" s="147"/>
      <c r="N685" s="640"/>
      <c r="O685" s="640"/>
      <c r="P685" s="641"/>
      <c r="Q685" s="642"/>
      <c r="R685" s="147"/>
      <c r="S685" s="147"/>
      <c r="T685" s="147"/>
      <c r="U685" s="147"/>
      <c r="V685" s="147"/>
      <c r="W685" s="147"/>
      <c r="X685" s="147"/>
      <c r="Y685" s="147"/>
      <c r="Z685" s="147"/>
      <c r="AA685" s="147"/>
      <c r="AB685" s="147"/>
      <c r="AC685" s="147"/>
      <c r="AD685" s="147"/>
      <c r="AE685" s="147"/>
      <c r="AF685" s="147"/>
      <c r="AG685" s="147"/>
      <c r="AH685" s="147"/>
      <c r="AI685" s="147"/>
      <c r="AJ685" s="147"/>
      <c r="AK685" s="147"/>
      <c r="AL685" s="147"/>
      <c r="AM685" s="147"/>
      <c r="AN685" s="147"/>
      <c r="AO685" s="147"/>
      <c r="AP685" s="147"/>
      <c r="AQ685" s="147"/>
      <c r="AR685" s="147"/>
      <c r="AS685" s="147"/>
      <c r="AT685" s="147"/>
      <c r="AU685" s="147"/>
      <c r="AV685" s="147"/>
      <c r="AW685" s="147"/>
    </row>
    <row r="686">
      <c r="A686" s="631"/>
      <c r="B686" s="631"/>
      <c r="C686" s="632"/>
      <c r="D686" s="633"/>
      <c r="E686" s="634"/>
      <c r="F686" s="635"/>
      <c r="G686" s="636"/>
      <c r="H686" s="637"/>
      <c r="I686" s="643"/>
      <c r="J686" s="644"/>
      <c r="K686" s="147"/>
      <c r="L686" s="632"/>
      <c r="M686" s="147"/>
      <c r="N686" s="640"/>
      <c r="O686" s="640"/>
      <c r="P686" s="641"/>
      <c r="Q686" s="642"/>
      <c r="R686" s="147"/>
      <c r="S686" s="147"/>
      <c r="T686" s="147"/>
      <c r="U686" s="147"/>
      <c r="V686" s="147"/>
      <c r="W686" s="147"/>
      <c r="X686" s="147"/>
      <c r="Y686" s="147"/>
      <c r="Z686" s="147"/>
      <c r="AA686" s="147"/>
      <c r="AB686" s="147"/>
      <c r="AC686" s="147"/>
      <c r="AD686" s="147"/>
      <c r="AE686" s="147"/>
      <c r="AF686" s="147"/>
      <c r="AG686" s="147"/>
      <c r="AH686" s="147"/>
      <c r="AI686" s="147"/>
      <c r="AJ686" s="147"/>
      <c r="AK686" s="147"/>
      <c r="AL686" s="147"/>
      <c r="AM686" s="147"/>
      <c r="AN686" s="147"/>
      <c r="AO686" s="147"/>
      <c r="AP686" s="147"/>
      <c r="AQ686" s="147"/>
      <c r="AR686" s="147"/>
      <c r="AS686" s="147"/>
      <c r="AT686" s="147"/>
      <c r="AU686" s="147"/>
      <c r="AV686" s="147"/>
      <c r="AW686" s="147"/>
    </row>
    <row r="687">
      <c r="A687" s="631"/>
      <c r="B687" s="631"/>
      <c r="C687" s="632"/>
      <c r="D687" s="633"/>
      <c r="E687" s="634"/>
      <c r="F687" s="635"/>
      <c r="G687" s="636"/>
      <c r="H687" s="637"/>
      <c r="I687" s="643"/>
      <c r="J687" s="644"/>
      <c r="K687" s="147"/>
      <c r="L687" s="632"/>
      <c r="M687" s="147"/>
      <c r="N687" s="640"/>
      <c r="O687" s="640"/>
      <c r="P687" s="641"/>
      <c r="Q687" s="642"/>
      <c r="R687" s="147"/>
      <c r="S687" s="147"/>
      <c r="T687" s="147"/>
      <c r="U687" s="147"/>
      <c r="V687" s="147"/>
      <c r="W687" s="147"/>
      <c r="X687" s="147"/>
      <c r="Y687" s="147"/>
      <c r="Z687" s="147"/>
      <c r="AA687" s="147"/>
      <c r="AB687" s="147"/>
      <c r="AC687" s="147"/>
      <c r="AD687" s="147"/>
      <c r="AE687" s="147"/>
      <c r="AF687" s="147"/>
      <c r="AG687" s="147"/>
      <c r="AH687" s="147"/>
      <c r="AI687" s="147"/>
      <c r="AJ687" s="147"/>
      <c r="AK687" s="147"/>
      <c r="AL687" s="147"/>
      <c r="AM687" s="147"/>
      <c r="AN687" s="147"/>
      <c r="AO687" s="147"/>
      <c r="AP687" s="147"/>
      <c r="AQ687" s="147"/>
      <c r="AR687" s="147"/>
      <c r="AS687" s="147"/>
      <c r="AT687" s="147"/>
      <c r="AU687" s="147"/>
      <c r="AV687" s="147"/>
      <c r="AW687" s="147"/>
    </row>
    <row r="688">
      <c r="A688" s="631"/>
      <c r="B688" s="631"/>
      <c r="C688" s="632"/>
      <c r="D688" s="633"/>
      <c r="E688" s="634"/>
      <c r="F688" s="635"/>
      <c r="G688" s="636"/>
      <c r="H688" s="637"/>
      <c r="I688" s="643"/>
      <c r="J688" s="644"/>
      <c r="K688" s="147"/>
      <c r="L688" s="632"/>
      <c r="M688" s="147"/>
      <c r="N688" s="640"/>
      <c r="O688" s="640"/>
      <c r="P688" s="641"/>
      <c r="Q688" s="642"/>
      <c r="R688" s="147"/>
      <c r="S688" s="147"/>
      <c r="T688" s="147"/>
      <c r="U688" s="147"/>
      <c r="V688" s="147"/>
      <c r="W688" s="147"/>
      <c r="X688" s="147"/>
      <c r="Y688" s="147"/>
      <c r="Z688" s="147"/>
      <c r="AA688" s="147"/>
      <c r="AB688" s="147"/>
      <c r="AC688" s="147"/>
      <c r="AD688" s="147"/>
      <c r="AE688" s="147"/>
      <c r="AF688" s="147"/>
      <c r="AG688" s="147"/>
      <c r="AH688" s="147"/>
      <c r="AI688" s="147"/>
      <c r="AJ688" s="147"/>
      <c r="AK688" s="147"/>
      <c r="AL688" s="147"/>
      <c r="AM688" s="147"/>
      <c r="AN688" s="147"/>
      <c r="AO688" s="147"/>
      <c r="AP688" s="147"/>
      <c r="AQ688" s="147"/>
      <c r="AR688" s="147"/>
      <c r="AS688" s="147"/>
      <c r="AT688" s="147"/>
      <c r="AU688" s="147"/>
      <c r="AV688" s="147"/>
      <c r="AW688" s="147"/>
    </row>
    <row r="689">
      <c r="A689" s="631"/>
      <c r="B689" s="631"/>
      <c r="C689" s="632"/>
      <c r="D689" s="633"/>
      <c r="E689" s="634"/>
      <c r="F689" s="635"/>
      <c r="G689" s="636"/>
      <c r="H689" s="637"/>
      <c r="I689" s="643"/>
      <c r="J689" s="644"/>
      <c r="K689" s="147"/>
      <c r="L689" s="632"/>
      <c r="M689" s="147"/>
      <c r="N689" s="640"/>
      <c r="O689" s="640"/>
      <c r="P689" s="641"/>
      <c r="Q689" s="642"/>
      <c r="R689" s="147"/>
      <c r="S689" s="147"/>
      <c r="T689" s="147"/>
      <c r="U689" s="147"/>
      <c r="V689" s="147"/>
      <c r="W689" s="147"/>
      <c r="X689" s="147"/>
      <c r="Y689" s="147"/>
      <c r="Z689" s="147"/>
      <c r="AA689" s="147"/>
      <c r="AB689" s="147"/>
      <c r="AC689" s="147"/>
      <c r="AD689" s="147"/>
      <c r="AE689" s="147"/>
      <c r="AF689" s="147"/>
      <c r="AG689" s="147"/>
      <c r="AH689" s="147"/>
      <c r="AI689" s="147"/>
      <c r="AJ689" s="147"/>
      <c r="AK689" s="147"/>
      <c r="AL689" s="147"/>
      <c r="AM689" s="147"/>
      <c r="AN689" s="147"/>
      <c r="AO689" s="147"/>
      <c r="AP689" s="147"/>
      <c r="AQ689" s="147"/>
      <c r="AR689" s="147"/>
      <c r="AS689" s="147"/>
      <c r="AT689" s="147"/>
      <c r="AU689" s="147"/>
      <c r="AV689" s="147"/>
      <c r="AW689" s="147"/>
    </row>
    <row r="690">
      <c r="A690" s="631"/>
      <c r="B690" s="631"/>
      <c r="C690" s="632"/>
      <c r="D690" s="633"/>
      <c r="E690" s="634"/>
      <c r="F690" s="635"/>
      <c r="G690" s="636"/>
      <c r="H690" s="637"/>
      <c r="I690" s="643"/>
      <c r="J690" s="644"/>
      <c r="K690" s="147"/>
      <c r="L690" s="632"/>
      <c r="M690" s="147"/>
      <c r="N690" s="640"/>
      <c r="O690" s="640"/>
      <c r="P690" s="641"/>
      <c r="Q690" s="642"/>
      <c r="R690" s="147"/>
      <c r="S690" s="147"/>
      <c r="T690" s="147"/>
      <c r="U690" s="147"/>
      <c r="V690" s="147"/>
      <c r="W690" s="147"/>
      <c r="X690" s="147"/>
      <c r="Y690" s="147"/>
      <c r="Z690" s="147"/>
      <c r="AA690" s="147"/>
      <c r="AB690" s="147"/>
      <c r="AC690" s="147"/>
      <c r="AD690" s="147"/>
      <c r="AE690" s="147"/>
      <c r="AF690" s="147"/>
      <c r="AG690" s="147"/>
      <c r="AH690" s="147"/>
      <c r="AI690" s="147"/>
      <c r="AJ690" s="147"/>
      <c r="AK690" s="147"/>
      <c r="AL690" s="147"/>
      <c r="AM690" s="147"/>
      <c r="AN690" s="147"/>
      <c r="AO690" s="147"/>
      <c r="AP690" s="147"/>
      <c r="AQ690" s="147"/>
      <c r="AR690" s="147"/>
      <c r="AS690" s="147"/>
      <c r="AT690" s="147"/>
      <c r="AU690" s="147"/>
      <c r="AV690" s="147"/>
      <c r="AW690" s="147"/>
    </row>
    <row r="691">
      <c r="A691" s="631"/>
      <c r="B691" s="631"/>
      <c r="C691" s="632"/>
      <c r="D691" s="633"/>
      <c r="E691" s="634"/>
      <c r="F691" s="635"/>
      <c r="G691" s="636"/>
      <c r="H691" s="637"/>
      <c r="I691" s="643"/>
      <c r="J691" s="644"/>
      <c r="K691" s="147"/>
      <c r="L691" s="632"/>
      <c r="M691" s="147"/>
      <c r="N691" s="640"/>
      <c r="O691" s="640"/>
      <c r="P691" s="641"/>
      <c r="Q691" s="642"/>
      <c r="R691" s="147"/>
      <c r="S691" s="147"/>
      <c r="T691" s="147"/>
      <c r="U691" s="147"/>
      <c r="V691" s="147"/>
      <c r="W691" s="147"/>
      <c r="X691" s="147"/>
      <c r="Y691" s="147"/>
      <c r="Z691" s="147"/>
      <c r="AA691" s="147"/>
      <c r="AB691" s="147"/>
      <c r="AC691" s="147"/>
      <c r="AD691" s="147"/>
      <c r="AE691" s="147"/>
      <c r="AF691" s="147"/>
      <c r="AG691" s="147"/>
      <c r="AH691" s="147"/>
      <c r="AI691" s="147"/>
      <c r="AJ691" s="147"/>
      <c r="AK691" s="147"/>
      <c r="AL691" s="147"/>
      <c r="AM691" s="147"/>
      <c r="AN691" s="147"/>
      <c r="AO691" s="147"/>
      <c r="AP691" s="147"/>
      <c r="AQ691" s="147"/>
      <c r="AR691" s="147"/>
      <c r="AS691" s="147"/>
      <c r="AT691" s="147"/>
      <c r="AU691" s="147"/>
      <c r="AV691" s="147"/>
      <c r="AW691" s="147"/>
    </row>
    <row r="692">
      <c r="A692" s="631"/>
      <c r="B692" s="631"/>
      <c r="C692" s="632"/>
      <c r="D692" s="633"/>
      <c r="E692" s="634"/>
      <c r="F692" s="635"/>
      <c r="G692" s="636"/>
      <c r="H692" s="637"/>
      <c r="I692" s="643"/>
      <c r="J692" s="644"/>
      <c r="K692" s="147"/>
      <c r="L692" s="632"/>
      <c r="M692" s="147"/>
      <c r="N692" s="640"/>
      <c r="O692" s="640"/>
      <c r="P692" s="641"/>
      <c r="Q692" s="642"/>
      <c r="R692" s="147"/>
      <c r="S692" s="147"/>
      <c r="T692" s="147"/>
      <c r="U692" s="147"/>
      <c r="V692" s="147"/>
      <c r="W692" s="147"/>
      <c r="X692" s="147"/>
      <c r="Y692" s="147"/>
      <c r="Z692" s="147"/>
      <c r="AA692" s="147"/>
      <c r="AB692" s="147"/>
      <c r="AC692" s="147"/>
      <c r="AD692" s="147"/>
      <c r="AE692" s="147"/>
      <c r="AF692" s="147"/>
      <c r="AG692" s="147"/>
      <c r="AH692" s="147"/>
      <c r="AI692" s="147"/>
      <c r="AJ692" s="147"/>
      <c r="AK692" s="147"/>
      <c r="AL692" s="147"/>
      <c r="AM692" s="147"/>
      <c r="AN692" s="147"/>
      <c r="AO692" s="147"/>
      <c r="AP692" s="147"/>
      <c r="AQ692" s="147"/>
      <c r="AR692" s="147"/>
      <c r="AS692" s="147"/>
      <c r="AT692" s="147"/>
      <c r="AU692" s="147"/>
      <c r="AV692" s="147"/>
      <c r="AW692" s="147"/>
    </row>
    <row r="693">
      <c r="A693" s="631"/>
      <c r="B693" s="631"/>
      <c r="C693" s="632"/>
      <c r="D693" s="633"/>
      <c r="E693" s="634"/>
      <c r="F693" s="635"/>
      <c r="G693" s="636"/>
      <c r="H693" s="637"/>
      <c r="I693" s="643"/>
      <c r="J693" s="644"/>
      <c r="K693" s="147"/>
      <c r="L693" s="632"/>
      <c r="M693" s="147"/>
      <c r="N693" s="640"/>
      <c r="O693" s="640"/>
      <c r="P693" s="641"/>
      <c r="Q693" s="642"/>
      <c r="R693" s="147"/>
      <c r="S693" s="147"/>
      <c r="T693" s="147"/>
      <c r="U693" s="147"/>
      <c r="V693" s="147"/>
      <c r="W693" s="147"/>
      <c r="X693" s="147"/>
      <c r="Y693" s="147"/>
      <c r="Z693" s="147"/>
      <c r="AA693" s="147"/>
      <c r="AB693" s="147"/>
      <c r="AC693" s="147"/>
      <c r="AD693" s="147"/>
      <c r="AE693" s="147"/>
      <c r="AF693" s="147"/>
      <c r="AG693" s="147"/>
      <c r="AH693" s="147"/>
      <c r="AI693" s="147"/>
      <c r="AJ693" s="147"/>
      <c r="AK693" s="147"/>
      <c r="AL693" s="147"/>
      <c r="AM693" s="147"/>
      <c r="AN693" s="147"/>
      <c r="AO693" s="147"/>
      <c r="AP693" s="147"/>
      <c r="AQ693" s="147"/>
      <c r="AR693" s="147"/>
      <c r="AS693" s="147"/>
      <c r="AT693" s="147"/>
      <c r="AU693" s="147"/>
      <c r="AV693" s="147"/>
      <c r="AW693" s="147"/>
    </row>
    <row r="694">
      <c r="A694" s="631"/>
      <c r="B694" s="631"/>
      <c r="C694" s="632"/>
      <c r="D694" s="633"/>
      <c r="E694" s="634"/>
      <c r="F694" s="635"/>
      <c r="G694" s="636"/>
      <c r="H694" s="637"/>
      <c r="I694" s="643"/>
      <c r="J694" s="644"/>
      <c r="K694" s="147"/>
      <c r="L694" s="632"/>
      <c r="M694" s="147"/>
      <c r="N694" s="640"/>
      <c r="O694" s="640"/>
      <c r="P694" s="641"/>
      <c r="Q694" s="642"/>
      <c r="R694" s="147"/>
      <c r="S694" s="147"/>
      <c r="T694" s="147"/>
      <c r="U694" s="147"/>
      <c r="V694" s="147"/>
      <c r="W694" s="147"/>
      <c r="X694" s="147"/>
      <c r="Y694" s="147"/>
      <c r="Z694" s="147"/>
      <c r="AA694" s="147"/>
      <c r="AB694" s="147"/>
      <c r="AC694" s="147"/>
      <c r="AD694" s="147"/>
      <c r="AE694" s="147"/>
      <c r="AF694" s="147"/>
      <c r="AG694" s="147"/>
      <c r="AH694" s="147"/>
      <c r="AI694" s="147"/>
      <c r="AJ694" s="147"/>
      <c r="AK694" s="147"/>
      <c r="AL694" s="147"/>
      <c r="AM694" s="147"/>
      <c r="AN694" s="147"/>
      <c r="AO694" s="147"/>
      <c r="AP694" s="147"/>
      <c r="AQ694" s="147"/>
      <c r="AR694" s="147"/>
      <c r="AS694" s="147"/>
      <c r="AT694" s="147"/>
      <c r="AU694" s="147"/>
      <c r="AV694" s="147"/>
      <c r="AW694" s="147"/>
    </row>
    <row r="695">
      <c r="A695" s="631"/>
      <c r="B695" s="631"/>
      <c r="C695" s="632"/>
      <c r="D695" s="633"/>
      <c r="E695" s="634"/>
      <c r="F695" s="635"/>
      <c r="G695" s="636"/>
      <c r="H695" s="637"/>
      <c r="I695" s="643"/>
      <c r="J695" s="644"/>
      <c r="K695" s="147"/>
      <c r="L695" s="632"/>
      <c r="M695" s="147"/>
      <c r="N695" s="640"/>
      <c r="O695" s="640"/>
      <c r="P695" s="641"/>
      <c r="Q695" s="642"/>
      <c r="R695" s="147"/>
      <c r="S695" s="147"/>
      <c r="T695" s="147"/>
      <c r="U695" s="147"/>
      <c r="V695" s="147"/>
      <c r="W695" s="147"/>
      <c r="X695" s="147"/>
      <c r="Y695" s="147"/>
      <c r="Z695" s="147"/>
      <c r="AA695" s="147"/>
      <c r="AB695" s="147"/>
      <c r="AC695" s="147"/>
      <c r="AD695" s="147"/>
      <c r="AE695" s="147"/>
      <c r="AF695" s="147"/>
      <c r="AG695" s="147"/>
      <c r="AH695" s="147"/>
      <c r="AI695" s="147"/>
      <c r="AJ695" s="147"/>
      <c r="AK695" s="147"/>
      <c r="AL695" s="147"/>
      <c r="AM695" s="147"/>
      <c r="AN695" s="147"/>
      <c r="AO695" s="147"/>
      <c r="AP695" s="147"/>
      <c r="AQ695" s="147"/>
      <c r="AR695" s="147"/>
      <c r="AS695" s="147"/>
      <c r="AT695" s="147"/>
      <c r="AU695" s="147"/>
      <c r="AV695" s="147"/>
      <c r="AW695" s="147"/>
    </row>
    <row r="696">
      <c r="A696" s="631"/>
      <c r="B696" s="631"/>
      <c r="C696" s="632"/>
      <c r="D696" s="633"/>
      <c r="E696" s="634"/>
      <c r="F696" s="635"/>
      <c r="G696" s="636"/>
      <c r="H696" s="637"/>
      <c r="I696" s="643"/>
      <c r="J696" s="644"/>
      <c r="K696" s="147"/>
      <c r="L696" s="632"/>
      <c r="M696" s="147"/>
      <c r="N696" s="640"/>
      <c r="O696" s="640"/>
      <c r="P696" s="641"/>
      <c r="Q696" s="642"/>
      <c r="R696" s="147"/>
      <c r="S696" s="147"/>
      <c r="T696" s="147"/>
      <c r="U696" s="147"/>
      <c r="V696" s="147"/>
      <c r="W696" s="147"/>
      <c r="X696" s="147"/>
      <c r="Y696" s="147"/>
      <c r="Z696" s="147"/>
      <c r="AA696" s="147"/>
      <c r="AB696" s="147"/>
      <c r="AC696" s="147"/>
      <c r="AD696" s="147"/>
      <c r="AE696" s="147"/>
      <c r="AF696" s="147"/>
      <c r="AG696" s="147"/>
      <c r="AH696" s="147"/>
      <c r="AI696" s="147"/>
      <c r="AJ696" s="147"/>
      <c r="AK696" s="147"/>
      <c r="AL696" s="147"/>
      <c r="AM696" s="147"/>
      <c r="AN696" s="147"/>
      <c r="AO696" s="147"/>
      <c r="AP696" s="147"/>
      <c r="AQ696" s="147"/>
      <c r="AR696" s="147"/>
      <c r="AS696" s="147"/>
      <c r="AT696" s="147"/>
      <c r="AU696" s="147"/>
      <c r="AV696" s="147"/>
      <c r="AW696" s="147"/>
    </row>
    <row r="697">
      <c r="A697" s="631"/>
      <c r="B697" s="631"/>
      <c r="C697" s="632"/>
      <c r="D697" s="633"/>
      <c r="E697" s="634"/>
      <c r="F697" s="635"/>
      <c r="G697" s="636"/>
      <c r="H697" s="637"/>
      <c r="I697" s="643"/>
      <c r="J697" s="644"/>
      <c r="K697" s="147"/>
      <c r="L697" s="632"/>
      <c r="M697" s="147"/>
      <c r="N697" s="640"/>
      <c r="O697" s="640"/>
      <c r="P697" s="641"/>
      <c r="Q697" s="642"/>
      <c r="R697" s="147"/>
      <c r="S697" s="147"/>
      <c r="T697" s="147"/>
      <c r="U697" s="147"/>
      <c r="V697" s="147"/>
      <c r="W697" s="147"/>
      <c r="X697" s="147"/>
      <c r="Y697" s="147"/>
      <c r="Z697" s="147"/>
      <c r="AA697" s="147"/>
      <c r="AB697" s="147"/>
      <c r="AC697" s="147"/>
      <c r="AD697" s="147"/>
      <c r="AE697" s="147"/>
      <c r="AF697" s="147"/>
      <c r="AG697" s="147"/>
      <c r="AH697" s="147"/>
      <c r="AI697" s="147"/>
      <c r="AJ697" s="147"/>
      <c r="AK697" s="147"/>
      <c r="AL697" s="147"/>
      <c r="AM697" s="147"/>
      <c r="AN697" s="147"/>
      <c r="AO697" s="147"/>
      <c r="AP697" s="147"/>
      <c r="AQ697" s="147"/>
      <c r="AR697" s="147"/>
      <c r="AS697" s="147"/>
      <c r="AT697" s="147"/>
      <c r="AU697" s="147"/>
      <c r="AV697" s="147"/>
      <c r="AW697" s="147"/>
    </row>
    <row r="698">
      <c r="A698" s="631"/>
      <c r="B698" s="631"/>
      <c r="C698" s="632"/>
      <c r="D698" s="633"/>
      <c r="E698" s="634"/>
      <c r="F698" s="635"/>
      <c r="G698" s="636"/>
      <c r="H698" s="637"/>
      <c r="I698" s="643"/>
      <c r="J698" s="644"/>
      <c r="K698" s="147"/>
      <c r="L698" s="632"/>
      <c r="M698" s="147"/>
      <c r="N698" s="640"/>
      <c r="O698" s="640"/>
      <c r="P698" s="641"/>
      <c r="Q698" s="642"/>
      <c r="R698" s="147"/>
      <c r="S698" s="147"/>
      <c r="T698" s="147"/>
      <c r="U698" s="147"/>
      <c r="V698" s="147"/>
      <c r="W698" s="147"/>
      <c r="X698" s="147"/>
      <c r="Y698" s="147"/>
      <c r="Z698" s="147"/>
      <c r="AA698" s="147"/>
      <c r="AB698" s="147"/>
      <c r="AC698" s="147"/>
      <c r="AD698" s="147"/>
      <c r="AE698" s="147"/>
      <c r="AF698" s="147"/>
      <c r="AG698" s="147"/>
      <c r="AH698" s="147"/>
      <c r="AI698" s="147"/>
      <c r="AJ698" s="147"/>
      <c r="AK698" s="147"/>
      <c r="AL698" s="147"/>
      <c r="AM698" s="147"/>
      <c r="AN698" s="147"/>
      <c r="AO698" s="147"/>
      <c r="AP698" s="147"/>
      <c r="AQ698" s="147"/>
      <c r="AR698" s="147"/>
      <c r="AS698" s="147"/>
      <c r="AT698" s="147"/>
      <c r="AU698" s="147"/>
      <c r="AV698" s="147"/>
      <c r="AW698" s="147"/>
    </row>
    <row r="699">
      <c r="A699" s="631"/>
      <c r="B699" s="631"/>
      <c r="C699" s="632"/>
      <c r="D699" s="633"/>
      <c r="E699" s="634"/>
      <c r="F699" s="635"/>
      <c r="G699" s="636"/>
      <c r="H699" s="637"/>
      <c r="I699" s="643"/>
      <c r="J699" s="644"/>
      <c r="K699" s="147"/>
      <c r="L699" s="632"/>
      <c r="M699" s="147"/>
      <c r="N699" s="640"/>
      <c r="O699" s="640"/>
      <c r="P699" s="641"/>
      <c r="Q699" s="642"/>
      <c r="R699" s="147"/>
      <c r="S699" s="147"/>
      <c r="T699" s="147"/>
      <c r="U699" s="147"/>
      <c r="V699" s="147"/>
      <c r="W699" s="147"/>
      <c r="X699" s="147"/>
      <c r="Y699" s="147"/>
      <c r="Z699" s="147"/>
      <c r="AA699" s="147"/>
      <c r="AB699" s="147"/>
      <c r="AC699" s="147"/>
      <c r="AD699" s="147"/>
      <c r="AE699" s="147"/>
      <c r="AF699" s="147"/>
      <c r="AG699" s="147"/>
      <c r="AH699" s="147"/>
      <c r="AI699" s="147"/>
      <c r="AJ699" s="147"/>
      <c r="AK699" s="147"/>
      <c r="AL699" s="147"/>
      <c r="AM699" s="147"/>
      <c r="AN699" s="147"/>
      <c r="AO699" s="147"/>
      <c r="AP699" s="147"/>
      <c r="AQ699" s="147"/>
      <c r="AR699" s="147"/>
      <c r="AS699" s="147"/>
      <c r="AT699" s="147"/>
      <c r="AU699" s="147"/>
      <c r="AV699" s="147"/>
      <c r="AW699" s="147"/>
    </row>
    <row r="700">
      <c r="A700" s="631"/>
      <c r="B700" s="631"/>
      <c r="C700" s="632"/>
      <c r="D700" s="633"/>
      <c r="E700" s="634"/>
      <c r="F700" s="635"/>
      <c r="G700" s="636"/>
      <c r="H700" s="637"/>
      <c r="I700" s="643"/>
      <c r="J700" s="644"/>
      <c r="K700" s="147"/>
      <c r="L700" s="632"/>
      <c r="M700" s="147"/>
      <c r="N700" s="640"/>
      <c r="O700" s="640"/>
      <c r="P700" s="641"/>
      <c r="Q700" s="642"/>
      <c r="R700" s="147"/>
      <c r="S700" s="147"/>
      <c r="T700" s="147"/>
      <c r="U700" s="147"/>
      <c r="V700" s="147"/>
      <c r="W700" s="147"/>
      <c r="X700" s="147"/>
      <c r="Y700" s="147"/>
      <c r="Z700" s="147"/>
      <c r="AA700" s="147"/>
      <c r="AB700" s="147"/>
      <c r="AC700" s="147"/>
      <c r="AD700" s="147"/>
      <c r="AE700" s="147"/>
      <c r="AF700" s="147"/>
      <c r="AG700" s="147"/>
      <c r="AH700" s="147"/>
      <c r="AI700" s="147"/>
      <c r="AJ700" s="147"/>
      <c r="AK700" s="147"/>
      <c r="AL700" s="147"/>
      <c r="AM700" s="147"/>
      <c r="AN700" s="147"/>
      <c r="AO700" s="147"/>
      <c r="AP700" s="147"/>
      <c r="AQ700" s="147"/>
      <c r="AR700" s="147"/>
      <c r="AS700" s="147"/>
      <c r="AT700" s="147"/>
      <c r="AU700" s="147"/>
      <c r="AV700" s="147"/>
      <c r="AW700" s="147"/>
    </row>
    <row r="701">
      <c r="A701" s="631"/>
      <c r="B701" s="631"/>
      <c r="C701" s="632"/>
      <c r="D701" s="633"/>
      <c r="E701" s="634"/>
      <c r="F701" s="635"/>
      <c r="G701" s="636"/>
      <c r="H701" s="637"/>
      <c r="I701" s="643"/>
      <c r="J701" s="644"/>
      <c r="K701" s="147"/>
      <c r="L701" s="632"/>
      <c r="M701" s="147"/>
      <c r="N701" s="640"/>
      <c r="O701" s="640"/>
      <c r="P701" s="641"/>
      <c r="Q701" s="642"/>
      <c r="R701" s="147"/>
      <c r="S701" s="147"/>
      <c r="T701" s="147"/>
      <c r="U701" s="147"/>
      <c r="V701" s="147"/>
      <c r="W701" s="147"/>
      <c r="X701" s="147"/>
      <c r="Y701" s="147"/>
      <c r="Z701" s="147"/>
      <c r="AA701" s="147"/>
      <c r="AB701" s="147"/>
      <c r="AC701" s="147"/>
      <c r="AD701" s="147"/>
      <c r="AE701" s="147"/>
      <c r="AF701" s="147"/>
      <c r="AG701" s="147"/>
      <c r="AH701" s="147"/>
      <c r="AI701" s="147"/>
      <c r="AJ701" s="147"/>
      <c r="AK701" s="147"/>
      <c r="AL701" s="147"/>
      <c r="AM701" s="147"/>
      <c r="AN701" s="147"/>
      <c r="AO701" s="147"/>
      <c r="AP701" s="147"/>
      <c r="AQ701" s="147"/>
      <c r="AR701" s="147"/>
      <c r="AS701" s="147"/>
      <c r="AT701" s="147"/>
      <c r="AU701" s="147"/>
      <c r="AV701" s="147"/>
      <c r="AW701" s="147"/>
    </row>
    <row r="702">
      <c r="A702" s="631"/>
      <c r="B702" s="631"/>
      <c r="C702" s="632"/>
      <c r="D702" s="633"/>
      <c r="E702" s="634"/>
      <c r="F702" s="635"/>
      <c r="G702" s="636"/>
      <c r="H702" s="637"/>
      <c r="I702" s="643"/>
      <c r="J702" s="644"/>
      <c r="K702" s="147"/>
      <c r="L702" s="632"/>
      <c r="M702" s="147"/>
      <c r="N702" s="640"/>
      <c r="O702" s="640"/>
      <c r="P702" s="641"/>
      <c r="Q702" s="642"/>
      <c r="R702" s="147"/>
      <c r="S702" s="147"/>
      <c r="T702" s="147"/>
      <c r="U702" s="147"/>
      <c r="V702" s="147"/>
      <c r="W702" s="147"/>
      <c r="X702" s="147"/>
      <c r="Y702" s="147"/>
      <c r="Z702" s="147"/>
      <c r="AA702" s="147"/>
      <c r="AB702" s="147"/>
      <c r="AC702" s="147"/>
      <c r="AD702" s="147"/>
      <c r="AE702" s="147"/>
      <c r="AF702" s="147"/>
      <c r="AG702" s="147"/>
      <c r="AH702" s="147"/>
      <c r="AI702" s="147"/>
      <c r="AJ702" s="147"/>
      <c r="AK702" s="147"/>
      <c r="AL702" s="147"/>
      <c r="AM702" s="147"/>
      <c r="AN702" s="147"/>
      <c r="AO702" s="147"/>
      <c r="AP702" s="147"/>
      <c r="AQ702" s="147"/>
      <c r="AR702" s="147"/>
      <c r="AS702" s="147"/>
      <c r="AT702" s="147"/>
      <c r="AU702" s="147"/>
      <c r="AV702" s="147"/>
      <c r="AW702" s="147"/>
    </row>
    <row r="703">
      <c r="A703" s="631"/>
      <c r="B703" s="631"/>
      <c r="C703" s="632"/>
      <c r="D703" s="633"/>
      <c r="E703" s="634"/>
      <c r="F703" s="635"/>
      <c r="G703" s="636"/>
      <c r="H703" s="637"/>
      <c r="I703" s="643"/>
      <c r="J703" s="644"/>
      <c r="K703" s="147"/>
      <c r="L703" s="632"/>
      <c r="M703" s="147"/>
      <c r="N703" s="640"/>
      <c r="O703" s="640"/>
      <c r="P703" s="641"/>
      <c r="Q703" s="642"/>
      <c r="R703" s="147"/>
      <c r="S703" s="147"/>
      <c r="T703" s="147"/>
      <c r="U703" s="147"/>
      <c r="V703" s="147"/>
      <c r="W703" s="147"/>
      <c r="X703" s="147"/>
      <c r="Y703" s="147"/>
      <c r="Z703" s="147"/>
      <c r="AA703" s="147"/>
      <c r="AB703" s="147"/>
      <c r="AC703" s="147"/>
      <c r="AD703" s="147"/>
      <c r="AE703" s="147"/>
      <c r="AF703" s="147"/>
      <c r="AG703" s="147"/>
      <c r="AH703" s="147"/>
      <c r="AI703" s="147"/>
      <c r="AJ703" s="147"/>
      <c r="AK703" s="147"/>
      <c r="AL703" s="147"/>
      <c r="AM703" s="147"/>
      <c r="AN703" s="147"/>
      <c r="AO703" s="147"/>
      <c r="AP703" s="147"/>
      <c r="AQ703" s="147"/>
      <c r="AR703" s="147"/>
      <c r="AS703" s="147"/>
      <c r="AT703" s="147"/>
      <c r="AU703" s="147"/>
      <c r="AV703" s="147"/>
      <c r="AW703" s="147"/>
    </row>
    <row r="704">
      <c r="A704" s="631"/>
      <c r="B704" s="631"/>
      <c r="C704" s="632"/>
      <c r="D704" s="633"/>
      <c r="E704" s="634"/>
      <c r="F704" s="635"/>
      <c r="G704" s="636"/>
      <c r="H704" s="637"/>
      <c r="I704" s="643"/>
      <c r="J704" s="644"/>
      <c r="K704" s="147"/>
      <c r="L704" s="632"/>
      <c r="M704" s="147"/>
      <c r="N704" s="640"/>
      <c r="O704" s="640"/>
      <c r="P704" s="641"/>
      <c r="Q704" s="642"/>
      <c r="R704" s="147"/>
      <c r="S704" s="147"/>
      <c r="T704" s="147"/>
      <c r="U704" s="147"/>
      <c r="V704" s="147"/>
      <c r="W704" s="147"/>
      <c r="X704" s="147"/>
      <c r="Y704" s="147"/>
      <c r="Z704" s="147"/>
      <c r="AA704" s="147"/>
      <c r="AB704" s="147"/>
      <c r="AC704" s="147"/>
      <c r="AD704" s="147"/>
      <c r="AE704" s="147"/>
      <c r="AF704" s="147"/>
      <c r="AG704" s="147"/>
      <c r="AH704" s="147"/>
      <c r="AI704" s="147"/>
      <c r="AJ704" s="147"/>
      <c r="AK704" s="147"/>
      <c r="AL704" s="147"/>
      <c r="AM704" s="147"/>
      <c r="AN704" s="147"/>
      <c r="AO704" s="147"/>
      <c r="AP704" s="147"/>
      <c r="AQ704" s="147"/>
      <c r="AR704" s="147"/>
      <c r="AS704" s="147"/>
      <c r="AT704" s="147"/>
      <c r="AU704" s="147"/>
      <c r="AV704" s="147"/>
      <c r="AW704" s="147"/>
    </row>
    <row r="705">
      <c r="A705" s="631"/>
      <c r="B705" s="631"/>
      <c r="C705" s="632"/>
      <c r="D705" s="633"/>
      <c r="E705" s="634"/>
      <c r="F705" s="635"/>
      <c r="G705" s="636"/>
      <c r="H705" s="637"/>
      <c r="I705" s="643"/>
      <c r="J705" s="644"/>
      <c r="K705" s="147"/>
      <c r="L705" s="632"/>
      <c r="M705" s="147"/>
      <c r="N705" s="640"/>
      <c r="O705" s="640"/>
      <c r="P705" s="641"/>
      <c r="Q705" s="642"/>
      <c r="R705" s="147"/>
      <c r="S705" s="147"/>
      <c r="T705" s="147"/>
      <c r="U705" s="147"/>
      <c r="V705" s="147"/>
      <c r="W705" s="147"/>
      <c r="X705" s="147"/>
      <c r="Y705" s="147"/>
      <c r="Z705" s="147"/>
      <c r="AA705" s="147"/>
      <c r="AB705" s="147"/>
      <c r="AC705" s="147"/>
      <c r="AD705" s="147"/>
      <c r="AE705" s="147"/>
      <c r="AF705" s="147"/>
      <c r="AG705" s="147"/>
      <c r="AH705" s="147"/>
      <c r="AI705" s="147"/>
      <c r="AJ705" s="147"/>
      <c r="AK705" s="147"/>
      <c r="AL705" s="147"/>
      <c r="AM705" s="147"/>
      <c r="AN705" s="147"/>
      <c r="AO705" s="147"/>
      <c r="AP705" s="147"/>
      <c r="AQ705" s="147"/>
      <c r="AR705" s="147"/>
      <c r="AS705" s="147"/>
      <c r="AT705" s="147"/>
      <c r="AU705" s="147"/>
      <c r="AV705" s="147"/>
      <c r="AW705" s="147"/>
    </row>
    <row r="706">
      <c r="A706" s="631"/>
      <c r="B706" s="631"/>
      <c r="C706" s="632"/>
      <c r="D706" s="633"/>
      <c r="E706" s="634"/>
      <c r="F706" s="635"/>
      <c r="G706" s="636"/>
      <c r="H706" s="637"/>
      <c r="I706" s="643"/>
      <c r="J706" s="644"/>
      <c r="K706" s="147"/>
      <c r="L706" s="632"/>
      <c r="M706" s="147"/>
      <c r="N706" s="640"/>
      <c r="O706" s="640"/>
      <c r="P706" s="641"/>
      <c r="Q706" s="642"/>
      <c r="R706" s="147"/>
      <c r="S706" s="147"/>
      <c r="T706" s="147"/>
      <c r="U706" s="147"/>
      <c r="V706" s="147"/>
      <c r="W706" s="147"/>
      <c r="X706" s="147"/>
      <c r="Y706" s="147"/>
      <c r="Z706" s="147"/>
      <c r="AA706" s="147"/>
      <c r="AB706" s="147"/>
      <c r="AC706" s="147"/>
      <c r="AD706" s="147"/>
      <c r="AE706" s="147"/>
      <c r="AF706" s="147"/>
      <c r="AG706" s="147"/>
      <c r="AH706" s="147"/>
      <c r="AI706" s="147"/>
      <c r="AJ706" s="147"/>
      <c r="AK706" s="147"/>
      <c r="AL706" s="147"/>
      <c r="AM706" s="147"/>
      <c r="AN706" s="147"/>
      <c r="AO706" s="147"/>
      <c r="AP706" s="147"/>
      <c r="AQ706" s="147"/>
      <c r="AR706" s="147"/>
      <c r="AS706" s="147"/>
      <c r="AT706" s="147"/>
      <c r="AU706" s="147"/>
      <c r="AV706" s="147"/>
      <c r="AW706" s="147"/>
    </row>
    <row r="707">
      <c r="A707" s="631"/>
      <c r="B707" s="631"/>
      <c r="C707" s="632"/>
      <c r="D707" s="633"/>
      <c r="E707" s="634"/>
      <c r="F707" s="635"/>
      <c r="G707" s="636"/>
      <c r="H707" s="637"/>
      <c r="I707" s="643"/>
      <c r="J707" s="644"/>
      <c r="K707" s="147"/>
      <c r="L707" s="632"/>
      <c r="M707" s="147"/>
      <c r="N707" s="640"/>
      <c r="O707" s="640"/>
      <c r="P707" s="641"/>
      <c r="Q707" s="642"/>
      <c r="R707" s="147"/>
      <c r="S707" s="147"/>
      <c r="T707" s="147"/>
      <c r="U707" s="147"/>
      <c r="V707" s="147"/>
      <c r="W707" s="147"/>
      <c r="X707" s="147"/>
      <c r="Y707" s="147"/>
      <c r="Z707" s="147"/>
      <c r="AA707" s="147"/>
      <c r="AB707" s="147"/>
      <c r="AC707" s="147"/>
      <c r="AD707" s="147"/>
      <c r="AE707" s="147"/>
      <c r="AF707" s="147"/>
      <c r="AG707" s="147"/>
      <c r="AH707" s="147"/>
      <c r="AI707" s="147"/>
      <c r="AJ707" s="147"/>
      <c r="AK707" s="147"/>
      <c r="AL707" s="147"/>
      <c r="AM707" s="147"/>
      <c r="AN707" s="147"/>
      <c r="AO707" s="147"/>
      <c r="AP707" s="147"/>
      <c r="AQ707" s="147"/>
      <c r="AR707" s="147"/>
      <c r="AS707" s="147"/>
      <c r="AT707" s="147"/>
      <c r="AU707" s="147"/>
      <c r="AV707" s="147"/>
      <c r="AW707" s="147"/>
    </row>
    <row r="708">
      <c r="A708" s="631"/>
      <c r="B708" s="631"/>
      <c r="C708" s="632"/>
      <c r="D708" s="633"/>
      <c r="E708" s="634"/>
      <c r="F708" s="635"/>
      <c r="G708" s="636"/>
      <c r="H708" s="637"/>
      <c r="I708" s="643"/>
      <c r="J708" s="644"/>
      <c r="K708" s="147"/>
      <c r="L708" s="632"/>
      <c r="M708" s="147"/>
      <c r="N708" s="640"/>
      <c r="O708" s="640"/>
      <c r="P708" s="641"/>
      <c r="Q708" s="642"/>
      <c r="R708" s="147"/>
      <c r="S708" s="147"/>
      <c r="T708" s="147"/>
      <c r="U708" s="147"/>
      <c r="V708" s="147"/>
      <c r="W708" s="147"/>
      <c r="X708" s="147"/>
      <c r="Y708" s="147"/>
      <c r="Z708" s="147"/>
      <c r="AA708" s="147"/>
      <c r="AB708" s="147"/>
      <c r="AC708" s="147"/>
      <c r="AD708" s="147"/>
      <c r="AE708" s="147"/>
      <c r="AF708" s="147"/>
      <c r="AG708" s="147"/>
      <c r="AH708" s="147"/>
      <c r="AI708" s="147"/>
      <c r="AJ708" s="147"/>
      <c r="AK708" s="147"/>
      <c r="AL708" s="147"/>
      <c r="AM708" s="147"/>
      <c r="AN708" s="147"/>
      <c r="AO708" s="147"/>
      <c r="AP708" s="147"/>
      <c r="AQ708" s="147"/>
      <c r="AR708" s="147"/>
      <c r="AS708" s="147"/>
      <c r="AT708" s="147"/>
      <c r="AU708" s="147"/>
      <c r="AV708" s="147"/>
      <c r="AW708" s="147"/>
    </row>
    <row r="709">
      <c r="A709" s="631"/>
      <c r="B709" s="631"/>
      <c r="C709" s="632"/>
      <c r="D709" s="633"/>
      <c r="E709" s="634"/>
      <c r="F709" s="635"/>
      <c r="G709" s="636"/>
      <c r="H709" s="637"/>
      <c r="I709" s="643"/>
      <c r="J709" s="644"/>
      <c r="K709" s="147"/>
      <c r="L709" s="632"/>
      <c r="M709" s="147"/>
      <c r="N709" s="640"/>
      <c r="O709" s="640"/>
      <c r="P709" s="641"/>
      <c r="Q709" s="642"/>
      <c r="R709" s="147"/>
      <c r="S709" s="147"/>
      <c r="T709" s="147"/>
      <c r="U709" s="147"/>
      <c r="V709" s="147"/>
      <c r="W709" s="147"/>
      <c r="X709" s="147"/>
      <c r="Y709" s="147"/>
      <c r="Z709" s="147"/>
      <c r="AA709" s="147"/>
      <c r="AB709" s="147"/>
      <c r="AC709" s="147"/>
      <c r="AD709" s="147"/>
      <c r="AE709" s="147"/>
      <c r="AF709" s="147"/>
      <c r="AG709" s="147"/>
      <c r="AH709" s="147"/>
      <c r="AI709" s="147"/>
      <c r="AJ709" s="147"/>
      <c r="AK709" s="147"/>
      <c r="AL709" s="147"/>
      <c r="AM709" s="147"/>
      <c r="AN709" s="147"/>
      <c r="AO709" s="147"/>
      <c r="AP709" s="147"/>
      <c r="AQ709" s="147"/>
      <c r="AR709" s="147"/>
      <c r="AS709" s="147"/>
      <c r="AT709" s="147"/>
      <c r="AU709" s="147"/>
      <c r="AV709" s="147"/>
      <c r="AW709" s="147"/>
    </row>
    <row r="710">
      <c r="A710" s="631"/>
      <c r="B710" s="631"/>
      <c r="C710" s="632"/>
      <c r="D710" s="633"/>
      <c r="E710" s="634"/>
      <c r="F710" s="635"/>
      <c r="G710" s="636"/>
      <c r="H710" s="637"/>
      <c r="I710" s="643"/>
      <c r="J710" s="644"/>
      <c r="K710" s="147"/>
      <c r="L710" s="632"/>
      <c r="M710" s="147"/>
      <c r="N710" s="640"/>
      <c r="O710" s="640"/>
      <c r="P710" s="641"/>
      <c r="Q710" s="642"/>
      <c r="R710" s="147"/>
      <c r="S710" s="147"/>
      <c r="T710" s="147"/>
      <c r="U710" s="147"/>
      <c r="V710" s="147"/>
      <c r="W710" s="147"/>
      <c r="X710" s="147"/>
      <c r="Y710" s="147"/>
      <c r="Z710" s="147"/>
      <c r="AA710" s="147"/>
      <c r="AB710" s="147"/>
      <c r="AC710" s="147"/>
      <c r="AD710" s="147"/>
      <c r="AE710" s="147"/>
      <c r="AF710" s="147"/>
      <c r="AG710" s="147"/>
      <c r="AH710" s="147"/>
      <c r="AI710" s="147"/>
      <c r="AJ710" s="147"/>
      <c r="AK710" s="147"/>
      <c r="AL710" s="147"/>
      <c r="AM710" s="147"/>
      <c r="AN710" s="147"/>
      <c r="AO710" s="147"/>
      <c r="AP710" s="147"/>
      <c r="AQ710" s="147"/>
      <c r="AR710" s="147"/>
      <c r="AS710" s="147"/>
      <c r="AT710" s="147"/>
      <c r="AU710" s="147"/>
      <c r="AV710" s="147"/>
      <c r="AW710" s="147"/>
    </row>
    <row r="711">
      <c r="A711" s="631"/>
      <c r="B711" s="631"/>
      <c r="C711" s="632"/>
      <c r="D711" s="633"/>
      <c r="E711" s="634"/>
      <c r="F711" s="635"/>
      <c r="G711" s="636"/>
      <c r="H711" s="637"/>
      <c r="I711" s="643"/>
      <c r="J711" s="644"/>
      <c r="K711" s="147"/>
      <c r="L711" s="632"/>
      <c r="M711" s="147"/>
      <c r="N711" s="640"/>
      <c r="O711" s="640"/>
      <c r="P711" s="641"/>
      <c r="Q711" s="642"/>
      <c r="R711" s="147"/>
      <c r="S711" s="147"/>
      <c r="T711" s="147"/>
      <c r="U711" s="147"/>
      <c r="V711" s="147"/>
      <c r="W711" s="147"/>
      <c r="X711" s="147"/>
      <c r="Y711" s="147"/>
      <c r="Z711" s="147"/>
      <c r="AA711" s="147"/>
      <c r="AB711" s="147"/>
      <c r="AC711" s="147"/>
      <c r="AD711" s="147"/>
      <c r="AE711" s="147"/>
      <c r="AF711" s="147"/>
      <c r="AG711" s="147"/>
      <c r="AH711" s="147"/>
      <c r="AI711" s="147"/>
      <c r="AJ711" s="147"/>
      <c r="AK711" s="147"/>
      <c r="AL711" s="147"/>
      <c r="AM711" s="147"/>
      <c r="AN711" s="147"/>
      <c r="AO711" s="147"/>
      <c r="AP711" s="147"/>
      <c r="AQ711" s="147"/>
      <c r="AR711" s="147"/>
      <c r="AS711" s="147"/>
      <c r="AT711" s="147"/>
      <c r="AU711" s="147"/>
      <c r="AV711" s="147"/>
      <c r="AW711" s="147"/>
    </row>
    <row r="712">
      <c r="A712" s="631"/>
      <c r="B712" s="631"/>
      <c r="C712" s="632"/>
      <c r="D712" s="633"/>
      <c r="E712" s="634"/>
      <c r="F712" s="635"/>
      <c r="G712" s="636"/>
      <c r="H712" s="637"/>
      <c r="I712" s="643"/>
      <c r="J712" s="644"/>
      <c r="K712" s="147"/>
      <c r="L712" s="632"/>
      <c r="M712" s="147"/>
      <c r="N712" s="640"/>
      <c r="O712" s="640"/>
      <c r="P712" s="641"/>
      <c r="Q712" s="642"/>
      <c r="R712" s="147"/>
      <c r="S712" s="147"/>
      <c r="T712" s="147"/>
      <c r="U712" s="147"/>
      <c r="V712" s="147"/>
      <c r="W712" s="147"/>
      <c r="X712" s="147"/>
      <c r="Y712" s="147"/>
      <c r="Z712" s="147"/>
      <c r="AA712" s="147"/>
      <c r="AB712" s="147"/>
      <c r="AC712" s="147"/>
      <c r="AD712" s="147"/>
      <c r="AE712" s="147"/>
      <c r="AF712" s="147"/>
      <c r="AG712" s="147"/>
      <c r="AH712" s="147"/>
      <c r="AI712" s="147"/>
      <c r="AJ712" s="147"/>
      <c r="AK712" s="147"/>
      <c r="AL712" s="147"/>
      <c r="AM712" s="147"/>
      <c r="AN712" s="147"/>
      <c r="AO712" s="147"/>
      <c r="AP712" s="147"/>
      <c r="AQ712" s="147"/>
      <c r="AR712" s="147"/>
      <c r="AS712" s="147"/>
      <c r="AT712" s="147"/>
      <c r="AU712" s="147"/>
      <c r="AV712" s="147"/>
      <c r="AW712" s="147"/>
    </row>
    <row r="713">
      <c r="A713" s="631"/>
      <c r="B713" s="631"/>
      <c r="C713" s="632"/>
      <c r="D713" s="633"/>
      <c r="E713" s="634"/>
      <c r="F713" s="635"/>
      <c r="G713" s="636"/>
      <c r="H713" s="637"/>
      <c r="I713" s="643"/>
      <c r="J713" s="644"/>
      <c r="K713" s="147"/>
      <c r="L713" s="632"/>
      <c r="M713" s="147"/>
      <c r="N713" s="640"/>
      <c r="O713" s="640"/>
      <c r="P713" s="641"/>
      <c r="Q713" s="642"/>
      <c r="R713" s="147"/>
      <c r="S713" s="147"/>
      <c r="T713" s="147"/>
      <c r="U713" s="147"/>
      <c r="V713" s="147"/>
      <c r="W713" s="147"/>
      <c r="X713" s="147"/>
      <c r="Y713" s="147"/>
      <c r="Z713" s="147"/>
      <c r="AA713" s="147"/>
      <c r="AB713" s="147"/>
      <c r="AC713" s="147"/>
      <c r="AD713" s="147"/>
      <c r="AE713" s="147"/>
      <c r="AF713" s="147"/>
      <c r="AG713" s="147"/>
      <c r="AH713" s="147"/>
      <c r="AI713" s="147"/>
      <c r="AJ713" s="147"/>
      <c r="AK713" s="147"/>
      <c r="AL713" s="147"/>
      <c r="AM713" s="147"/>
      <c r="AN713" s="147"/>
      <c r="AO713" s="147"/>
      <c r="AP713" s="147"/>
      <c r="AQ713" s="147"/>
      <c r="AR713" s="147"/>
      <c r="AS713" s="147"/>
      <c r="AT713" s="147"/>
      <c r="AU713" s="147"/>
      <c r="AV713" s="147"/>
      <c r="AW713" s="147"/>
    </row>
    <row r="714">
      <c r="A714" s="631"/>
      <c r="B714" s="631"/>
      <c r="C714" s="632"/>
      <c r="D714" s="633"/>
      <c r="E714" s="634"/>
      <c r="F714" s="635"/>
      <c r="G714" s="636"/>
      <c r="H714" s="637"/>
      <c r="I714" s="643"/>
      <c r="J714" s="644"/>
      <c r="K714" s="147"/>
      <c r="L714" s="632"/>
      <c r="M714" s="147"/>
      <c r="N714" s="640"/>
      <c r="O714" s="640"/>
      <c r="P714" s="641"/>
      <c r="Q714" s="642"/>
      <c r="R714" s="147"/>
      <c r="S714" s="147"/>
      <c r="T714" s="147"/>
      <c r="U714" s="147"/>
      <c r="V714" s="147"/>
      <c r="W714" s="147"/>
      <c r="X714" s="147"/>
      <c r="Y714" s="147"/>
      <c r="Z714" s="147"/>
      <c r="AA714" s="147"/>
      <c r="AB714" s="147"/>
      <c r="AC714" s="147"/>
      <c r="AD714" s="147"/>
      <c r="AE714" s="147"/>
      <c r="AF714" s="147"/>
      <c r="AG714" s="147"/>
      <c r="AH714" s="147"/>
      <c r="AI714" s="147"/>
      <c r="AJ714" s="147"/>
      <c r="AK714" s="147"/>
      <c r="AL714" s="147"/>
      <c r="AM714" s="147"/>
      <c r="AN714" s="147"/>
      <c r="AO714" s="147"/>
      <c r="AP714" s="147"/>
      <c r="AQ714" s="147"/>
      <c r="AR714" s="147"/>
      <c r="AS714" s="147"/>
      <c r="AT714" s="147"/>
      <c r="AU714" s="147"/>
      <c r="AV714" s="147"/>
      <c r="AW714" s="147"/>
    </row>
    <row r="715">
      <c r="A715" s="631"/>
      <c r="B715" s="631"/>
      <c r="C715" s="632"/>
      <c r="D715" s="633"/>
      <c r="E715" s="634"/>
      <c r="F715" s="635"/>
      <c r="G715" s="636"/>
      <c r="H715" s="637"/>
      <c r="I715" s="643"/>
      <c r="J715" s="644"/>
      <c r="K715" s="147"/>
      <c r="L715" s="632"/>
      <c r="M715" s="147"/>
      <c r="N715" s="640"/>
      <c r="O715" s="640"/>
      <c r="P715" s="641"/>
      <c r="Q715" s="642"/>
      <c r="R715" s="147"/>
      <c r="S715" s="147"/>
      <c r="T715" s="147"/>
      <c r="U715" s="147"/>
      <c r="V715" s="147"/>
      <c r="W715" s="147"/>
      <c r="X715" s="147"/>
      <c r="Y715" s="147"/>
      <c r="Z715" s="147"/>
      <c r="AA715" s="147"/>
      <c r="AB715" s="147"/>
      <c r="AC715" s="147"/>
      <c r="AD715" s="147"/>
      <c r="AE715" s="147"/>
      <c r="AF715" s="147"/>
      <c r="AG715" s="147"/>
      <c r="AH715" s="147"/>
      <c r="AI715" s="147"/>
      <c r="AJ715" s="147"/>
      <c r="AK715" s="147"/>
      <c r="AL715" s="147"/>
      <c r="AM715" s="147"/>
      <c r="AN715" s="147"/>
      <c r="AO715" s="147"/>
      <c r="AP715" s="147"/>
      <c r="AQ715" s="147"/>
      <c r="AR715" s="147"/>
      <c r="AS715" s="147"/>
      <c r="AT715" s="147"/>
      <c r="AU715" s="147"/>
      <c r="AV715" s="147"/>
      <c r="AW715" s="147"/>
    </row>
    <row r="716">
      <c r="A716" s="631"/>
      <c r="B716" s="631"/>
      <c r="C716" s="632"/>
      <c r="D716" s="633"/>
      <c r="E716" s="634"/>
      <c r="F716" s="635"/>
      <c r="G716" s="636"/>
      <c r="H716" s="637"/>
      <c r="I716" s="643"/>
      <c r="J716" s="644"/>
      <c r="K716" s="147"/>
      <c r="L716" s="632"/>
      <c r="M716" s="147"/>
      <c r="N716" s="640"/>
      <c r="O716" s="640"/>
      <c r="P716" s="641"/>
      <c r="Q716" s="642"/>
      <c r="R716" s="147"/>
      <c r="S716" s="147"/>
      <c r="T716" s="147"/>
      <c r="U716" s="147"/>
      <c r="V716" s="147"/>
      <c r="W716" s="147"/>
      <c r="X716" s="147"/>
      <c r="Y716" s="147"/>
      <c r="Z716" s="147"/>
      <c r="AA716" s="147"/>
      <c r="AB716" s="147"/>
      <c r="AC716" s="147"/>
      <c r="AD716" s="147"/>
      <c r="AE716" s="147"/>
      <c r="AF716" s="147"/>
      <c r="AG716" s="147"/>
      <c r="AH716" s="147"/>
      <c r="AI716" s="147"/>
      <c r="AJ716" s="147"/>
      <c r="AK716" s="147"/>
      <c r="AL716" s="147"/>
      <c r="AM716" s="147"/>
      <c r="AN716" s="147"/>
      <c r="AO716" s="147"/>
      <c r="AP716" s="147"/>
      <c r="AQ716" s="147"/>
      <c r="AR716" s="147"/>
      <c r="AS716" s="147"/>
      <c r="AT716" s="147"/>
      <c r="AU716" s="147"/>
      <c r="AV716" s="147"/>
      <c r="AW716" s="147"/>
    </row>
    <row r="717">
      <c r="A717" s="631"/>
      <c r="B717" s="631"/>
      <c r="C717" s="632"/>
      <c r="D717" s="633"/>
      <c r="E717" s="634"/>
      <c r="F717" s="635"/>
      <c r="G717" s="636"/>
      <c r="H717" s="637"/>
      <c r="I717" s="643"/>
      <c r="J717" s="644"/>
      <c r="K717" s="147"/>
      <c r="L717" s="632"/>
      <c r="M717" s="147"/>
      <c r="N717" s="640"/>
      <c r="O717" s="640"/>
      <c r="P717" s="641"/>
      <c r="Q717" s="642"/>
      <c r="R717" s="147"/>
      <c r="S717" s="147"/>
      <c r="T717" s="147"/>
      <c r="U717" s="147"/>
      <c r="V717" s="147"/>
      <c r="W717" s="147"/>
      <c r="X717" s="147"/>
      <c r="Y717" s="147"/>
      <c r="Z717" s="147"/>
      <c r="AA717" s="147"/>
      <c r="AB717" s="147"/>
      <c r="AC717" s="147"/>
      <c r="AD717" s="147"/>
      <c r="AE717" s="147"/>
      <c r="AF717" s="147"/>
      <c r="AG717" s="147"/>
      <c r="AH717" s="147"/>
      <c r="AI717" s="147"/>
      <c r="AJ717" s="147"/>
      <c r="AK717" s="147"/>
      <c r="AL717" s="147"/>
      <c r="AM717" s="147"/>
      <c r="AN717" s="147"/>
      <c r="AO717" s="147"/>
      <c r="AP717" s="147"/>
      <c r="AQ717" s="147"/>
      <c r="AR717" s="147"/>
      <c r="AS717" s="147"/>
      <c r="AT717" s="147"/>
      <c r="AU717" s="147"/>
      <c r="AV717" s="147"/>
      <c r="AW717" s="147"/>
    </row>
    <row r="718">
      <c r="A718" s="631"/>
      <c r="B718" s="631"/>
      <c r="C718" s="632"/>
      <c r="D718" s="633"/>
      <c r="E718" s="634"/>
      <c r="F718" s="635"/>
      <c r="G718" s="636"/>
      <c r="H718" s="637"/>
      <c r="I718" s="643"/>
      <c r="J718" s="644"/>
      <c r="K718" s="147"/>
      <c r="L718" s="632"/>
      <c r="M718" s="147"/>
      <c r="N718" s="640"/>
      <c r="O718" s="640"/>
      <c r="P718" s="641"/>
      <c r="Q718" s="642"/>
      <c r="R718" s="147"/>
      <c r="S718" s="147"/>
      <c r="T718" s="147"/>
      <c r="U718" s="147"/>
      <c r="V718" s="147"/>
      <c r="W718" s="147"/>
      <c r="X718" s="147"/>
      <c r="Y718" s="147"/>
      <c r="Z718" s="147"/>
      <c r="AA718" s="147"/>
      <c r="AB718" s="147"/>
      <c r="AC718" s="147"/>
      <c r="AD718" s="147"/>
      <c r="AE718" s="147"/>
      <c r="AF718" s="147"/>
      <c r="AG718" s="147"/>
      <c r="AH718" s="147"/>
      <c r="AI718" s="147"/>
      <c r="AJ718" s="147"/>
      <c r="AK718" s="147"/>
      <c r="AL718" s="147"/>
      <c r="AM718" s="147"/>
      <c r="AN718" s="147"/>
      <c r="AO718" s="147"/>
      <c r="AP718" s="147"/>
      <c r="AQ718" s="147"/>
      <c r="AR718" s="147"/>
      <c r="AS718" s="147"/>
      <c r="AT718" s="147"/>
      <c r="AU718" s="147"/>
      <c r="AV718" s="147"/>
      <c r="AW718" s="147"/>
    </row>
    <row r="719">
      <c r="A719" s="631"/>
      <c r="B719" s="631"/>
      <c r="C719" s="632"/>
      <c r="D719" s="633"/>
      <c r="E719" s="634"/>
      <c r="F719" s="635"/>
      <c r="G719" s="636"/>
      <c r="H719" s="637"/>
      <c r="I719" s="643"/>
      <c r="J719" s="644"/>
      <c r="K719" s="147"/>
      <c r="L719" s="632"/>
      <c r="M719" s="147"/>
      <c r="N719" s="640"/>
      <c r="O719" s="640"/>
      <c r="P719" s="641"/>
      <c r="Q719" s="642"/>
      <c r="R719" s="147"/>
      <c r="S719" s="147"/>
      <c r="T719" s="147"/>
      <c r="U719" s="147"/>
      <c r="V719" s="147"/>
      <c r="W719" s="147"/>
      <c r="X719" s="147"/>
      <c r="Y719" s="147"/>
      <c r="Z719" s="147"/>
      <c r="AA719" s="147"/>
      <c r="AB719" s="147"/>
      <c r="AC719" s="147"/>
      <c r="AD719" s="147"/>
      <c r="AE719" s="147"/>
      <c r="AF719" s="147"/>
      <c r="AG719" s="147"/>
      <c r="AH719" s="147"/>
      <c r="AI719" s="147"/>
      <c r="AJ719" s="147"/>
      <c r="AK719" s="147"/>
      <c r="AL719" s="147"/>
      <c r="AM719" s="147"/>
      <c r="AN719" s="147"/>
      <c r="AO719" s="147"/>
      <c r="AP719" s="147"/>
      <c r="AQ719" s="147"/>
      <c r="AR719" s="147"/>
      <c r="AS719" s="147"/>
      <c r="AT719" s="147"/>
      <c r="AU719" s="147"/>
      <c r="AV719" s="147"/>
      <c r="AW719" s="147"/>
    </row>
    <row r="720">
      <c r="A720" s="631"/>
      <c r="B720" s="631"/>
      <c r="C720" s="632"/>
      <c r="D720" s="633"/>
      <c r="E720" s="634"/>
      <c r="F720" s="635"/>
      <c r="G720" s="636"/>
      <c r="H720" s="637"/>
      <c r="I720" s="643"/>
      <c r="J720" s="644"/>
      <c r="K720" s="147"/>
      <c r="L720" s="632"/>
      <c r="M720" s="147"/>
      <c r="N720" s="640"/>
      <c r="O720" s="640"/>
      <c r="P720" s="641"/>
      <c r="Q720" s="642"/>
      <c r="R720" s="147"/>
      <c r="S720" s="147"/>
      <c r="T720" s="147"/>
      <c r="U720" s="147"/>
      <c r="V720" s="147"/>
      <c r="W720" s="147"/>
      <c r="X720" s="147"/>
      <c r="Y720" s="147"/>
      <c r="Z720" s="147"/>
      <c r="AA720" s="147"/>
      <c r="AB720" s="147"/>
      <c r="AC720" s="147"/>
      <c r="AD720" s="147"/>
      <c r="AE720" s="147"/>
      <c r="AF720" s="147"/>
      <c r="AG720" s="147"/>
      <c r="AH720" s="147"/>
      <c r="AI720" s="147"/>
      <c r="AJ720" s="147"/>
      <c r="AK720" s="147"/>
      <c r="AL720" s="147"/>
      <c r="AM720" s="147"/>
      <c r="AN720" s="147"/>
      <c r="AO720" s="147"/>
      <c r="AP720" s="147"/>
      <c r="AQ720" s="147"/>
      <c r="AR720" s="147"/>
      <c r="AS720" s="147"/>
      <c r="AT720" s="147"/>
      <c r="AU720" s="147"/>
      <c r="AV720" s="147"/>
      <c r="AW720" s="147"/>
    </row>
    <row r="721">
      <c r="A721" s="631"/>
      <c r="B721" s="631"/>
      <c r="C721" s="632"/>
      <c r="D721" s="633"/>
      <c r="E721" s="634"/>
      <c r="F721" s="635"/>
      <c r="G721" s="636"/>
      <c r="H721" s="637"/>
      <c r="I721" s="643"/>
      <c r="J721" s="644"/>
      <c r="K721" s="147"/>
      <c r="L721" s="632"/>
      <c r="M721" s="147"/>
      <c r="N721" s="640"/>
      <c r="O721" s="640"/>
      <c r="P721" s="641"/>
      <c r="Q721" s="642"/>
      <c r="R721" s="147"/>
      <c r="S721" s="147"/>
      <c r="T721" s="147"/>
      <c r="U721" s="147"/>
      <c r="V721" s="147"/>
      <c r="W721" s="147"/>
      <c r="X721" s="147"/>
      <c r="Y721" s="147"/>
      <c r="Z721" s="147"/>
      <c r="AA721" s="147"/>
      <c r="AB721" s="147"/>
      <c r="AC721" s="147"/>
      <c r="AD721" s="147"/>
      <c r="AE721" s="147"/>
      <c r="AF721" s="147"/>
      <c r="AG721" s="147"/>
      <c r="AH721" s="147"/>
      <c r="AI721" s="147"/>
      <c r="AJ721" s="147"/>
      <c r="AK721" s="147"/>
      <c r="AL721" s="147"/>
      <c r="AM721" s="147"/>
      <c r="AN721" s="147"/>
      <c r="AO721" s="147"/>
      <c r="AP721" s="147"/>
      <c r="AQ721" s="147"/>
      <c r="AR721" s="147"/>
      <c r="AS721" s="147"/>
      <c r="AT721" s="147"/>
      <c r="AU721" s="147"/>
      <c r="AV721" s="147"/>
      <c r="AW721" s="147"/>
    </row>
    <row r="722">
      <c r="A722" s="631"/>
      <c r="B722" s="631"/>
      <c r="C722" s="632"/>
      <c r="D722" s="633"/>
      <c r="E722" s="634"/>
      <c r="F722" s="635"/>
      <c r="G722" s="636"/>
      <c r="H722" s="637"/>
      <c r="I722" s="643"/>
      <c r="J722" s="644"/>
      <c r="K722" s="147"/>
      <c r="L722" s="632"/>
      <c r="M722" s="147"/>
      <c r="N722" s="640"/>
      <c r="O722" s="640"/>
      <c r="P722" s="641"/>
      <c r="Q722" s="642"/>
      <c r="R722" s="147"/>
      <c r="S722" s="147"/>
      <c r="T722" s="147"/>
      <c r="U722" s="147"/>
      <c r="V722" s="147"/>
      <c r="W722" s="147"/>
      <c r="X722" s="147"/>
      <c r="Y722" s="147"/>
      <c r="Z722" s="147"/>
      <c r="AA722" s="147"/>
      <c r="AB722" s="147"/>
      <c r="AC722" s="147"/>
      <c r="AD722" s="147"/>
      <c r="AE722" s="147"/>
      <c r="AF722" s="147"/>
      <c r="AG722" s="147"/>
      <c r="AH722" s="147"/>
      <c r="AI722" s="147"/>
      <c r="AJ722" s="147"/>
      <c r="AK722" s="147"/>
      <c r="AL722" s="147"/>
      <c r="AM722" s="147"/>
      <c r="AN722" s="147"/>
      <c r="AO722" s="147"/>
      <c r="AP722" s="147"/>
      <c r="AQ722" s="147"/>
      <c r="AR722" s="147"/>
      <c r="AS722" s="147"/>
      <c r="AT722" s="147"/>
      <c r="AU722" s="147"/>
      <c r="AV722" s="147"/>
      <c r="AW722" s="147"/>
    </row>
    <row r="723">
      <c r="A723" s="631"/>
      <c r="B723" s="631"/>
      <c r="C723" s="632"/>
      <c r="D723" s="633"/>
      <c r="E723" s="634"/>
      <c r="F723" s="635"/>
      <c r="G723" s="636"/>
      <c r="H723" s="637"/>
      <c r="I723" s="643"/>
      <c r="J723" s="644"/>
      <c r="K723" s="147"/>
      <c r="L723" s="632"/>
      <c r="M723" s="147"/>
      <c r="N723" s="640"/>
      <c r="O723" s="640"/>
      <c r="P723" s="641"/>
      <c r="Q723" s="642"/>
      <c r="R723" s="147"/>
      <c r="S723" s="147"/>
      <c r="T723" s="147"/>
      <c r="U723" s="147"/>
      <c r="V723" s="147"/>
      <c r="W723" s="147"/>
      <c r="X723" s="147"/>
      <c r="Y723" s="147"/>
      <c r="Z723" s="147"/>
      <c r="AA723" s="147"/>
      <c r="AB723" s="147"/>
      <c r="AC723" s="147"/>
      <c r="AD723" s="147"/>
      <c r="AE723" s="147"/>
      <c r="AF723" s="147"/>
      <c r="AG723" s="147"/>
      <c r="AH723" s="147"/>
      <c r="AI723" s="147"/>
      <c r="AJ723" s="147"/>
      <c r="AK723" s="147"/>
      <c r="AL723" s="147"/>
      <c r="AM723" s="147"/>
      <c r="AN723" s="147"/>
      <c r="AO723" s="147"/>
      <c r="AP723" s="147"/>
      <c r="AQ723" s="147"/>
      <c r="AR723" s="147"/>
      <c r="AS723" s="147"/>
      <c r="AT723" s="147"/>
      <c r="AU723" s="147"/>
      <c r="AV723" s="147"/>
      <c r="AW723" s="147"/>
    </row>
    <row r="724">
      <c r="A724" s="631"/>
      <c r="B724" s="631"/>
      <c r="C724" s="632"/>
      <c r="D724" s="633"/>
      <c r="E724" s="634"/>
      <c r="F724" s="635"/>
      <c r="G724" s="636"/>
      <c r="H724" s="637"/>
      <c r="I724" s="643"/>
      <c r="J724" s="644"/>
      <c r="K724" s="147"/>
      <c r="L724" s="632"/>
      <c r="M724" s="147"/>
      <c r="N724" s="640"/>
      <c r="O724" s="640"/>
      <c r="P724" s="641"/>
      <c r="Q724" s="642"/>
      <c r="R724" s="147"/>
      <c r="S724" s="147"/>
      <c r="T724" s="147"/>
      <c r="U724" s="147"/>
      <c r="V724" s="147"/>
      <c r="W724" s="147"/>
      <c r="X724" s="147"/>
      <c r="Y724" s="147"/>
      <c r="Z724" s="147"/>
      <c r="AA724" s="147"/>
      <c r="AB724" s="147"/>
      <c r="AC724" s="147"/>
      <c r="AD724" s="147"/>
      <c r="AE724" s="147"/>
      <c r="AF724" s="147"/>
      <c r="AG724" s="147"/>
      <c r="AH724" s="147"/>
      <c r="AI724" s="147"/>
      <c r="AJ724" s="147"/>
      <c r="AK724" s="147"/>
      <c r="AL724" s="147"/>
      <c r="AM724" s="147"/>
      <c r="AN724" s="147"/>
      <c r="AO724" s="147"/>
      <c r="AP724" s="147"/>
      <c r="AQ724" s="147"/>
      <c r="AR724" s="147"/>
      <c r="AS724" s="147"/>
      <c r="AT724" s="147"/>
      <c r="AU724" s="147"/>
      <c r="AV724" s="147"/>
      <c r="AW724" s="147"/>
    </row>
    <row r="725">
      <c r="A725" s="631"/>
      <c r="B725" s="631"/>
      <c r="C725" s="632"/>
      <c r="D725" s="633"/>
      <c r="E725" s="634"/>
      <c r="F725" s="635"/>
      <c r="G725" s="636"/>
      <c r="H725" s="637"/>
      <c r="I725" s="643"/>
      <c r="J725" s="644"/>
      <c r="K725" s="147"/>
      <c r="L725" s="632"/>
      <c r="M725" s="147"/>
      <c r="N725" s="640"/>
      <c r="O725" s="640"/>
      <c r="P725" s="641"/>
      <c r="Q725" s="642"/>
      <c r="R725" s="147"/>
      <c r="S725" s="147"/>
      <c r="T725" s="147"/>
      <c r="U725" s="147"/>
      <c r="V725" s="147"/>
      <c r="W725" s="147"/>
      <c r="X725" s="147"/>
      <c r="Y725" s="147"/>
      <c r="Z725" s="147"/>
      <c r="AA725" s="147"/>
      <c r="AB725" s="147"/>
      <c r="AC725" s="147"/>
      <c r="AD725" s="147"/>
      <c r="AE725" s="147"/>
      <c r="AF725" s="147"/>
      <c r="AG725" s="147"/>
      <c r="AH725" s="147"/>
      <c r="AI725" s="147"/>
      <c r="AJ725" s="147"/>
      <c r="AK725" s="147"/>
      <c r="AL725" s="147"/>
      <c r="AM725" s="147"/>
      <c r="AN725" s="147"/>
      <c r="AO725" s="147"/>
      <c r="AP725" s="147"/>
      <c r="AQ725" s="147"/>
      <c r="AR725" s="147"/>
      <c r="AS725" s="147"/>
      <c r="AT725" s="147"/>
      <c r="AU725" s="147"/>
      <c r="AV725" s="147"/>
      <c r="AW725" s="147"/>
    </row>
    <row r="726">
      <c r="A726" s="631"/>
      <c r="B726" s="631"/>
      <c r="C726" s="632"/>
      <c r="D726" s="633"/>
      <c r="E726" s="634"/>
      <c r="F726" s="635"/>
      <c r="G726" s="636"/>
      <c r="H726" s="637"/>
      <c r="I726" s="643"/>
      <c r="J726" s="644"/>
      <c r="K726" s="147"/>
      <c r="L726" s="632"/>
      <c r="M726" s="147"/>
      <c r="N726" s="640"/>
      <c r="O726" s="640"/>
      <c r="P726" s="641"/>
      <c r="Q726" s="642"/>
      <c r="R726" s="147"/>
      <c r="S726" s="147"/>
      <c r="T726" s="147"/>
      <c r="U726" s="147"/>
      <c r="V726" s="147"/>
      <c r="W726" s="147"/>
      <c r="X726" s="147"/>
      <c r="Y726" s="147"/>
      <c r="Z726" s="147"/>
      <c r="AA726" s="147"/>
      <c r="AB726" s="147"/>
      <c r="AC726" s="147"/>
      <c r="AD726" s="147"/>
      <c r="AE726" s="147"/>
      <c r="AF726" s="147"/>
      <c r="AG726" s="147"/>
      <c r="AH726" s="147"/>
      <c r="AI726" s="147"/>
      <c r="AJ726" s="147"/>
      <c r="AK726" s="147"/>
      <c r="AL726" s="147"/>
      <c r="AM726" s="147"/>
      <c r="AN726" s="147"/>
      <c r="AO726" s="147"/>
      <c r="AP726" s="147"/>
      <c r="AQ726" s="147"/>
      <c r="AR726" s="147"/>
      <c r="AS726" s="147"/>
      <c r="AT726" s="147"/>
      <c r="AU726" s="147"/>
      <c r="AV726" s="147"/>
      <c r="AW726" s="147"/>
    </row>
    <row r="727">
      <c r="A727" s="631"/>
      <c r="B727" s="631"/>
      <c r="C727" s="632"/>
      <c r="D727" s="633"/>
      <c r="E727" s="634"/>
      <c r="F727" s="635"/>
      <c r="G727" s="636"/>
      <c r="H727" s="637"/>
      <c r="I727" s="643"/>
      <c r="J727" s="644"/>
      <c r="K727" s="147"/>
      <c r="L727" s="632"/>
      <c r="M727" s="147"/>
      <c r="N727" s="640"/>
      <c r="O727" s="640"/>
      <c r="P727" s="641"/>
      <c r="Q727" s="642"/>
      <c r="R727" s="147"/>
      <c r="S727" s="147"/>
      <c r="T727" s="147"/>
      <c r="U727" s="147"/>
      <c r="V727" s="147"/>
      <c r="W727" s="147"/>
      <c r="X727" s="147"/>
      <c r="Y727" s="147"/>
      <c r="Z727" s="147"/>
      <c r="AA727" s="147"/>
      <c r="AB727" s="147"/>
      <c r="AC727" s="147"/>
      <c r="AD727" s="147"/>
      <c r="AE727" s="147"/>
      <c r="AF727" s="147"/>
      <c r="AG727" s="147"/>
      <c r="AH727" s="147"/>
      <c r="AI727" s="147"/>
      <c r="AJ727" s="147"/>
      <c r="AK727" s="147"/>
      <c r="AL727" s="147"/>
      <c r="AM727" s="147"/>
      <c r="AN727" s="147"/>
      <c r="AO727" s="147"/>
      <c r="AP727" s="147"/>
      <c r="AQ727" s="147"/>
      <c r="AR727" s="147"/>
      <c r="AS727" s="147"/>
      <c r="AT727" s="147"/>
      <c r="AU727" s="147"/>
      <c r="AV727" s="147"/>
      <c r="AW727" s="147"/>
    </row>
    <row r="728">
      <c r="A728" s="631"/>
      <c r="B728" s="631"/>
      <c r="C728" s="632"/>
      <c r="D728" s="633"/>
      <c r="E728" s="634"/>
      <c r="F728" s="635"/>
      <c r="G728" s="636"/>
      <c r="H728" s="637"/>
      <c r="I728" s="643"/>
      <c r="J728" s="644"/>
      <c r="K728" s="147"/>
      <c r="L728" s="632"/>
      <c r="M728" s="147"/>
      <c r="N728" s="640"/>
      <c r="O728" s="640"/>
      <c r="P728" s="641"/>
      <c r="Q728" s="642"/>
      <c r="R728" s="147"/>
      <c r="S728" s="147"/>
      <c r="T728" s="147"/>
      <c r="U728" s="147"/>
      <c r="V728" s="147"/>
      <c r="W728" s="147"/>
      <c r="X728" s="147"/>
      <c r="Y728" s="147"/>
      <c r="Z728" s="147"/>
      <c r="AA728" s="147"/>
      <c r="AB728" s="147"/>
      <c r="AC728" s="147"/>
      <c r="AD728" s="147"/>
      <c r="AE728" s="147"/>
      <c r="AF728" s="147"/>
      <c r="AG728" s="147"/>
      <c r="AH728" s="147"/>
      <c r="AI728" s="147"/>
      <c r="AJ728" s="147"/>
      <c r="AK728" s="147"/>
      <c r="AL728" s="147"/>
      <c r="AM728" s="147"/>
      <c r="AN728" s="147"/>
      <c r="AO728" s="147"/>
      <c r="AP728" s="147"/>
      <c r="AQ728" s="147"/>
      <c r="AR728" s="147"/>
      <c r="AS728" s="147"/>
      <c r="AT728" s="147"/>
      <c r="AU728" s="147"/>
      <c r="AV728" s="147"/>
      <c r="AW728" s="147"/>
    </row>
    <row r="729">
      <c r="A729" s="631"/>
      <c r="B729" s="631"/>
      <c r="C729" s="632"/>
      <c r="D729" s="633"/>
      <c r="E729" s="634"/>
      <c r="F729" s="635"/>
      <c r="G729" s="636"/>
      <c r="H729" s="637"/>
      <c r="I729" s="643"/>
      <c r="J729" s="644"/>
      <c r="K729" s="147"/>
      <c r="L729" s="632"/>
      <c r="M729" s="147"/>
      <c r="N729" s="640"/>
      <c r="O729" s="640"/>
      <c r="P729" s="641"/>
      <c r="Q729" s="642"/>
      <c r="R729" s="147"/>
      <c r="S729" s="147"/>
      <c r="T729" s="147"/>
      <c r="U729" s="147"/>
      <c r="V729" s="147"/>
      <c r="W729" s="147"/>
      <c r="X729" s="147"/>
      <c r="Y729" s="147"/>
      <c r="Z729" s="147"/>
      <c r="AA729" s="147"/>
      <c r="AB729" s="147"/>
      <c r="AC729" s="147"/>
      <c r="AD729" s="147"/>
      <c r="AE729" s="147"/>
      <c r="AF729" s="147"/>
      <c r="AG729" s="147"/>
      <c r="AH729" s="147"/>
      <c r="AI729" s="147"/>
      <c r="AJ729" s="147"/>
      <c r="AK729" s="147"/>
      <c r="AL729" s="147"/>
      <c r="AM729" s="147"/>
      <c r="AN729" s="147"/>
      <c r="AO729" s="147"/>
      <c r="AP729" s="147"/>
      <c r="AQ729" s="147"/>
      <c r="AR729" s="147"/>
      <c r="AS729" s="147"/>
      <c r="AT729" s="147"/>
      <c r="AU729" s="147"/>
      <c r="AV729" s="147"/>
      <c r="AW729" s="147"/>
    </row>
    <row r="730">
      <c r="A730" s="631"/>
      <c r="B730" s="631"/>
      <c r="C730" s="632"/>
      <c r="D730" s="633"/>
      <c r="E730" s="634"/>
      <c r="F730" s="635"/>
      <c r="G730" s="636"/>
      <c r="H730" s="637"/>
      <c r="I730" s="643"/>
      <c r="J730" s="644"/>
      <c r="K730" s="147"/>
      <c r="L730" s="632"/>
      <c r="M730" s="147"/>
      <c r="N730" s="640"/>
      <c r="O730" s="640"/>
      <c r="P730" s="641"/>
      <c r="Q730" s="642"/>
      <c r="R730" s="147"/>
      <c r="S730" s="147"/>
      <c r="T730" s="147"/>
      <c r="U730" s="147"/>
      <c r="V730" s="147"/>
      <c r="W730" s="147"/>
      <c r="X730" s="147"/>
      <c r="Y730" s="147"/>
      <c r="Z730" s="147"/>
      <c r="AA730" s="147"/>
      <c r="AB730" s="147"/>
      <c r="AC730" s="147"/>
      <c r="AD730" s="147"/>
      <c r="AE730" s="147"/>
      <c r="AF730" s="147"/>
      <c r="AG730" s="147"/>
      <c r="AH730" s="147"/>
      <c r="AI730" s="147"/>
      <c r="AJ730" s="147"/>
      <c r="AK730" s="147"/>
      <c r="AL730" s="147"/>
      <c r="AM730" s="147"/>
      <c r="AN730" s="147"/>
      <c r="AO730" s="147"/>
      <c r="AP730" s="147"/>
      <c r="AQ730" s="147"/>
      <c r="AR730" s="147"/>
      <c r="AS730" s="147"/>
      <c r="AT730" s="147"/>
      <c r="AU730" s="147"/>
      <c r="AV730" s="147"/>
      <c r="AW730" s="147"/>
    </row>
    <row r="731">
      <c r="A731" s="631"/>
      <c r="B731" s="631"/>
      <c r="C731" s="632"/>
      <c r="D731" s="633"/>
      <c r="E731" s="634"/>
      <c r="F731" s="635"/>
      <c r="G731" s="636"/>
      <c r="H731" s="637"/>
      <c r="I731" s="643"/>
      <c r="J731" s="644"/>
      <c r="K731" s="147"/>
      <c r="L731" s="632"/>
      <c r="M731" s="147"/>
      <c r="N731" s="640"/>
      <c r="O731" s="640"/>
      <c r="P731" s="641"/>
      <c r="Q731" s="642"/>
      <c r="R731" s="147"/>
      <c r="S731" s="147"/>
      <c r="T731" s="147"/>
      <c r="U731" s="147"/>
      <c r="V731" s="147"/>
      <c r="W731" s="147"/>
      <c r="X731" s="147"/>
      <c r="Y731" s="147"/>
      <c r="Z731" s="147"/>
      <c r="AA731" s="147"/>
      <c r="AB731" s="147"/>
      <c r="AC731" s="147"/>
      <c r="AD731" s="147"/>
      <c r="AE731" s="147"/>
      <c r="AF731" s="147"/>
      <c r="AG731" s="147"/>
      <c r="AH731" s="147"/>
      <c r="AI731" s="147"/>
      <c r="AJ731" s="147"/>
      <c r="AK731" s="147"/>
      <c r="AL731" s="147"/>
      <c r="AM731" s="147"/>
      <c r="AN731" s="147"/>
      <c r="AO731" s="147"/>
      <c r="AP731" s="147"/>
      <c r="AQ731" s="147"/>
      <c r="AR731" s="147"/>
      <c r="AS731" s="147"/>
      <c r="AT731" s="147"/>
      <c r="AU731" s="147"/>
      <c r="AV731" s="147"/>
      <c r="AW731" s="147"/>
    </row>
    <row r="732">
      <c r="A732" s="631"/>
      <c r="B732" s="631"/>
      <c r="C732" s="632"/>
      <c r="D732" s="633"/>
      <c r="E732" s="634"/>
      <c r="F732" s="635"/>
      <c r="G732" s="636"/>
      <c r="H732" s="637"/>
      <c r="I732" s="643"/>
      <c r="J732" s="644"/>
      <c r="K732" s="147"/>
      <c r="L732" s="632"/>
      <c r="M732" s="147"/>
      <c r="N732" s="640"/>
      <c r="O732" s="640"/>
      <c r="P732" s="641"/>
      <c r="Q732" s="642"/>
      <c r="R732" s="147"/>
      <c r="S732" s="147"/>
      <c r="T732" s="147"/>
      <c r="U732" s="147"/>
      <c r="V732" s="147"/>
      <c r="W732" s="147"/>
      <c r="X732" s="147"/>
      <c r="Y732" s="147"/>
      <c r="Z732" s="147"/>
      <c r="AA732" s="147"/>
      <c r="AB732" s="147"/>
      <c r="AC732" s="147"/>
      <c r="AD732" s="147"/>
      <c r="AE732" s="147"/>
      <c r="AF732" s="147"/>
      <c r="AG732" s="147"/>
      <c r="AH732" s="147"/>
      <c r="AI732" s="147"/>
      <c r="AJ732" s="147"/>
      <c r="AK732" s="147"/>
      <c r="AL732" s="147"/>
      <c r="AM732" s="147"/>
      <c r="AN732" s="147"/>
      <c r="AO732" s="147"/>
      <c r="AP732" s="147"/>
      <c r="AQ732" s="147"/>
      <c r="AR732" s="147"/>
      <c r="AS732" s="147"/>
      <c r="AT732" s="147"/>
      <c r="AU732" s="147"/>
      <c r="AV732" s="147"/>
      <c r="AW732" s="147"/>
    </row>
    <row r="733">
      <c r="A733" s="631"/>
      <c r="B733" s="631"/>
      <c r="C733" s="632"/>
      <c r="D733" s="633"/>
      <c r="E733" s="634"/>
      <c r="F733" s="635"/>
      <c r="G733" s="636"/>
      <c r="H733" s="637"/>
      <c r="I733" s="643"/>
      <c r="J733" s="644"/>
      <c r="K733" s="147"/>
      <c r="L733" s="632"/>
      <c r="M733" s="147"/>
      <c r="N733" s="640"/>
      <c r="O733" s="640"/>
      <c r="P733" s="641"/>
      <c r="Q733" s="642"/>
      <c r="R733" s="147"/>
      <c r="S733" s="147"/>
      <c r="T733" s="147"/>
      <c r="U733" s="147"/>
      <c r="V733" s="147"/>
      <c r="W733" s="147"/>
      <c r="X733" s="147"/>
      <c r="Y733" s="147"/>
      <c r="Z733" s="147"/>
      <c r="AA733" s="147"/>
      <c r="AB733" s="147"/>
      <c r="AC733" s="147"/>
      <c r="AD733" s="147"/>
      <c r="AE733" s="147"/>
      <c r="AF733" s="147"/>
      <c r="AG733" s="147"/>
      <c r="AH733" s="147"/>
      <c r="AI733" s="147"/>
      <c r="AJ733" s="147"/>
      <c r="AK733" s="147"/>
      <c r="AL733" s="147"/>
      <c r="AM733" s="147"/>
      <c r="AN733" s="147"/>
      <c r="AO733" s="147"/>
      <c r="AP733" s="147"/>
      <c r="AQ733" s="147"/>
      <c r="AR733" s="147"/>
      <c r="AS733" s="147"/>
      <c r="AT733" s="147"/>
      <c r="AU733" s="147"/>
      <c r="AV733" s="147"/>
      <c r="AW733" s="147"/>
    </row>
    <row r="734">
      <c r="A734" s="631"/>
      <c r="B734" s="631"/>
      <c r="C734" s="632"/>
      <c r="D734" s="633"/>
      <c r="E734" s="634"/>
      <c r="F734" s="635"/>
      <c r="G734" s="636"/>
      <c r="H734" s="637"/>
      <c r="I734" s="643"/>
      <c r="J734" s="644"/>
      <c r="K734" s="147"/>
      <c r="L734" s="632"/>
      <c r="M734" s="147"/>
      <c r="N734" s="640"/>
      <c r="O734" s="640"/>
      <c r="P734" s="641"/>
      <c r="Q734" s="642"/>
      <c r="R734" s="147"/>
      <c r="S734" s="147"/>
      <c r="T734" s="147"/>
      <c r="U734" s="147"/>
      <c r="V734" s="147"/>
      <c r="W734" s="147"/>
      <c r="X734" s="147"/>
      <c r="Y734" s="147"/>
      <c r="Z734" s="147"/>
      <c r="AA734" s="147"/>
      <c r="AB734" s="147"/>
      <c r="AC734" s="147"/>
      <c r="AD734" s="147"/>
      <c r="AE734" s="147"/>
      <c r="AF734" s="147"/>
      <c r="AG734" s="147"/>
      <c r="AH734" s="147"/>
      <c r="AI734" s="147"/>
      <c r="AJ734" s="147"/>
      <c r="AK734" s="147"/>
      <c r="AL734" s="147"/>
      <c r="AM734" s="147"/>
      <c r="AN734" s="147"/>
      <c r="AO734" s="147"/>
      <c r="AP734" s="147"/>
      <c r="AQ734" s="147"/>
      <c r="AR734" s="147"/>
      <c r="AS734" s="147"/>
      <c r="AT734" s="147"/>
      <c r="AU734" s="147"/>
      <c r="AV734" s="147"/>
      <c r="AW734" s="147"/>
    </row>
    <row r="735">
      <c r="A735" s="631"/>
      <c r="B735" s="631"/>
      <c r="C735" s="632"/>
      <c r="D735" s="633"/>
      <c r="E735" s="634"/>
      <c r="F735" s="635"/>
      <c r="G735" s="636"/>
      <c r="H735" s="637"/>
      <c r="I735" s="643"/>
      <c r="J735" s="644"/>
      <c r="K735" s="147"/>
      <c r="L735" s="632"/>
      <c r="M735" s="147"/>
      <c r="N735" s="640"/>
      <c r="O735" s="640"/>
      <c r="P735" s="641"/>
      <c r="Q735" s="642"/>
      <c r="R735" s="147"/>
      <c r="S735" s="147"/>
      <c r="T735" s="147"/>
      <c r="U735" s="147"/>
      <c r="V735" s="147"/>
      <c r="W735" s="147"/>
      <c r="X735" s="147"/>
      <c r="Y735" s="147"/>
      <c r="Z735" s="147"/>
      <c r="AA735" s="147"/>
      <c r="AB735" s="147"/>
      <c r="AC735" s="147"/>
      <c r="AD735" s="147"/>
      <c r="AE735" s="147"/>
      <c r="AF735" s="147"/>
      <c r="AG735" s="147"/>
      <c r="AH735" s="147"/>
      <c r="AI735" s="147"/>
      <c r="AJ735" s="147"/>
      <c r="AK735" s="147"/>
      <c r="AL735" s="147"/>
      <c r="AM735" s="147"/>
      <c r="AN735" s="147"/>
      <c r="AO735" s="147"/>
      <c r="AP735" s="147"/>
      <c r="AQ735" s="147"/>
      <c r="AR735" s="147"/>
      <c r="AS735" s="147"/>
      <c r="AT735" s="147"/>
      <c r="AU735" s="147"/>
      <c r="AV735" s="147"/>
      <c r="AW735" s="147"/>
    </row>
    <row r="736">
      <c r="A736" s="631"/>
      <c r="B736" s="631"/>
      <c r="C736" s="632"/>
      <c r="D736" s="633"/>
      <c r="E736" s="634"/>
      <c r="F736" s="635"/>
      <c r="G736" s="636"/>
      <c r="H736" s="637"/>
      <c r="I736" s="643"/>
      <c r="J736" s="644"/>
      <c r="K736" s="147"/>
      <c r="L736" s="632"/>
      <c r="M736" s="147"/>
      <c r="N736" s="640"/>
      <c r="O736" s="640"/>
      <c r="P736" s="641"/>
      <c r="Q736" s="642"/>
      <c r="R736" s="147"/>
      <c r="S736" s="147"/>
      <c r="T736" s="147"/>
      <c r="U736" s="147"/>
      <c r="V736" s="147"/>
      <c r="W736" s="147"/>
      <c r="X736" s="147"/>
      <c r="Y736" s="147"/>
      <c r="Z736" s="147"/>
      <c r="AA736" s="147"/>
      <c r="AB736" s="147"/>
      <c r="AC736" s="147"/>
      <c r="AD736" s="147"/>
      <c r="AE736" s="147"/>
      <c r="AF736" s="147"/>
      <c r="AG736" s="147"/>
      <c r="AH736" s="147"/>
      <c r="AI736" s="147"/>
      <c r="AJ736" s="147"/>
      <c r="AK736" s="147"/>
      <c r="AL736" s="147"/>
      <c r="AM736" s="147"/>
      <c r="AN736" s="147"/>
      <c r="AO736" s="147"/>
      <c r="AP736" s="147"/>
      <c r="AQ736" s="147"/>
      <c r="AR736" s="147"/>
      <c r="AS736" s="147"/>
      <c r="AT736" s="147"/>
      <c r="AU736" s="147"/>
      <c r="AV736" s="147"/>
      <c r="AW736" s="147"/>
    </row>
    <row r="737">
      <c r="A737" s="631"/>
      <c r="B737" s="631"/>
      <c r="C737" s="632"/>
      <c r="D737" s="633"/>
      <c r="E737" s="634"/>
      <c r="F737" s="635"/>
      <c r="G737" s="636"/>
      <c r="H737" s="637"/>
      <c r="I737" s="643"/>
      <c r="J737" s="644"/>
      <c r="K737" s="147"/>
      <c r="L737" s="632"/>
      <c r="M737" s="147"/>
      <c r="N737" s="640"/>
      <c r="O737" s="640"/>
      <c r="P737" s="641"/>
      <c r="Q737" s="642"/>
      <c r="R737" s="147"/>
      <c r="S737" s="147"/>
      <c r="T737" s="147"/>
      <c r="U737" s="147"/>
      <c r="V737" s="147"/>
      <c r="W737" s="147"/>
      <c r="X737" s="147"/>
      <c r="Y737" s="147"/>
      <c r="Z737" s="147"/>
      <c r="AA737" s="147"/>
      <c r="AB737" s="147"/>
      <c r="AC737" s="147"/>
      <c r="AD737" s="147"/>
      <c r="AE737" s="147"/>
      <c r="AF737" s="147"/>
      <c r="AG737" s="147"/>
      <c r="AH737" s="147"/>
      <c r="AI737" s="147"/>
      <c r="AJ737" s="147"/>
      <c r="AK737" s="147"/>
      <c r="AL737" s="147"/>
      <c r="AM737" s="147"/>
      <c r="AN737" s="147"/>
      <c r="AO737" s="147"/>
      <c r="AP737" s="147"/>
      <c r="AQ737" s="147"/>
      <c r="AR737" s="147"/>
      <c r="AS737" s="147"/>
      <c r="AT737" s="147"/>
      <c r="AU737" s="147"/>
      <c r="AV737" s="147"/>
      <c r="AW737" s="147"/>
    </row>
    <row r="738">
      <c r="A738" s="631"/>
      <c r="B738" s="631"/>
      <c r="C738" s="632"/>
      <c r="D738" s="633"/>
      <c r="E738" s="634"/>
      <c r="F738" s="635"/>
      <c r="G738" s="636"/>
      <c r="H738" s="637"/>
      <c r="I738" s="643"/>
      <c r="J738" s="644"/>
      <c r="K738" s="147"/>
      <c r="L738" s="632"/>
      <c r="M738" s="147"/>
      <c r="N738" s="640"/>
      <c r="O738" s="640"/>
      <c r="P738" s="641"/>
      <c r="Q738" s="642"/>
      <c r="R738" s="147"/>
      <c r="S738" s="147"/>
      <c r="T738" s="147"/>
      <c r="U738" s="147"/>
      <c r="V738" s="147"/>
      <c r="W738" s="147"/>
      <c r="X738" s="147"/>
      <c r="Y738" s="147"/>
      <c r="Z738" s="147"/>
      <c r="AA738" s="147"/>
      <c r="AB738" s="147"/>
      <c r="AC738" s="147"/>
      <c r="AD738" s="147"/>
      <c r="AE738" s="147"/>
      <c r="AF738" s="147"/>
      <c r="AG738" s="147"/>
      <c r="AH738" s="147"/>
      <c r="AI738" s="147"/>
      <c r="AJ738" s="147"/>
      <c r="AK738" s="147"/>
      <c r="AL738" s="147"/>
      <c r="AM738" s="147"/>
      <c r="AN738" s="147"/>
      <c r="AO738" s="147"/>
      <c r="AP738" s="147"/>
      <c r="AQ738" s="147"/>
      <c r="AR738" s="147"/>
      <c r="AS738" s="147"/>
      <c r="AT738" s="147"/>
      <c r="AU738" s="147"/>
      <c r="AV738" s="147"/>
      <c r="AW738" s="147"/>
    </row>
    <row r="739">
      <c r="A739" s="631"/>
      <c r="B739" s="631"/>
      <c r="C739" s="632"/>
      <c r="D739" s="633"/>
      <c r="E739" s="634"/>
      <c r="F739" s="635"/>
      <c r="G739" s="636"/>
      <c r="H739" s="637"/>
      <c r="I739" s="643"/>
      <c r="J739" s="644"/>
      <c r="K739" s="147"/>
      <c r="L739" s="632"/>
      <c r="M739" s="147"/>
      <c r="N739" s="640"/>
      <c r="O739" s="640"/>
      <c r="P739" s="641"/>
      <c r="Q739" s="642"/>
      <c r="R739" s="147"/>
      <c r="S739" s="147"/>
      <c r="T739" s="147"/>
      <c r="U739" s="147"/>
      <c r="V739" s="147"/>
      <c r="W739" s="147"/>
      <c r="X739" s="147"/>
      <c r="Y739" s="147"/>
      <c r="Z739" s="147"/>
      <c r="AA739" s="147"/>
      <c r="AB739" s="147"/>
      <c r="AC739" s="147"/>
      <c r="AD739" s="147"/>
      <c r="AE739" s="147"/>
      <c r="AF739" s="147"/>
      <c r="AG739" s="147"/>
      <c r="AH739" s="147"/>
      <c r="AI739" s="147"/>
      <c r="AJ739" s="147"/>
      <c r="AK739" s="147"/>
      <c r="AL739" s="147"/>
      <c r="AM739" s="147"/>
      <c r="AN739" s="147"/>
      <c r="AO739" s="147"/>
      <c r="AP739" s="147"/>
      <c r="AQ739" s="147"/>
      <c r="AR739" s="147"/>
      <c r="AS739" s="147"/>
      <c r="AT739" s="147"/>
      <c r="AU739" s="147"/>
      <c r="AV739" s="147"/>
      <c r="AW739" s="147"/>
    </row>
    <row r="740">
      <c r="A740" s="631"/>
      <c r="B740" s="631"/>
      <c r="C740" s="632"/>
      <c r="D740" s="633"/>
      <c r="E740" s="634"/>
      <c r="F740" s="635"/>
      <c r="G740" s="636"/>
      <c r="H740" s="637"/>
      <c r="I740" s="643"/>
      <c r="J740" s="644"/>
      <c r="K740" s="147"/>
      <c r="L740" s="632"/>
      <c r="M740" s="147"/>
      <c r="N740" s="640"/>
      <c r="O740" s="640"/>
      <c r="P740" s="641"/>
      <c r="Q740" s="642"/>
      <c r="R740" s="147"/>
      <c r="S740" s="147"/>
      <c r="T740" s="147"/>
      <c r="U740" s="147"/>
      <c r="V740" s="147"/>
      <c r="W740" s="147"/>
      <c r="X740" s="147"/>
      <c r="Y740" s="147"/>
      <c r="Z740" s="147"/>
      <c r="AA740" s="147"/>
      <c r="AB740" s="147"/>
      <c r="AC740" s="147"/>
      <c r="AD740" s="147"/>
      <c r="AE740" s="147"/>
      <c r="AF740" s="147"/>
      <c r="AG740" s="147"/>
      <c r="AH740" s="147"/>
      <c r="AI740" s="147"/>
      <c r="AJ740" s="147"/>
      <c r="AK740" s="147"/>
      <c r="AL740" s="147"/>
      <c r="AM740" s="147"/>
      <c r="AN740" s="147"/>
      <c r="AO740" s="147"/>
      <c r="AP740" s="147"/>
      <c r="AQ740" s="147"/>
      <c r="AR740" s="147"/>
      <c r="AS740" s="147"/>
      <c r="AT740" s="147"/>
      <c r="AU740" s="147"/>
      <c r="AV740" s="147"/>
      <c r="AW740" s="147"/>
    </row>
    <row r="741">
      <c r="A741" s="631"/>
      <c r="B741" s="631"/>
      <c r="C741" s="632"/>
      <c r="D741" s="633"/>
      <c r="E741" s="634"/>
      <c r="F741" s="635"/>
      <c r="G741" s="636"/>
      <c r="H741" s="637"/>
      <c r="I741" s="643"/>
      <c r="J741" s="644"/>
      <c r="K741" s="147"/>
      <c r="L741" s="632"/>
      <c r="M741" s="147"/>
      <c r="N741" s="640"/>
      <c r="O741" s="640"/>
      <c r="P741" s="641"/>
      <c r="Q741" s="642"/>
      <c r="R741" s="147"/>
      <c r="S741" s="147"/>
      <c r="T741" s="147"/>
      <c r="U741" s="147"/>
      <c r="V741" s="147"/>
      <c r="W741" s="147"/>
      <c r="X741" s="147"/>
      <c r="Y741" s="147"/>
      <c r="Z741" s="147"/>
      <c r="AA741" s="147"/>
      <c r="AB741" s="147"/>
      <c r="AC741" s="147"/>
      <c r="AD741" s="147"/>
      <c r="AE741" s="147"/>
      <c r="AF741" s="147"/>
      <c r="AG741" s="147"/>
      <c r="AH741" s="147"/>
      <c r="AI741" s="147"/>
      <c r="AJ741" s="147"/>
      <c r="AK741" s="147"/>
      <c r="AL741" s="147"/>
      <c r="AM741" s="147"/>
      <c r="AN741" s="147"/>
      <c r="AO741" s="147"/>
      <c r="AP741" s="147"/>
      <c r="AQ741" s="147"/>
      <c r="AR741" s="147"/>
      <c r="AS741" s="147"/>
      <c r="AT741" s="147"/>
      <c r="AU741" s="147"/>
      <c r="AV741" s="147"/>
      <c r="AW741" s="147"/>
    </row>
    <row r="742">
      <c r="A742" s="631"/>
      <c r="B742" s="631"/>
      <c r="C742" s="632"/>
      <c r="D742" s="633"/>
      <c r="E742" s="634"/>
      <c r="F742" s="635"/>
      <c r="G742" s="636"/>
      <c r="H742" s="637"/>
      <c r="I742" s="643"/>
      <c r="J742" s="644"/>
      <c r="K742" s="147"/>
      <c r="L742" s="632"/>
      <c r="M742" s="147"/>
      <c r="N742" s="640"/>
      <c r="O742" s="640"/>
      <c r="P742" s="641"/>
      <c r="Q742" s="642"/>
      <c r="R742" s="147"/>
      <c r="S742" s="147"/>
      <c r="T742" s="147"/>
      <c r="U742" s="147"/>
      <c r="V742" s="147"/>
      <c r="W742" s="147"/>
      <c r="X742" s="147"/>
      <c r="Y742" s="147"/>
      <c r="Z742" s="147"/>
      <c r="AA742" s="147"/>
      <c r="AB742" s="147"/>
      <c r="AC742" s="147"/>
      <c r="AD742" s="147"/>
      <c r="AE742" s="147"/>
      <c r="AF742" s="147"/>
      <c r="AG742" s="147"/>
      <c r="AH742" s="147"/>
      <c r="AI742" s="147"/>
      <c r="AJ742" s="147"/>
      <c r="AK742" s="147"/>
      <c r="AL742" s="147"/>
      <c r="AM742" s="147"/>
      <c r="AN742" s="147"/>
      <c r="AO742" s="147"/>
      <c r="AP742" s="147"/>
      <c r="AQ742" s="147"/>
      <c r="AR742" s="147"/>
      <c r="AS742" s="147"/>
      <c r="AT742" s="147"/>
      <c r="AU742" s="147"/>
      <c r="AV742" s="147"/>
      <c r="AW742" s="147"/>
    </row>
    <row r="743">
      <c r="A743" s="631"/>
      <c r="B743" s="631"/>
      <c r="C743" s="632"/>
      <c r="D743" s="633"/>
      <c r="E743" s="634"/>
      <c r="F743" s="635"/>
      <c r="G743" s="636"/>
      <c r="H743" s="637"/>
      <c r="I743" s="643"/>
      <c r="J743" s="644"/>
      <c r="K743" s="147"/>
      <c r="L743" s="632"/>
      <c r="M743" s="147"/>
      <c r="N743" s="640"/>
      <c r="O743" s="640"/>
      <c r="P743" s="641"/>
      <c r="Q743" s="642"/>
      <c r="R743" s="147"/>
      <c r="S743" s="147"/>
      <c r="T743" s="147"/>
      <c r="U743" s="147"/>
      <c r="V743" s="147"/>
      <c r="W743" s="147"/>
      <c r="X743" s="147"/>
      <c r="Y743" s="147"/>
      <c r="Z743" s="147"/>
      <c r="AA743" s="147"/>
      <c r="AB743" s="147"/>
      <c r="AC743" s="147"/>
      <c r="AD743" s="147"/>
      <c r="AE743" s="147"/>
      <c r="AF743" s="147"/>
      <c r="AG743" s="147"/>
      <c r="AH743" s="147"/>
      <c r="AI743" s="147"/>
      <c r="AJ743" s="147"/>
      <c r="AK743" s="147"/>
      <c r="AL743" s="147"/>
      <c r="AM743" s="147"/>
      <c r="AN743" s="147"/>
      <c r="AO743" s="147"/>
      <c r="AP743" s="147"/>
      <c r="AQ743" s="147"/>
      <c r="AR743" s="147"/>
      <c r="AS743" s="147"/>
      <c r="AT743" s="147"/>
      <c r="AU743" s="147"/>
      <c r="AV743" s="147"/>
      <c r="AW743" s="147"/>
    </row>
    <row r="744">
      <c r="A744" s="631"/>
      <c r="B744" s="631"/>
      <c r="C744" s="632"/>
      <c r="D744" s="633"/>
      <c r="E744" s="634"/>
      <c r="F744" s="635"/>
      <c r="G744" s="636"/>
      <c r="H744" s="637"/>
      <c r="I744" s="643"/>
      <c r="J744" s="644"/>
      <c r="K744" s="147"/>
      <c r="L744" s="632"/>
      <c r="M744" s="147"/>
      <c r="N744" s="640"/>
      <c r="O744" s="640"/>
      <c r="P744" s="641"/>
      <c r="Q744" s="642"/>
      <c r="R744" s="147"/>
      <c r="S744" s="147"/>
      <c r="T744" s="147"/>
      <c r="U744" s="147"/>
      <c r="V744" s="147"/>
      <c r="W744" s="147"/>
      <c r="X744" s="147"/>
      <c r="Y744" s="147"/>
      <c r="Z744" s="147"/>
      <c r="AA744" s="147"/>
      <c r="AB744" s="147"/>
      <c r="AC744" s="147"/>
      <c r="AD744" s="147"/>
      <c r="AE744" s="147"/>
      <c r="AF744" s="147"/>
      <c r="AG744" s="147"/>
      <c r="AH744" s="147"/>
      <c r="AI744" s="147"/>
      <c r="AJ744" s="147"/>
      <c r="AK744" s="147"/>
      <c r="AL744" s="147"/>
      <c r="AM744" s="147"/>
      <c r="AN744" s="147"/>
      <c r="AO744" s="147"/>
      <c r="AP744" s="147"/>
      <c r="AQ744" s="147"/>
      <c r="AR744" s="147"/>
      <c r="AS744" s="147"/>
      <c r="AT744" s="147"/>
      <c r="AU744" s="147"/>
      <c r="AV744" s="147"/>
      <c r="AW744" s="147"/>
    </row>
    <row r="745">
      <c r="A745" s="631"/>
      <c r="B745" s="631"/>
      <c r="C745" s="632"/>
      <c r="D745" s="633"/>
      <c r="E745" s="634"/>
      <c r="F745" s="635"/>
      <c r="G745" s="636"/>
      <c r="H745" s="637"/>
      <c r="I745" s="643"/>
      <c r="J745" s="644"/>
      <c r="K745" s="147"/>
      <c r="L745" s="632"/>
      <c r="M745" s="147"/>
      <c r="N745" s="640"/>
      <c r="O745" s="640"/>
      <c r="P745" s="641"/>
      <c r="Q745" s="642"/>
      <c r="R745" s="147"/>
      <c r="S745" s="147"/>
      <c r="T745" s="147"/>
      <c r="U745" s="147"/>
      <c r="V745" s="147"/>
      <c r="W745" s="147"/>
      <c r="X745" s="147"/>
      <c r="Y745" s="147"/>
      <c r="Z745" s="147"/>
      <c r="AA745" s="147"/>
      <c r="AB745" s="147"/>
      <c r="AC745" s="147"/>
      <c r="AD745" s="147"/>
      <c r="AE745" s="147"/>
      <c r="AF745" s="147"/>
      <c r="AG745" s="147"/>
      <c r="AH745" s="147"/>
      <c r="AI745" s="147"/>
      <c r="AJ745" s="147"/>
      <c r="AK745" s="147"/>
      <c r="AL745" s="147"/>
      <c r="AM745" s="147"/>
      <c r="AN745" s="147"/>
      <c r="AO745" s="147"/>
      <c r="AP745" s="147"/>
      <c r="AQ745" s="147"/>
      <c r="AR745" s="147"/>
      <c r="AS745" s="147"/>
      <c r="AT745" s="147"/>
      <c r="AU745" s="147"/>
      <c r="AV745" s="147"/>
      <c r="AW745" s="147"/>
    </row>
    <row r="746">
      <c r="A746" s="631"/>
      <c r="B746" s="631"/>
      <c r="C746" s="632"/>
      <c r="D746" s="633"/>
      <c r="E746" s="634"/>
      <c r="F746" s="635"/>
      <c r="G746" s="636"/>
      <c r="H746" s="637"/>
      <c r="I746" s="643"/>
      <c r="J746" s="644"/>
      <c r="K746" s="147"/>
      <c r="L746" s="632"/>
      <c r="M746" s="147"/>
      <c r="N746" s="640"/>
      <c r="O746" s="640"/>
      <c r="P746" s="641"/>
      <c r="Q746" s="642"/>
      <c r="R746" s="147"/>
      <c r="S746" s="147"/>
      <c r="T746" s="147"/>
      <c r="U746" s="147"/>
      <c r="V746" s="147"/>
      <c r="W746" s="147"/>
      <c r="X746" s="147"/>
      <c r="Y746" s="147"/>
      <c r="Z746" s="147"/>
      <c r="AA746" s="147"/>
      <c r="AB746" s="147"/>
      <c r="AC746" s="147"/>
      <c r="AD746" s="147"/>
      <c r="AE746" s="147"/>
      <c r="AF746" s="147"/>
      <c r="AG746" s="147"/>
      <c r="AH746" s="147"/>
      <c r="AI746" s="147"/>
      <c r="AJ746" s="147"/>
      <c r="AK746" s="147"/>
      <c r="AL746" s="147"/>
      <c r="AM746" s="147"/>
      <c r="AN746" s="147"/>
      <c r="AO746" s="147"/>
      <c r="AP746" s="147"/>
      <c r="AQ746" s="147"/>
      <c r="AR746" s="147"/>
      <c r="AS746" s="147"/>
      <c r="AT746" s="147"/>
      <c r="AU746" s="147"/>
      <c r="AV746" s="147"/>
      <c r="AW746" s="147"/>
    </row>
    <row r="747">
      <c r="A747" s="631"/>
      <c r="B747" s="631"/>
      <c r="C747" s="632"/>
      <c r="D747" s="633"/>
      <c r="E747" s="634"/>
      <c r="F747" s="635"/>
      <c r="G747" s="636"/>
      <c r="H747" s="637"/>
      <c r="I747" s="643"/>
      <c r="J747" s="644"/>
      <c r="K747" s="147"/>
      <c r="L747" s="632"/>
      <c r="M747" s="147"/>
      <c r="N747" s="640"/>
      <c r="O747" s="640"/>
      <c r="P747" s="641"/>
      <c r="Q747" s="642"/>
      <c r="R747" s="147"/>
      <c r="S747" s="147"/>
      <c r="T747" s="147"/>
      <c r="U747" s="147"/>
      <c r="V747" s="147"/>
      <c r="W747" s="147"/>
      <c r="X747" s="147"/>
      <c r="Y747" s="147"/>
      <c r="Z747" s="147"/>
      <c r="AA747" s="147"/>
      <c r="AB747" s="147"/>
      <c r="AC747" s="147"/>
      <c r="AD747" s="147"/>
      <c r="AE747" s="147"/>
      <c r="AF747" s="147"/>
      <c r="AG747" s="147"/>
      <c r="AH747" s="147"/>
      <c r="AI747" s="147"/>
      <c r="AJ747" s="147"/>
      <c r="AK747" s="147"/>
      <c r="AL747" s="147"/>
      <c r="AM747" s="147"/>
      <c r="AN747" s="147"/>
      <c r="AO747" s="147"/>
      <c r="AP747" s="147"/>
      <c r="AQ747" s="147"/>
      <c r="AR747" s="147"/>
      <c r="AS747" s="147"/>
      <c r="AT747" s="147"/>
      <c r="AU747" s="147"/>
      <c r="AV747" s="147"/>
      <c r="AW747" s="147"/>
    </row>
    <row r="748">
      <c r="A748" s="631"/>
      <c r="B748" s="631"/>
      <c r="C748" s="632"/>
      <c r="D748" s="633"/>
      <c r="E748" s="634"/>
      <c r="F748" s="635"/>
      <c r="G748" s="636"/>
      <c r="H748" s="637"/>
      <c r="I748" s="643"/>
      <c r="J748" s="644"/>
      <c r="K748" s="147"/>
      <c r="L748" s="632"/>
      <c r="M748" s="147"/>
      <c r="N748" s="640"/>
      <c r="O748" s="640"/>
      <c r="P748" s="641"/>
      <c r="Q748" s="642"/>
      <c r="R748" s="147"/>
      <c r="S748" s="147"/>
      <c r="T748" s="147"/>
      <c r="U748" s="147"/>
      <c r="V748" s="147"/>
      <c r="W748" s="147"/>
      <c r="X748" s="147"/>
      <c r="Y748" s="147"/>
      <c r="Z748" s="147"/>
      <c r="AA748" s="147"/>
      <c r="AB748" s="147"/>
      <c r="AC748" s="147"/>
      <c r="AD748" s="147"/>
      <c r="AE748" s="147"/>
      <c r="AF748" s="147"/>
      <c r="AG748" s="147"/>
      <c r="AH748" s="147"/>
      <c r="AI748" s="147"/>
      <c r="AJ748" s="147"/>
      <c r="AK748" s="147"/>
      <c r="AL748" s="147"/>
      <c r="AM748" s="147"/>
      <c r="AN748" s="147"/>
      <c r="AO748" s="147"/>
      <c r="AP748" s="147"/>
      <c r="AQ748" s="147"/>
      <c r="AR748" s="147"/>
      <c r="AS748" s="147"/>
      <c r="AT748" s="147"/>
      <c r="AU748" s="147"/>
      <c r="AV748" s="147"/>
      <c r="AW748" s="147"/>
    </row>
    <row r="749">
      <c r="A749" s="631"/>
      <c r="B749" s="631"/>
      <c r="C749" s="632"/>
      <c r="D749" s="633"/>
      <c r="E749" s="634"/>
      <c r="F749" s="635"/>
      <c r="G749" s="636"/>
      <c r="H749" s="637"/>
      <c r="I749" s="643"/>
      <c r="J749" s="644"/>
      <c r="K749" s="147"/>
      <c r="L749" s="632"/>
      <c r="M749" s="147"/>
      <c r="N749" s="640"/>
      <c r="O749" s="640"/>
      <c r="P749" s="641"/>
      <c r="Q749" s="642"/>
      <c r="R749" s="147"/>
      <c r="S749" s="147"/>
      <c r="T749" s="147"/>
      <c r="U749" s="147"/>
      <c r="V749" s="147"/>
      <c r="W749" s="147"/>
      <c r="X749" s="147"/>
      <c r="Y749" s="147"/>
      <c r="Z749" s="147"/>
      <c r="AA749" s="147"/>
      <c r="AB749" s="147"/>
      <c r="AC749" s="147"/>
      <c r="AD749" s="147"/>
      <c r="AE749" s="147"/>
      <c r="AF749" s="147"/>
      <c r="AG749" s="147"/>
      <c r="AH749" s="147"/>
      <c r="AI749" s="147"/>
      <c r="AJ749" s="147"/>
      <c r="AK749" s="147"/>
      <c r="AL749" s="147"/>
      <c r="AM749" s="147"/>
      <c r="AN749" s="147"/>
      <c r="AO749" s="147"/>
      <c r="AP749" s="147"/>
      <c r="AQ749" s="147"/>
      <c r="AR749" s="147"/>
      <c r="AS749" s="147"/>
      <c r="AT749" s="147"/>
      <c r="AU749" s="147"/>
      <c r="AV749" s="147"/>
      <c r="AW749" s="147"/>
    </row>
    <row r="750">
      <c r="A750" s="631"/>
      <c r="B750" s="631"/>
      <c r="C750" s="632"/>
      <c r="D750" s="633"/>
      <c r="E750" s="634"/>
      <c r="F750" s="635"/>
      <c r="G750" s="636"/>
      <c r="H750" s="637"/>
      <c r="I750" s="643"/>
      <c r="J750" s="644"/>
      <c r="K750" s="147"/>
      <c r="L750" s="632"/>
      <c r="M750" s="147"/>
      <c r="N750" s="640"/>
      <c r="O750" s="640"/>
      <c r="P750" s="641"/>
      <c r="Q750" s="642"/>
      <c r="R750" s="147"/>
      <c r="S750" s="147"/>
      <c r="T750" s="147"/>
      <c r="U750" s="147"/>
      <c r="V750" s="147"/>
      <c r="W750" s="147"/>
      <c r="X750" s="147"/>
      <c r="Y750" s="147"/>
      <c r="Z750" s="147"/>
      <c r="AA750" s="147"/>
      <c r="AB750" s="147"/>
      <c r="AC750" s="147"/>
      <c r="AD750" s="147"/>
      <c r="AE750" s="147"/>
      <c r="AF750" s="147"/>
      <c r="AG750" s="147"/>
      <c r="AH750" s="147"/>
      <c r="AI750" s="147"/>
      <c r="AJ750" s="147"/>
      <c r="AK750" s="147"/>
      <c r="AL750" s="147"/>
      <c r="AM750" s="147"/>
      <c r="AN750" s="147"/>
      <c r="AO750" s="147"/>
      <c r="AP750" s="147"/>
      <c r="AQ750" s="147"/>
      <c r="AR750" s="147"/>
      <c r="AS750" s="147"/>
      <c r="AT750" s="147"/>
      <c r="AU750" s="147"/>
      <c r="AV750" s="147"/>
      <c r="AW750" s="147"/>
    </row>
    <row r="751">
      <c r="A751" s="631"/>
      <c r="B751" s="631"/>
      <c r="C751" s="632"/>
      <c r="D751" s="633"/>
      <c r="E751" s="634"/>
      <c r="F751" s="635"/>
      <c r="G751" s="636"/>
      <c r="H751" s="637"/>
      <c r="I751" s="643"/>
      <c r="J751" s="644"/>
      <c r="K751" s="147"/>
      <c r="L751" s="632"/>
      <c r="M751" s="147"/>
      <c r="N751" s="640"/>
      <c r="O751" s="640"/>
      <c r="P751" s="641"/>
      <c r="Q751" s="642"/>
      <c r="R751" s="147"/>
      <c r="S751" s="147"/>
      <c r="T751" s="147"/>
      <c r="U751" s="147"/>
      <c r="V751" s="147"/>
      <c r="W751" s="147"/>
      <c r="X751" s="147"/>
      <c r="Y751" s="147"/>
      <c r="Z751" s="147"/>
      <c r="AA751" s="147"/>
      <c r="AB751" s="147"/>
      <c r="AC751" s="147"/>
      <c r="AD751" s="147"/>
      <c r="AE751" s="147"/>
      <c r="AF751" s="147"/>
      <c r="AG751" s="147"/>
      <c r="AH751" s="147"/>
      <c r="AI751" s="147"/>
      <c r="AJ751" s="147"/>
      <c r="AK751" s="147"/>
      <c r="AL751" s="147"/>
      <c r="AM751" s="147"/>
      <c r="AN751" s="147"/>
      <c r="AO751" s="147"/>
      <c r="AP751" s="147"/>
      <c r="AQ751" s="147"/>
      <c r="AR751" s="147"/>
      <c r="AS751" s="147"/>
      <c r="AT751" s="147"/>
      <c r="AU751" s="147"/>
      <c r="AV751" s="147"/>
      <c r="AW751" s="147"/>
    </row>
    <row r="752">
      <c r="A752" s="631"/>
      <c r="B752" s="631"/>
      <c r="C752" s="632"/>
      <c r="D752" s="633"/>
      <c r="E752" s="634"/>
      <c r="F752" s="635"/>
      <c r="G752" s="636"/>
      <c r="H752" s="637"/>
      <c r="I752" s="643"/>
      <c r="J752" s="644"/>
      <c r="K752" s="147"/>
      <c r="L752" s="632"/>
      <c r="M752" s="147"/>
      <c r="N752" s="640"/>
      <c r="O752" s="640"/>
      <c r="P752" s="641"/>
      <c r="Q752" s="642"/>
      <c r="R752" s="147"/>
      <c r="S752" s="147"/>
      <c r="T752" s="147"/>
      <c r="U752" s="147"/>
      <c r="V752" s="147"/>
      <c r="W752" s="147"/>
      <c r="X752" s="147"/>
      <c r="Y752" s="147"/>
      <c r="Z752" s="147"/>
      <c r="AA752" s="147"/>
      <c r="AB752" s="147"/>
      <c r="AC752" s="147"/>
      <c r="AD752" s="147"/>
      <c r="AE752" s="147"/>
      <c r="AF752" s="147"/>
      <c r="AG752" s="147"/>
      <c r="AH752" s="147"/>
      <c r="AI752" s="147"/>
      <c r="AJ752" s="147"/>
      <c r="AK752" s="147"/>
      <c r="AL752" s="147"/>
      <c r="AM752" s="147"/>
      <c r="AN752" s="147"/>
      <c r="AO752" s="147"/>
      <c r="AP752" s="147"/>
      <c r="AQ752" s="147"/>
      <c r="AR752" s="147"/>
      <c r="AS752" s="147"/>
      <c r="AT752" s="147"/>
      <c r="AU752" s="147"/>
      <c r="AV752" s="147"/>
      <c r="AW752" s="147"/>
    </row>
    <row r="753">
      <c r="A753" s="631"/>
      <c r="B753" s="631"/>
      <c r="C753" s="632"/>
      <c r="D753" s="633"/>
      <c r="E753" s="634"/>
      <c r="F753" s="635"/>
      <c r="G753" s="636"/>
      <c r="H753" s="637"/>
      <c r="I753" s="643"/>
      <c r="J753" s="644"/>
      <c r="K753" s="147"/>
      <c r="L753" s="632"/>
      <c r="M753" s="147"/>
      <c r="N753" s="640"/>
      <c r="O753" s="640"/>
      <c r="P753" s="641"/>
      <c r="Q753" s="642"/>
      <c r="R753" s="147"/>
      <c r="S753" s="147"/>
      <c r="T753" s="147"/>
      <c r="U753" s="147"/>
      <c r="V753" s="147"/>
      <c r="W753" s="147"/>
      <c r="X753" s="147"/>
      <c r="Y753" s="147"/>
      <c r="Z753" s="147"/>
      <c r="AA753" s="147"/>
      <c r="AB753" s="147"/>
      <c r="AC753" s="147"/>
      <c r="AD753" s="147"/>
      <c r="AE753" s="147"/>
      <c r="AF753" s="147"/>
      <c r="AG753" s="147"/>
      <c r="AH753" s="147"/>
      <c r="AI753" s="147"/>
      <c r="AJ753" s="147"/>
      <c r="AK753" s="147"/>
      <c r="AL753" s="147"/>
      <c r="AM753" s="147"/>
      <c r="AN753" s="147"/>
      <c r="AO753" s="147"/>
      <c r="AP753" s="147"/>
      <c r="AQ753" s="147"/>
      <c r="AR753" s="147"/>
      <c r="AS753" s="147"/>
      <c r="AT753" s="147"/>
      <c r="AU753" s="147"/>
      <c r="AV753" s="147"/>
      <c r="AW753" s="147"/>
    </row>
    <row r="754">
      <c r="A754" s="631"/>
      <c r="B754" s="631"/>
      <c r="C754" s="632"/>
      <c r="D754" s="633"/>
      <c r="E754" s="634"/>
      <c r="F754" s="635"/>
      <c r="G754" s="636"/>
      <c r="H754" s="637"/>
      <c r="I754" s="643"/>
      <c r="J754" s="644"/>
      <c r="K754" s="147"/>
      <c r="L754" s="632"/>
      <c r="M754" s="147"/>
      <c r="N754" s="640"/>
      <c r="O754" s="640"/>
      <c r="P754" s="641"/>
      <c r="Q754" s="642"/>
      <c r="R754" s="147"/>
      <c r="S754" s="147"/>
      <c r="T754" s="147"/>
      <c r="U754" s="147"/>
      <c r="V754" s="147"/>
      <c r="W754" s="147"/>
      <c r="X754" s="147"/>
      <c r="Y754" s="147"/>
      <c r="Z754" s="147"/>
      <c r="AA754" s="147"/>
      <c r="AB754" s="147"/>
      <c r="AC754" s="147"/>
      <c r="AD754" s="147"/>
      <c r="AE754" s="147"/>
      <c r="AF754" s="147"/>
      <c r="AG754" s="147"/>
      <c r="AH754" s="147"/>
      <c r="AI754" s="147"/>
      <c r="AJ754" s="147"/>
      <c r="AK754" s="147"/>
      <c r="AL754" s="147"/>
      <c r="AM754" s="147"/>
      <c r="AN754" s="147"/>
      <c r="AO754" s="147"/>
      <c r="AP754" s="147"/>
      <c r="AQ754" s="147"/>
      <c r="AR754" s="147"/>
      <c r="AS754" s="147"/>
      <c r="AT754" s="147"/>
      <c r="AU754" s="147"/>
      <c r="AV754" s="147"/>
      <c r="AW754" s="147"/>
    </row>
    <row r="755">
      <c r="A755" s="631"/>
      <c r="B755" s="631"/>
      <c r="C755" s="632"/>
      <c r="D755" s="633"/>
      <c r="E755" s="634"/>
      <c r="F755" s="635"/>
      <c r="G755" s="636"/>
      <c r="H755" s="637"/>
      <c r="I755" s="643"/>
      <c r="J755" s="644"/>
      <c r="K755" s="147"/>
      <c r="L755" s="632"/>
      <c r="M755" s="147"/>
      <c r="N755" s="640"/>
      <c r="O755" s="640"/>
      <c r="P755" s="641"/>
      <c r="Q755" s="642"/>
      <c r="R755" s="147"/>
      <c r="S755" s="147"/>
      <c r="T755" s="147"/>
      <c r="U755" s="147"/>
      <c r="V755" s="147"/>
      <c r="W755" s="147"/>
      <c r="X755" s="147"/>
      <c r="Y755" s="147"/>
      <c r="Z755" s="147"/>
      <c r="AA755" s="147"/>
      <c r="AB755" s="147"/>
      <c r="AC755" s="147"/>
      <c r="AD755" s="147"/>
      <c r="AE755" s="147"/>
      <c r="AF755" s="147"/>
      <c r="AG755" s="147"/>
      <c r="AH755" s="147"/>
      <c r="AI755" s="147"/>
      <c r="AJ755" s="147"/>
      <c r="AK755" s="147"/>
      <c r="AL755" s="147"/>
      <c r="AM755" s="147"/>
      <c r="AN755" s="147"/>
      <c r="AO755" s="147"/>
      <c r="AP755" s="147"/>
      <c r="AQ755" s="147"/>
      <c r="AR755" s="147"/>
      <c r="AS755" s="147"/>
      <c r="AT755" s="147"/>
      <c r="AU755" s="147"/>
      <c r="AV755" s="147"/>
      <c r="AW755" s="147"/>
    </row>
    <row r="756">
      <c r="A756" s="631"/>
      <c r="B756" s="631"/>
      <c r="C756" s="632"/>
      <c r="D756" s="633"/>
      <c r="E756" s="634"/>
      <c r="F756" s="635"/>
      <c r="G756" s="636"/>
      <c r="H756" s="637"/>
      <c r="I756" s="643"/>
      <c r="J756" s="644"/>
      <c r="K756" s="147"/>
      <c r="L756" s="632"/>
      <c r="M756" s="147"/>
      <c r="N756" s="640"/>
      <c r="O756" s="640"/>
      <c r="P756" s="641"/>
      <c r="Q756" s="642"/>
      <c r="R756" s="147"/>
      <c r="S756" s="147"/>
      <c r="T756" s="147"/>
      <c r="U756" s="147"/>
      <c r="V756" s="147"/>
      <c r="W756" s="147"/>
      <c r="X756" s="147"/>
      <c r="Y756" s="147"/>
      <c r="Z756" s="147"/>
      <c r="AA756" s="147"/>
      <c r="AB756" s="147"/>
      <c r="AC756" s="147"/>
      <c r="AD756" s="147"/>
      <c r="AE756" s="147"/>
      <c r="AF756" s="147"/>
      <c r="AG756" s="147"/>
      <c r="AH756" s="147"/>
      <c r="AI756" s="147"/>
      <c r="AJ756" s="147"/>
      <c r="AK756" s="147"/>
      <c r="AL756" s="147"/>
      <c r="AM756" s="147"/>
      <c r="AN756" s="147"/>
      <c r="AO756" s="147"/>
      <c r="AP756" s="147"/>
      <c r="AQ756" s="147"/>
      <c r="AR756" s="147"/>
      <c r="AS756" s="147"/>
      <c r="AT756" s="147"/>
      <c r="AU756" s="147"/>
      <c r="AV756" s="147"/>
      <c r="AW756" s="147"/>
    </row>
    <row r="757">
      <c r="A757" s="631"/>
      <c r="B757" s="631"/>
      <c r="C757" s="632"/>
      <c r="D757" s="633"/>
      <c r="E757" s="634"/>
      <c r="F757" s="635"/>
      <c r="G757" s="636"/>
      <c r="H757" s="637"/>
      <c r="I757" s="643"/>
      <c r="J757" s="644"/>
      <c r="K757" s="147"/>
      <c r="L757" s="632"/>
      <c r="M757" s="147"/>
      <c r="N757" s="640"/>
      <c r="O757" s="640"/>
      <c r="P757" s="641"/>
      <c r="Q757" s="642"/>
      <c r="R757" s="147"/>
      <c r="S757" s="147"/>
      <c r="T757" s="147"/>
      <c r="U757" s="147"/>
      <c r="V757" s="147"/>
      <c r="W757" s="147"/>
      <c r="X757" s="147"/>
      <c r="Y757" s="147"/>
      <c r="Z757" s="147"/>
      <c r="AA757" s="147"/>
      <c r="AB757" s="147"/>
      <c r="AC757" s="147"/>
      <c r="AD757" s="147"/>
      <c r="AE757" s="147"/>
      <c r="AF757" s="147"/>
      <c r="AG757" s="147"/>
      <c r="AH757" s="147"/>
      <c r="AI757" s="147"/>
      <c r="AJ757" s="147"/>
      <c r="AK757" s="147"/>
      <c r="AL757" s="147"/>
      <c r="AM757" s="147"/>
      <c r="AN757" s="147"/>
      <c r="AO757" s="147"/>
      <c r="AP757" s="147"/>
      <c r="AQ757" s="147"/>
      <c r="AR757" s="147"/>
      <c r="AS757" s="147"/>
      <c r="AT757" s="147"/>
      <c r="AU757" s="147"/>
      <c r="AV757" s="147"/>
      <c r="AW757" s="147"/>
    </row>
    <row r="758">
      <c r="A758" s="631"/>
      <c r="B758" s="631"/>
      <c r="C758" s="632"/>
      <c r="D758" s="633"/>
      <c r="E758" s="634"/>
      <c r="F758" s="635"/>
      <c r="G758" s="636"/>
      <c r="H758" s="637"/>
      <c r="I758" s="643"/>
      <c r="J758" s="644"/>
      <c r="K758" s="147"/>
      <c r="L758" s="632"/>
      <c r="M758" s="147"/>
      <c r="N758" s="640"/>
      <c r="O758" s="640"/>
      <c r="P758" s="641"/>
      <c r="Q758" s="642"/>
      <c r="R758" s="147"/>
      <c r="S758" s="147"/>
      <c r="T758" s="147"/>
      <c r="U758" s="147"/>
      <c r="V758" s="147"/>
      <c r="W758" s="147"/>
      <c r="X758" s="147"/>
      <c r="Y758" s="147"/>
      <c r="Z758" s="147"/>
      <c r="AA758" s="147"/>
      <c r="AB758" s="147"/>
      <c r="AC758" s="147"/>
      <c r="AD758" s="147"/>
      <c r="AE758" s="147"/>
      <c r="AF758" s="147"/>
      <c r="AG758" s="147"/>
      <c r="AH758" s="147"/>
      <c r="AI758" s="147"/>
      <c r="AJ758" s="147"/>
      <c r="AK758" s="147"/>
      <c r="AL758" s="147"/>
      <c r="AM758" s="147"/>
      <c r="AN758" s="147"/>
      <c r="AO758" s="147"/>
      <c r="AP758" s="147"/>
      <c r="AQ758" s="147"/>
      <c r="AR758" s="147"/>
      <c r="AS758" s="147"/>
      <c r="AT758" s="147"/>
      <c r="AU758" s="147"/>
      <c r="AV758" s="147"/>
      <c r="AW758" s="147"/>
    </row>
    <row r="759">
      <c r="A759" s="631"/>
      <c r="B759" s="631"/>
      <c r="C759" s="632"/>
      <c r="D759" s="633"/>
      <c r="E759" s="634"/>
      <c r="F759" s="635"/>
      <c r="G759" s="636"/>
      <c r="H759" s="637"/>
      <c r="I759" s="643"/>
      <c r="J759" s="644"/>
      <c r="K759" s="147"/>
      <c r="L759" s="632"/>
      <c r="M759" s="147"/>
      <c r="N759" s="640"/>
      <c r="O759" s="640"/>
      <c r="P759" s="641"/>
      <c r="Q759" s="642"/>
      <c r="R759" s="147"/>
      <c r="S759" s="147"/>
      <c r="T759" s="147"/>
      <c r="U759" s="147"/>
      <c r="V759" s="147"/>
      <c r="W759" s="147"/>
      <c r="X759" s="147"/>
      <c r="Y759" s="147"/>
      <c r="Z759" s="147"/>
      <c r="AA759" s="147"/>
      <c r="AB759" s="147"/>
      <c r="AC759" s="147"/>
      <c r="AD759" s="147"/>
      <c r="AE759" s="147"/>
      <c r="AF759" s="147"/>
      <c r="AG759" s="147"/>
      <c r="AH759" s="147"/>
      <c r="AI759" s="147"/>
      <c r="AJ759" s="147"/>
      <c r="AK759" s="147"/>
      <c r="AL759" s="147"/>
      <c r="AM759" s="147"/>
      <c r="AN759" s="147"/>
      <c r="AO759" s="147"/>
      <c r="AP759" s="147"/>
      <c r="AQ759" s="147"/>
      <c r="AR759" s="147"/>
      <c r="AS759" s="147"/>
      <c r="AT759" s="147"/>
      <c r="AU759" s="147"/>
      <c r="AV759" s="147"/>
      <c r="AW759" s="147"/>
    </row>
    <row r="760">
      <c r="A760" s="631"/>
      <c r="B760" s="631"/>
      <c r="C760" s="632"/>
      <c r="D760" s="633"/>
      <c r="E760" s="634"/>
      <c r="F760" s="635"/>
      <c r="G760" s="636"/>
      <c r="H760" s="637"/>
      <c r="I760" s="643"/>
      <c r="J760" s="644"/>
      <c r="K760" s="147"/>
      <c r="L760" s="632"/>
      <c r="M760" s="147"/>
      <c r="N760" s="640"/>
      <c r="O760" s="640"/>
      <c r="P760" s="641"/>
      <c r="Q760" s="642"/>
      <c r="R760" s="147"/>
      <c r="S760" s="147"/>
      <c r="T760" s="147"/>
      <c r="U760" s="147"/>
      <c r="V760" s="147"/>
      <c r="W760" s="147"/>
      <c r="X760" s="147"/>
      <c r="Y760" s="147"/>
      <c r="Z760" s="147"/>
      <c r="AA760" s="147"/>
      <c r="AB760" s="147"/>
      <c r="AC760" s="147"/>
      <c r="AD760" s="147"/>
      <c r="AE760" s="147"/>
      <c r="AF760" s="147"/>
      <c r="AG760" s="147"/>
      <c r="AH760" s="147"/>
      <c r="AI760" s="147"/>
      <c r="AJ760" s="147"/>
      <c r="AK760" s="147"/>
      <c r="AL760" s="147"/>
      <c r="AM760" s="147"/>
      <c r="AN760" s="147"/>
      <c r="AO760" s="147"/>
      <c r="AP760" s="147"/>
      <c r="AQ760" s="147"/>
      <c r="AR760" s="147"/>
      <c r="AS760" s="147"/>
      <c r="AT760" s="147"/>
      <c r="AU760" s="147"/>
      <c r="AV760" s="147"/>
      <c r="AW760" s="147"/>
    </row>
    <row r="761">
      <c r="A761" s="631"/>
      <c r="B761" s="631"/>
      <c r="C761" s="632"/>
      <c r="D761" s="633"/>
      <c r="E761" s="634"/>
      <c r="F761" s="635"/>
      <c r="G761" s="636"/>
      <c r="H761" s="637"/>
      <c r="I761" s="643"/>
      <c r="J761" s="644"/>
      <c r="K761" s="147"/>
      <c r="L761" s="632"/>
      <c r="M761" s="147"/>
      <c r="N761" s="640"/>
      <c r="O761" s="640"/>
      <c r="P761" s="641"/>
      <c r="Q761" s="642"/>
      <c r="R761" s="147"/>
      <c r="S761" s="147"/>
      <c r="T761" s="147"/>
      <c r="U761" s="147"/>
      <c r="V761" s="147"/>
      <c r="W761" s="147"/>
      <c r="X761" s="147"/>
      <c r="Y761" s="147"/>
      <c r="Z761" s="147"/>
      <c r="AA761" s="147"/>
      <c r="AB761" s="147"/>
      <c r="AC761" s="147"/>
      <c r="AD761" s="147"/>
      <c r="AE761" s="147"/>
      <c r="AF761" s="147"/>
      <c r="AG761" s="147"/>
      <c r="AH761" s="147"/>
      <c r="AI761" s="147"/>
      <c r="AJ761" s="147"/>
      <c r="AK761" s="147"/>
      <c r="AL761" s="147"/>
      <c r="AM761" s="147"/>
      <c r="AN761" s="147"/>
      <c r="AO761" s="147"/>
      <c r="AP761" s="147"/>
      <c r="AQ761" s="147"/>
      <c r="AR761" s="147"/>
      <c r="AS761" s="147"/>
      <c r="AT761" s="147"/>
      <c r="AU761" s="147"/>
      <c r="AV761" s="147"/>
      <c r="AW761" s="147"/>
    </row>
    <row r="762">
      <c r="A762" s="631"/>
      <c r="B762" s="631"/>
      <c r="C762" s="632"/>
      <c r="D762" s="633"/>
      <c r="E762" s="634"/>
      <c r="F762" s="635"/>
      <c r="G762" s="636"/>
      <c r="H762" s="637"/>
      <c r="I762" s="643"/>
      <c r="J762" s="644"/>
      <c r="K762" s="147"/>
      <c r="L762" s="632"/>
      <c r="M762" s="147"/>
      <c r="N762" s="640"/>
      <c r="O762" s="640"/>
      <c r="P762" s="641"/>
      <c r="Q762" s="642"/>
      <c r="R762" s="147"/>
      <c r="S762" s="147"/>
      <c r="T762" s="147"/>
      <c r="U762" s="147"/>
      <c r="V762" s="147"/>
      <c r="W762" s="147"/>
      <c r="X762" s="147"/>
      <c r="Y762" s="147"/>
      <c r="Z762" s="147"/>
      <c r="AA762" s="147"/>
      <c r="AB762" s="147"/>
      <c r="AC762" s="147"/>
      <c r="AD762" s="147"/>
      <c r="AE762" s="147"/>
      <c r="AF762" s="147"/>
      <c r="AG762" s="147"/>
      <c r="AH762" s="147"/>
      <c r="AI762" s="147"/>
      <c r="AJ762" s="147"/>
      <c r="AK762" s="147"/>
      <c r="AL762" s="147"/>
      <c r="AM762" s="147"/>
      <c r="AN762" s="147"/>
      <c r="AO762" s="147"/>
      <c r="AP762" s="147"/>
      <c r="AQ762" s="147"/>
      <c r="AR762" s="147"/>
      <c r="AS762" s="147"/>
      <c r="AT762" s="147"/>
      <c r="AU762" s="147"/>
      <c r="AV762" s="147"/>
      <c r="AW762" s="147"/>
    </row>
    <row r="763">
      <c r="A763" s="631"/>
      <c r="B763" s="631"/>
      <c r="C763" s="632"/>
      <c r="D763" s="633"/>
      <c r="E763" s="634"/>
      <c r="F763" s="635"/>
      <c r="G763" s="636"/>
      <c r="H763" s="637"/>
      <c r="I763" s="643"/>
      <c r="J763" s="644"/>
      <c r="K763" s="147"/>
      <c r="L763" s="632"/>
      <c r="M763" s="147"/>
      <c r="N763" s="640"/>
      <c r="O763" s="640"/>
      <c r="P763" s="641"/>
      <c r="Q763" s="642"/>
      <c r="R763" s="147"/>
      <c r="S763" s="147"/>
      <c r="T763" s="147"/>
      <c r="U763" s="147"/>
      <c r="V763" s="147"/>
      <c r="W763" s="147"/>
      <c r="X763" s="147"/>
      <c r="Y763" s="147"/>
      <c r="Z763" s="147"/>
      <c r="AA763" s="147"/>
      <c r="AB763" s="147"/>
      <c r="AC763" s="147"/>
      <c r="AD763" s="147"/>
      <c r="AE763" s="147"/>
      <c r="AF763" s="147"/>
      <c r="AG763" s="147"/>
      <c r="AH763" s="147"/>
      <c r="AI763" s="147"/>
      <c r="AJ763" s="147"/>
      <c r="AK763" s="147"/>
      <c r="AL763" s="147"/>
      <c r="AM763" s="147"/>
      <c r="AN763" s="147"/>
      <c r="AO763" s="147"/>
      <c r="AP763" s="147"/>
      <c r="AQ763" s="147"/>
      <c r="AR763" s="147"/>
      <c r="AS763" s="147"/>
      <c r="AT763" s="147"/>
      <c r="AU763" s="147"/>
      <c r="AV763" s="147"/>
      <c r="AW763" s="147"/>
    </row>
    <row r="764">
      <c r="A764" s="631"/>
      <c r="B764" s="631"/>
      <c r="C764" s="632"/>
      <c r="D764" s="633"/>
      <c r="E764" s="634"/>
      <c r="F764" s="635"/>
      <c r="G764" s="636"/>
      <c r="H764" s="637"/>
      <c r="I764" s="643"/>
      <c r="J764" s="644"/>
      <c r="K764" s="147"/>
      <c r="L764" s="632"/>
      <c r="M764" s="147"/>
      <c r="N764" s="640"/>
      <c r="O764" s="640"/>
      <c r="P764" s="641"/>
      <c r="Q764" s="642"/>
      <c r="R764" s="147"/>
      <c r="S764" s="147"/>
      <c r="T764" s="147"/>
      <c r="U764" s="147"/>
      <c r="V764" s="147"/>
      <c r="W764" s="147"/>
      <c r="X764" s="147"/>
      <c r="Y764" s="147"/>
      <c r="Z764" s="147"/>
      <c r="AA764" s="147"/>
      <c r="AB764" s="147"/>
      <c r="AC764" s="147"/>
      <c r="AD764" s="147"/>
      <c r="AE764" s="147"/>
      <c r="AF764" s="147"/>
      <c r="AG764" s="147"/>
      <c r="AH764" s="147"/>
      <c r="AI764" s="147"/>
      <c r="AJ764" s="147"/>
      <c r="AK764" s="147"/>
      <c r="AL764" s="147"/>
      <c r="AM764" s="147"/>
      <c r="AN764" s="147"/>
      <c r="AO764" s="147"/>
      <c r="AP764" s="147"/>
      <c r="AQ764" s="147"/>
      <c r="AR764" s="147"/>
      <c r="AS764" s="147"/>
      <c r="AT764" s="147"/>
      <c r="AU764" s="147"/>
      <c r="AV764" s="147"/>
      <c r="AW764" s="147"/>
    </row>
    <row r="765">
      <c r="A765" s="631"/>
      <c r="B765" s="631"/>
      <c r="C765" s="632"/>
      <c r="D765" s="633"/>
      <c r="E765" s="634"/>
      <c r="F765" s="635"/>
      <c r="G765" s="636"/>
      <c r="H765" s="637"/>
      <c r="I765" s="643"/>
      <c r="J765" s="644"/>
      <c r="K765" s="147"/>
      <c r="L765" s="632"/>
      <c r="M765" s="147"/>
      <c r="N765" s="640"/>
      <c r="O765" s="640"/>
      <c r="P765" s="641"/>
      <c r="Q765" s="642"/>
      <c r="R765" s="147"/>
      <c r="S765" s="147"/>
      <c r="T765" s="147"/>
      <c r="U765" s="147"/>
      <c r="V765" s="147"/>
      <c r="W765" s="147"/>
      <c r="X765" s="147"/>
      <c r="Y765" s="147"/>
      <c r="Z765" s="147"/>
      <c r="AA765" s="147"/>
      <c r="AB765" s="147"/>
      <c r="AC765" s="147"/>
      <c r="AD765" s="147"/>
      <c r="AE765" s="147"/>
      <c r="AF765" s="147"/>
      <c r="AG765" s="147"/>
      <c r="AH765" s="147"/>
      <c r="AI765" s="147"/>
      <c r="AJ765" s="147"/>
      <c r="AK765" s="147"/>
      <c r="AL765" s="147"/>
      <c r="AM765" s="147"/>
      <c r="AN765" s="147"/>
      <c r="AO765" s="147"/>
      <c r="AP765" s="147"/>
      <c r="AQ765" s="147"/>
      <c r="AR765" s="147"/>
      <c r="AS765" s="147"/>
      <c r="AT765" s="147"/>
      <c r="AU765" s="147"/>
      <c r="AV765" s="147"/>
      <c r="AW765" s="147"/>
    </row>
    <row r="766">
      <c r="A766" s="631"/>
      <c r="B766" s="631"/>
      <c r="C766" s="632"/>
      <c r="D766" s="633"/>
      <c r="E766" s="634"/>
      <c r="F766" s="635"/>
      <c r="G766" s="636"/>
      <c r="H766" s="637"/>
      <c r="I766" s="643"/>
      <c r="J766" s="644"/>
      <c r="K766" s="147"/>
      <c r="L766" s="632"/>
      <c r="M766" s="147"/>
      <c r="N766" s="640"/>
      <c r="O766" s="640"/>
      <c r="P766" s="641"/>
      <c r="Q766" s="642"/>
      <c r="R766" s="147"/>
      <c r="S766" s="147"/>
      <c r="T766" s="147"/>
      <c r="U766" s="147"/>
      <c r="V766" s="147"/>
      <c r="W766" s="147"/>
      <c r="X766" s="147"/>
      <c r="Y766" s="147"/>
      <c r="Z766" s="147"/>
      <c r="AA766" s="147"/>
      <c r="AB766" s="147"/>
      <c r="AC766" s="147"/>
      <c r="AD766" s="147"/>
      <c r="AE766" s="147"/>
      <c r="AF766" s="147"/>
      <c r="AG766" s="147"/>
      <c r="AH766" s="147"/>
      <c r="AI766" s="147"/>
      <c r="AJ766" s="147"/>
      <c r="AK766" s="147"/>
      <c r="AL766" s="147"/>
      <c r="AM766" s="147"/>
      <c r="AN766" s="147"/>
      <c r="AO766" s="147"/>
      <c r="AP766" s="147"/>
      <c r="AQ766" s="147"/>
      <c r="AR766" s="147"/>
      <c r="AS766" s="147"/>
      <c r="AT766" s="147"/>
      <c r="AU766" s="147"/>
      <c r="AV766" s="147"/>
      <c r="AW766" s="147"/>
    </row>
    <row r="767">
      <c r="A767" s="631"/>
      <c r="B767" s="631"/>
      <c r="C767" s="632"/>
      <c r="D767" s="633"/>
      <c r="E767" s="634"/>
      <c r="F767" s="635"/>
      <c r="G767" s="636"/>
      <c r="H767" s="637"/>
      <c r="I767" s="643"/>
      <c r="J767" s="644"/>
      <c r="K767" s="147"/>
      <c r="L767" s="632"/>
      <c r="M767" s="147"/>
      <c r="N767" s="640"/>
      <c r="O767" s="640"/>
      <c r="P767" s="641"/>
      <c r="Q767" s="642"/>
      <c r="R767" s="147"/>
      <c r="S767" s="147"/>
      <c r="T767" s="147"/>
      <c r="U767" s="147"/>
      <c r="V767" s="147"/>
      <c r="W767" s="147"/>
      <c r="X767" s="147"/>
      <c r="Y767" s="147"/>
      <c r="Z767" s="147"/>
      <c r="AA767" s="147"/>
      <c r="AB767" s="147"/>
      <c r="AC767" s="147"/>
      <c r="AD767" s="147"/>
      <c r="AE767" s="147"/>
      <c r="AF767" s="147"/>
      <c r="AG767" s="147"/>
      <c r="AH767" s="147"/>
      <c r="AI767" s="147"/>
      <c r="AJ767" s="147"/>
      <c r="AK767" s="147"/>
      <c r="AL767" s="147"/>
      <c r="AM767" s="147"/>
      <c r="AN767" s="147"/>
      <c r="AO767" s="147"/>
      <c r="AP767" s="147"/>
      <c r="AQ767" s="147"/>
      <c r="AR767" s="147"/>
      <c r="AS767" s="147"/>
      <c r="AT767" s="147"/>
      <c r="AU767" s="147"/>
      <c r="AV767" s="147"/>
      <c r="AW767" s="147"/>
    </row>
    <row r="768">
      <c r="A768" s="631"/>
      <c r="B768" s="631"/>
      <c r="C768" s="632"/>
      <c r="D768" s="633"/>
      <c r="E768" s="634"/>
      <c r="F768" s="635"/>
      <c r="G768" s="636"/>
      <c r="H768" s="637"/>
      <c r="I768" s="643"/>
      <c r="J768" s="644"/>
      <c r="K768" s="147"/>
      <c r="L768" s="632"/>
      <c r="M768" s="147"/>
      <c r="N768" s="640"/>
      <c r="O768" s="640"/>
      <c r="P768" s="641"/>
      <c r="Q768" s="642"/>
      <c r="R768" s="147"/>
      <c r="S768" s="147"/>
      <c r="T768" s="147"/>
      <c r="U768" s="147"/>
      <c r="V768" s="147"/>
      <c r="W768" s="147"/>
      <c r="X768" s="147"/>
      <c r="Y768" s="147"/>
      <c r="Z768" s="147"/>
      <c r="AA768" s="147"/>
      <c r="AB768" s="147"/>
      <c r="AC768" s="147"/>
      <c r="AD768" s="147"/>
      <c r="AE768" s="147"/>
      <c r="AF768" s="147"/>
      <c r="AG768" s="147"/>
      <c r="AH768" s="147"/>
      <c r="AI768" s="147"/>
      <c r="AJ768" s="147"/>
      <c r="AK768" s="147"/>
      <c r="AL768" s="147"/>
      <c r="AM768" s="147"/>
      <c r="AN768" s="147"/>
      <c r="AO768" s="147"/>
      <c r="AP768" s="147"/>
      <c r="AQ768" s="147"/>
      <c r="AR768" s="147"/>
      <c r="AS768" s="147"/>
      <c r="AT768" s="147"/>
      <c r="AU768" s="147"/>
      <c r="AV768" s="147"/>
      <c r="AW768" s="147"/>
    </row>
    <row r="769">
      <c r="A769" s="631"/>
      <c r="B769" s="631"/>
      <c r="C769" s="632"/>
      <c r="D769" s="633"/>
      <c r="E769" s="634"/>
      <c r="F769" s="635"/>
      <c r="G769" s="636"/>
      <c r="H769" s="637"/>
      <c r="I769" s="643"/>
      <c r="J769" s="644"/>
      <c r="K769" s="147"/>
      <c r="L769" s="632"/>
      <c r="M769" s="147"/>
      <c r="N769" s="640"/>
      <c r="O769" s="640"/>
      <c r="P769" s="641"/>
      <c r="Q769" s="642"/>
      <c r="R769" s="147"/>
      <c r="S769" s="147"/>
      <c r="T769" s="147"/>
      <c r="U769" s="147"/>
      <c r="V769" s="147"/>
      <c r="W769" s="147"/>
      <c r="X769" s="147"/>
      <c r="Y769" s="147"/>
      <c r="Z769" s="147"/>
      <c r="AA769" s="147"/>
      <c r="AB769" s="147"/>
      <c r="AC769" s="147"/>
      <c r="AD769" s="147"/>
      <c r="AE769" s="147"/>
      <c r="AF769" s="147"/>
      <c r="AG769" s="147"/>
      <c r="AH769" s="147"/>
      <c r="AI769" s="147"/>
      <c r="AJ769" s="147"/>
      <c r="AK769" s="147"/>
      <c r="AL769" s="147"/>
      <c r="AM769" s="147"/>
      <c r="AN769" s="147"/>
      <c r="AO769" s="147"/>
      <c r="AP769" s="147"/>
      <c r="AQ769" s="147"/>
      <c r="AR769" s="147"/>
      <c r="AS769" s="147"/>
      <c r="AT769" s="147"/>
      <c r="AU769" s="147"/>
      <c r="AV769" s="147"/>
      <c r="AW769" s="147"/>
    </row>
    <row r="770">
      <c r="A770" s="631"/>
      <c r="B770" s="631"/>
      <c r="C770" s="632"/>
      <c r="D770" s="633"/>
      <c r="E770" s="634"/>
      <c r="F770" s="635"/>
      <c r="G770" s="636"/>
      <c r="H770" s="637"/>
      <c r="I770" s="643"/>
      <c r="J770" s="644"/>
      <c r="K770" s="147"/>
      <c r="L770" s="632"/>
      <c r="M770" s="147"/>
      <c r="N770" s="640"/>
      <c r="O770" s="640"/>
      <c r="P770" s="641"/>
      <c r="Q770" s="642"/>
      <c r="R770" s="147"/>
      <c r="S770" s="147"/>
      <c r="T770" s="147"/>
      <c r="U770" s="147"/>
      <c r="V770" s="147"/>
      <c r="W770" s="147"/>
      <c r="X770" s="147"/>
      <c r="Y770" s="147"/>
      <c r="Z770" s="147"/>
      <c r="AA770" s="147"/>
      <c r="AB770" s="147"/>
      <c r="AC770" s="147"/>
      <c r="AD770" s="147"/>
      <c r="AE770" s="147"/>
      <c r="AF770" s="147"/>
      <c r="AG770" s="147"/>
      <c r="AH770" s="147"/>
      <c r="AI770" s="147"/>
      <c r="AJ770" s="147"/>
      <c r="AK770" s="147"/>
      <c r="AL770" s="147"/>
      <c r="AM770" s="147"/>
      <c r="AN770" s="147"/>
      <c r="AO770" s="147"/>
      <c r="AP770" s="147"/>
      <c r="AQ770" s="147"/>
      <c r="AR770" s="147"/>
      <c r="AS770" s="147"/>
      <c r="AT770" s="147"/>
      <c r="AU770" s="147"/>
      <c r="AV770" s="147"/>
      <c r="AW770" s="147"/>
    </row>
    <row r="771">
      <c r="A771" s="631"/>
      <c r="B771" s="631"/>
      <c r="C771" s="632"/>
      <c r="D771" s="633"/>
      <c r="E771" s="634"/>
      <c r="F771" s="635"/>
      <c r="G771" s="636"/>
      <c r="H771" s="637"/>
      <c r="I771" s="643"/>
      <c r="J771" s="644"/>
      <c r="K771" s="147"/>
      <c r="L771" s="632"/>
      <c r="M771" s="147"/>
      <c r="N771" s="640"/>
      <c r="O771" s="640"/>
      <c r="P771" s="641"/>
      <c r="Q771" s="642"/>
      <c r="R771" s="147"/>
      <c r="S771" s="147"/>
      <c r="T771" s="147"/>
      <c r="U771" s="147"/>
      <c r="V771" s="147"/>
      <c r="W771" s="147"/>
      <c r="X771" s="147"/>
      <c r="Y771" s="147"/>
      <c r="Z771" s="147"/>
      <c r="AA771" s="147"/>
      <c r="AB771" s="147"/>
      <c r="AC771" s="147"/>
      <c r="AD771" s="147"/>
      <c r="AE771" s="147"/>
      <c r="AF771" s="147"/>
      <c r="AG771" s="147"/>
      <c r="AH771" s="147"/>
      <c r="AI771" s="147"/>
      <c r="AJ771" s="147"/>
      <c r="AK771" s="147"/>
      <c r="AL771" s="147"/>
      <c r="AM771" s="147"/>
      <c r="AN771" s="147"/>
      <c r="AO771" s="147"/>
      <c r="AP771" s="147"/>
      <c r="AQ771" s="147"/>
      <c r="AR771" s="147"/>
      <c r="AS771" s="147"/>
      <c r="AT771" s="147"/>
      <c r="AU771" s="147"/>
      <c r="AV771" s="147"/>
      <c r="AW771" s="147"/>
    </row>
    <row r="772">
      <c r="A772" s="631"/>
      <c r="B772" s="631"/>
      <c r="C772" s="632"/>
      <c r="D772" s="633"/>
      <c r="E772" s="634"/>
      <c r="F772" s="635"/>
      <c r="G772" s="636"/>
      <c r="H772" s="637"/>
      <c r="I772" s="643"/>
      <c r="J772" s="644"/>
      <c r="K772" s="147"/>
      <c r="L772" s="632"/>
      <c r="M772" s="147"/>
      <c r="N772" s="640"/>
      <c r="O772" s="640"/>
      <c r="P772" s="641"/>
      <c r="Q772" s="642"/>
      <c r="R772" s="147"/>
      <c r="S772" s="147"/>
      <c r="T772" s="147"/>
      <c r="U772" s="147"/>
      <c r="V772" s="147"/>
      <c r="W772" s="147"/>
      <c r="X772" s="147"/>
      <c r="Y772" s="147"/>
      <c r="Z772" s="147"/>
      <c r="AA772" s="147"/>
      <c r="AB772" s="147"/>
      <c r="AC772" s="147"/>
      <c r="AD772" s="147"/>
      <c r="AE772" s="147"/>
      <c r="AF772" s="147"/>
      <c r="AG772" s="147"/>
      <c r="AH772" s="147"/>
      <c r="AI772" s="147"/>
      <c r="AJ772" s="147"/>
      <c r="AK772" s="147"/>
      <c r="AL772" s="147"/>
      <c r="AM772" s="147"/>
      <c r="AN772" s="147"/>
      <c r="AO772" s="147"/>
      <c r="AP772" s="147"/>
      <c r="AQ772" s="147"/>
      <c r="AR772" s="147"/>
      <c r="AS772" s="147"/>
      <c r="AT772" s="147"/>
      <c r="AU772" s="147"/>
      <c r="AV772" s="147"/>
      <c r="AW772" s="147"/>
    </row>
    <row r="773">
      <c r="A773" s="631"/>
      <c r="B773" s="631"/>
      <c r="C773" s="632"/>
      <c r="D773" s="633"/>
      <c r="E773" s="634"/>
      <c r="F773" s="635"/>
      <c r="G773" s="636"/>
      <c r="H773" s="637"/>
      <c r="I773" s="643"/>
      <c r="J773" s="644"/>
      <c r="K773" s="147"/>
      <c r="L773" s="632"/>
      <c r="M773" s="147"/>
      <c r="N773" s="640"/>
      <c r="O773" s="640"/>
      <c r="P773" s="641"/>
      <c r="Q773" s="642"/>
      <c r="R773" s="147"/>
      <c r="S773" s="147"/>
      <c r="T773" s="147"/>
      <c r="U773" s="147"/>
      <c r="V773" s="147"/>
      <c r="W773" s="147"/>
      <c r="X773" s="147"/>
      <c r="Y773" s="147"/>
      <c r="Z773" s="147"/>
      <c r="AA773" s="147"/>
      <c r="AB773" s="147"/>
      <c r="AC773" s="147"/>
      <c r="AD773" s="147"/>
      <c r="AE773" s="147"/>
      <c r="AF773" s="147"/>
      <c r="AG773" s="147"/>
      <c r="AH773" s="147"/>
      <c r="AI773" s="147"/>
      <c r="AJ773" s="147"/>
      <c r="AK773" s="147"/>
      <c r="AL773" s="147"/>
      <c r="AM773" s="147"/>
      <c r="AN773" s="147"/>
      <c r="AO773" s="147"/>
      <c r="AP773" s="147"/>
      <c r="AQ773" s="147"/>
      <c r="AR773" s="147"/>
      <c r="AS773" s="147"/>
      <c r="AT773" s="147"/>
      <c r="AU773" s="147"/>
      <c r="AV773" s="147"/>
      <c r="AW773" s="147"/>
    </row>
    <row r="774">
      <c r="A774" s="631"/>
      <c r="B774" s="631"/>
      <c r="C774" s="632"/>
      <c r="D774" s="633"/>
      <c r="E774" s="634"/>
      <c r="F774" s="635"/>
      <c r="G774" s="636"/>
      <c r="H774" s="637"/>
      <c r="I774" s="643"/>
      <c r="J774" s="644"/>
      <c r="K774" s="147"/>
      <c r="L774" s="632"/>
      <c r="M774" s="147"/>
      <c r="N774" s="640"/>
      <c r="O774" s="640"/>
      <c r="P774" s="641"/>
      <c r="Q774" s="642"/>
      <c r="R774" s="147"/>
      <c r="S774" s="147"/>
      <c r="T774" s="147"/>
      <c r="U774" s="147"/>
      <c r="V774" s="147"/>
      <c r="W774" s="147"/>
      <c r="X774" s="147"/>
      <c r="Y774" s="147"/>
      <c r="Z774" s="147"/>
      <c r="AA774" s="147"/>
      <c r="AB774" s="147"/>
      <c r="AC774" s="147"/>
      <c r="AD774" s="147"/>
      <c r="AE774" s="147"/>
      <c r="AF774" s="147"/>
      <c r="AG774" s="147"/>
      <c r="AH774" s="147"/>
      <c r="AI774" s="147"/>
      <c r="AJ774" s="147"/>
      <c r="AK774" s="147"/>
      <c r="AL774" s="147"/>
      <c r="AM774" s="147"/>
      <c r="AN774" s="147"/>
      <c r="AO774" s="147"/>
      <c r="AP774" s="147"/>
      <c r="AQ774" s="147"/>
      <c r="AR774" s="147"/>
      <c r="AS774" s="147"/>
      <c r="AT774" s="147"/>
      <c r="AU774" s="147"/>
      <c r="AV774" s="147"/>
      <c r="AW774" s="147"/>
    </row>
    <row r="775">
      <c r="A775" s="631"/>
      <c r="B775" s="631"/>
      <c r="C775" s="632"/>
      <c r="D775" s="633"/>
      <c r="E775" s="634"/>
      <c r="F775" s="635"/>
      <c r="G775" s="636"/>
      <c r="H775" s="637"/>
      <c r="I775" s="643"/>
      <c r="J775" s="644"/>
      <c r="K775" s="147"/>
      <c r="L775" s="632"/>
      <c r="M775" s="147"/>
      <c r="N775" s="640"/>
      <c r="O775" s="640"/>
      <c r="P775" s="641"/>
      <c r="Q775" s="642"/>
      <c r="R775" s="147"/>
      <c r="S775" s="147"/>
      <c r="T775" s="147"/>
      <c r="U775" s="147"/>
      <c r="V775" s="147"/>
      <c r="W775" s="147"/>
      <c r="X775" s="147"/>
      <c r="Y775" s="147"/>
      <c r="Z775" s="147"/>
      <c r="AA775" s="147"/>
      <c r="AB775" s="147"/>
      <c r="AC775" s="147"/>
      <c r="AD775" s="147"/>
      <c r="AE775" s="147"/>
      <c r="AF775" s="147"/>
      <c r="AG775" s="147"/>
      <c r="AH775" s="147"/>
      <c r="AI775" s="147"/>
      <c r="AJ775" s="147"/>
      <c r="AK775" s="147"/>
      <c r="AL775" s="147"/>
      <c r="AM775" s="147"/>
      <c r="AN775" s="147"/>
      <c r="AO775" s="147"/>
      <c r="AP775" s="147"/>
      <c r="AQ775" s="147"/>
      <c r="AR775" s="147"/>
      <c r="AS775" s="147"/>
      <c r="AT775" s="147"/>
      <c r="AU775" s="147"/>
      <c r="AV775" s="147"/>
      <c r="AW775" s="147"/>
    </row>
    <row r="776">
      <c r="A776" s="631"/>
      <c r="B776" s="631"/>
      <c r="C776" s="632"/>
      <c r="D776" s="633"/>
      <c r="E776" s="634"/>
      <c r="F776" s="635"/>
      <c r="G776" s="636"/>
      <c r="H776" s="637"/>
      <c r="I776" s="643"/>
      <c r="J776" s="644"/>
      <c r="K776" s="147"/>
      <c r="L776" s="632"/>
      <c r="M776" s="147"/>
      <c r="N776" s="640"/>
      <c r="O776" s="640"/>
      <c r="P776" s="641"/>
      <c r="Q776" s="642"/>
      <c r="R776" s="147"/>
      <c r="S776" s="147"/>
      <c r="T776" s="147"/>
      <c r="U776" s="147"/>
      <c r="V776" s="147"/>
      <c r="W776" s="147"/>
      <c r="X776" s="147"/>
      <c r="Y776" s="147"/>
      <c r="Z776" s="147"/>
      <c r="AA776" s="147"/>
      <c r="AB776" s="147"/>
      <c r="AC776" s="147"/>
      <c r="AD776" s="147"/>
      <c r="AE776" s="147"/>
      <c r="AF776" s="147"/>
      <c r="AG776" s="147"/>
      <c r="AH776" s="147"/>
      <c r="AI776" s="147"/>
      <c r="AJ776" s="147"/>
      <c r="AK776" s="147"/>
      <c r="AL776" s="147"/>
      <c r="AM776" s="147"/>
      <c r="AN776" s="147"/>
      <c r="AO776" s="147"/>
      <c r="AP776" s="147"/>
      <c r="AQ776" s="147"/>
      <c r="AR776" s="147"/>
      <c r="AS776" s="147"/>
      <c r="AT776" s="147"/>
      <c r="AU776" s="147"/>
      <c r="AV776" s="147"/>
      <c r="AW776" s="147"/>
    </row>
    <row r="777">
      <c r="A777" s="631"/>
      <c r="B777" s="631"/>
      <c r="C777" s="632"/>
      <c r="D777" s="633"/>
      <c r="E777" s="634"/>
      <c r="F777" s="635"/>
      <c r="G777" s="636"/>
      <c r="H777" s="637"/>
      <c r="I777" s="643"/>
      <c r="J777" s="644"/>
      <c r="K777" s="147"/>
      <c r="L777" s="632"/>
      <c r="M777" s="147"/>
      <c r="N777" s="640"/>
      <c r="O777" s="640"/>
      <c r="P777" s="641"/>
      <c r="Q777" s="642"/>
      <c r="R777" s="147"/>
      <c r="S777" s="147"/>
      <c r="T777" s="147"/>
      <c r="U777" s="147"/>
      <c r="V777" s="147"/>
      <c r="W777" s="147"/>
      <c r="X777" s="147"/>
      <c r="Y777" s="147"/>
      <c r="Z777" s="147"/>
      <c r="AA777" s="147"/>
      <c r="AB777" s="147"/>
      <c r="AC777" s="147"/>
      <c r="AD777" s="147"/>
      <c r="AE777" s="147"/>
      <c r="AF777" s="147"/>
      <c r="AG777" s="147"/>
      <c r="AH777" s="147"/>
      <c r="AI777" s="147"/>
      <c r="AJ777" s="147"/>
      <c r="AK777" s="147"/>
      <c r="AL777" s="147"/>
      <c r="AM777" s="147"/>
      <c r="AN777" s="147"/>
      <c r="AO777" s="147"/>
      <c r="AP777" s="147"/>
      <c r="AQ777" s="147"/>
      <c r="AR777" s="147"/>
      <c r="AS777" s="147"/>
      <c r="AT777" s="147"/>
      <c r="AU777" s="147"/>
      <c r="AV777" s="147"/>
      <c r="AW777" s="147"/>
    </row>
    <row r="778">
      <c r="A778" s="631"/>
      <c r="B778" s="631"/>
      <c r="C778" s="632"/>
      <c r="D778" s="633"/>
      <c r="E778" s="634"/>
      <c r="F778" s="635"/>
      <c r="G778" s="636"/>
      <c r="H778" s="637"/>
      <c r="I778" s="643"/>
      <c r="J778" s="644"/>
      <c r="K778" s="147"/>
      <c r="L778" s="632"/>
      <c r="M778" s="147"/>
      <c r="N778" s="640"/>
      <c r="O778" s="640"/>
      <c r="P778" s="641"/>
      <c r="Q778" s="642"/>
      <c r="R778" s="147"/>
      <c r="S778" s="147"/>
      <c r="T778" s="147"/>
      <c r="U778" s="147"/>
      <c r="V778" s="147"/>
      <c r="W778" s="147"/>
      <c r="X778" s="147"/>
      <c r="Y778" s="147"/>
      <c r="Z778" s="147"/>
      <c r="AA778" s="147"/>
      <c r="AB778" s="147"/>
      <c r="AC778" s="147"/>
      <c r="AD778" s="147"/>
      <c r="AE778" s="147"/>
      <c r="AF778" s="147"/>
      <c r="AG778" s="147"/>
      <c r="AH778" s="147"/>
      <c r="AI778" s="147"/>
      <c r="AJ778" s="147"/>
      <c r="AK778" s="147"/>
      <c r="AL778" s="147"/>
      <c r="AM778" s="147"/>
      <c r="AN778" s="147"/>
      <c r="AO778" s="147"/>
      <c r="AP778" s="147"/>
      <c r="AQ778" s="147"/>
      <c r="AR778" s="147"/>
      <c r="AS778" s="147"/>
      <c r="AT778" s="147"/>
      <c r="AU778" s="147"/>
      <c r="AV778" s="147"/>
      <c r="AW778" s="147"/>
    </row>
    <row r="779">
      <c r="A779" s="631"/>
      <c r="B779" s="631"/>
      <c r="C779" s="632"/>
      <c r="D779" s="633"/>
      <c r="E779" s="634"/>
      <c r="F779" s="635"/>
      <c r="G779" s="636"/>
      <c r="H779" s="637"/>
      <c r="I779" s="643"/>
      <c r="J779" s="644"/>
      <c r="K779" s="147"/>
      <c r="L779" s="632"/>
      <c r="M779" s="147"/>
      <c r="N779" s="640"/>
      <c r="O779" s="640"/>
      <c r="P779" s="641"/>
      <c r="Q779" s="642"/>
      <c r="R779" s="147"/>
      <c r="S779" s="147"/>
      <c r="T779" s="147"/>
      <c r="U779" s="147"/>
      <c r="V779" s="147"/>
      <c r="W779" s="147"/>
      <c r="X779" s="147"/>
      <c r="Y779" s="147"/>
      <c r="Z779" s="147"/>
      <c r="AA779" s="147"/>
      <c r="AB779" s="147"/>
      <c r="AC779" s="147"/>
      <c r="AD779" s="147"/>
      <c r="AE779" s="147"/>
      <c r="AF779" s="147"/>
      <c r="AG779" s="147"/>
      <c r="AH779" s="147"/>
      <c r="AI779" s="147"/>
      <c r="AJ779" s="147"/>
      <c r="AK779" s="147"/>
      <c r="AL779" s="147"/>
      <c r="AM779" s="147"/>
      <c r="AN779" s="147"/>
      <c r="AO779" s="147"/>
      <c r="AP779" s="147"/>
      <c r="AQ779" s="147"/>
      <c r="AR779" s="147"/>
      <c r="AS779" s="147"/>
      <c r="AT779" s="147"/>
      <c r="AU779" s="147"/>
      <c r="AV779" s="147"/>
      <c r="AW779" s="147"/>
    </row>
    <row r="780">
      <c r="A780" s="631"/>
      <c r="B780" s="631"/>
      <c r="C780" s="632"/>
      <c r="D780" s="633"/>
      <c r="E780" s="634"/>
      <c r="F780" s="635"/>
      <c r="G780" s="636"/>
      <c r="H780" s="637"/>
      <c r="I780" s="643"/>
      <c r="J780" s="644"/>
      <c r="K780" s="147"/>
      <c r="L780" s="632"/>
      <c r="M780" s="147"/>
      <c r="N780" s="640"/>
      <c r="O780" s="640"/>
      <c r="P780" s="641"/>
      <c r="Q780" s="642"/>
      <c r="R780" s="147"/>
      <c r="S780" s="147"/>
      <c r="T780" s="147"/>
      <c r="U780" s="147"/>
      <c r="V780" s="147"/>
      <c r="W780" s="147"/>
      <c r="X780" s="147"/>
      <c r="Y780" s="147"/>
      <c r="Z780" s="147"/>
      <c r="AA780" s="147"/>
      <c r="AB780" s="147"/>
      <c r="AC780" s="147"/>
      <c r="AD780" s="147"/>
      <c r="AE780" s="147"/>
      <c r="AF780" s="147"/>
      <c r="AG780" s="147"/>
      <c r="AH780" s="147"/>
      <c r="AI780" s="147"/>
      <c r="AJ780" s="147"/>
      <c r="AK780" s="147"/>
      <c r="AL780" s="147"/>
      <c r="AM780" s="147"/>
      <c r="AN780" s="147"/>
      <c r="AO780" s="147"/>
      <c r="AP780" s="147"/>
      <c r="AQ780" s="147"/>
      <c r="AR780" s="147"/>
      <c r="AS780" s="147"/>
      <c r="AT780" s="147"/>
      <c r="AU780" s="147"/>
      <c r="AV780" s="147"/>
      <c r="AW780" s="147"/>
    </row>
    <row r="781">
      <c r="A781" s="631"/>
      <c r="B781" s="631"/>
      <c r="C781" s="632"/>
      <c r="D781" s="633"/>
      <c r="E781" s="634"/>
      <c r="F781" s="635"/>
      <c r="G781" s="636"/>
      <c r="H781" s="637"/>
      <c r="I781" s="643"/>
      <c r="J781" s="644"/>
      <c r="K781" s="147"/>
      <c r="L781" s="632"/>
      <c r="M781" s="147"/>
      <c r="N781" s="640"/>
      <c r="O781" s="640"/>
      <c r="P781" s="641"/>
      <c r="Q781" s="642"/>
      <c r="R781" s="147"/>
      <c r="S781" s="147"/>
      <c r="T781" s="147"/>
      <c r="U781" s="147"/>
      <c r="V781" s="147"/>
      <c r="W781" s="147"/>
      <c r="X781" s="147"/>
      <c r="Y781" s="147"/>
      <c r="Z781" s="147"/>
      <c r="AA781" s="147"/>
      <c r="AB781" s="147"/>
      <c r="AC781" s="147"/>
      <c r="AD781" s="147"/>
      <c r="AE781" s="147"/>
      <c r="AF781" s="147"/>
      <c r="AG781" s="147"/>
      <c r="AH781" s="147"/>
      <c r="AI781" s="147"/>
      <c r="AJ781" s="147"/>
      <c r="AK781" s="147"/>
      <c r="AL781" s="147"/>
      <c r="AM781" s="147"/>
      <c r="AN781" s="147"/>
      <c r="AO781" s="147"/>
      <c r="AP781" s="147"/>
      <c r="AQ781" s="147"/>
      <c r="AR781" s="147"/>
      <c r="AS781" s="147"/>
      <c r="AT781" s="147"/>
      <c r="AU781" s="147"/>
      <c r="AV781" s="147"/>
      <c r="AW781" s="147"/>
    </row>
    <row r="782">
      <c r="A782" s="631"/>
      <c r="B782" s="631"/>
      <c r="C782" s="632"/>
      <c r="D782" s="633"/>
      <c r="E782" s="634"/>
      <c r="F782" s="635"/>
      <c r="G782" s="636"/>
      <c r="H782" s="637"/>
      <c r="I782" s="643"/>
      <c r="J782" s="644"/>
      <c r="K782" s="147"/>
      <c r="L782" s="632"/>
      <c r="M782" s="147"/>
      <c r="N782" s="640"/>
      <c r="O782" s="640"/>
      <c r="P782" s="641"/>
      <c r="Q782" s="642"/>
      <c r="R782" s="147"/>
      <c r="S782" s="147"/>
      <c r="T782" s="147"/>
      <c r="U782" s="147"/>
      <c r="V782" s="147"/>
      <c r="W782" s="147"/>
      <c r="X782" s="147"/>
      <c r="Y782" s="147"/>
      <c r="Z782" s="147"/>
      <c r="AA782" s="147"/>
      <c r="AB782" s="147"/>
      <c r="AC782" s="147"/>
      <c r="AD782" s="147"/>
      <c r="AE782" s="147"/>
      <c r="AF782" s="147"/>
      <c r="AG782" s="147"/>
      <c r="AH782" s="147"/>
      <c r="AI782" s="147"/>
      <c r="AJ782" s="147"/>
      <c r="AK782" s="147"/>
      <c r="AL782" s="147"/>
      <c r="AM782" s="147"/>
      <c r="AN782" s="147"/>
      <c r="AO782" s="147"/>
      <c r="AP782" s="147"/>
      <c r="AQ782" s="147"/>
      <c r="AR782" s="147"/>
      <c r="AS782" s="147"/>
      <c r="AT782" s="147"/>
      <c r="AU782" s="147"/>
      <c r="AV782" s="147"/>
      <c r="AW782" s="147"/>
    </row>
    <row r="783">
      <c r="A783" s="631"/>
      <c r="B783" s="631"/>
      <c r="C783" s="632"/>
      <c r="D783" s="633"/>
      <c r="E783" s="634"/>
      <c r="F783" s="635"/>
      <c r="G783" s="636"/>
      <c r="H783" s="637"/>
      <c r="I783" s="643"/>
      <c r="J783" s="644"/>
      <c r="K783" s="147"/>
      <c r="L783" s="632"/>
      <c r="M783" s="147"/>
      <c r="N783" s="640"/>
      <c r="O783" s="640"/>
      <c r="P783" s="641"/>
      <c r="Q783" s="642"/>
      <c r="R783" s="147"/>
      <c r="S783" s="147"/>
      <c r="T783" s="147"/>
      <c r="U783" s="147"/>
      <c r="V783" s="147"/>
      <c r="W783" s="147"/>
      <c r="X783" s="147"/>
      <c r="Y783" s="147"/>
      <c r="Z783" s="147"/>
      <c r="AA783" s="147"/>
      <c r="AB783" s="147"/>
      <c r="AC783" s="147"/>
      <c r="AD783" s="147"/>
      <c r="AE783" s="147"/>
      <c r="AF783" s="147"/>
      <c r="AG783" s="147"/>
      <c r="AH783" s="147"/>
      <c r="AI783" s="147"/>
      <c r="AJ783" s="147"/>
      <c r="AK783" s="147"/>
      <c r="AL783" s="147"/>
      <c r="AM783" s="147"/>
      <c r="AN783" s="147"/>
      <c r="AO783" s="147"/>
      <c r="AP783" s="147"/>
      <c r="AQ783" s="147"/>
      <c r="AR783" s="147"/>
      <c r="AS783" s="147"/>
      <c r="AT783" s="147"/>
      <c r="AU783" s="147"/>
      <c r="AV783" s="147"/>
      <c r="AW783" s="147"/>
    </row>
    <row r="784">
      <c r="A784" s="631"/>
      <c r="B784" s="631"/>
      <c r="C784" s="632"/>
      <c r="D784" s="633"/>
      <c r="E784" s="634"/>
      <c r="F784" s="635"/>
      <c r="G784" s="636"/>
      <c r="H784" s="637"/>
      <c r="I784" s="643"/>
      <c r="J784" s="644"/>
      <c r="K784" s="147"/>
      <c r="L784" s="632"/>
      <c r="M784" s="147"/>
      <c r="N784" s="640"/>
      <c r="O784" s="640"/>
      <c r="P784" s="641"/>
      <c r="Q784" s="642"/>
      <c r="R784" s="147"/>
      <c r="S784" s="147"/>
      <c r="T784" s="147"/>
      <c r="U784" s="147"/>
      <c r="V784" s="147"/>
      <c r="W784" s="147"/>
      <c r="X784" s="147"/>
      <c r="Y784" s="147"/>
      <c r="Z784" s="147"/>
      <c r="AA784" s="147"/>
      <c r="AB784" s="147"/>
      <c r="AC784" s="147"/>
      <c r="AD784" s="147"/>
      <c r="AE784" s="147"/>
      <c r="AF784" s="147"/>
      <c r="AG784" s="147"/>
      <c r="AH784" s="147"/>
      <c r="AI784" s="147"/>
      <c r="AJ784" s="147"/>
      <c r="AK784" s="147"/>
      <c r="AL784" s="147"/>
      <c r="AM784" s="147"/>
      <c r="AN784" s="147"/>
      <c r="AO784" s="147"/>
      <c r="AP784" s="147"/>
      <c r="AQ784" s="147"/>
      <c r="AR784" s="147"/>
      <c r="AS784" s="147"/>
      <c r="AT784" s="147"/>
      <c r="AU784" s="147"/>
      <c r="AV784" s="147"/>
      <c r="AW784" s="147"/>
    </row>
    <row r="785">
      <c r="A785" s="631"/>
      <c r="B785" s="631"/>
      <c r="C785" s="632"/>
      <c r="D785" s="633"/>
      <c r="E785" s="634"/>
      <c r="F785" s="635"/>
      <c r="G785" s="636"/>
      <c r="H785" s="637"/>
      <c r="I785" s="643"/>
      <c r="J785" s="644"/>
      <c r="K785" s="147"/>
      <c r="L785" s="632"/>
      <c r="M785" s="147"/>
      <c r="N785" s="640"/>
      <c r="O785" s="640"/>
      <c r="P785" s="641"/>
      <c r="Q785" s="642"/>
      <c r="R785" s="147"/>
      <c r="S785" s="147"/>
      <c r="T785" s="147"/>
      <c r="U785" s="147"/>
      <c r="V785" s="147"/>
      <c r="W785" s="147"/>
      <c r="X785" s="147"/>
      <c r="Y785" s="147"/>
      <c r="Z785" s="147"/>
      <c r="AA785" s="147"/>
      <c r="AB785" s="147"/>
      <c r="AC785" s="147"/>
      <c r="AD785" s="147"/>
      <c r="AE785" s="147"/>
      <c r="AF785" s="147"/>
      <c r="AG785" s="147"/>
      <c r="AH785" s="147"/>
      <c r="AI785" s="147"/>
      <c r="AJ785" s="147"/>
      <c r="AK785" s="147"/>
      <c r="AL785" s="147"/>
      <c r="AM785" s="147"/>
      <c r="AN785" s="147"/>
      <c r="AO785" s="147"/>
      <c r="AP785" s="147"/>
      <c r="AQ785" s="147"/>
      <c r="AR785" s="147"/>
      <c r="AS785" s="147"/>
      <c r="AT785" s="147"/>
      <c r="AU785" s="147"/>
      <c r="AV785" s="147"/>
      <c r="AW785" s="147"/>
    </row>
    <row r="786">
      <c r="A786" s="631"/>
      <c r="B786" s="631"/>
      <c r="C786" s="632"/>
      <c r="D786" s="633"/>
      <c r="E786" s="634"/>
      <c r="F786" s="635"/>
      <c r="G786" s="636"/>
      <c r="H786" s="637"/>
      <c r="I786" s="643"/>
      <c r="J786" s="644"/>
      <c r="K786" s="147"/>
      <c r="L786" s="632"/>
      <c r="M786" s="147"/>
      <c r="N786" s="640"/>
      <c r="O786" s="640"/>
      <c r="P786" s="641"/>
      <c r="Q786" s="642"/>
      <c r="R786" s="147"/>
      <c r="S786" s="147"/>
      <c r="T786" s="147"/>
      <c r="U786" s="147"/>
      <c r="V786" s="147"/>
      <c r="W786" s="147"/>
      <c r="X786" s="147"/>
      <c r="Y786" s="147"/>
      <c r="Z786" s="147"/>
      <c r="AA786" s="147"/>
      <c r="AB786" s="147"/>
      <c r="AC786" s="147"/>
      <c r="AD786" s="147"/>
      <c r="AE786" s="147"/>
      <c r="AF786" s="147"/>
      <c r="AG786" s="147"/>
      <c r="AH786" s="147"/>
      <c r="AI786" s="147"/>
      <c r="AJ786" s="147"/>
      <c r="AK786" s="147"/>
      <c r="AL786" s="147"/>
      <c r="AM786" s="147"/>
      <c r="AN786" s="147"/>
      <c r="AO786" s="147"/>
      <c r="AP786" s="147"/>
      <c r="AQ786" s="147"/>
      <c r="AR786" s="147"/>
      <c r="AS786" s="147"/>
      <c r="AT786" s="147"/>
      <c r="AU786" s="147"/>
      <c r="AV786" s="147"/>
      <c r="AW786" s="147"/>
    </row>
    <row r="787">
      <c r="A787" s="631"/>
      <c r="B787" s="631"/>
      <c r="C787" s="632"/>
      <c r="D787" s="633"/>
      <c r="E787" s="634"/>
      <c r="F787" s="635"/>
      <c r="G787" s="636"/>
      <c r="H787" s="637"/>
      <c r="I787" s="643"/>
      <c r="J787" s="644"/>
      <c r="K787" s="147"/>
      <c r="L787" s="632"/>
      <c r="M787" s="147"/>
      <c r="N787" s="640"/>
      <c r="O787" s="640"/>
      <c r="P787" s="641"/>
      <c r="Q787" s="642"/>
      <c r="R787" s="147"/>
      <c r="S787" s="147"/>
      <c r="T787" s="147"/>
      <c r="U787" s="147"/>
      <c r="V787" s="147"/>
      <c r="W787" s="147"/>
      <c r="X787" s="147"/>
      <c r="Y787" s="147"/>
      <c r="Z787" s="147"/>
      <c r="AA787" s="147"/>
      <c r="AB787" s="147"/>
      <c r="AC787" s="147"/>
      <c r="AD787" s="147"/>
      <c r="AE787" s="147"/>
      <c r="AF787" s="147"/>
      <c r="AG787" s="147"/>
      <c r="AH787" s="147"/>
      <c r="AI787" s="147"/>
      <c r="AJ787" s="147"/>
      <c r="AK787" s="147"/>
      <c r="AL787" s="147"/>
      <c r="AM787" s="147"/>
      <c r="AN787" s="147"/>
      <c r="AO787" s="147"/>
      <c r="AP787" s="147"/>
      <c r="AQ787" s="147"/>
      <c r="AR787" s="147"/>
      <c r="AS787" s="147"/>
      <c r="AT787" s="147"/>
      <c r="AU787" s="147"/>
      <c r="AV787" s="147"/>
      <c r="AW787" s="147"/>
    </row>
    <row r="788">
      <c r="A788" s="631"/>
      <c r="B788" s="631"/>
      <c r="C788" s="632"/>
      <c r="D788" s="633"/>
      <c r="E788" s="634"/>
      <c r="F788" s="635"/>
      <c r="G788" s="636"/>
      <c r="H788" s="637"/>
      <c r="I788" s="643"/>
      <c r="J788" s="644"/>
      <c r="K788" s="147"/>
      <c r="L788" s="632"/>
      <c r="M788" s="147"/>
      <c r="N788" s="640"/>
      <c r="O788" s="640"/>
      <c r="P788" s="641"/>
      <c r="Q788" s="642"/>
      <c r="R788" s="147"/>
      <c r="S788" s="147"/>
      <c r="T788" s="147"/>
      <c r="U788" s="147"/>
      <c r="V788" s="147"/>
      <c r="W788" s="147"/>
      <c r="X788" s="147"/>
      <c r="Y788" s="147"/>
      <c r="Z788" s="147"/>
      <c r="AA788" s="147"/>
      <c r="AB788" s="147"/>
      <c r="AC788" s="147"/>
      <c r="AD788" s="147"/>
      <c r="AE788" s="147"/>
      <c r="AF788" s="147"/>
      <c r="AG788" s="147"/>
      <c r="AH788" s="147"/>
      <c r="AI788" s="147"/>
      <c r="AJ788" s="147"/>
      <c r="AK788" s="147"/>
      <c r="AL788" s="147"/>
      <c r="AM788" s="147"/>
      <c r="AN788" s="147"/>
      <c r="AO788" s="147"/>
      <c r="AP788" s="147"/>
      <c r="AQ788" s="147"/>
      <c r="AR788" s="147"/>
      <c r="AS788" s="147"/>
      <c r="AT788" s="147"/>
      <c r="AU788" s="147"/>
      <c r="AV788" s="147"/>
      <c r="AW788" s="147"/>
    </row>
    <row r="789">
      <c r="A789" s="631"/>
      <c r="B789" s="631"/>
      <c r="C789" s="632"/>
      <c r="D789" s="633"/>
      <c r="E789" s="634"/>
      <c r="F789" s="635"/>
      <c r="G789" s="636"/>
      <c r="H789" s="637"/>
      <c r="I789" s="643"/>
      <c r="J789" s="644"/>
      <c r="K789" s="147"/>
      <c r="L789" s="632"/>
      <c r="M789" s="147"/>
      <c r="N789" s="640"/>
      <c r="O789" s="640"/>
      <c r="P789" s="641"/>
      <c r="Q789" s="642"/>
      <c r="R789" s="147"/>
      <c r="S789" s="147"/>
      <c r="T789" s="147"/>
      <c r="U789" s="147"/>
      <c r="V789" s="147"/>
      <c r="W789" s="147"/>
      <c r="X789" s="147"/>
      <c r="Y789" s="147"/>
      <c r="Z789" s="147"/>
      <c r="AA789" s="147"/>
      <c r="AB789" s="147"/>
      <c r="AC789" s="147"/>
      <c r="AD789" s="147"/>
      <c r="AE789" s="147"/>
      <c r="AF789" s="147"/>
      <c r="AG789" s="147"/>
      <c r="AH789" s="147"/>
      <c r="AI789" s="147"/>
      <c r="AJ789" s="147"/>
      <c r="AK789" s="147"/>
      <c r="AL789" s="147"/>
      <c r="AM789" s="147"/>
      <c r="AN789" s="147"/>
      <c r="AO789" s="147"/>
      <c r="AP789" s="147"/>
      <c r="AQ789" s="147"/>
      <c r="AR789" s="147"/>
      <c r="AS789" s="147"/>
      <c r="AT789" s="147"/>
      <c r="AU789" s="147"/>
      <c r="AV789" s="147"/>
      <c r="AW789" s="147"/>
    </row>
    <row r="790">
      <c r="A790" s="631"/>
      <c r="B790" s="631"/>
      <c r="C790" s="632"/>
      <c r="D790" s="633"/>
      <c r="E790" s="634"/>
      <c r="F790" s="635"/>
      <c r="G790" s="636"/>
      <c r="H790" s="637"/>
      <c r="I790" s="643"/>
      <c r="J790" s="644"/>
      <c r="K790" s="147"/>
      <c r="L790" s="632"/>
      <c r="M790" s="147"/>
      <c r="N790" s="640"/>
      <c r="O790" s="640"/>
      <c r="P790" s="641"/>
      <c r="Q790" s="642"/>
      <c r="R790" s="147"/>
      <c r="S790" s="147"/>
      <c r="T790" s="147"/>
      <c r="U790" s="147"/>
      <c r="V790" s="147"/>
      <c r="W790" s="147"/>
      <c r="X790" s="147"/>
      <c r="Y790" s="147"/>
      <c r="Z790" s="147"/>
      <c r="AA790" s="147"/>
      <c r="AB790" s="147"/>
      <c r="AC790" s="147"/>
      <c r="AD790" s="147"/>
      <c r="AE790" s="147"/>
      <c r="AF790" s="147"/>
      <c r="AG790" s="147"/>
      <c r="AH790" s="147"/>
      <c r="AI790" s="147"/>
      <c r="AJ790" s="147"/>
      <c r="AK790" s="147"/>
      <c r="AL790" s="147"/>
      <c r="AM790" s="147"/>
      <c r="AN790" s="147"/>
      <c r="AO790" s="147"/>
      <c r="AP790" s="147"/>
      <c r="AQ790" s="147"/>
      <c r="AR790" s="147"/>
      <c r="AS790" s="147"/>
      <c r="AT790" s="147"/>
      <c r="AU790" s="147"/>
      <c r="AV790" s="147"/>
      <c r="AW790" s="147"/>
    </row>
    <row r="791">
      <c r="A791" s="631"/>
      <c r="B791" s="631"/>
      <c r="C791" s="632"/>
      <c r="D791" s="633"/>
      <c r="E791" s="634"/>
      <c r="F791" s="635"/>
      <c r="G791" s="636"/>
      <c r="H791" s="637"/>
      <c r="I791" s="643"/>
      <c r="J791" s="644"/>
      <c r="K791" s="147"/>
      <c r="L791" s="632"/>
      <c r="M791" s="147"/>
      <c r="N791" s="640"/>
      <c r="O791" s="640"/>
      <c r="P791" s="641"/>
      <c r="Q791" s="642"/>
      <c r="R791" s="147"/>
      <c r="S791" s="147"/>
      <c r="T791" s="147"/>
      <c r="U791" s="147"/>
      <c r="V791" s="147"/>
      <c r="W791" s="147"/>
      <c r="X791" s="147"/>
      <c r="Y791" s="147"/>
      <c r="Z791" s="147"/>
      <c r="AA791" s="147"/>
      <c r="AB791" s="147"/>
      <c r="AC791" s="147"/>
      <c r="AD791" s="147"/>
      <c r="AE791" s="147"/>
      <c r="AF791" s="147"/>
      <c r="AG791" s="147"/>
      <c r="AH791" s="147"/>
      <c r="AI791" s="147"/>
      <c r="AJ791" s="147"/>
      <c r="AK791" s="147"/>
      <c r="AL791" s="147"/>
      <c r="AM791" s="147"/>
      <c r="AN791" s="147"/>
      <c r="AO791" s="147"/>
      <c r="AP791" s="147"/>
      <c r="AQ791" s="147"/>
      <c r="AR791" s="147"/>
      <c r="AS791" s="147"/>
      <c r="AT791" s="147"/>
      <c r="AU791" s="147"/>
      <c r="AV791" s="147"/>
      <c r="AW791" s="147"/>
    </row>
    <row r="792">
      <c r="A792" s="631"/>
      <c r="B792" s="631"/>
      <c r="C792" s="632"/>
      <c r="D792" s="633"/>
      <c r="E792" s="634"/>
      <c r="F792" s="635"/>
      <c r="G792" s="636"/>
      <c r="H792" s="637"/>
      <c r="I792" s="643"/>
      <c r="J792" s="644"/>
      <c r="K792" s="147"/>
      <c r="L792" s="632"/>
      <c r="M792" s="147"/>
      <c r="N792" s="640"/>
      <c r="O792" s="640"/>
      <c r="P792" s="641"/>
      <c r="Q792" s="642"/>
      <c r="R792" s="147"/>
      <c r="S792" s="147"/>
      <c r="T792" s="147"/>
      <c r="U792" s="147"/>
      <c r="V792" s="147"/>
      <c r="W792" s="147"/>
      <c r="X792" s="147"/>
      <c r="Y792" s="147"/>
      <c r="Z792" s="147"/>
      <c r="AA792" s="147"/>
      <c r="AB792" s="147"/>
      <c r="AC792" s="147"/>
      <c r="AD792" s="147"/>
      <c r="AE792" s="147"/>
      <c r="AF792" s="147"/>
      <c r="AG792" s="147"/>
      <c r="AH792" s="147"/>
      <c r="AI792" s="147"/>
      <c r="AJ792" s="147"/>
      <c r="AK792" s="147"/>
      <c r="AL792" s="147"/>
      <c r="AM792" s="147"/>
      <c r="AN792" s="147"/>
      <c r="AO792" s="147"/>
      <c r="AP792" s="147"/>
      <c r="AQ792" s="147"/>
      <c r="AR792" s="147"/>
      <c r="AS792" s="147"/>
      <c r="AT792" s="147"/>
      <c r="AU792" s="147"/>
      <c r="AV792" s="147"/>
      <c r="AW792" s="147"/>
    </row>
    <row r="793">
      <c r="A793" s="631"/>
      <c r="B793" s="631"/>
      <c r="C793" s="632"/>
      <c r="D793" s="633"/>
      <c r="E793" s="634"/>
      <c r="F793" s="635"/>
      <c r="G793" s="636"/>
      <c r="H793" s="637"/>
      <c r="I793" s="643"/>
      <c r="J793" s="644"/>
      <c r="K793" s="147"/>
      <c r="L793" s="632"/>
      <c r="M793" s="147"/>
      <c r="N793" s="640"/>
      <c r="O793" s="640"/>
      <c r="P793" s="641"/>
      <c r="Q793" s="642"/>
      <c r="R793" s="147"/>
      <c r="S793" s="147"/>
      <c r="T793" s="147"/>
      <c r="U793" s="147"/>
      <c r="V793" s="147"/>
      <c r="W793" s="147"/>
      <c r="X793" s="147"/>
      <c r="Y793" s="147"/>
      <c r="Z793" s="147"/>
      <c r="AA793" s="147"/>
      <c r="AB793" s="147"/>
      <c r="AC793" s="147"/>
      <c r="AD793" s="147"/>
      <c r="AE793" s="147"/>
      <c r="AF793" s="147"/>
      <c r="AG793" s="147"/>
      <c r="AH793" s="147"/>
      <c r="AI793" s="147"/>
      <c r="AJ793" s="147"/>
      <c r="AK793" s="147"/>
      <c r="AL793" s="147"/>
      <c r="AM793" s="147"/>
      <c r="AN793" s="147"/>
      <c r="AO793" s="147"/>
      <c r="AP793" s="147"/>
      <c r="AQ793" s="147"/>
      <c r="AR793" s="147"/>
      <c r="AS793" s="147"/>
      <c r="AT793" s="147"/>
      <c r="AU793" s="147"/>
      <c r="AV793" s="147"/>
      <c r="AW793" s="147"/>
    </row>
    <row r="794">
      <c r="A794" s="631"/>
      <c r="B794" s="631"/>
      <c r="C794" s="632"/>
      <c r="D794" s="633"/>
      <c r="E794" s="634"/>
      <c r="F794" s="635"/>
      <c r="G794" s="636"/>
      <c r="H794" s="637"/>
      <c r="I794" s="643"/>
      <c r="J794" s="644"/>
      <c r="K794" s="147"/>
      <c r="L794" s="632"/>
      <c r="M794" s="147"/>
      <c r="N794" s="640"/>
      <c r="O794" s="640"/>
      <c r="P794" s="641"/>
      <c r="Q794" s="642"/>
      <c r="R794" s="147"/>
      <c r="S794" s="147"/>
      <c r="T794" s="147"/>
      <c r="U794" s="147"/>
      <c r="V794" s="147"/>
      <c r="W794" s="147"/>
      <c r="X794" s="147"/>
      <c r="Y794" s="147"/>
      <c r="Z794" s="147"/>
      <c r="AA794" s="147"/>
      <c r="AB794" s="147"/>
      <c r="AC794" s="147"/>
      <c r="AD794" s="147"/>
      <c r="AE794" s="147"/>
      <c r="AF794" s="147"/>
      <c r="AG794" s="147"/>
      <c r="AH794" s="147"/>
      <c r="AI794" s="147"/>
      <c r="AJ794" s="147"/>
      <c r="AK794" s="147"/>
      <c r="AL794" s="147"/>
      <c r="AM794" s="147"/>
      <c r="AN794" s="147"/>
      <c r="AO794" s="147"/>
      <c r="AP794" s="147"/>
      <c r="AQ794" s="147"/>
      <c r="AR794" s="147"/>
      <c r="AS794" s="147"/>
      <c r="AT794" s="147"/>
      <c r="AU794" s="147"/>
      <c r="AV794" s="147"/>
      <c r="AW794" s="147"/>
    </row>
    <row r="795">
      <c r="A795" s="631"/>
      <c r="B795" s="631"/>
      <c r="C795" s="632"/>
      <c r="D795" s="633"/>
      <c r="E795" s="634"/>
      <c r="F795" s="635"/>
      <c r="G795" s="636"/>
      <c r="H795" s="637"/>
      <c r="I795" s="643"/>
      <c r="J795" s="644"/>
      <c r="K795" s="147"/>
      <c r="L795" s="632"/>
      <c r="M795" s="147"/>
      <c r="N795" s="640"/>
      <c r="O795" s="640"/>
      <c r="P795" s="641"/>
      <c r="Q795" s="642"/>
      <c r="R795" s="147"/>
      <c r="S795" s="147"/>
      <c r="T795" s="147"/>
      <c r="U795" s="147"/>
      <c r="V795" s="147"/>
      <c r="W795" s="147"/>
      <c r="X795" s="147"/>
      <c r="Y795" s="147"/>
      <c r="Z795" s="147"/>
      <c r="AA795" s="147"/>
      <c r="AB795" s="147"/>
      <c r="AC795" s="147"/>
      <c r="AD795" s="147"/>
      <c r="AE795" s="147"/>
      <c r="AF795" s="147"/>
      <c r="AG795" s="147"/>
      <c r="AH795" s="147"/>
      <c r="AI795" s="147"/>
      <c r="AJ795" s="147"/>
      <c r="AK795" s="147"/>
      <c r="AL795" s="147"/>
      <c r="AM795" s="147"/>
      <c r="AN795" s="147"/>
      <c r="AO795" s="147"/>
      <c r="AP795" s="147"/>
      <c r="AQ795" s="147"/>
      <c r="AR795" s="147"/>
      <c r="AS795" s="147"/>
      <c r="AT795" s="147"/>
      <c r="AU795" s="147"/>
      <c r="AV795" s="147"/>
      <c r="AW795" s="147"/>
    </row>
    <row r="796">
      <c r="A796" s="631"/>
      <c r="B796" s="631"/>
      <c r="C796" s="632"/>
      <c r="D796" s="633"/>
      <c r="E796" s="634"/>
      <c r="F796" s="635"/>
      <c r="G796" s="636"/>
      <c r="H796" s="637"/>
      <c r="I796" s="643"/>
      <c r="J796" s="644"/>
      <c r="K796" s="147"/>
      <c r="L796" s="632"/>
      <c r="M796" s="147"/>
      <c r="N796" s="640"/>
      <c r="O796" s="640"/>
      <c r="P796" s="641"/>
      <c r="Q796" s="642"/>
      <c r="R796" s="147"/>
      <c r="S796" s="147"/>
      <c r="T796" s="147"/>
      <c r="U796" s="147"/>
      <c r="V796" s="147"/>
      <c r="W796" s="147"/>
      <c r="X796" s="147"/>
      <c r="Y796" s="147"/>
      <c r="Z796" s="147"/>
      <c r="AA796" s="147"/>
      <c r="AB796" s="147"/>
      <c r="AC796" s="147"/>
      <c r="AD796" s="147"/>
      <c r="AE796" s="147"/>
      <c r="AF796" s="147"/>
      <c r="AG796" s="147"/>
      <c r="AH796" s="147"/>
      <c r="AI796" s="147"/>
      <c r="AJ796" s="147"/>
      <c r="AK796" s="147"/>
      <c r="AL796" s="147"/>
      <c r="AM796" s="147"/>
      <c r="AN796" s="147"/>
      <c r="AO796" s="147"/>
      <c r="AP796" s="147"/>
      <c r="AQ796" s="147"/>
      <c r="AR796" s="147"/>
      <c r="AS796" s="147"/>
      <c r="AT796" s="147"/>
      <c r="AU796" s="147"/>
      <c r="AV796" s="147"/>
      <c r="AW796" s="147"/>
    </row>
    <row r="797">
      <c r="A797" s="631"/>
      <c r="B797" s="631"/>
      <c r="C797" s="632"/>
      <c r="D797" s="633"/>
      <c r="E797" s="634"/>
      <c r="F797" s="635"/>
      <c r="G797" s="636"/>
      <c r="H797" s="637"/>
      <c r="I797" s="643"/>
      <c r="J797" s="644"/>
      <c r="K797" s="147"/>
      <c r="L797" s="632"/>
      <c r="M797" s="147"/>
      <c r="N797" s="640"/>
      <c r="O797" s="640"/>
      <c r="P797" s="641"/>
      <c r="Q797" s="642"/>
      <c r="R797" s="147"/>
      <c r="S797" s="147"/>
      <c r="T797" s="147"/>
      <c r="U797" s="147"/>
      <c r="V797" s="147"/>
      <c r="W797" s="147"/>
      <c r="X797" s="147"/>
      <c r="Y797" s="147"/>
      <c r="Z797" s="147"/>
      <c r="AA797" s="147"/>
      <c r="AB797" s="147"/>
      <c r="AC797" s="147"/>
      <c r="AD797" s="147"/>
      <c r="AE797" s="147"/>
      <c r="AF797" s="147"/>
      <c r="AG797" s="147"/>
      <c r="AH797" s="147"/>
      <c r="AI797" s="147"/>
      <c r="AJ797" s="147"/>
      <c r="AK797" s="147"/>
      <c r="AL797" s="147"/>
      <c r="AM797" s="147"/>
      <c r="AN797" s="147"/>
      <c r="AO797" s="147"/>
      <c r="AP797" s="147"/>
      <c r="AQ797" s="147"/>
      <c r="AR797" s="147"/>
      <c r="AS797" s="147"/>
      <c r="AT797" s="147"/>
      <c r="AU797" s="147"/>
      <c r="AV797" s="147"/>
      <c r="AW797" s="147"/>
    </row>
    <row r="798">
      <c r="A798" s="631"/>
      <c r="B798" s="631"/>
      <c r="C798" s="632"/>
      <c r="D798" s="633"/>
      <c r="E798" s="634"/>
      <c r="F798" s="635"/>
      <c r="G798" s="636"/>
      <c r="H798" s="637"/>
      <c r="I798" s="643"/>
      <c r="J798" s="644"/>
      <c r="K798" s="147"/>
      <c r="L798" s="632"/>
      <c r="M798" s="147"/>
      <c r="N798" s="640"/>
      <c r="O798" s="640"/>
      <c r="P798" s="641"/>
      <c r="Q798" s="642"/>
      <c r="R798" s="147"/>
      <c r="S798" s="147"/>
      <c r="T798" s="147"/>
      <c r="U798" s="147"/>
      <c r="V798" s="147"/>
      <c r="W798" s="147"/>
      <c r="X798" s="147"/>
      <c r="Y798" s="147"/>
      <c r="Z798" s="147"/>
      <c r="AA798" s="147"/>
      <c r="AB798" s="147"/>
      <c r="AC798" s="147"/>
      <c r="AD798" s="147"/>
      <c r="AE798" s="147"/>
      <c r="AF798" s="147"/>
      <c r="AG798" s="147"/>
      <c r="AH798" s="147"/>
      <c r="AI798" s="147"/>
      <c r="AJ798" s="147"/>
      <c r="AK798" s="147"/>
      <c r="AL798" s="147"/>
      <c r="AM798" s="147"/>
      <c r="AN798" s="147"/>
      <c r="AO798" s="147"/>
      <c r="AP798" s="147"/>
      <c r="AQ798" s="147"/>
      <c r="AR798" s="147"/>
      <c r="AS798" s="147"/>
      <c r="AT798" s="147"/>
      <c r="AU798" s="147"/>
      <c r="AV798" s="147"/>
      <c r="AW798" s="147"/>
    </row>
    <row r="799">
      <c r="A799" s="631"/>
      <c r="B799" s="631"/>
      <c r="C799" s="632"/>
      <c r="D799" s="633"/>
      <c r="E799" s="634"/>
      <c r="F799" s="635"/>
      <c r="G799" s="636"/>
      <c r="H799" s="637"/>
      <c r="I799" s="643"/>
      <c r="J799" s="644"/>
      <c r="K799" s="147"/>
      <c r="L799" s="632"/>
      <c r="M799" s="147"/>
      <c r="N799" s="640"/>
      <c r="O799" s="640"/>
      <c r="P799" s="641"/>
      <c r="Q799" s="642"/>
      <c r="R799" s="147"/>
      <c r="S799" s="147"/>
      <c r="T799" s="147"/>
      <c r="U799" s="147"/>
      <c r="V799" s="147"/>
      <c r="W799" s="147"/>
      <c r="X799" s="147"/>
      <c r="Y799" s="147"/>
      <c r="Z799" s="147"/>
      <c r="AA799" s="147"/>
      <c r="AB799" s="147"/>
      <c r="AC799" s="147"/>
      <c r="AD799" s="147"/>
      <c r="AE799" s="147"/>
      <c r="AF799" s="147"/>
      <c r="AG799" s="147"/>
      <c r="AH799" s="147"/>
      <c r="AI799" s="147"/>
      <c r="AJ799" s="147"/>
      <c r="AK799" s="147"/>
      <c r="AL799" s="147"/>
      <c r="AM799" s="147"/>
      <c r="AN799" s="147"/>
      <c r="AO799" s="147"/>
      <c r="AP799" s="147"/>
      <c r="AQ799" s="147"/>
      <c r="AR799" s="147"/>
      <c r="AS799" s="147"/>
      <c r="AT799" s="147"/>
      <c r="AU799" s="147"/>
      <c r="AV799" s="147"/>
      <c r="AW799" s="147"/>
    </row>
    <row r="800">
      <c r="A800" s="631"/>
      <c r="B800" s="631"/>
      <c r="C800" s="632"/>
      <c r="D800" s="633"/>
      <c r="E800" s="634"/>
      <c r="F800" s="635"/>
      <c r="G800" s="636"/>
      <c r="H800" s="637"/>
      <c r="I800" s="643"/>
      <c r="J800" s="644"/>
      <c r="K800" s="147"/>
      <c r="L800" s="632"/>
      <c r="M800" s="147"/>
      <c r="N800" s="640"/>
      <c r="O800" s="640"/>
      <c r="P800" s="641"/>
      <c r="Q800" s="642"/>
      <c r="R800" s="147"/>
      <c r="S800" s="147"/>
      <c r="T800" s="147"/>
      <c r="U800" s="147"/>
      <c r="V800" s="147"/>
      <c r="W800" s="147"/>
      <c r="X800" s="147"/>
      <c r="Y800" s="147"/>
      <c r="Z800" s="147"/>
      <c r="AA800" s="147"/>
      <c r="AB800" s="147"/>
      <c r="AC800" s="147"/>
      <c r="AD800" s="147"/>
      <c r="AE800" s="147"/>
      <c r="AF800" s="147"/>
      <c r="AG800" s="147"/>
      <c r="AH800" s="147"/>
      <c r="AI800" s="147"/>
      <c r="AJ800" s="147"/>
      <c r="AK800" s="147"/>
      <c r="AL800" s="147"/>
      <c r="AM800" s="147"/>
      <c r="AN800" s="147"/>
      <c r="AO800" s="147"/>
      <c r="AP800" s="147"/>
      <c r="AQ800" s="147"/>
      <c r="AR800" s="147"/>
      <c r="AS800" s="147"/>
      <c r="AT800" s="147"/>
      <c r="AU800" s="147"/>
      <c r="AV800" s="147"/>
      <c r="AW800" s="147"/>
    </row>
    <row r="801">
      <c r="A801" s="631"/>
      <c r="B801" s="631"/>
      <c r="C801" s="632"/>
      <c r="D801" s="633"/>
      <c r="E801" s="634"/>
      <c r="F801" s="635"/>
      <c r="G801" s="636"/>
      <c r="H801" s="637"/>
      <c r="I801" s="643"/>
      <c r="J801" s="644"/>
      <c r="K801" s="147"/>
      <c r="L801" s="632"/>
      <c r="M801" s="147"/>
      <c r="N801" s="640"/>
      <c r="O801" s="640"/>
      <c r="P801" s="641"/>
      <c r="Q801" s="642"/>
      <c r="R801" s="147"/>
      <c r="S801" s="147"/>
      <c r="T801" s="147"/>
      <c r="U801" s="147"/>
      <c r="V801" s="147"/>
      <c r="W801" s="147"/>
      <c r="X801" s="147"/>
      <c r="Y801" s="147"/>
      <c r="Z801" s="147"/>
      <c r="AA801" s="147"/>
      <c r="AB801" s="147"/>
      <c r="AC801" s="147"/>
      <c r="AD801" s="147"/>
      <c r="AE801" s="147"/>
      <c r="AF801" s="147"/>
      <c r="AG801" s="147"/>
      <c r="AH801" s="147"/>
      <c r="AI801" s="147"/>
      <c r="AJ801" s="147"/>
      <c r="AK801" s="147"/>
      <c r="AL801" s="147"/>
      <c r="AM801" s="147"/>
      <c r="AN801" s="147"/>
      <c r="AO801" s="147"/>
      <c r="AP801" s="147"/>
      <c r="AQ801" s="147"/>
      <c r="AR801" s="147"/>
      <c r="AS801" s="147"/>
      <c r="AT801" s="147"/>
      <c r="AU801" s="147"/>
      <c r="AV801" s="147"/>
      <c r="AW801" s="147"/>
    </row>
    <row r="802">
      <c r="A802" s="631"/>
      <c r="B802" s="631"/>
      <c r="C802" s="632"/>
      <c r="D802" s="633"/>
      <c r="E802" s="634"/>
      <c r="F802" s="635"/>
      <c r="G802" s="636"/>
      <c r="H802" s="637"/>
      <c r="I802" s="643"/>
      <c r="J802" s="644"/>
      <c r="K802" s="147"/>
      <c r="L802" s="632"/>
      <c r="M802" s="147"/>
      <c r="N802" s="640"/>
      <c r="O802" s="640"/>
      <c r="P802" s="641"/>
      <c r="Q802" s="642"/>
      <c r="R802" s="147"/>
      <c r="S802" s="147"/>
      <c r="T802" s="147"/>
      <c r="U802" s="147"/>
      <c r="V802" s="147"/>
      <c r="W802" s="147"/>
      <c r="X802" s="147"/>
      <c r="Y802" s="147"/>
      <c r="Z802" s="147"/>
      <c r="AA802" s="147"/>
      <c r="AB802" s="147"/>
      <c r="AC802" s="147"/>
      <c r="AD802" s="147"/>
      <c r="AE802" s="147"/>
      <c r="AF802" s="147"/>
      <c r="AG802" s="147"/>
      <c r="AH802" s="147"/>
      <c r="AI802" s="147"/>
      <c r="AJ802" s="147"/>
      <c r="AK802" s="147"/>
      <c r="AL802" s="147"/>
      <c r="AM802" s="147"/>
      <c r="AN802" s="147"/>
      <c r="AO802" s="147"/>
      <c r="AP802" s="147"/>
      <c r="AQ802" s="147"/>
      <c r="AR802" s="147"/>
      <c r="AS802" s="147"/>
      <c r="AT802" s="147"/>
      <c r="AU802" s="147"/>
      <c r="AV802" s="147"/>
      <c r="AW802" s="147"/>
    </row>
    <row r="803">
      <c r="A803" s="631"/>
      <c r="B803" s="631"/>
      <c r="C803" s="632"/>
      <c r="D803" s="633"/>
      <c r="E803" s="634"/>
      <c r="F803" s="635"/>
      <c r="G803" s="636"/>
      <c r="H803" s="637"/>
      <c r="I803" s="643"/>
      <c r="J803" s="644"/>
      <c r="K803" s="147"/>
      <c r="L803" s="632"/>
      <c r="M803" s="147"/>
      <c r="N803" s="640"/>
      <c r="O803" s="640"/>
      <c r="P803" s="641"/>
      <c r="Q803" s="642"/>
      <c r="R803" s="147"/>
      <c r="S803" s="147"/>
      <c r="T803" s="147"/>
      <c r="U803" s="147"/>
      <c r="V803" s="147"/>
      <c r="W803" s="147"/>
      <c r="X803" s="147"/>
      <c r="Y803" s="147"/>
      <c r="Z803" s="147"/>
      <c r="AA803" s="147"/>
      <c r="AB803" s="147"/>
      <c r="AC803" s="147"/>
      <c r="AD803" s="147"/>
      <c r="AE803" s="147"/>
      <c r="AF803" s="147"/>
      <c r="AG803" s="147"/>
      <c r="AH803" s="147"/>
      <c r="AI803" s="147"/>
      <c r="AJ803" s="147"/>
      <c r="AK803" s="147"/>
      <c r="AL803" s="147"/>
      <c r="AM803" s="147"/>
      <c r="AN803" s="147"/>
      <c r="AO803" s="147"/>
      <c r="AP803" s="147"/>
      <c r="AQ803" s="147"/>
      <c r="AR803" s="147"/>
      <c r="AS803" s="147"/>
      <c r="AT803" s="147"/>
      <c r="AU803" s="147"/>
      <c r="AV803" s="147"/>
      <c r="AW803" s="147"/>
    </row>
    <row r="804">
      <c r="A804" s="631"/>
      <c r="B804" s="631"/>
      <c r="C804" s="632"/>
      <c r="D804" s="633"/>
      <c r="E804" s="634"/>
      <c r="F804" s="635"/>
      <c r="G804" s="636"/>
      <c r="H804" s="637"/>
      <c r="I804" s="643"/>
      <c r="J804" s="644"/>
      <c r="K804" s="147"/>
      <c r="L804" s="632"/>
      <c r="M804" s="147"/>
      <c r="N804" s="640"/>
      <c r="O804" s="640"/>
      <c r="P804" s="641"/>
      <c r="Q804" s="642"/>
      <c r="R804" s="147"/>
      <c r="S804" s="147"/>
      <c r="T804" s="147"/>
      <c r="U804" s="147"/>
      <c r="V804" s="147"/>
      <c r="W804" s="147"/>
      <c r="X804" s="147"/>
      <c r="Y804" s="147"/>
      <c r="Z804" s="147"/>
      <c r="AA804" s="147"/>
      <c r="AB804" s="147"/>
      <c r="AC804" s="147"/>
      <c r="AD804" s="147"/>
      <c r="AE804" s="147"/>
      <c r="AF804" s="147"/>
      <c r="AG804" s="147"/>
      <c r="AH804" s="147"/>
      <c r="AI804" s="147"/>
      <c r="AJ804" s="147"/>
      <c r="AK804" s="147"/>
      <c r="AL804" s="147"/>
      <c r="AM804" s="147"/>
      <c r="AN804" s="147"/>
      <c r="AO804" s="147"/>
      <c r="AP804" s="147"/>
      <c r="AQ804" s="147"/>
      <c r="AR804" s="147"/>
      <c r="AS804" s="147"/>
      <c r="AT804" s="147"/>
      <c r="AU804" s="147"/>
      <c r="AV804" s="147"/>
      <c r="AW804" s="147"/>
    </row>
    <row r="805">
      <c r="A805" s="631"/>
      <c r="B805" s="631"/>
      <c r="C805" s="632"/>
      <c r="D805" s="633"/>
      <c r="E805" s="634"/>
      <c r="F805" s="635"/>
      <c r="G805" s="636"/>
      <c r="H805" s="637"/>
      <c r="I805" s="643"/>
      <c r="J805" s="644"/>
      <c r="K805" s="147"/>
      <c r="L805" s="632"/>
      <c r="M805" s="147"/>
      <c r="N805" s="640"/>
      <c r="O805" s="640"/>
      <c r="P805" s="641"/>
      <c r="Q805" s="642"/>
      <c r="R805" s="147"/>
      <c r="S805" s="147"/>
      <c r="T805" s="147"/>
      <c r="U805" s="147"/>
      <c r="V805" s="147"/>
      <c r="W805" s="147"/>
      <c r="X805" s="147"/>
      <c r="Y805" s="147"/>
      <c r="Z805" s="147"/>
      <c r="AA805" s="147"/>
      <c r="AB805" s="147"/>
      <c r="AC805" s="147"/>
      <c r="AD805" s="147"/>
      <c r="AE805" s="147"/>
      <c r="AF805" s="147"/>
      <c r="AG805" s="147"/>
      <c r="AH805" s="147"/>
      <c r="AI805" s="147"/>
      <c r="AJ805" s="147"/>
      <c r="AK805" s="147"/>
      <c r="AL805" s="147"/>
      <c r="AM805" s="147"/>
      <c r="AN805" s="147"/>
      <c r="AO805" s="147"/>
      <c r="AP805" s="147"/>
      <c r="AQ805" s="147"/>
      <c r="AR805" s="147"/>
      <c r="AS805" s="147"/>
      <c r="AT805" s="147"/>
      <c r="AU805" s="147"/>
      <c r="AV805" s="147"/>
      <c r="AW805" s="147"/>
    </row>
    <row r="806">
      <c r="A806" s="631"/>
      <c r="B806" s="631"/>
      <c r="C806" s="632"/>
      <c r="D806" s="633"/>
      <c r="E806" s="634"/>
      <c r="F806" s="635"/>
      <c r="G806" s="636"/>
      <c r="H806" s="637"/>
      <c r="I806" s="643"/>
      <c r="J806" s="644"/>
      <c r="K806" s="147"/>
      <c r="L806" s="632"/>
      <c r="M806" s="147"/>
      <c r="N806" s="640"/>
      <c r="O806" s="640"/>
      <c r="P806" s="641"/>
      <c r="Q806" s="642"/>
      <c r="R806" s="147"/>
      <c r="S806" s="147"/>
      <c r="T806" s="147"/>
      <c r="U806" s="147"/>
      <c r="V806" s="147"/>
      <c r="W806" s="147"/>
      <c r="X806" s="147"/>
      <c r="Y806" s="147"/>
      <c r="Z806" s="147"/>
      <c r="AA806" s="147"/>
      <c r="AB806" s="147"/>
      <c r="AC806" s="147"/>
      <c r="AD806" s="147"/>
      <c r="AE806" s="147"/>
      <c r="AF806" s="147"/>
      <c r="AG806" s="147"/>
      <c r="AH806" s="147"/>
      <c r="AI806" s="147"/>
      <c r="AJ806" s="147"/>
      <c r="AK806" s="147"/>
      <c r="AL806" s="147"/>
      <c r="AM806" s="147"/>
      <c r="AN806" s="147"/>
      <c r="AO806" s="147"/>
      <c r="AP806" s="147"/>
      <c r="AQ806" s="147"/>
      <c r="AR806" s="147"/>
      <c r="AS806" s="147"/>
      <c r="AT806" s="147"/>
      <c r="AU806" s="147"/>
      <c r="AV806" s="147"/>
      <c r="AW806" s="147"/>
    </row>
    <row r="807">
      <c r="A807" s="631"/>
      <c r="B807" s="631"/>
      <c r="C807" s="632"/>
      <c r="D807" s="633"/>
      <c r="E807" s="634"/>
      <c r="F807" s="635"/>
      <c r="G807" s="636"/>
      <c r="H807" s="637"/>
      <c r="I807" s="643"/>
      <c r="J807" s="644"/>
      <c r="K807" s="147"/>
      <c r="L807" s="632"/>
      <c r="M807" s="147"/>
      <c r="N807" s="640"/>
      <c r="O807" s="640"/>
      <c r="P807" s="641"/>
      <c r="Q807" s="642"/>
      <c r="R807" s="147"/>
      <c r="S807" s="147"/>
      <c r="T807" s="147"/>
      <c r="U807" s="147"/>
      <c r="V807" s="147"/>
      <c r="W807" s="147"/>
      <c r="X807" s="147"/>
      <c r="Y807" s="147"/>
      <c r="Z807" s="147"/>
      <c r="AA807" s="147"/>
      <c r="AB807" s="147"/>
      <c r="AC807" s="147"/>
      <c r="AD807" s="147"/>
      <c r="AE807" s="147"/>
      <c r="AF807" s="147"/>
      <c r="AG807" s="147"/>
      <c r="AH807" s="147"/>
      <c r="AI807" s="147"/>
      <c r="AJ807" s="147"/>
      <c r="AK807" s="147"/>
      <c r="AL807" s="147"/>
      <c r="AM807" s="147"/>
      <c r="AN807" s="147"/>
      <c r="AO807" s="147"/>
      <c r="AP807" s="147"/>
      <c r="AQ807" s="147"/>
      <c r="AR807" s="147"/>
      <c r="AS807" s="147"/>
      <c r="AT807" s="147"/>
      <c r="AU807" s="147"/>
      <c r="AV807" s="147"/>
      <c r="AW807" s="147"/>
    </row>
    <row r="808">
      <c r="A808" s="631"/>
      <c r="B808" s="631"/>
      <c r="C808" s="632"/>
      <c r="D808" s="633"/>
      <c r="E808" s="634"/>
      <c r="F808" s="635"/>
      <c r="G808" s="636"/>
      <c r="H808" s="637"/>
      <c r="I808" s="643"/>
      <c r="J808" s="644"/>
      <c r="K808" s="147"/>
      <c r="L808" s="632"/>
      <c r="M808" s="147"/>
      <c r="N808" s="640"/>
      <c r="O808" s="640"/>
      <c r="P808" s="641"/>
      <c r="Q808" s="642"/>
      <c r="R808" s="147"/>
      <c r="S808" s="147"/>
      <c r="T808" s="147"/>
      <c r="U808" s="147"/>
      <c r="V808" s="147"/>
      <c r="W808" s="147"/>
      <c r="X808" s="147"/>
      <c r="Y808" s="147"/>
      <c r="Z808" s="147"/>
      <c r="AA808" s="147"/>
      <c r="AB808" s="147"/>
      <c r="AC808" s="147"/>
      <c r="AD808" s="147"/>
      <c r="AE808" s="147"/>
      <c r="AF808" s="147"/>
      <c r="AG808" s="147"/>
      <c r="AH808" s="147"/>
      <c r="AI808" s="147"/>
      <c r="AJ808" s="147"/>
      <c r="AK808" s="147"/>
      <c r="AL808" s="147"/>
      <c r="AM808" s="147"/>
      <c r="AN808" s="147"/>
      <c r="AO808" s="147"/>
      <c r="AP808" s="147"/>
      <c r="AQ808" s="147"/>
      <c r="AR808" s="147"/>
      <c r="AS808" s="147"/>
      <c r="AT808" s="147"/>
      <c r="AU808" s="147"/>
      <c r="AV808" s="147"/>
      <c r="AW808" s="147"/>
    </row>
    <row r="809">
      <c r="A809" s="631"/>
      <c r="B809" s="631"/>
      <c r="C809" s="632"/>
      <c r="D809" s="633"/>
      <c r="E809" s="634"/>
      <c r="F809" s="635"/>
      <c r="G809" s="636"/>
      <c r="H809" s="637"/>
      <c r="I809" s="643"/>
      <c r="J809" s="644"/>
      <c r="K809" s="147"/>
      <c r="L809" s="632"/>
      <c r="M809" s="147"/>
      <c r="N809" s="640"/>
      <c r="O809" s="640"/>
      <c r="P809" s="641"/>
      <c r="Q809" s="642"/>
      <c r="R809" s="147"/>
      <c r="S809" s="147"/>
      <c r="T809" s="147"/>
      <c r="U809" s="147"/>
      <c r="V809" s="147"/>
      <c r="W809" s="147"/>
      <c r="X809" s="147"/>
      <c r="Y809" s="147"/>
      <c r="Z809" s="147"/>
      <c r="AA809" s="147"/>
      <c r="AB809" s="147"/>
      <c r="AC809" s="147"/>
      <c r="AD809" s="147"/>
      <c r="AE809" s="147"/>
      <c r="AF809" s="147"/>
      <c r="AG809" s="147"/>
      <c r="AH809" s="147"/>
      <c r="AI809" s="147"/>
      <c r="AJ809" s="147"/>
      <c r="AK809" s="147"/>
      <c r="AL809" s="147"/>
      <c r="AM809" s="147"/>
      <c r="AN809" s="147"/>
      <c r="AO809" s="147"/>
      <c r="AP809" s="147"/>
      <c r="AQ809" s="147"/>
      <c r="AR809" s="147"/>
      <c r="AS809" s="147"/>
      <c r="AT809" s="147"/>
      <c r="AU809" s="147"/>
      <c r="AV809" s="147"/>
      <c r="AW809" s="147"/>
    </row>
    <row r="810">
      <c r="A810" s="631"/>
      <c r="B810" s="631"/>
      <c r="C810" s="632"/>
      <c r="D810" s="633"/>
      <c r="E810" s="634"/>
      <c r="F810" s="635"/>
      <c r="G810" s="636"/>
      <c r="H810" s="637"/>
      <c r="I810" s="643"/>
      <c r="J810" s="644"/>
      <c r="K810" s="147"/>
      <c r="L810" s="632"/>
      <c r="M810" s="147"/>
      <c r="N810" s="640"/>
      <c r="O810" s="640"/>
      <c r="P810" s="641"/>
      <c r="Q810" s="642"/>
      <c r="R810" s="147"/>
      <c r="S810" s="147"/>
      <c r="T810" s="147"/>
      <c r="U810" s="147"/>
      <c r="V810" s="147"/>
      <c r="W810" s="147"/>
      <c r="X810" s="147"/>
      <c r="Y810" s="147"/>
      <c r="Z810" s="147"/>
      <c r="AA810" s="147"/>
      <c r="AB810" s="147"/>
      <c r="AC810" s="147"/>
      <c r="AD810" s="147"/>
      <c r="AE810" s="147"/>
      <c r="AF810" s="147"/>
      <c r="AG810" s="147"/>
      <c r="AH810" s="147"/>
      <c r="AI810" s="147"/>
      <c r="AJ810" s="147"/>
      <c r="AK810" s="147"/>
      <c r="AL810" s="147"/>
      <c r="AM810" s="147"/>
      <c r="AN810" s="147"/>
      <c r="AO810" s="147"/>
      <c r="AP810" s="147"/>
      <c r="AQ810" s="147"/>
      <c r="AR810" s="147"/>
      <c r="AS810" s="147"/>
      <c r="AT810" s="147"/>
      <c r="AU810" s="147"/>
      <c r="AV810" s="147"/>
      <c r="AW810" s="147"/>
    </row>
    <row r="811">
      <c r="A811" s="631"/>
      <c r="B811" s="631"/>
      <c r="C811" s="632"/>
      <c r="D811" s="633"/>
      <c r="E811" s="634"/>
      <c r="F811" s="635"/>
      <c r="G811" s="636"/>
      <c r="H811" s="637"/>
      <c r="I811" s="643"/>
      <c r="J811" s="644"/>
      <c r="K811" s="147"/>
      <c r="L811" s="632"/>
      <c r="M811" s="147"/>
      <c r="N811" s="640"/>
      <c r="O811" s="640"/>
      <c r="P811" s="641"/>
      <c r="Q811" s="642"/>
      <c r="R811" s="147"/>
      <c r="S811" s="147"/>
      <c r="T811" s="147"/>
      <c r="U811" s="147"/>
      <c r="V811" s="147"/>
      <c r="W811" s="147"/>
      <c r="X811" s="147"/>
      <c r="Y811" s="147"/>
      <c r="Z811" s="147"/>
      <c r="AA811" s="147"/>
      <c r="AB811" s="147"/>
      <c r="AC811" s="147"/>
      <c r="AD811" s="147"/>
      <c r="AE811" s="147"/>
      <c r="AF811" s="147"/>
      <c r="AG811" s="147"/>
      <c r="AH811" s="147"/>
      <c r="AI811" s="147"/>
      <c r="AJ811" s="147"/>
      <c r="AK811" s="147"/>
      <c r="AL811" s="147"/>
      <c r="AM811" s="147"/>
      <c r="AN811" s="147"/>
      <c r="AO811" s="147"/>
      <c r="AP811" s="147"/>
      <c r="AQ811" s="147"/>
      <c r="AR811" s="147"/>
      <c r="AS811" s="147"/>
      <c r="AT811" s="147"/>
      <c r="AU811" s="147"/>
      <c r="AV811" s="147"/>
      <c r="AW811" s="147"/>
    </row>
    <row r="812">
      <c r="A812" s="631"/>
      <c r="B812" s="631"/>
      <c r="C812" s="632"/>
      <c r="D812" s="633"/>
      <c r="E812" s="634"/>
      <c r="F812" s="635"/>
      <c r="G812" s="636"/>
      <c r="H812" s="637"/>
      <c r="I812" s="643"/>
      <c r="J812" s="644"/>
      <c r="K812" s="147"/>
      <c r="L812" s="632"/>
      <c r="M812" s="147"/>
      <c r="N812" s="640"/>
      <c r="O812" s="640"/>
      <c r="P812" s="641"/>
      <c r="Q812" s="642"/>
      <c r="R812" s="147"/>
      <c r="S812" s="147"/>
      <c r="T812" s="147"/>
      <c r="U812" s="147"/>
      <c r="V812" s="147"/>
      <c r="W812" s="147"/>
      <c r="X812" s="147"/>
      <c r="Y812" s="147"/>
      <c r="Z812" s="147"/>
      <c r="AA812" s="147"/>
      <c r="AB812" s="147"/>
      <c r="AC812" s="147"/>
      <c r="AD812" s="147"/>
      <c r="AE812" s="147"/>
      <c r="AF812" s="147"/>
      <c r="AG812" s="147"/>
      <c r="AH812" s="147"/>
      <c r="AI812" s="147"/>
      <c r="AJ812" s="147"/>
      <c r="AK812" s="147"/>
      <c r="AL812" s="147"/>
      <c r="AM812" s="147"/>
      <c r="AN812" s="147"/>
      <c r="AO812" s="147"/>
      <c r="AP812" s="147"/>
      <c r="AQ812" s="147"/>
      <c r="AR812" s="147"/>
      <c r="AS812" s="147"/>
      <c r="AT812" s="147"/>
      <c r="AU812" s="147"/>
      <c r="AV812" s="147"/>
      <c r="AW812" s="147"/>
    </row>
    <row r="813">
      <c r="A813" s="631"/>
      <c r="B813" s="631"/>
      <c r="C813" s="632"/>
      <c r="D813" s="633"/>
      <c r="E813" s="634"/>
      <c r="F813" s="635"/>
      <c r="G813" s="636"/>
      <c r="H813" s="637"/>
      <c r="I813" s="643"/>
      <c r="J813" s="644"/>
      <c r="K813" s="147"/>
      <c r="L813" s="632"/>
      <c r="M813" s="147"/>
      <c r="N813" s="640"/>
      <c r="O813" s="640"/>
      <c r="P813" s="641"/>
      <c r="Q813" s="642"/>
      <c r="R813" s="147"/>
      <c r="S813" s="147"/>
      <c r="T813" s="147"/>
      <c r="U813" s="147"/>
      <c r="V813" s="147"/>
      <c r="W813" s="147"/>
      <c r="X813" s="147"/>
      <c r="Y813" s="147"/>
      <c r="Z813" s="147"/>
      <c r="AA813" s="147"/>
      <c r="AB813" s="147"/>
      <c r="AC813" s="147"/>
      <c r="AD813" s="147"/>
      <c r="AE813" s="147"/>
      <c r="AF813" s="147"/>
      <c r="AG813" s="147"/>
      <c r="AH813" s="147"/>
      <c r="AI813" s="147"/>
      <c r="AJ813" s="147"/>
      <c r="AK813" s="147"/>
      <c r="AL813" s="147"/>
      <c r="AM813" s="147"/>
      <c r="AN813" s="147"/>
      <c r="AO813" s="147"/>
      <c r="AP813" s="147"/>
      <c r="AQ813" s="147"/>
      <c r="AR813" s="147"/>
      <c r="AS813" s="147"/>
      <c r="AT813" s="147"/>
      <c r="AU813" s="147"/>
      <c r="AV813" s="147"/>
      <c r="AW813" s="147"/>
    </row>
    <row r="814">
      <c r="A814" s="631"/>
      <c r="B814" s="631"/>
      <c r="C814" s="632"/>
      <c r="D814" s="633"/>
      <c r="E814" s="634"/>
      <c r="F814" s="635"/>
      <c r="G814" s="636"/>
      <c r="H814" s="637"/>
      <c r="I814" s="643"/>
      <c r="J814" s="644"/>
      <c r="K814" s="147"/>
      <c r="L814" s="632"/>
      <c r="M814" s="147"/>
      <c r="N814" s="640"/>
      <c r="O814" s="640"/>
      <c r="P814" s="641"/>
      <c r="Q814" s="642"/>
      <c r="R814" s="147"/>
      <c r="S814" s="147"/>
      <c r="T814" s="147"/>
      <c r="U814" s="147"/>
      <c r="V814" s="147"/>
      <c r="W814" s="147"/>
      <c r="X814" s="147"/>
      <c r="Y814" s="147"/>
      <c r="Z814" s="147"/>
      <c r="AA814" s="147"/>
      <c r="AB814" s="147"/>
      <c r="AC814" s="147"/>
      <c r="AD814" s="147"/>
      <c r="AE814" s="147"/>
      <c r="AF814" s="147"/>
      <c r="AG814" s="147"/>
      <c r="AH814" s="147"/>
      <c r="AI814" s="147"/>
      <c r="AJ814" s="147"/>
      <c r="AK814" s="147"/>
      <c r="AL814" s="147"/>
      <c r="AM814" s="147"/>
      <c r="AN814" s="147"/>
      <c r="AO814" s="147"/>
      <c r="AP814" s="147"/>
      <c r="AQ814" s="147"/>
      <c r="AR814" s="147"/>
      <c r="AS814" s="147"/>
      <c r="AT814" s="147"/>
      <c r="AU814" s="147"/>
      <c r="AV814" s="147"/>
      <c r="AW814" s="147"/>
    </row>
    <row r="815">
      <c r="A815" s="631"/>
      <c r="B815" s="631"/>
      <c r="C815" s="632"/>
      <c r="D815" s="633"/>
      <c r="E815" s="634"/>
      <c r="F815" s="635"/>
      <c r="G815" s="636"/>
      <c r="H815" s="637"/>
      <c r="I815" s="643"/>
      <c r="J815" s="644"/>
      <c r="K815" s="147"/>
      <c r="L815" s="632"/>
      <c r="M815" s="147"/>
      <c r="N815" s="640"/>
      <c r="O815" s="640"/>
      <c r="P815" s="641"/>
      <c r="Q815" s="642"/>
      <c r="R815" s="147"/>
      <c r="S815" s="147"/>
      <c r="T815" s="147"/>
      <c r="U815" s="147"/>
      <c r="V815" s="147"/>
      <c r="W815" s="147"/>
      <c r="X815" s="147"/>
      <c r="Y815" s="147"/>
      <c r="Z815" s="147"/>
      <c r="AA815" s="147"/>
      <c r="AB815" s="147"/>
      <c r="AC815" s="147"/>
      <c r="AD815" s="147"/>
      <c r="AE815" s="147"/>
      <c r="AF815" s="147"/>
      <c r="AG815" s="147"/>
      <c r="AH815" s="147"/>
      <c r="AI815" s="147"/>
      <c r="AJ815" s="147"/>
      <c r="AK815" s="147"/>
      <c r="AL815" s="147"/>
      <c r="AM815" s="147"/>
      <c r="AN815" s="147"/>
      <c r="AO815" s="147"/>
      <c r="AP815" s="147"/>
      <c r="AQ815" s="147"/>
      <c r="AR815" s="147"/>
      <c r="AS815" s="147"/>
      <c r="AT815" s="147"/>
      <c r="AU815" s="147"/>
      <c r="AV815" s="147"/>
      <c r="AW815" s="147"/>
    </row>
    <row r="816">
      <c r="A816" s="631"/>
      <c r="B816" s="631"/>
      <c r="C816" s="632"/>
      <c r="D816" s="633"/>
      <c r="E816" s="634"/>
      <c r="F816" s="635"/>
      <c r="G816" s="636"/>
      <c r="H816" s="637"/>
      <c r="I816" s="643"/>
      <c r="J816" s="644"/>
      <c r="K816" s="147"/>
      <c r="L816" s="632"/>
      <c r="M816" s="147"/>
      <c r="N816" s="640"/>
      <c r="O816" s="640"/>
      <c r="P816" s="641"/>
      <c r="Q816" s="642"/>
      <c r="R816" s="147"/>
      <c r="S816" s="147"/>
      <c r="T816" s="147"/>
      <c r="U816" s="147"/>
      <c r="V816" s="147"/>
      <c r="W816" s="147"/>
      <c r="X816" s="147"/>
      <c r="Y816" s="147"/>
      <c r="Z816" s="147"/>
      <c r="AA816" s="147"/>
      <c r="AB816" s="147"/>
      <c r="AC816" s="147"/>
      <c r="AD816" s="147"/>
      <c r="AE816" s="147"/>
      <c r="AF816" s="147"/>
      <c r="AG816" s="147"/>
      <c r="AH816" s="147"/>
      <c r="AI816" s="147"/>
      <c r="AJ816" s="147"/>
      <c r="AK816" s="147"/>
      <c r="AL816" s="147"/>
      <c r="AM816" s="147"/>
      <c r="AN816" s="147"/>
      <c r="AO816" s="147"/>
      <c r="AP816" s="147"/>
      <c r="AQ816" s="147"/>
      <c r="AR816" s="147"/>
      <c r="AS816" s="147"/>
      <c r="AT816" s="147"/>
      <c r="AU816" s="147"/>
      <c r="AV816" s="147"/>
      <c r="AW816" s="147"/>
    </row>
    <row r="817">
      <c r="A817" s="631"/>
      <c r="B817" s="631"/>
      <c r="C817" s="632"/>
      <c r="D817" s="633"/>
      <c r="E817" s="634"/>
      <c r="F817" s="635"/>
      <c r="G817" s="636"/>
      <c r="H817" s="637"/>
      <c r="I817" s="643"/>
      <c r="J817" s="644"/>
      <c r="K817" s="147"/>
      <c r="L817" s="632"/>
      <c r="M817" s="147"/>
      <c r="N817" s="640"/>
      <c r="O817" s="640"/>
      <c r="P817" s="641"/>
      <c r="Q817" s="642"/>
      <c r="R817" s="147"/>
      <c r="S817" s="147"/>
      <c r="T817" s="147"/>
      <c r="U817" s="147"/>
      <c r="V817" s="147"/>
      <c r="W817" s="147"/>
      <c r="X817" s="147"/>
      <c r="Y817" s="147"/>
      <c r="Z817" s="147"/>
      <c r="AA817" s="147"/>
      <c r="AB817" s="147"/>
      <c r="AC817" s="147"/>
      <c r="AD817" s="147"/>
      <c r="AE817" s="147"/>
      <c r="AF817" s="147"/>
      <c r="AG817" s="147"/>
      <c r="AH817" s="147"/>
      <c r="AI817" s="147"/>
      <c r="AJ817" s="147"/>
      <c r="AK817" s="147"/>
      <c r="AL817" s="147"/>
      <c r="AM817" s="147"/>
      <c r="AN817" s="147"/>
      <c r="AO817" s="147"/>
      <c r="AP817" s="147"/>
      <c r="AQ817" s="147"/>
      <c r="AR817" s="147"/>
      <c r="AS817" s="147"/>
      <c r="AT817" s="147"/>
      <c r="AU817" s="147"/>
      <c r="AV817" s="147"/>
      <c r="AW817" s="147"/>
    </row>
    <row r="818">
      <c r="A818" s="631"/>
      <c r="B818" s="631"/>
      <c r="C818" s="632"/>
      <c r="D818" s="633"/>
      <c r="E818" s="634"/>
      <c r="F818" s="635"/>
      <c r="G818" s="636"/>
      <c r="H818" s="637"/>
      <c r="I818" s="643"/>
      <c r="J818" s="644"/>
      <c r="K818" s="147"/>
      <c r="L818" s="632"/>
      <c r="M818" s="147"/>
      <c r="N818" s="640"/>
      <c r="O818" s="640"/>
      <c r="P818" s="641"/>
      <c r="Q818" s="642"/>
      <c r="R818" s="147"/>
      <c r="S818" s="147"/>
      <c r="T818" s="147"/>
      <c r="U818" s="147"/>
      <c r="V818" s="147"/>
      <c r="W818" s="147"/>
      <c r="X818" s="147"/>
      <c r="Y818" s="147"/>
      <c r="Z818" s="147"/>
      <c r="AA818" s="147"/>
      <c r="AB818" s="147"/>
      <c r="AC818" s="147"/>
      <c r="AD818" s="147"/>
      <c r="AE818" s="147"/>
      <c r="AF818" s="147"/>
      <c r="AG818" s="147"/>
      <c r="AH818" s="147"/>
      <c r="AI818" s="147"/>
      <c r="AJ818" s="147"/>
      <c r="AK818" s="147"/>
      <c r="AL818" s="147"/>
      <c r="AM818" s="147"/>
      <c r="AN818" s="147"/>
      <c r="AO818" s="147"/>
      <c r="AP818" s="147"/>
      <c r="AQ818" s="147"/>
      <c r="AR818" s="147"/>
      <c r="AS818" s="147"/>
      <c r="AT818" s="147"/>
      <c r="AU818" s="147"/>
      <c r="AV818" s="147"/>
      <c r="AW818" s="147"/>
    </row>
    <row r="819">
      <c r="A819" s="631"/>
      <c r="B819" s="631"/>
      <c r="C819" s="632"/>
      <c r="D819" s="633"/>
      <c r="E819" s="634"/>
      <c r="F819" s="635"/>
      <c r="G819" s="636"/>
      <c r="H819" s="637"/>
      <c r="I819" s="643"/>
      <c r="J819" s="644"/>
      <c r="K819" s="147"/>
      <c r="L819" s="632"/>
      <c r="M819" s="147"/>
      <c r="N819" s="640"/>
      <c r="O819" s="640"/>
      <c r="P819" s="641"/>
      <c r="Q819" s="642"/>
      <c r="R819" s="147"/>
      <c r="S819" s="147"/>
      <c r="T819" s="147"/>
      <c r="U819" s="147"/>
      <c r="V819" s="147"/>
      <c r="W819" s="147"/>
      <c r="X819" s="147"/>
      <c r="Y819" s="147"/>
      <c r="Z819" s="147"/>
      <c r="AA819" s="147"/>
      <c r="AB819" s="147"/>
      <c r="AC819" s="147"/>
      <c r="AD819" s="147"/>
      <c r="AE819" s="147"/>
      <c r="AF819" s="147"/>
      <c r="AG819" s="147"/>
      <c r="AH819" s="147"/>
      <c r="AI819" s="147"/>
      <c r="AJ819" s="147"/>
      <c r="AK819" s="147"/>
      <c r="AL819" s="147"/>
      <c r="AM819" s="147"/>
      <c r="AN819" s="147"/>
      <c r="AO819" s="147"/>
      <c r="AP819" s="147"/>
      <c r="AQ819" s="147"/>
      <c r="AR819" s="147"/>
      <c r="AS819" s="147"/>
      <c r="AT819" s="147"/>
      <c r="AU819" s="147"/>
      <c r="AV819" s="147"/>
      <c r="AW819" s="147"/>
    </row>
    <row r="820">
      <c r="A820" s="631"/>
      <c r="B820" s="631"/>
      <c r="C820" s="632"/>
      <c r="D820" s="633"/>
      <c r="E820" s="634"/>
      <c r="F820" s="635"/>
      <c r="G820" s="636"/>
      <c r="H820" s="637"/>
      <c r="I820" s="643"/>
      <c r="J820" s="644"/>
      <c r="K820" s="147"/>
      <c r="L820" s="632"/>
      <c r="M820" s="147"/>
      <c r="N820" s="640"/>
      <c r="O820" s="640"/>
      <c r="P820" s="641"/>
      <c r="Q820" s="642"/>
      <c r="R820" s="147"/>
      <c r="S820" s="147"/>
      <c r="T820" s="147"/>
      <c r="U820" s="147"/>
      <c r="V820" s="147"/>
      <c r="W820" s="147"/>
      <c r="X820" s="147"/>
      <c r="Y820" s="147"/>
      <c r="Z820" s="147"/>
      <c r="AA820" s="147"/>
      <c r="AB820" s="147"/>
      <c r="AC820" s="147"/>
      <c r="AD820" s="147"/>
      <c r="AE820" s="147"/>
      <c r="AF820" s="147"/>
      <c r="AG820" s="147"/>
      <c r="AH820" s="147"/>
      <c r="AI820" s="147"/>
      <c r="AJ820" s="147"/>
      <c r="AK820" s="147"/>
      <c r="AL820" s="147"/>
      <c r="AM820" s="147"/>
      <c r="AN820" s="147"/>
      <c r="AO820" s="147"/>
      <c r="AP820" s="147"/>
      <c r="AQ820" s="147"/>
      <c r="AR820" s="147"/>
      <c r="AS820" s="147"/>
      <c r="AT820" s="147"/>
      <c r="AU820" s="147"/>
      <c r="AV820" s="147"/>
      <c r="AW820" s="147"/>
    </row>
    <row r="821">
      <c r="A821" s="631"/>
      <c r="B821" s="631"/>
      <c r="C821" s="632"/>
      <c r="D821" s="633"/>
      <c r="E821" s="634"/>
      <c r="F821" s="635"/>
      <c r="G821" s="636"/>
      <c r="H821" s="637"/>
      <c r="I821" s="643"/>
      <c r="J821" s="644"/>
      <c r="K821" s="147"/>
      <c r="L821" s="632"/>
      <c r="M821" s="147"/>
      <c r="N821" s="640"/>
      <c r="O821" s="640"/>
      <c r="P821" s="641"/>
      <c r="Q821" s="642"/>
      <c r="R821" s="147"/>
      <c r="S821" s="147"/>
      <c r="T821" s="147"/>
      <c r="U821" s="147"/>
      <c r="V821" s="147"/>
      <c r="W821" s="147"/>
      <c r="X821" s="147"/>
      <c r="Y821" s="147"/>
      <c r="Z821" s="147"/>
      <c r="AA821" s="147"/>
      <c r="AB821" s="147"/>
      <c r="AC821" s="147"/>
      <c r="AD821" s="147"/>
      <c r="AE821" s="147"/>
      <c r="AF821" s="147"/>
      <c r="AG821" s="147"/>
      <c r="AH821" s="147"/>
      <c r="AI821" s="147"/>
      <c r="AJ821" s="147"/>
      <c r="AK821" s="147"/>
      <c r="AL821" s="147"/>
      <c r="AM821" s="147"/>
      <c r="AN821" s="147"/>
      <c r="AO821" s="147"/>
      <c r="AP821" s="147"/>
      <c r="AQ821" s="147"/>
      <c r="AR821" s="147"/>
      <c r="AS821" s="147"/>
      <c r="AT821" s="147"/>
      <c r="AU821" s="147"/>
      <c r="AV821" s="147"/>
      <c r="AW821" s="147"/>
    </row>
    <row r="822">
      <c r="A822" s="631"/>
      <c r="B822" s="631"/>
      <c r="C822" s="632"/>
      <c r="D822" s="633"/>
      <c r="E822" s="634"/>
      <c r="F822" s="635"/>
      <c r="G822" s="636"/>
      <c r="H822" s="637"/>
      <c r="I822" s="643"/>
      <c r="J822" s="644"/>
      <c r="K822" s="147"/>
      <c r="L822" s="632"/>
      <c r="M822" s="147"/>
      <c r="N822" s="640"/>
      <c r="O822" s="640"/>
      <c r="P822" s="641"/>
      <c r="Q822" s="642"/>
      <c r="R822" s="147"/>
      <c r="S822" s="147"/>
      <c r="T822" s="147"/>
      <c r="U822" s="147"/>
      <c r="V822" s="147"/>
      <c r="W822" s="147"/>
      <c r="X822" s="147"/>
      <c r="Y822" s="147"/>
      <c r="Z822" s="147"/>
      <c r="AA822" s="147"/>
      <c r="AB822" s="147"/>
      <c r="AC822" s="147"/>
      <c r="AD822" s="147"/>
      <c r="AE822" s="147"/>
      <c r="AF822" s="147"/>
      <c r="AG822" s="147"/>
      <c r="AH822" s="147"/>
      <c r="AI822" s="147"/>
      <c r="AJ822" s="147"/>
      <c r="AK822" s="147"/>
      <c r="AL822" s="147"/>
      <c r="AM822" s="147"/>
      <c r="AN822" s="147"/>
      <c r="AO822" s="147"/>
      <c r="AP822" s="147"/>
      <c r="AQ822" s="147"/>
      <c r="AR822" s="147"/>
      <c r="AS822" s="147"/>
      <c r="AT822" s="147"/>
      <c r="AU822" s="147"/>
      <c r="AV822" s="147"/>
      <c r="AW822" s="147"/>
    </row>
    <row r="823">
      <c r="A823" s="631"/>
      <c r="B823" s="631"/>
      <c r="C823" s="632"/>
      <c r="D823" s="633"/>
      <c r="E823" s="634"/>
      <c r="F823" s="635"/>
      <c r="G823" s="636"/>
      <c r="H823" s="637"/>
      <c r="I823" s="643"/>
      <c r="J823" s="644"/>
      <c r="K823" s="147"/>
      <c r="L823" s="632"/>
      <c r="M823" s="147"/>
      <c r="N823" s="640"/>
      <c r="O823" s="640"/>
      <c r="P823" s="641"/>
      <c r="Q823" s="642"/>
      <c r="R823" s="147"/>
      <c r="S823" s="147"/>
      <c r="T823" s="147"/>
      <c r="U823" s="147"/>
      <c r="V823" s="147"/>
      <c r="W823" s="147"/>
      <c r="X823" s="147"/>
      <c r="Y823" s="147"/>
      <c r="Z823" s="147"/>
      <c r="AA823" s="147"/>
      <c r="AB823" s="147"/>
      <c r="AC823" s="147"/>
      <c r="AD823" s="147"/>
      <c r="AE823" s="147"/>
      <c r="AF823" s="147"/>
      <c r="AG823" s="147"/>
      <c r="AH823" s="147"/>
      <c r="AI823" s="147"/>
      <c r="AJ823" s="147"/>
      <c r="AK823" s="147"/>
      <c r="AL823" s="147"/>
      <c r="AM823" s="147"/>
      <c r="AN823" s="147"/>
      <c r="AO823" s="147"/>
      <c r="AP823" s="147"/>
      <c r="AQ823" s="147"/>
      <c r="AR823" s="147"/>
      <c r="AS823" s="147"/>
      <c r="AT823" s="147"/>
      <c r="AU823" s="147"/>
      <c r="AV823" s="147"/>
      <c r="AW823" s="147"/>
    </row>
    <row r="824">
      <c r="A824" s="631"/>
      <c r="B824" s="631"/>
      <c r="C824" s="632"/>
      <c r="D824" s="633"/>
      <c r="E824" s="634"/>
      <c r="F824" s="635"/>
      <c r="G824" s="636"/>
      <c r="H824" s="637"/>
      <c r="I824" s="643"/>
      <c r="J824" s="644"/>
      <c r="K824" s="147"/>
      <c r="L824" s="632"/>
      <c r="M824" s="147"/>
      <c r="N824" s="640"/>
      <c r="O824" s="640"/>
      <c r="P824" s="641"/>
      <c r="Q824" s="642"/>
      <c r="R824" s="147"/>
      <c r="S824" s="147"/>
      <c r="T824" s="147"/>
      <c r="U824" s="147"/>
      <c r="V824" s="147"/>
      <c r="W824" s="147"/>
      <c r="X824" s="147"/>
      <c r="Y824" s="147"/>
      <c r="Z824" s="147"/>
      <c r="AA824" s="147"/>
      <c r="AB824" s="147"/>
      <c r="AC824" s="147"/>
      <c r="AD824" s="147"/>
      <c r="AE824" s="147"/>
      <c r="AF824" s="147"/>
      <c r="AG824" s="147"/>
      <c r="AH824" s="147"/>
      <c r="AI824" s="147"/>
      <c r="AJ824" s="147"/>
      <c r="AK824" s="147"/>
      <c r="AL824" s="147"/>
      <c r="AM824" s="147"/>
      <c r="AN824" s="147"/>
      <c r="AO824" s="147"/>
      <c r="AP824" s="147"/>
      <c r="AQ824" s="147"/>
      <c r="AR824" s="147"/>
      <c r="AS824" s="147"/>
      <c r="AT824" s="147"/>
      <c r="AU824" s="147"/>
      <c r="AV824" s="147"/>
      <c r="AW824" s="147"/>
    </row>
    <row r="825">
      <c r="A825" s="631"/>
      <c r="B825" s="631"/>
      <c r="C825" s="632"/>
      <c r="D825" s="633"/>
      <c r="E825" s="634"/>
      <c r="F825" s="635"/>
      <c r="G825" s="636"/>
      <c r="H825" s="637"/>
      <c r="I825" s="643"/>
      <c r="J825" s="644"/>
      <c r="K825" s="147"/>
      <c r="L825" s="632"/>
      <c r="M825" s="147"/>
      <c r="N825" s="640"/>
      <c r="O825" s="640"/>
      <c r="P825" s="641"/>
      <c r="Q825" s="642"/>
      <c r="R825" s="147"/>
      <c r="S825" s="147"/>
      <c r="T825" s="147"/>
      <c r="U825" s="147"/>
      <c r="V825" s="147"/>
      <c r="W825" s="147"/>
      <c r="X825" s="147"/>
      <c r="Y825" s="147"/>
      <c r="Z825" s="147"/>
      <c r="AA825" s="147"/>
      <c r="AB825" s="147"/>
      <c r="AC825" s="147"/>
      <c r="AD825" s="147"/>
      <c r="AE825" s="147"/>
      <c r="AF825" s="147"/>
      <c r="AG825" s="147"/>
      <c r="AH825" s="147"/>
      <c r="AI825" s="147"/>
      <c r="AJ825" s="147"/>
      <c r="AK825" s="147"/>
      <c r="AL825" s="147"/>
      <c r="AM825" s="147"/>
      <c r="AN825" s="147"/>
      <c r="AO825" s="147"/>
      <c r="AP825" s="147"/>
      <c r="AQ825" s="147"/>
      <c r="AR825" s="147"/>
      <c r="AS825" s="147"/>
      <c r="AT825" s="147"/>
      <c r="AU825" s="147"/>
      <c r="AV825" s="147"/>
      <c r="AW825" s="147"/>
    </row>
    <row r="826">
      <c r="A826" s="631"/>
      <c r="B826" s="631"/>
      <c r="C826" s="632"/>
      <c r="D826" s="633"/>
      <c r="E826" s="634"/>
      <c r="F826" s="635"/>
      <c r="G826" s="636"/>
      <c r="H826" s="637"/>
      <c r="I826" s="643"/>
      <c r="J826" s="644"/>
      <c r="K826" s="147"/>
      <c r="L826" s="632"/>
      <c r="M826" s="147"/>
      <c r="N826" s="640"/>
      <c r="O826" s="640"/>
      <c r="P826" s="641"/>
      <c r="Q826" s="642"/>
      <c r="R826" s="147"/>
      <c r="S826" s="147"/>
      <c r="T826" s="147"/>
      <c r="U826" s="147"/>
      <c r="V826" s="147"/>
      <c r="W826" s="147"/>
      <c r="X826" s="147"/>
      <c r="Y826" s="147"/>
      <c r="Z826" s="147"/>
      <c r="AA826" s="147"/>
      <c r="AB826" s="147"/>
      <c r="AC826" s="147"/>
      <c r="AD826" s="147"/>
      <c r="AE826" s="147"/>
      <c r="AF826" s="147"/>
      <c r="AG826" s="147"/>
      <c r="AH826" s="147"/>
      <c r="AI826" s="147"/>
      <c r="AJ826" s="147"/>
      <c r="AK826" s="147"/>
      <c r="AL826" s="147"/>
      <c r="AM826" s="147"/>
      <c r="AN826" s="147"/>
      <c r="AO826" s="147"/>
      <c r="AP826" s="147"/>
      <c r="AQ826" s="147"/>
      <c r="AR826" s="147"/>
      <c r="AS826" s="147"/>
      <c r="AT826" s="147"/>
      <c r="AU826" s="147"/>
      <c r="AV826" s="147"/>
      <c r="AW826" s="147"/>
    </row>
    <row r="827">
      <c r="A827" s="631"/>
      <c r="B827" s="631"/>
      <c r="C827" s="632"/>
      <c r="D827" s="633"/>
      <c r="E827" s="634"/>
      <c r="F827" s="635"/>
      <c r="G827" s="636"/>
      <c r="H827" s="637"/>
      <c r="I827" s="643"/>
      <c r="J827" s="644"/>
      <c r="K827" s="147"/>
      <c r="L827" s="632"/>
      <c r="M827" s="147"/>
      <c r="N827" s="640"/>
      <c r="O827" s="640"/>
      <c r="P827" s="641"/>
      <c r="Q827" s="642"/>
      <c r="R827" s="147"/>
      <c r="S827" s="147"/>
      <c r="T827" s="147"/>
      <c r="U827" s="147"/>
      <c r="V827" s="147"/>
      <c r="W827" s="147"/>
      <c r="X827" s="147"/>
      <c r="Y827" s="147"/>
      <c r="Z827" s="147"/>
      <c r="AA827" s="147"/>
      <c r="AB827" s="147"/>
      <c r="AC827" s="147"/>
      <c r="AD827" s="147"/>
      <c r="AE827" s="147"/>
      <c r="AF827" s="147"/>
      <c r="AG827" s="147"/>
      <c r="AH827" s="147"/>
      <c r="AI827" s="147"/>
      <c r="AJ827" s="147"/>
      <c r="AK827" s="147"/>
      <c r="AL827" s="147"/>
      <c r="AM827" s="147"/>
      <c r="AN827" s="147"/>
      <c r="AO827" s="147"/>
      <c r="AP827" s="147"/>
      <c r="AQ827" s="147"/>
      <c r="AR827" s="147"/>
      <c r="AS827" s="147"/>
      <c r="AT827" s="147"/>
      <c r="AU827" s="147"/>
      <c r="AV827" s="147"/>
      <c r="AW827" s="147"/>
    </row>
    <row r="828">
      <c r="A828" s="631"/>
      <c r="B828" s="631"/>
      <c r="C828" s="632"/>
      <c r="D828" s="633"/>
      <c r="E828" s="634"/>
      <c r="F828" s="635"/>
      <c r="G828" s="636"/>
      <c r="H828" s="637"/>
      <c r="I828" s="643"/>
      <c r="J828" s="644"/>
      <c r="K828" s="147"/>
      <c r="L828" s="632"/>
      <c r="M828" s="147"/>
      <c r="N828" s="640"/>
      <c r="O828" s="640"/>
      <c r="P828" s="641"/>
      <c r="Q828" s="642"/>
      <c r="R828" s="147"/>
      <c r="S828" s="147"/>
      <c r="T828" s="147"/>
      <c r="U828" s="147"/>
      <c r="V828" s="147"/>
      <c r="W828" s="147"/>
      <c r="X828" s="147"/>
      <c r="Y828" s="147"/>
      <c r="Z828" s="147"/>
      <c r="AA828" s="147"/>
      <c r="AB828" s="147"/>
      <c r="AC828" s="147"/>
      <c r="AD828" s="147"/>
      <c r="AE828" s="147"/>
      <c r="AF828" s="147"/>
      <c r="AG828" s="147"/>
      <c r="AH828" s="147"/>
      <c r="AI828" s="147"/>
      <c r="AJ828" s="147"/>
      <c r="AK828" s="147"/>
      <c r="AL828" s="147"/>
      <c r="AM828" s="147"/>
      <c r="AN828" s="147"/>
      <c r="AO828" s="147"/>
      <c r="AP828" s="147"/>
      <c r="AQ828" s="147"/>
      <c r="AR828" s="147"/>
      <c r="AS828" s="147"/>
      <c r="AT828" s="147"/>
      <c r="AU828" s="147"/>
      <c r="AV828" s="147"/>
      <c r="AW828" s="147"/>
    </row>
    <row r="829">
      <c r="A829" s="631"/>
      <c r="B829" s="631"/>
      <c r="C829" s="632"/>
      <c r="D829" s="633"/>
      <c r="E829" s="634"/>
      <c r="F829" s="635"/>
      <c r="G829" s="636"/>
      <c r="H829" s="637"/>
      <c r="I829" s="643"/>
      <c r="J829" s="644"/>
      <c r="K829" s="147"/>
      <c r="L829" s="632"/>
      <c r="M829" s="147"/>
      <c r="N829" s="640"/>
      <c r="O829" s="640"/>
      <c r="P829" s="641"/>
      <c r="Q829" s="642"/>
      <c r="R829" s="147"/>
      <c r="S829" s="147"/>
      <c r="T829" s="147"/>
      <c r="U829" s="147"/>
      <c r="V829" s="147"/>
      <c r="W829" s="147"/>
      <c r="X829" s="147"/>
      <c r="Y829" s="147"/>
      <c r="Z829" s="147"/>
      <c r="AA829" s="147"/>
      <c r="AB829" s="147"/>
      <c r="AC829" s="147"/>
      <c r="AD829" s="147"/>
      <c r="AE829" s="147"/>
      <c r="AF829" s="147"/>
      <c r="AG829" s="147"/>
      <c r="AH829" s="147"/>
      <c r="AI829" s="147"/>
      <c r="AJ829" s="147"/>
      <c r="AK829" s="147"/>
      <c r="AL829" s="147"/>
      <c r="AM829" s="147"/>
      <c r="AN829" s="147"/>
      <c r="AO829" s="147"/>
      <c r="AP829" s="147"/>
      <c r="AQ829" s="147"/>
      <c r="AR829" s="147"/>
      <c r="AS829" s="147"/>
      <c r="AT829" s="147"/>
      <c r="AU829" s="147"/>
      <c r="AV829" s="147"/>
      <c r="AW829" s="147"/>
    </row>
    <row r="830">
      <c r="A830" s="631"/>
      <c r="B830" s="631"/>
      <c r="C830" s="632"/>
      <c r="D830" s="633"/>
      <c r="E830" s="634"/>
      <c r="F830" s="635"/>
      <c r="G830" s="636"/>
      <c r="H830" s="637"/>
      <c r="I830" s="643"/>
      <c r="J830" s="644"/>
      <c r="K830" s="147"/>
      <c r="L830" s="632"/>
      <c r="M830" s="147"/>
      <c r="N830" s="640"/>
      <c r="O830" s="640"/>
      <c r="P830" s="641"/>
      <c r="Q830" s="642"/>
      <c r="R830" s="147"/>
      <c r="S830" s="147"/>
      <c r="T830" s="147"/>
      <c r="U830" s="147"/>
      <c r="V830" s="147"/>
      <c r="W830" s="147"/>
      <c r="X830" s="147"/>
      <c r="Y830" s="147"/>
      <c r="Z830" s="147"/>
      <c r="AA830" s="147"/>
      <c r="AB830" s="147"/>
      <c r="AC830" s="147"/>
      <c r="AD830" s="147"/>
      <c r="AE830" s="147"/>
      <c r="AF830" s="147"/>
      <c r="AG830" s="147"/>
      <c r="AH830" s="147"/>
      <c r="AI830" s="147"/>
      <c r="AJ830" s="147"/>
      <c r="AK830" s="147"/>
      <c r="AL830" s="147"/>
      <c r="AM830" s="147"/>
      <c r="AN830" s="147"/>
      <c r="AO830" s="147"/>
      <c r="AP830" s="147"/>
      <c r="AQ830" s="147"/>
      <c r="AR830" s="147"/>
      <c r="AS830" s="147"/>
      <c r="AT830" s="147"/>
      <c r="AU830" s="147"/>
      <c r="AV830" s="147"/>
      <c r="AW830" s="147"/>
    </row>
    <row r="831">
      <c r="A831" s="631"/>
      <c r="B831" s="631"/>
      <c r="C831" s="632"/>
      <c r="D831" s="633"/>
      <c r="E831" s="634"/>
      <c r="F831" s="635"/>
      <c r="G831" s="636"/>
      <c r="H831" s="637"/>
      <c r="I831" s="643"/>
      <c r="J831" s="644"/>
      <c r="K831" s="147"/>
      <c r="L831" s="632"/>
      <c r="M831" s="147"/>
      <c r="N831" s="640"/>
      <c r="O831" s="640"/>
      <c r="P831" s="641"/>
      <c r="Q831" s="642"/>
      <c r="R831" s="147"/>
      <c r="S831" s="147"/>
      <c r="T831" s="147"/>
      <c r="U831" s="147"/>
      <c r="V831" s="147"/>
      <c r="W831" s="147"/>
      <c r="X831" s="147"/>
      <c r="Y831" s="147"/>
      <c r="Z831" s="147"/>
      <c r="AA831" s="147"/>
      <c r="AB831" s="147"/>
      <c r="AC831" s="147"/>
      <c r="AD831" s="147"/>
      <c r="AE831" s="147"/>
      <c r="AF831" s="147"/>
      <c r="AG831" s="147"/>
      <c r="AH831" s="147"/>
      <c r="AI831" s="147"/>
      <c r="AJ831" s="147"/>
      <c r="AK831" s="147"/>
      <c r="AL831" s="147"/>
      <c r="AM831" s="147"/>
      <c r="AN831" s="147"/>
      <c r="AO831" s="147"/>
      <c r="AP831" s="147"/>
      <c r="AQ831" s="147"/>
      <c r="AR831" s="147"/>
      <c r="AS831" s="147"/>
      <c r="AT831" s="147"/>
      <c r="AU831" s="147"/>
      <c r="AV831" s="147"/>
      <c r="AW831" s="147"/>
    </row>
    <row r="832">
      <c r="A832" s="631"/>
      <c r="B832" s="631"/>
      <c r="C832" s="632"/>
      <c r="D832" s="633"/>
      <c r="E832" s="634"/>
      <c r="F832" s="635"/>
      <c r="G832" s="636"/>
      <c r="H832" s="637"/>
      <c r="I832" s="643"/>
      <c r="J832" s="644"/>
      <c r="K832" s="147"/>
      <c r="L832" s="632"/>
      <c r="M832" s="147"/>
      <c r="N832" s="640"/>
      <c r="O832" s="640"/>
      <c r="P832" s="641"/>
      <c r="Q832" s="642"/>
      <c r="R832" s="147"/>
      <c r="S832" s="147"/>
      <c r="T832" s="147"/>
      <c r="U832" s="147"/>
      <c r="V832" s="147"/>
      <c r="W832" s="147"/>
      <c r="X832" s="147"/>
      <c r="Y832" s="147"/>
      <c r="Z832" s="147"/>
      <c r="AA832" s="147"/>
      <c r="AB832" s="147"/>
      <c r="AC832" s="147"/>
      <c r="AD832" s="147"/>
      <c r="AE832" s="147"/>
      <c r="AF832" s="147"/>
      <c r="AG832" s="147"/>
      <c r="AH832" s="147"/>
      <c r="AI832" s="147"/>
      <c r="AJ832" s="147"/>
      <c r="AK832" s="147"/>
      <c r="AL832" s="147"/>
      <c r="AM832" s="147"/>
      <c r="AN832" s="147"/>
      <c r="AO832" s="147"/>
      <c r="AP832" s="147"/>
      <c r="AQ832" s="147"/>
      <c r="AR832" s="147"/>
      <c r="AS832" s="147"/>
      <c r="AT832" s="147"/>
      <c r="AU832" s="147"/>
      <c r="AV832" s="147"/>
      <c r="AW832" s="147"/>
    </row>
    <row r="833">
      <c r="A833" s="631"/>
      <c r="B833" s="631"/>
      <c r="C833" s="632"/>
      <c r="D833" s="633"/>
      <c r="E833" s="634"/>
      <c r="F833" s="635"/>
      <c r="G833" s="636"/>
      <c r="H833" s="637"/>
      <c r="I833" s="643"/>
      <c r="J833" s="644"/>
      <c r="K833" s="147"/>
      <c r="L833" s="632"/>
      <c r="M833" s="147"/>
      <c r="N833" s="640"/>
      <c r="O833" s="640"/>
      <c r="P833" s="641"/>
      <c r="Q833" s="642"/>
      <c r="R833" s="147"/>
      <c r="S833" s="147"/>
      <c r="T833" s="147"/>
      <c r="U833" s="147"/>
      <c r="V833" s="147"/>
      <c r="W833" s="147"/>
      <c r="X833" s="147"/>
      <c r="Y833" s="147"/>
      <c r="Z833" s="147"/>
      <c r="AA833" s="147"/>
      <c r="AB833" s="147"/>
      <c r="AC833" s="147"/>
      <c r="AD833" s="147"/>
      <c r="AE833" s="147"/>
      <c r="AF833" s="147"/>
      <c r="AG833" s="147"/>
      <c r="AH833" s="147"/>
      <c r="AI833" s="147"/>
      <c r="AJ833" s="147"/>
      <c r="AK833" s="147"/>
      <c r="AL833" s="147"/>
      <c r="AM833" s="147"/>
      <c r="AN833" s="147"/>
      <c r="AO833" s="147"/>
      <c r="AP833" s="147"/>
      <c r="AQ833" s="147"/>
      <c r="AR833" s="147"/>
      <c r="AS833" s="147"/>
      <c r="AT833" s="147"/>
      <c r="AU833" s="147"/>
      <c r="AV833" s="147"/>
      <c r="AW833" s="147"/>
    </row>
    <row r="834">
      <c r="A834" s="631"/>
      <c r="B834" s="631"/>
      <c r="C834" s="632"/>
      <c r="D834" s="633"/>
      <c r="E834" s="634"/>
      <c r="F834" s="635"/>
      <c r="G834" s="636"/>
      <c r="H834" s="637"/>
      <c r="I834" s="643"/>
      <c r="J834" s="644"/>
      <c r="K834" s="147"/>
      <c r="L834" s="632"/>
      <c r="M834" s="147"/>
      <c r="N834" s="640"/>
      <c r="O834" s="640"/>
      <c r="P834" s="641"/>
      <c r="Q834" s="642"/>
      <c r="R834" s="147"/>
      <c r="S834" s="147"/>
      <c r="T834" s="147"/>
      <c r="U834" s="147"/>
      <c r="V834" s="147"/>
      <c r="W834" s="147"/>
      <c r="X834" s="147"/>
      <c r="Y834" s="147"/>
      <c r="Z834" s="147"/>
      <c r="AA834" s="147"/>
      <c r="AB834" s="147"/>
      <c r="AC834" s="147"/>
      <c r="AD834" s="147"/>
      <c r="AE834" s="147"/>
      <c r="AF834" s="147"/>
      <c r="AG834" s="147"/>
      <c r="AH834" s="147"/>
      <c r="AI834" s="147"/>
      <c r="AJ834" s="147"/>
      <c r="AK834" s="147"/>
      <c r="AL834" s="147"/>
      <c r="AM834" s="147"/>
      <c r="AN834" s="147"/>
      <c r="AO834" s="147"/>
      <c r="AP834" s="147"/>
      <c r="AQ834" s="147"/>
      <c r="AR834" s="147"/>
      <c r="AS834" s="147"/>
      <c r="AT834" s="147"/>
      <c r="AU834" s="147"/>
      <c r="AV834" s="147"/>
      <c r="AW834" s="147"/>
    </row>
    <row r="835">
      <c r="A835" s="631"/>
      <c r="B835" s="631"/>
      <c r="C835" s="632"/>
      <c r="D835" s="633"/>
      <c r="E835" s="634"/>
      <c r="F835" s="635"/>
      <c r="G835" s="636"/>
      <c r="H835" s="637"/>
      <c r="I835" s="643"/>
      <c r="J835" s="644"/>
      <c r="K835" s="147"/>
      <c r="L835" s="632"/>
      <c r="M835" s="147"/>
      <c r="N835" s="640"/>
      <c r="O835" s="640"/>
      <c r="P835" s="641"/>
      <c r="Q835" s="642"/>
      <c r="R835" s="147"/>
      <c r="S835" s="147"/>
      <c r="T835" s="147"/>
      <c r="U835" s="147"/>
      <c r="V835" s="147"/>
      <c r="W835" s="147"/>
      <c r="X835" s="147"/>
      <c r="Y835" s="147"/>
      <c r="Z835" s="147"/>
      <c r="AA835" s="147"/>
      <c r="AB835" s="147"/>
      <c r="AC835" s="147"/>
      <c r="AD835" s="147"/>
      <c r="AE835" s="147"/>
      <c r="AF835" s="147"/>
      <c r="AG835" s="147"/>
      <c r="AH835" s="147"/>
      <c r="AI835" s="147"/>
      <c r="AJ835" s="147"/>
      <c r="AK835" s="147"/>
      <c r="AL835" s="147"/>
      <c r="AM835" s="147"/>
      <c r="AN835" s="147"/>
      <c r="AO835" s="147"/>
      <c r="AP835" s="147"/>
      <c r="AQ835" s="147"/>
      <c r="AR835" s="147"/>
      <c r="AS835" s="147"/>
      <c r="AT835" s="147"/>
      <c r="AU835" s="147"/>
      <c r="AV835" s="147"/>
      <c r="AW835" s="147"/>
    </row>
    <row r="836">
      <c r="A836" s="631"/>
      <c r="B836" s="631"/>
      <c r="C836" s="632"/>
      <c r="D836" s="633"/>
      <c r="E836" s="634"/>
      <c r="F836" s="635"/>
      <c r="G836" s="636"/>
      <c r="H836" s="637"/>
      <c r="I836" s="643"/>
      <c r="J836" s="644"/>
      <c r="K836" s="147"/>
      <c r="L836" s="632"/>
      <c r="M836" s="147"/>
      <c r="N836" s="640"/>
      <c r="O836" s="640"/>
      <c r="P836" s="641"/>
      <c r="Q836" s="642"/>
      <c r="R836" s="147"/>
      <c r="S836" s="147"/>
      <c r="T836" s="147"/>
      <c r="U836" s="147"/>
      <c r="V836" s="147"/>
      <c r="W836" s="147"/>
      <c r="X836" s="147"/>
      <c r="Y836" s="147"/>
      <c r="Z836" s="147"/>
      <c r="AA836" s="147"/>
      <c r="AB836" s="147"/>
      <c r="AC836" s="147"/>
      <c r="AD836" s="147"/>
      <c r="AE836" s="147"/>
      <c r="AF836" s="147"/>
      <c r="AG836" s="147"/>
      <c r="AH836" s="147"/>
      <c r="AI836" s="147"/>
      <c r="AJ836" s="147"/>
      <c r="AK836" s="147"/>
      <c r="AL836" s="147"/>
      <c r="AM836" s="147"/>
      <c r="AN836" s="147"/>
      <c r="AO836" s="147"/>
      <c r="AP836" s="147"/>
      <c r="AQ836" s="147"/>
      <c r="AR836" s="147"/>
      <c r="AS836" s="147"/>
      <c r="AT836" s="147"/>
      <c r="AU836" s="147"/>
      <c r="AV836" s="147"/>
      <c r="AW836" s="147"/>
    </row>
    <row r="837">
      <c r="A837" s="631"/>
      <c r="B837" s="631"/>
      <c r="C837" s="632"/>
      <c r="D837" s="633"/>
      <c r="E837" s="634"/>
      <c r="F837" s="635"/>
      <c r="G837" s="636"/>
      <c r="H837" s="637"/>
      <c r="I837" s="643"/>
      <c r="J837" s="644"/>
      <c r="K837" s="147"/>
      <c r="L837" s="632"/>
      <c r="M837" s="147"/>
      <c r="N837" s="640"/>
      <c r="O837" s="640"/>
      <c r="P837" s="641"/>
      <c r="Q837" s="642"/>
      <c r="R837" s="147"/>
      <c r="S837" s="147"/>
      <c r="T837" s="147"/>
      <c r="U837" s="147"/>
      <c r="V837" s="147"/>
      <c r="W837" s="147"/>
      <c r="X837" s="147"/>
      <c r="Y837" s="147"/>
      <c r="Z837" s="147"/>
      <c r="AA837" s="147"/>
      <c r="AB837" s="147"/>
      <c r="AC837" s="147"/>
      <c r="AD837" s="147"/>
      <c r="AE837" s="147"/>
      <c r="AF837" s="147"/>
      <c r="AG837" s="147"/>
      <c r="AH837" s="147"/>
      <c r="AI837" s="147"/>
      <c r="AJ837" s="147"/>
      <c r="AK837" s="147"/>
      <c r="AL837" s="147"/>
      <c r="AM837" s="147"/>
      <c r="AN837" s="147"/>
      <c r="AO837" s="147"/>
      <c r="AP837" s="147"/>
      <c r="AQ837" s="147"/>
      <c r="AR837" s="147"/>
      <c r="AS837" s="147"/>
      <c r="AT837" s="147"/>
      <c r="AU837" s="147"/>
      <c r="AV837" s="147"/>
      <c r="AW837" s="147"/>
    </row>
    <row r="838">
      <c r="A838" s="631"/>
      <c r="B838" s="631"/>
      <c r="C838" s="632"/>
      <c r="D838" s="633"/>
      <c r="E838" s="634"/>
      <c r="F838" s="635"/>
      <c r="G838" s="636"/>
      <c r="H838" s="637"/>
      <c r="I838" s="643"/>
      <c r="J838" s="644"/>
      <c r="K838" s="147"/>
      <c r="L838" s="632"/>
      <c r="M838" s="147"/>
      <c r="N838" s="640"/>
      <c r="O838" s="640"/>
      <c r="P838" s="641"/>
      <c r="Q838" s="642"/>
      <c r="R838" s="147"/>
      <c r="S838" s="147"/>
      <c r="T838" s="147"/>
      <c r="U838" s="147"/>
      <c r="V838" s="147"/>
      <c r="W838" s="147"/>
      <c r="X838" s="147"/>
      <c r="Y838" s="147"/>
      <c r="Z838" s="147"/>
      <c r="AA838" s="147"/>
      <c r="AB838" s="147"/>
      <c r="AC838" s="147"/>
      <c r="AD838" s="147"/>
      <c r="AE838" s="147"/>
      <c r="AF838" s="147"/>
      <c r="AG838" s="147"/>
      <c r="AH838" s="147"/>
      <c r="AI838" s="147"/>
      <c r="AJ838" s="147"/>
      <c r="AK838" s="147"/>
      <c r="AL838" s="147"/>
      <c r="AM838" s="147"/>
      <c r="AN838" s="147"/>
      <c r="AO838" s="147"/>
      <c r="AP838" s="147"/>
      <c r="AQ838" s="147"/>
      <c r="AR838" s="147"/>
      <c r="AS838" s="147"/>
      <c r="AT838" s="147"/>
      <c r="AU838" s="147"/>
      <c r="AV838" s="147"/>
      <c r="AW838" s="147"/>
    </row>
    <row r="839">
      <c r="A839" s="631"/>
      <c r="B839" s="631"/>
      <c r="C839" s="632"/>
      <c r="D839" s="633"/>
      <c r="E839" s="634"/>
      <c r="F839" s="635"/>
      <c r="G839" s="636"/>
      <c r="H839" s="637"/>
      <c r="I839" s="643"/>
      <c r="J839" s="644"/>
      <c r="K839" s="147"/>
      <c r="L839" s="632"/>
      <c r="M839" s="147"/>
      <c r="N839" s="640"/>
      <c r="O839" s="640"/>
      <c r="P839" s="641"/>
      <c r="Q839" s="642"/>
      <c r="R839" s="147"/>
      <c r="S839" s="147"/>
      <c r="T839" s="147"/>
      <c r="U839" s="147"/>
      <c r="V839" s="147"/>
      <c r="W839" s="147"/>
      <c r="X839" s="147"/>
      <c r="Y839" s="147"/>
      <c r="Z839" s="147"/>
      <c r="AA839" s="147"/>
      <c r="AB839" s="147"/>
      <c r="AC839" s="147"/>
      <c r="AD839" s="147"/>
      <c r="AE839" s="147"/>
      <c r="AF839" s="147"/>
      <c r="AG839" s="147"/>
      <c r="AH839" s="147"/>
      <c r="AI839" s="147"/>
      <c r="AJ839" s="147"/>
      <c r="AK839" s="147"/>
      <c r="AL839" s="147"/>
      <c r="AM839" s="147"/>
      <c r="AN839" s="147"/>
      <c r="AO839" s="147"/>
      <c r="AP839" s="147"/>
      <c r="AQ839" s="147"/>
      <c r="AR839" s="147"/>
      <c r="AS839" s="147"/>
      <c r="AT839" s="147"/>
      <c r="AU839" s="147"/>
      <c r="AV839" s="147"/>
      <c r="AW839" s="147"/>
    </row>
    <row r="840">
      <c r="A840" s="631"/>
      <c r="B840" s="631"/>
      <c r="C840" s="632"/>
      <c r="D840" s="633"/>
      <c r="E840" s="634"/>
      <c r="F840" s="635"/>
      <c r="G840" s="636"/>
      <c r="H840" s="637"/>
      <c r="I840" s="643"/>
      <c r="J840" s="644"/>
      <c r="K840" s="147"/>
      <c r="L840" s="632"/>
      <c r="M840" s="147"/>
      <c r="N840" s="640"/>
      <c r="O840" s="640"/>
      <c r="P840" s="641"/>
      <c r="Q840" s="642"/>
      <c r="R840" s="147"/>
      <c r="S840" s="147"/>
      <c r="T840" s="147"/>
      <c r="U840" s="147"/>
      <c r="V840" s="147"/>
      <c r="W840" s="147"/>
      <c r="X840" s="147"/>
      <c r="Y840" s="147"/>
      <c r="Z840" s="147"/>
      <c r="AA840" s="147"/>
      <c r="AB840" s="147"/>
      <c r="AC840" s="147"/>
      <c r="AD840" s="147"/>
      <c r="AE840" s="147"/>
      <c r="AF840" s="147"/>
      <c r="AG840" s="147"/>
      <c r="AH840" s="147"/>
      <c r="AI840" s="147"/>
      <c r="AJ840" s="147"/>
      <c r="AK840" s="147"/>
      <c r="AL840" s="147"/>
      <c r="AM840" s="147"/>
      <c r="AN840" s="147"/>
      <c r="AO840" s="147"/>
      <c r="AP840" s="147"/>
      <c r="AQ840" s="147"/>
      <c r="AR840" s="147"/>
      <c r="AS840" s="147"/>
      <c r="AT840" s="147"/>
      <c r="AU840" s="147"/>
      <c r="AV840" s="147"/>
      <c r="AW840" s="147"/>
    </row>
    <row r="841">
      <c r="A841" s="631"/>
      <c r="B841" s="631"/>
      <c r="C841" s="632"/>
      <c r="D841" s="633"/>
      <c r="E841" s="634"/>
      <c r="F841" s="635"/>
      <c r="G841" s="636"/>
      <c r="H841" s="637"/>
      <c r="I841" s="643"/>
      <c r="J841" s="644"/>
      <c r="K841" s="147"/>
      <c r="L841" s="632"/>
      <c r="M841" s="147"/>
      <c r="N841" s="640"/>
      <c r="O841" s="640"/>
      <c r="P841" s="641"/>
      <c r="Q841" s="642"/>
      <c r="R841" s="147"/>
      <c r="S841" s="147"/>
      <c r="T841" s="147"/>
      <c r="U841" s="147"/>
      <c r="V841" s="147"/>
      <c r="W841" s="147"/>
      <c r="X841" s="147"/>
      <c r="Y841" s="147"/>
      <c r="Z841" s="147"/>
      <c r="AA841" s="147"/>
      <c r="AB841" s="147"/>
      <c r="AC841" s="147"/>
      <c r="AD841" s="147"/>
      <c r="AE841" s="147"/>
      <c r="AF841" s="147"/>
      <c r="AG841" s="147"/>
      <c r="AH841" s="147"/>
      <c r="AI841" s="147"/>
      <c r="AJ841" s="147"/>
      <c r="AK841" s="147"/>
      <c r="AL841" s="147"/>
      <c r="AM841" s="147"/>
      <c r="AN841" s="147"/>
      <c r="AO841" s="147"/>
      <c r="AP841" s="147"/>
      <c r="AQ841" s="147"/>
      <c r="AR841" s="147"/>
      <c r="AS841" s="147"/>
      <c r="AT841" s="147"/>
      <c r="AU841" s="147"/>
      <c r="AV841" s="147"/>
      <c r="AW841" s="147"/>
    </row>
    <row r="842">
      <c r="A842" s="631"/>
      <c r="B842" s="631"/>
      <c r="C842" s="632"/>
      <c r="D842" s="633"/>
      <c r="E842" s="634"/>
      <c r="F842" s="635"/>
      <c r="G842" s="636"/>
      <c r="H842" s="637"/>
      <c r="I842" s="643"/>
      <c r="J842" s="644"/>
      <c r="K842" s="147"/>
      <c r="L842" s="632"/>
      <c r="M842" s="147"/>
      <c r="N842" s="640"/>
      <c r="O842" s="640"/>
      <c r="P842" s="641"/>
      <c r="Q842" s="642"/>
      <c r="R842" s="147"/>
      <c r="S842" s="147"/>
      <c r="T842" s="147"/>
      <c r="U842" s="147"/>
      <c r="V842" s="147"/>
      <c r="W842" s="147"/>
      <c r="X842" s="147"/>
      <c r="Y842" s="147"/>
      <c r="Z842" s="147"/>
      <c r="AA842" s="147"/>
      <c r="AB842" s="147"/>
      <c r="AC842" s="147"/>
      <c r="AD842" s="147"/>
      <c r="AE842" s="147"/>
      <c r="AF842" s="147"/>
      <c r="AG842" s="147"/>
      <c r="AH842" s="147"/>
      <c r="AI842" s="147"/>
      <c r="AJ842" s="147"/>
      <c r="AK842" s="147"/>
      <c r="AL842" s="147"/>
      <c r="AM842" s="147"/>
      <c r="AN842" s="147"/>
      <c r="AO842" s="147"/>
      <c r="AP842" s="147"/>
      <c r="AQ842" s="147"/>
      <c r="AR842" s="147"/>
      <c r="AS842" s="147"/>
      <c r="AT842" s="147"/>
      <c r="AU842" s="147"/>
      <c r="AV842" s="147"/>
      <c r="AW842" s="147"/>
    </row>
    <row r="843">
      <c r="A843" s="631"/>
      <c r="B843" s="631"/>
      <c r="C843" s="632"/>
      <c r="D843" s="633"/>
      <c r="E843" s="634"/>
      <c r="F843" s="635"/>
      <c r="G843" s="636"/>
      <c r="H843" s="637"/>
      <c r="I843" s="643"/>
      <c r="J843" s="644"/>
      <c r="K843" s="147"/>
      <c r="L843" s="632"/>
      <c r="M843" s="147"/>
      <c r="N843" s="640"/>
      <c r="O843" s="640"/>
      <c r="P843" s="641"/>
      <c r="Q843" s="642"/>
      <c r="R843" s="147"/>
      <c r="S843" s="147"/>
      <c r="T843" s="147"/>
      <c r="U843" s="147"/>
      <c r="V843" s="147"/>
      <c r="W843" s="147"/>
      <c r="X843" s="147"/>
      <c r="Y843" s="147"/>
      <c r="Z843" s="147"/>
      <c r="AA843" s="147"/>
      <c r="AB843" s="147"/>
      <c r="AC843" s="147"/>
      <c r="AD843" s="147"/>
      <c r="AE843" s="147"/>
      <c r="AF843" s="147"/>
      <c r="AG843" s="147"/>
      <c r="AH843" s="147"/>
      <c r="AI843" s="147"/>
      <c r="AJ843" s="147"/>
      <c r="AK843" s="147"/>
      <c r="AL843" s="147"/>
      <c r="AM843" s="147"/>
      <c r="AN843" s="147"/>
      <c r="AO843" s="147"/>
      <c r="AP843" s="147"/>
      <c r="AQ843" s="147"/>
      <c r="AR843" s="147"/>
      <c r="AS843" s="147"/>
      <c r="AT843" s="147"/>
      <c r="AU843" s="147"/>
      <c r="AV843" s="147"/>
      <c r="AW843" s="147"/>
    </row>
    <row r="844">
      <c r="A844" s="631"/>
      <c r="B844" s="631"/>
      <c r="C844" s="632"/>
      <c r="D844" s="633"/>
      <c r="E844" s="634"/>
      <c r="F844" s="635"/>
      <c r="G844" s="636"/>
      <c r="H844" s="637"/>
      <c r="I844" s="643"/>
      <c r="J844" s="644"/>
      <c r="K844" s="147"/>
      <c r="L844" s="632"/>
      <c r="M844" s="147"/>
      <c r="N844" s="640"/>
      <c r="O844" s="640"/>
      <c r="P844" s="641"/>
      <c r="Q844" s="642"/>
      <c r="R844" s="147"/>
      <c r="S844" s="147"/>
      <c r="T844" s="147"/>
      <c r="U844" s="147"/>
      <c r="V844" s="147"/>
      <c r="W844" s="147"/>
      <c r="X844" s="147"/>
      <c r="Y844" s="147"/>
      <c r="Z844" s="147"/>
      <c r="AA844" s="147"/>
      <c r="AB844" s="147"/>
      <c r="AC844" s="147"/>
      <c r="AD844" s="147"/>
      <c r="AE844" s="147"/>
      <c r="AF844" s="147"/>
      <c r="AG844" s="147"/>
      <c r="AH844" s="147"/>
      <c r="AI844" s="147"/>
      <c r="AJ844" s="147"/>
      <c r="AK844" s="147"/>
      <c r="AL844" s="147"/>
      <c r="AM844" s="147"/>
      <c r="AN844" s="147"/>
      <c r="AO844" s="147"/>
      <c r="AP844" s="147"/>
      <c r="AQ844" s="147"/>
      <c r="AR844" s="147"/>
      <c r="AS844" s="147"/>
      <c r="AT844" s="147"/>
      <c r="AU844" s="147"/>
      <c r="AV844" s="147"/>
      <c r="AW844" s="147"/>
    </row>
    <row r="845">
      <c r="A845" s="631"/>
      <c r="B845" s="631"/>
      <c r="C845" s="632"/>
      <c r="D845" s="633"/>
      <c r="E845" s="634"/>
      <c r="F845" s="635"/>
      <c r="G845" s="636"/>
      <c r="H845" s="637"/>
      <c r="I845" s="643"/>
      <c r="J845" s="644"/>
      <c r="K845" s="147"/>
      <c r="L845" s="632"/>
      <c r="M845" s="147"/>
      <c r="N845" s="640"/>
      <c r="O845" s="640"/>
      <c r="P845" s="641"/>
      <c r="Q845" s="642"/>
      <c r="R845" s="147"/>
      <c r="S845" s="147"/>
      <c r="T845" s="147"/>
      <c r="U845" s="147"/>
      <c r="V845" s="147"/>
      <c r="W845" s="147"/>
      <c r="X845" s="147"/>
      <c r="Y845" s="147"/>
      <c r="Z845" s="147"/>
      <c r="AA845" s="147"/>
      <c r="AB845" s="147"/>
      <c r="AC845" s="147"/>
      <c r="AD845" s="147"/>
      <c r="AE845" s="147"/>
      <c r="AF845" s="147"/>
      <c r="AG845" s="147"/>
      <c r="AH845" s="147"/>
      <c r="AI845" s="147"/>
      <c r="AJ845" s="147"/>
      <c r="AK845" s="147"/>
      <c r="AL845" s="147"/>
      <c r="AM845" s="147"/>
      <c r="AN845" s="147"/>
      <c r="AO845" s="147"/>
      <c r="AP845" s="147"/>
      <c r="AQ845" s="147"/>
      <c r="AR845" s="147"/>
      <c r="AS845" s="147"/>
      <c r="AT845" s="147"/>
      <c r="AU845" s="147"/>
      <c r="AV845" s="147"/>
      <c r="AW845" s="147"/>
    </row>
    <row r="846">
      <c r="A846" s="631"/>
      <c r="B846" s="631"/>
      <c r="C846" s="632"/>
      <c r="D846" s="633"/>
      <c r="E846" s="634"/>
      <c r="F846" s="635"/>
      <c r="G846" s="636"/>
      <c r="H846" s="637"/>
      <c r="I846" s="643"/>
      <c r="J846" s="644"/>
      <c r="K846" s="147"/>
      <c r="L846" s="632"/>
      <c r="M846" s="147"/>
      <c r="N846" s="640"/>
      <c r="O846" s="640"/>
      <c r="P846" s="641"/>
      <c r="Q846" s="642"/>
      <c r="R846" s="147"/>
      <c r="S846" s="147"/>
      <c r="T846" s="147"/>
      <c r="U846" s="147"/>
      <c r="V846" s="147"/>
      <c r="W846" s="147"/>
      <c r="X846" s="147"/>
      <c r="Y846" s="147"/>
      <c r="Z846" s="147"/>
      <c r="AA846" s="147"/>
      <c r="AB846" s="147"/>
      <c r="AC846" s="147"/>
      <c r="AD846" s="147"/>
      <c r="AE846" s="147"/>
      <c r="AF846" s="147"/>
      <c r="AG846" s="147"/>
      <c r="AH846" s="147"/>
      <c r="AI846" s="147"/>
      <c r="AJ846" s="147"/>
      <c r="AK846" s="147"/>
      <c r="AL846" s="147"/>
      <c r="AM846" s="147"/>
      <c r="AN846" s="147"/>
      <c r="AO846" s="147"/>
      <c r="AP846" s="147"/>
      <c r="AQ846" s="147"/>
      <c r="AR846" s="147"/>
      <c r="AS846" s="147"/>
      <c r="AT846" s="147"/>
      <c r="AU846" s="147"/>
      <c r="AV846" s="147"/>
      <c r="AW846" s="147"/>
    </row>
    <row r="847">
      <c r="A847" s="631"/>
      <c r="B847" s="631"/>
      <c r="C847" s="632"/>
      <c r="D847" s="633"/>
      <c r="E847" s="634"/>
      <c r="F847" s="635"/>
      <c r="G847" s="636"/>
      <c r="H847" s="637"/>
      <c r="I847" s="643"/>
      <c r="J847" s="644"/>
      <c r="K847" s="147"/>
      <c r="L847" s="632"/>
      <c r="M847" s="147"/>
      <c r="N847" s="640"/>
      <c r="O847" s="640"/>
      <c r="P847" s="641"/>
      <c r="Q847" s="642"/>
      <c r="R847" s="147"/>
      <c r="S847" s="147"/>
      <c r="T847" s="147"/>
      <c r="U847" s="147"/>
      <c r="V847" s="147"/>
      <c r="W847" s="147"/>
      <c r="X847" s="147"/>
      <c r="Y847" s="147"/>
      <c r="Z847" s="147"/>
      <c r="AA847" s="147"/>
      <c r="AB847" s="147"/>
      <c r="AC847" s="147"/>
      <c r="AD847" s="147"/>
      <c r="AE847" s="147"/>
      <c r="AF847" s="147"/>
      <c r="AG847" s="147"/>
      <c r="AH847" s="147"/>
      <c r="AI847" s="147"/>
      <c r="AJ847" s="147"/>
      <c r="AK847" s="147"/>
      <c r="AL847" s="147"/>
      <c r="AM847" s="147"/>
      <c r="AN847" s="147"/>
      <c r="AO847" s="147"/>
      <c r="AP847" s="147"/>
      <c r="AQ847" s="147"/>
      <c r="AR847" s="147"/>
      <c r="AS847" s="147"/>
      <c r="AT847" s="147"/>
      <c r="AU847" s="147"/>
      <c r="AV847" s="147"/>
      <c r="AW847" s="147"/>
    </row>
    <row r="848">
      <c r="A848" s="631"/>
      <c r="B848" s="631"/>
      <c r="C848" s="632"/>
      <c r="D848" s="633"/>
      <c r="E848" s="634"/>
      <c r="F848" s="635"/>
      <c r="G848" s="636"/>
      <c r="H848" s="637"/>
      <c r="I848" s="643"/>
      <c r="J848" s="644"/>
      <c r="K848" s="147"/>
      <c r="L848" s="632"/>
      <c r="M848" s="147"/>
      <c r="N848" s="640"/>
      <c r="O848" s="640"/>
      <c r="P848" s="641"/>
      <c r="Q848" s="642"/>
      <c r="R848" s="147"/>
      <c r="S848" s="147"/>
      <c r="T848" s="147"/>
      <c r="U848" s="147"/>
      <c r="V848" s="147"/>
      <c r="W848" s="147"/>
      <c r="X848" s="147"/>
      <c r="Y848" s="147"/>
      <c r="Z848" s="147"/>
      <c r="AA848" s="147"/>
      <c r="AB848" s="147"/>
      <c r="AC848" s="147"/>
      <c r="AD848" s="147"/>
      <c r="AE848" s="147"/>
      <c r="AF848" s="147"/>
      <c r="AG848" s="147"/>
      <c r="AH848" s="147"/>
      <c r="AI848" s="147"/>
      <c r="AJ848" s="147"/>
      <c r="AK848" s="147"/>
      <c r="AL848" s="147"/>
      <c r="AM848" s="147"/>
      <c r="AN848" s="147"/>
      <c r="AO848" s="147"/>
      <c r="AP848" s="147"/>
      <c r="AQ848" s="147"/>
      <c r="AR848" s="147"/>
      <c r="AS848" s="147"/>
      <c r="AT848" s="147"/>
      <c r="AU848" s="147"/>
      <c r="AV848" s="147"/>
      <c r="AW848" s="147"/>
    </row>
    <row r="849">
      <c r="A849" s="631"/>
      <c r="B849" s="631"/>
      <c r="C849" s="632"/>
      <c r="D849" s="633"/>
      <c r="E849" s="634"/>
      <c r="F849" s="635"/>
      <c r="G849" s="636"/>
      <c r="H849" s="637"/>
      <c r="I849" s="643"/>
      <c r="J849" s="644"/>
      <c r="K849" s="147"/>
      <c r="L849" s="632"/>
      <c r="M849" s="147"/>
      <c r="N849" s="640"/>
      <c r="O849" s="640"/>
      <c r="P849" s="641"/>
      <c r="Q849" s="642"/>
      <c r="R849" s="147"/>
      <c r="S849" s="147"/>
      <c r="T849" s="147"/>
      <c r="U849" s="147"/>
      <c r="V849" s="147"/>
      <c r="W849" s="147"/>
      <c r="X849" s="147"/>
      <c r="Y849" s="147"/>
      <c r="Z849" s="147"/>
      <c r="AA849" s="147"/>
      <c r="AB849" s="147"/>
      <c r="AC849" s="147"/>
      <c r="AD849" s="147"/>
      <c r="AE849" s="147"/>
      <c r="AF849" s="147"/>
      <c r="AG849" s="147"/>
      <c r="AH849" s="147"/>
      <c r="AI849" s="147"/>
      <c r="AJ849" s="147"/>
      <c r="AK849" s="147"/>
      <c r="AL849" s="147"/>
      <c r="AM849" s="147"/>
      <c r="AN849" s="147"/>
      <c r="AO849" s="147"/>
      <c r="AP849" s="147"/>
      <c r="AQ849" s="147"/>
      <c r="AR849" s="147"/>
      <c r="AS849" s="147"/>
      <c r="AT849" s="147"/>
      <c r="AU849" s="147"/>
      <c r="AV849" s="147"/>
      <c r="AW849" s="147"/>
    </row>
    <row r="850">
      <c r="A850" s="631"/>
      <c r="B850" s="631"/>
      <c r="C850" s="632"/>
      <c r="D850" s="633"/>
      <c r="E850" s="634"/>
      <c r="F850" s="635"/>
      <c r="G850" s="636"/>
      <c r="H850" s="637"/>
      <c r="I850" s="643"/>
      <c r="J850" s="644"/>
      <c r="K850" s="147"/>
      <c r="L850" s="632"/>
      <c r="M850" s="147"/>
      <c r="N850" s="640"/>
      <c r="O850" s="640"/>
      <c r="P850" s="641"/>
      <c r="Q850" s="642"/>
      <c r="R850" s="147"/>
      <c r="S850" s="147"/>
      <c r="T850" s="147"/>
      <c r="U850" s="147"/>
      <c r="V850" s="147"/>
      <c r="W850" s="147"/>
      <c r="X850" s="147"/>
      <c r="Y850" s="147"/>
      <c r="Z850" s="147"/>
      <c r="AA850" s="147"/>
      <c r="AB850" s="147"/>
      <c r="AC850" s="147"/>
      <c r="AD850" s="147"/>
      <c r="AE850" s="147"/>
      <c r="AF850" s="147"/>
      <c r="AG850" s="147"/>
      <c r="AH850" s="147"/>
      <c r="AI850" s="147"/>
      <c r="AJ850" s="147"/>
      <c r="AK850" s="147"/>
      <c r="AL850" s="147"/>
      <c r="AM850" s="147"/>
      <c r="AN850" s="147"/>
      <c r="AO850" s="147"/>
      <c r="AP850" s="147"/>
      <c r="AQ850" s="147"/>
      <c r="AR850" s="147"/>
      <c r="AS850" s="147"/>
      <c r="AT850" s="147"/>
      <c r="AU850" s="147"/>
      <c r="AV850" s="147"/>
      <c r="AW850" s="147"/>
    </row>
    <row r="851">
      <c r="A851" s="631"/>
      <c r="B851" s="631"/>
      <c r="C851" s="632"/>
      <c r="D851" s="633"/>
      <c r="E851" s="634"/>
      <c r="F851" s="635"/>
      <c r="G851" s="636"/>
      <c r="H851" s="637"/>
      <c r="I851" s="643"/>
      <c r="J851" s="644"/>
      <c r="K851" s="147"/>
      <c r="L851" s="632"/>
      <c r="M851" s="147"/>
      <c r="N851" s="640"/>
      <c r="O851" s="640"/>
      <c r="P851" s="641"/>
      <c r="Q851" s="642"/>
      <c r="R851" s="147"/>
      <c r="S851" s="147"/>
      <c r="T851" s="147"/>
      <c r="U851" s="147"/>
      <c r="V851" s="147"/>
      <c r="W851" s="147"/>
      <c r="X851" s="147"/>
      <c r="Y851" s="147"/>
      <c r="Z851" s="147"/>
      <c r="AA851" s="147"/>
      <c r="AB851" s="147"/>
      <c r="AC851" s="147"/>
      <c r="AD851" s="147"/>
      <c r="AE851" s="147"/>
      <c r="AF851" s="147"/>
      <c r="AG851" s="147"/>
      <c r="AH851" s="147"/>
      <c r="AI851" s="147"/>
      <c r="AJ851" s="147"/>
      <c r="AK851" s="147"/>
      <c r="AL851" s="147"/>
      <c r="AM851" s="147"/>
      <c r="AN851" s="147"/>
      <c r="AO851" s="147"/>
      <c r="AP851" s="147"/>
      <c r="AQ851" s="147"/>
      <c r="AR851" s="147"/>
      <c r="AS851" s="147"/>
      <c r="AT851" s="147"/>
      <c r="AU851" s="147"/>
      <c r="AV851" s="147"/>
      <c r="AW851" s="147"/>
    </row>
    <row r="852">
      <c r="A852" s="631"/>
      <c r="B852" s="631"/>
      <c r="C852" s="632"/>
      <c r="D852" s="633"/>
      <c r="E852" s="634"/>
      <c r="F852" s="635"/>
      <c r="G852" s="636"/>
      <c r="H852" s="637"/>
      <c r="I852" s="643"/>
      <c r="J852" s="644"/>
      <c r="K852" s="147"/>
      <c r="L852" s="632"/>
      <c r="M852" s="147"/>
      <c r="N852" s="640"/>
      <c r="O852" s="640"/>
      <c r="P852" s="641"/>
      <c r="Q852" s="642"/>
      <c r="R852" s="147"/>
      <c r="S852" s="147"/>
      <c r="T852" s="147"/>
      <c r="U852" s="147"/>
      <c r="V852" s="147"/>
      <c r="W852" s="147"/>
      <c r="X852" s="147"/>
      <c r="Y852" s="147"/>
      <c r="Z852" s="147"/>
      <c r="AA852" s="147"/>
      <c r="AB852" s="147"/>
      <c r="AC852" s="147"/>
      <c r="AD852" s="147"/>
      <c r="AE852" s="147"/>
      <c r="AF852" s="147"/>
      <c r="AG852" s="147"/>
      <c r="AH852" s="147"/>
      <c r="AI852" s="147"/>
      <c r="AJ852" s="147"/>
      <c r="AK852" s="147"/>
      <c r="AL852" s="147"/>
      <c r="AM852" s="147"/>
      <c r="AN852" s="147"/>
      <c r="AO852" s="147"/>
      <c r="AP852" s="147"/>
      <c r="AQ852" s="147"/>
      <c r="AR852" s="147"/>
      <c r="AS852" s="147"/>
      <c r="AT852" s="147"/>
      <c r="AU852" s="147"/>
      <c r="AV852" s="147"/>
      <c r="AW852" s="147"/>
    </row>
    <row r="853">
      <c r="A853" s="631"/>
      <c r="B853" s="631"/>
      <c r="C853" s="632"/>
      <c r="D853" s="633"/>
      <c r="E853" s="634"/>
      <c r="F853" s="635"/>
      <c r="G853" s="636"/>
      <c r="H853" s="637"/>
      <c r="I853" s="643"/>
      <c r="J853" s="644"/>
      <c r="K853" s="147"/>
      <c r="L853" s="632"/>
      <c r="M853" s="147"/>
      <c r="N853" s="640"/>
      <c r="O853" s="640"/>
      <c r="P853" s="641"/>
      <c r="Q853" s="642"/>
      <c r="R853" s="147"/>
      <c r="S853" s="147"/>
      <c r="T853" s="147"/>
      <c r="U853" s="147"/>
      <c r="V853" s="147"/>
      <c r="W853" s="147"/>
      <c r="X853" s="147"/>
      <c r="Y853" s="147"/>
      <c r="Z853" s="147"/>
      <c r="AA853" s="147"/>
      <c r="AB853" s="147"/>
      <c r="AC853" s="147"/>
      <c r="AD853" s="147"/>
      <c r="AE853" s="147"/>
      <c r="AF853" s="147"/>
      <c r="AG853" s="147"/>
      <c r="AH853" s="147"/>
      <c r="AI853" s="147"/>
      <c r="AJ853" s="147"/>
      <c r="AK853" s="147"/>
      <c r="AL853" s="147"/>
      <c r="AM853" s="147"/>
      <c r="AN853" s="147"/>
      <c r="AO853" s="147"/>
      <c r="AP853" s="147"/>
      <c r="AQ853" s="147"/>
      <c r="AR853" s="147"/>
      <c r="AS853" s="147"/>
      <c r="AT853" s="147"/>
      <c r="AU853" s="147"/>
      <c r="AV853" s="147"/>
      <c r="AW853" s="147"/>
    </row>
    <row r="854">
      <c r="A854" s="631"/>
      <c r="B854" s="631"/>
      <c r="C854" s="632"/>
      <c r="D854" s="633"/>
      <c r="E854" s="634"/>
      <c r="F854" s="635"/>
      <c r="G854" s="636"/>
      <c r="H854" s="637"/>
      <c r="I854" s="643"/>
      <c r="J854" s="644"/>
      <c r="K854" s="147"/>
      <c r="L854" s="632"/>
      <c r="M854" s="147"/>
      <c r="N854" s="640"/>
      <c r="O854" s="640"/>
      <c r="P854" s="641"/>
      <c r="Q854" s="642"/>
      <c r="R854" s="147"/>
      <c r="S854" s="147"/>
      <c r="T854" s="147"/>
      <c r="U854" s="147"/>
      <c r="V854" s="147"/>
      <c r="W854" s="147"/>
      <c r="X854" s="147"/>
      <c r="Y854" s="147"/>
      <c r="Z854" s="147"/>
      <c r="AA854" s="147"/>
      <c r="AB854" s="147"/>
      <c r="AC854" s="147"/>
      <c r="AD854" s="147"/>
      <c r="AE854" s="147"/>
      <c r="AF854" s="147"/>
      <c r="AG854" s="147"/>
      <c r="AH854" s="147"/>
      <c r="AI854" s="147"/>
      <c r="AJ854" s="147"/>
      <c r="AK854" s="147"/>
      <c r="AL854" s="147"/>
      <c r="AM854" s="147"/>
      <c r="AN854" s="147"/>
      <c r="AO854" s="147"/>
      <c r="AP854" s="147"/>
      <c r="AQ854" s="147"/>
      <c r="AR854" s="147"/>
      <c r="AS854" s="147"/>
      <c r="AT854" s="147"/>
      <c r="AU854" s="147"/>
      <c r="AV854" s="147"/>
      <c r="AW854" s="147"/>
    </row>
    <row r="855">
      <c r="A855" s="631"/>
      <c r="B855" s="631"/>
      <c r="C855" s="632"/>
      <c r="D855" s="633"/>
      <c r="E855" s="634"/>
      <c r="F855" s="635"/>
      <c r="G855" s="636"/>
      <c r="H855" s="637"/>
      <c r="I855" s="643"/>
      <c r="J855" s="644"/>
      <c r="K855" s="147"/>
      <c r="L855" s="632"/>
      <c r="M855" s="147"/>
      <c r="N855" s="640"/>
      <c r="O855" s="640"/>
      <c r="P855" s="641"/>
      <c r="Q855" s="642"/>
      <c r="R855" s="147"/>
      <c r="S855" s="147"/>
      <c r="T855" s="147"/>
      <c r="U855" s="147"/>
      <c r="V855" s="147"/>
      <c r="W855" s="147"/>
      <c r="X855" s="147"/>
      <c r="Y855" s="147"/>
      <c r="Z855" s="147"/>
      <c r="AA855" s="147"/>
      <c r="AB855" s="147"/>
      <c r="AC855" s="147"/>
      <c r="AD855" s="147"/>
      <c r="AE855" s="147"/>
      <c r="AF855" s="147"/>
      <c r="AG855" s="147"/>
      <c r="AH855" s="147"/>
      <c r="AI855" s="147"/>
      <c r="AJ855" s="147"/>
      <c r="AK855" s="147"/>
      <c r="AL855" s="147"/>
      <c r="AM855" s="147"/>
      <c r="AN855" s="147"/>
      <c r="AO855" s="147"/>
      <c r="AP855" s="147"/>
      <c r="AQ855" s="147"/>
      <c r="AR855" s="147"/>
      <c r="AS855" s="147"/>
      <c r="AT855" s="147"/>
      <c r="AU855" s="147"/>
      <c r="AV855" s="147"/>
      <c r="AW855" s="147"/>
    </row>
    <row r="856">
      <c r="A856" s="631"/>
      <c r="B856" s="631"/>
      <c r="C856" s="632"/>
      <c r="D856" s="633"/>
      <c r="E856" s="634"/>
      <c r="F856" s="635"/>
      <c r="G856" s="636"/>
      <c r="H856" s="637"/>
      <c r="I856" s="643"/>
      <c r="J856" s="644"/>
      <c r="K856" s="147"/>
      <c r="L856" s="632"/>
      <c r="M856" s="147"/>
      <c r="N856" s="640"/>
      <c r="O856" s="640"/>
      <c r="P856" s="641"/>
      <c r="Q856" s="642"/>
      <c r="R856" s="147"/>
      <c r="S856" s="147"/>
      <c r="T856" s="147"/>
      <c r="U856" s="147"/>
      <c r="V856" s="147"/>
      <c r="W856" s="147"/>
      <c r="X856" s="147"/>
      <c r="Y856" s="147"/>
      <c r="Z856" s="147"/>
      <c r="AA856" s="147"/>
      <c r="AB856" s="147"/>
      <c r="AC856" s="147"/>
      <c r="AD856" s="147"/>
      <c r="AE856" s="147"/>
      <c r="AF856" s="147"/>
      <c r="AG856" s="147"/>
      <c r="AH856" s="147"/>
      <c r="AI856" s="147"/>
      <c r="AJ856" s="147"/>
      <c r="AK856" s="147"/>
      <c r="AL856" s="147"/>
      <c r="AM856" s="147"/>
      <c r="AN856" s="147"/>
      <c r="AO856" s="147"/>
      <c r="AP856" s="147"/>
      <c r="AQ856" s="147"/>
      <c r="AR856" s="147"/>
      <c r="AS856" s="147"/>
      <c r="AT856" s="147"/>
      <c r="AU856" s="147"/>
      <c r="AV856" s="147"/>
      <c r="AW856" s="147"/>
    </row>
    <row r="857">
      <c r="A857" s="631"/>
      <c r="B857" s="631"/>
      <c r="C857" s="632"/>
      <c r="D857" s="633"/>
      <c r="E857" s="634"/>
      <c r="F857" s="635"/>
      <c r="G857" s="636"/>
      <c r="H857" s="637"/>
      <c r="I857" s="643"/>
      <c r="J857" s="644"/>
      <c r="K857" s="147"/>
      <c r="L857" s="632"/>
      <c r="M857" s="147"/>
      <c r="N857" s="640"/>
      <c r="O857" s="640"/>
      <c r="P857" s="641"/>
      <c r="Q857" s="642"/>
      <c r="R857" s="147"/>
      <c r="S857" s="147"/>
      <c r="T857" s="147"/>
      <c r="U857" s="147"/>
      <c r="V857" s="147"/>
      <c r="W857" s="147"/>
      <c r="X857" s="147"/>
      <c r="Y857" s="147"/>
      <c r="Z857" s="147"/>
      <c r="AA857" s="147"/>
      <c r="AB857" s="147"/>
      <c r="AC857" s="147"/>
      <c r="AD857" s="147"/>
      <c r="AE857" s="147"/>
      <c r="AF857" s="147"/>
      <c r="AG857" s="147"/>
      <c r="AH857" s="147"/>
      <c r="AI857" s="147"/>
      <c r="AJ857" s="147"/>
      <c r="AK857" s="147"/>
      <c r="AL857" s="147"/>
      <c r="AM857" s="147"/>
      <c r="AN857" s="147"/>
      <c r="AO857" s="147"/>
      <c r="AP857" s="147"/>
      <c r="AQ857" s="147"/>
      <c r="AR857" s="147"/>
      <c r="AS857" s="147"/>
      <c r="AT857" s="147"/>
      <c r="AU857" s="147"/>
      <c r="AV857" s="147"/>
      <c r="AW857" s="147"/>
    </row>
    <row r="858">
      <c r="A858" s="631"/>
      <c r="B858" s="631"/>
      <c r="C858" s="632"/>
      <c r="D858" s="633"/>
      <c r="E858" s="634"/>
      <c r="F858" s="635"/>
      <c r="G858" s="636"/>
      <c r="H858" s="637"/>
      <c r="I858" s="643"/>
      <c r="J858" s="644"/>
      <c r="K858" s="147"/>
      <c r="L858" s="632"/>
      <c r="M858" s="147"/>
      <c r="N858" s="640"/>
      <c r="O858" s="640"/>
      <c r="P858" s="641"/>
      <c r="Q858" s="642"/>
      <c r="R858" s="147"/>
      <c r="S858" s="147"/>
      <c r="T858" s="147"/>
      <c r="U858" s="147"/>
      <c r="V858" s="147"/>
      <c r="W858" s="147"/>
      <c r="X858" s="147"/>
      <c r="Y858" s="147"/>
      <c r="Z858" s="147"/>
      <c r="AA858" s="147"/>
      <c r="AB858" s="147"/>
      <c r="AC858" s="147"/>
      <c r="AD858" s="147"/>
      <c r="AE858" s="147"/>
      <c r="AF858" s="147"/>
      <c r="AG858" s="147"/>
      <c r="AH858" s="147"/>
      <c r="AI858" s="147"/>
      <c r="AJ858" s="147"/>
      <c r="AK858" s="147"/>
      <c r="AL858" s="147"/>
      <c r="AM858" s="147"/>
      <c r="AN858" s="147"/>
      <c r="AO858" s="147"/>
      <c r="AP858" s="147"/>
      <c r="AQ858" s="147"/>
      <c r="AR858" s="147"/>
      <c r="AS858" s="147"/>
      <c r="AT858" s="147"/>
      <c r="AU858" s="147"/>
      <c r="AV858" s="147"/>
      <c r="AW858" s="147"/>
    </row>
    <row r="859">
      <c r="A859" s="631"/>
      <c r="B859" s="631"/>
      <c r="C859" s="632"/>
      <c r="D859" s="633"/>
      <c r="E859" s="634"/>
      <c r="F859" s="635"/>
      <c r="G859" s="636"/>
      <c r="H859" s="637"/>
      <c r="I859" s="643"/>
      <c r="J859" s="644"/>
      <c r="K859" s="147"/>
      <c r="L859" s="632"/>
      <c r="M859" s="147"/>
      <c r="N859" s="640"/>
      <c r="O859" s="640"/>
      <c r="P859" s="641"/>
      <c r="Q859" s="642"/>
      <c r="R859" s="147"/>
      <c r="S859" s="147"/>
      <c r="T859" s="147"/>
      <c r="U859" s="147"/>
      <c r="V859" s="147"/>
      <c r="W859" s="147"/>
      <c r="X859" s="147"/>
      <c r="Y859" s="147"/>
      <c r="Z859" s="147"/>
      <c r="AA859" s="147"/>
      <c r="AB859" s="147"/>
      <c r="AC859" s="147"/>
      <c r="AD859" s="147"/>
      <c r="AE859" s="147"/>
      <c r="AF859" s="147"/>
      <c r="AG859" s="147"/>
      <c r="AH859" s="147"/>
      <c r="AI859" s="147"/>
      <c r="AJ859" s="147"/>
      <c r="AK859" s="147"/>
      <c r="AL859" s="147"/>
      <c r="AM859" s="147"/>
      <c r="AN859" s="147"/>
      <c r="AO859" s="147"/>
      <c r="AP859" s="147"/>
      <c r="AQ859" s="147"/>
      <c r="AR859" s="147"/>
      <c r="AS859" s="147"/>
      <c r="AT859" s="147"/>
      <c r="AU859" s="147"/>
      <c r="AV859" s="147"/>
      <c r="AW859" s="147"/>
    </row>
    <row r="860">
      <c r="A860" s="631"/>
      <c r="B860" s="631"/>
      <c r="C860" s="632"/>
      <c r="D860" s="633"/>
      <c r="E860" s="634"/>
      <c r="F860" s="635"/>
      <c r="G860" s="636"/>
      <c r="H860" s="637"/>
      <c r="I860" s="643"/>
      <c r="J860" s="644"/>
      <c r="K860" s="147"/>
      <c r="L860" s="632"/>
      <c r="M860" s="147"/>
      <c r="N860" s="640"/>
      <c r="O860" s="640"/>
      <c r="P860" s="641"/>
      <c r="Q860" s="642"/>
      <c r="R860" s="147"/>
      <c r="S860" s="147"/>
      <c r="T860" s="147"/>
      <c r="U860" s="147"/>
      <c r="V860" s="147"/>
      <c r="W860" s="147"/>
      <c r="X860" s="147"/>
      <c r="Y860" s="147"/>
      <c r="Z860" s="147"/>
      <c r="AA860" s="147"/>
      <c r="AB860" s="147"/>
      <c r="AC860" s="147"/>
      <c r="AD860" s="147"/>
      <c r="AE860" s="147"/>
      <c r="AF860" s="147"/>
      <c r="AG860" s="147"/>
      <c r="AH860" s="147"/>
      <c r="AI860" s="147"/>
      <c r="AJ860" s="147"/>
      <c r="AK860" s="147"/>
      <c r="AL860" s="147"/>
      <c r="AM860" s="147"/>
      <c r="AN860" s="147"/>
      <c r="AO860" s="147"/>
      <c r="AP860" s="147"/>
      <c r="AQ860" s="147"/>
      <c r="AR860" s="147"/>
      <c r="AS860" s="147"/>
      <c r="AT860" s="147"/>
      <c r="AU860" s="147"/>
      <c r="AV860" s="147"/>
      <c r="AW860" s="147"/>
    </row>
    <row r="861">
      <c r="A861" s="631"/>
      <c r="B861" s="631"/>
      <c r="C861" s="632"/>
      <c r="D861" s="633"/>
      <c r="E861" s="634"/>
      <c r="F861" s="635"/>
      <c r="G861" s="636"/>
      <c r="H861" s="637"/>
      <c r="I861" s="643"/>
      <c r="J861" s="644"/>
      <c r="K861" s="147"/>
      <c r="L861" s="632"/>
      <c r="M861" s="147"/>
      <c r="N861" s="640"/>
      <c r="O861" s="640"/>
      <c r="P861" s="641"/>
      <c r="Q861" s="642"/>
      <c r="R861" s="147"/>
      <c r="S861" s="147"/>
      <c r="T861" s="147"/>
      <c r="U861" s="147"/>
      <c r="V861" s="147"/>
      <c r="W861" s="147"/>
      <c r="X861" s="147"/>
      <c r="Y861" s="147"/>
      <c r="Z861" s="147"/>
      <c r="AA861" s="147"/>
      <c r="AB861" s="147"/>
      <c r="AC861" s="147"/>
      <c r="AD861" s="147"/>
      <c r="AE861" s="147"/>
      <c r="AF861" s="147"/>
      <c r="AG861" s="147"/>
      <c r="AH861" s="147"/>
      <c r="AI861" s="147"/>
      <c r="AJ861" s="147"/>
      <c r="AK861" s="147"/>
      <c r="AL861" s="147"/>
      <c r="AM861" s="147"/>
      <c r="AN861" s="147"/>
      <c r="AO861" s="147"/>
      <c r="AP861" s="147"/>
      <c r="AQ861" s="147"/>
      <c r="AR861" s="147"/>
      <c r="AS861" s="147"/>
      <c r="AT861" s="147"/>
      <c r="AU861" s="147"/>
      <c r="AV861" s="147"/>
      <c r="AW861" s="147"/>
    </row>
    <row r="862">
      <c r="A862" s="631"/>
      <c r="B862" s="631"/>
      <c r="C862" s="632"/>
      <c r="D862" s="633"/>
      <c r="E862" s="634"/>
      <c r="F862" s="635"/>
      <c r="G862" s="636"/>
      <c r="H862" s="637"/>
      <c r="I862" s="643"/>
      <c r="J862" s="644"/>
      <c r="K862" s="147"/>
      <c r="L862" s="632"/>
      <c r="M862" s="147"/>
      <c r="N862" s="640"/>
      <c r="O862" s="640"/>
      <c r="P862" s="641"/>
      <c r="Q862" s="642"/>
      <c r="R862" s="147"/>
      <c r="S862" s="147"/>
      <c r="T862" s="147"/>
      <c r="U862" s="147"/>
      <c r="V862" s="147"/>
      <c r="W862" s="147"/>
      <c r="X862" s="147"/>
      <c r="Y862" s="147"/>
      <c r="Z862" s="147"/>
      <c r="AA862" s="147"/>
      <c r="AB862" s="147"/>
      <c r="AC862" s="147"/>
      <c r="AD862" s="147"/>
      <c r="AE862" s="147"/>
      <c r="AF862" s="147"/>
      <c r="AG862" s="147"/>
      <c r="AH862" s="147"/>
      <c r="AI862" s="147"/>
      <c r="AJ862" s="147"/>
      <c r="AK862" s="147"/>
      <c r="AL862" s="147"/>
      <c r="AM862" s="147"/>
      <c r="AN862" s="147"/>
      <c r="AO862" s="147"/>
      <c r="AP862" s="147"/>
      <c r="AQ862" s="147"/>
      <c r="AR862" s="147"/>
      <c r="AS862" s="147"/>
      <c r="AT862" s="147"/>
      <c r="AU862" s="147"/>
      <c r="AV862" s="147"/>
      <c r="AW862" s="147"/>
    </row>
    <row r="863">
      <c r="A863" s="631"/>
      <c r="B863" s="631"/>
      <c r="C863" s="632"/>
      <c r="D863" s="633"/>
      <c r="E863" s="634"/>
      <c r="F863" s="635"/>
      <c r="G863" s="636"/>
      <c r="H863" s="637"/>
      <c r="I863" s="643"/>
      <c r="J863" s="644"/>
      <c r="K863" s="147"/>
      <c r="L863" s="632"/>
      <c r="M863" s="147"/>
      <c r="N863" s="640"/>
      <c r="O863" s="640"/>
      <c r="P863" s="641"/>
      <c r="Q863" s="642"/>
      <c r="R863" s="147"/>
      <c r="S863" s="147"/>
      <c r="T863" s="147"/>
      <c r="U863" s="147"/>
      <c r="V863" s="147"/>
      <c r="W863" s="147"/>
      <c r="X863" s="147"/>
      <c r="Y863" s="147"/>
      <c r="Z863" s="147"/>
      <c r="AA863" s="147"/>
      <c r="AB863" s="147"/>
      <c r="AC863" s="147"/>
      <c r="AD863" s="147"/>
      <c r="AE863" s="147"/>
      <c r="AF863" s="147"/>
      <c r="AG863" s="147"/>
      <c r="AH863" s="147"/>
      <c r="AI863" s="147"/>
      <c r="AJ863" s="147"/>
      <c r="AK863" s="147"/>
      <c r="AL863" s="147"/>
      <c r="AM863" s="147"/>
      <c r="AN863" s="147"/>
      <c r="AO863" s="147"/>
      <c r="AP863" s="147"/>
      <c r="AQ863" s="147"/>
      <c r="AR863" s="147"/>
      <c r="AS863" s="147"/>
      <c r="AT863" s="147"/>
      <c r="AU863" s="147"/>
      <c r="AV863" s="147"/>
      <c r="AW863" s="147"/>
    </row>
    <row r="864">
      <c r="A864" s="631"/>
      <c r="B864" s="631"/>
      <c r="C864" s="632"/>
      <c r="D864" s="633"/>
      <c r="E864" s="634"/>
      <c r="F864" s="635"/>
      <c r="G864" s="636"/>
      <c r="H864" s="637"/>
      <c r="I864" s="643"/>
      <c r="J864" s="644"/>
      <c r="K864" s="147"/>
      <c r="L864" s="632"/>
      <c r="M864" s="147"/>
      <c r="N864" s="640"/>
      <c r="O864" s="640"/>
      <c r="P864" s="641"/>
      <c r="Q864" s="642"/>
      <c r="R864" s="147"/>
      <c r="S864" s="147"/>
      <c r="T864" s="147"/>
      <c r="U864" s="147"/>
      <c r="V864" s="147"/>
      <c r="W864" s="147"/>
      <c r="X864" s="147"/>
      <c r="Y864" s="147"/>
      <c r="Z864" s="147"/>
      <c r="AA864" s="147"/>
      <c r="AB864" s="147"/>
      <c r="AC864" s="147"/>
      <c r="AD864" s="147"/>
      <c r="AE864" s="147"/>
      <c r="AF864" s="147"/>
      <c r="AG864" s="147"/>
      <c r="AH864" s="147"/>
      <c r="AI864" s="147"/>
      <c r="AJ864" s="147"/>
      <c r="AK864" s="147"/>
      <c r="AL864" s="147"/>
      <c r="AM864" s="147"/>
      <c r="AN864" s="147"/>
      <c r="AO864" s="147"/>
      <c r="AP864" s="147"/>
      <c r="AQ864" s="147"/>
      <c r="AR864" s="147"/>
      <c r="AS864" s="147"/>
      <c r="AT864" s="147"/>
      <c r="AU864" s="147"/>
      <c r="AV864" s="147"/>
      <c r="AW864" s="147"/>
    </row>
    <row r="865">
      <c r="A865" s="631"/>
      <c r="B865" s="631"/>
      <c r="C865" s="632"/>
      <c r="D865" s="633"/>
      <c r="E865" s="634"/>
      <c r="F865" s="635"/>
      <c r="G865" s="636"/>
      <c r="H865" s="637"/>
      <c r="I865" s="643"/>
      <c r="J865" s="644"/>
      <c r="K865" s="147"/>
      <c r="L865" s="632"/>
      <c r="M865" s="147"/>
      <c r="N865" s="640"/>
      <c r="O865" s="640"/>
      <c r="P865" s="641"/>
      <c r="Q865" s="642"/>
      <c r="R865" s="147"/>
      <c r="S865" s="147"/>
      <c r="T865" s="147"/>
      <c r="U865" s="147"/>
      <c r="V865" s="147"/>
      <c r="W865" s="147"/>
      <c r="X865" s="147"/>
      <c r="Y865" s="147"/>
      <c r="Z865" s="147"/>
      <c r="AA865" s="147"/>
      <c r="AB865" s="147"/>
      <c r="AC865" s="147"/>
      <c r="AD865" s="147"/>
      <c r="AE865" s="147"/>
      <c r="AF865" s="147"/>
      <c r="AG865" s="147"/>
      <c r="AH865" s="147"/>
      <c r="AI865" s="147"/>
      <c r="AJ865" s="147"/>
      <c r="AK865" s="147"/>
      <c r="AL865" s="147"/>
      <c r="AM865" s="147"/>
      <c r="AN865" s="147"/>
      <c r="AO865" s="147"/>
      <c r="AP865" s="147"/>
      <c r="AQ865" s="147"/>
      <c r="AR865" s="147"/>
      <c r="AS865" s="147"/>
      <c r="AT865" s="147"/>
      <c r="AU865" s="147"/>
      <c r="AV865" s="147"/>
      <c r="AW865" s="147"/>
    </row>
    <row r="866">
      <c r="A866" s="631"/>
      <c r="B866" s="631"/>
      <c r="C866" s="632"/>
      <c r="D866" s="633"/>
      <c r="E866" s="634"/>
      <c r="F866" s="635"/>
      <c r="G866" s="636"/>
      <c r="H866" s="637"/>
      <c r="I866" s="643"/>
      <c r="J866" s="644"/>
      <c r="K866" s="147"/>
      <c r="L866" s="632"/>
      <c r="M866" s="147"/>
      <c r="N866" s="640"/>
      <c r="O866" s="640"/>
      <c r="P866" s="641"/>
      <c r="Q866" s="642"/>
      <c r="R866" s="147"/>
      <c r="S866" s="147"/>
      <c r="T866" s="147"/>
      <c r="U866" s="147"/>
      <c r="V866" s="147"/>
      <c r="W866" s="147"/>
      <c r="X866" s="147"/>
      <c r="Y866" s="147"/>
      <c r="Z866" s="147"/>
      <c r="AA866" s="147"/>
      <c r="AB866" s="147"/>
      <c r="AC866" s="147"/>
      <c r="AD866" s="147"/>
      <c r="AE866" s="147"/>
      <c r="AF866" s="147"/>
      <c r="AG866" s="147"/>
      <c r="AH866" s="147"/>
      <c r="AI866" s="147"/>
      <c r="AJ866" s="147"/>
      <c r="AK866" s="147"/>
      <c r="AL866" s="147"/>
      <c r="AM866" s="147"/>
      <c r="AN866" s="147"/>
      <c r="AO866" s="147"/>
      <c r="AP866" s="147"/>
      <c r="AQ866" s="147"/>
      <c r="AR866" s="147"/>
      <c r="AS866" s="147"/>
      <c r="AT866" s="147"/>
      <c r="AU866" s="147"/>
      <c r="AV866" s="147"/>
      <c r="AW866" s="147"/>
    </row>
    <row r="867">
      <c r="A867" s="631"/>
      <c r="B867" s="631"/>
      <c r="C867" s="632"/>
      <c r="D867" s="633"/>
      <c r="E867" s="634"/>
      <c r="F867" s="635"/>
      <c r="G867" s="636"/>
      <c r="H867" s="637"/>
      <c r="I867" s="643"/>
      <c r="J867" s="644"/>
      <c r="K867" s="147"/>
      <c r="L867" s="632"/>
      <c r="M867" s="147"/>
      <c r="N867" s="640"/>
      <c r="O867" s="640"/>
      <c r="P867" s="641"/>
      <c r="Q867" s="642"/>
      <c r="R867" s="147"/>
      <c r="S867" s="147"/>
      <c r="T867" s="147"/>
      <c r="U867" s="147"/>
      <c r="V867" s="147"/>
      <c r="W867" s="147"/>
      <c r="X867" s="147"/>
      <c r="Y867" s="147"/>
      <c r="Z867" s="147"/>
      <c r="AA867" s="147"/>
      <c r="AB867" s="147"/>
      <c r="AC867" s="147"/>
      <c r="AD867" s="147"/>
      <c r="AE867" s="147"/>
      <c r="AF867" s="147"/>
      <c r="AG867" s="147"/>
      <c r="AH867" s="147"/>
      <c r="AI867" s="147"/>
      <c r="AJ867" s="147"/>
      <c r="AK867" s="147"/>
      <c r="AL867" s="147"/>
      <c r="AM867" s="147"/>
      <c r="AN867" s="147"/>
      <c r="AO867" s="147"/>
      <c r="AP867" s="147"/>
      <c r="AQ867" s="147"/>
      <c r="AR867" s="147"/>
      <c r="AS867" s="147"/>
      <c r="AT867" s="147"/>
      <c r="AU867" s="147"/>
      <c r="AV867" s="147"/>
      <c r="AW867" s="147"/>
    </row>
    <row r="868">
      <c r="A868" s="631"/>
      <c r="B868" s="631"/>
      <c r="C868" s="632"/>
      <c r="D868" s="633"/>
      <c r="E868" s="634"/>
      <c r="F868" s="635"/>
      <c r="G868" s="636"/>
      <c r="H868" s="637"/>
      <c r="I868" s="643"/>
      <c r="J868" s="644"/>
      <c r="K868" s="147"/>
      <c r="L868" s="632"/>
      <c r="M868" s="147"/>
      <c r="N868" s="640"/>
      <c r="O868" s="640"/>
      <c r="P868" s="641"/>
      <c r="Q868" s="642"/>
      <c r="R868" s="147"/>
      <c r="S868" s="147"/>
      <c r="T868" s="147"/>
      <c r="U868" s="147"/>
      <c r="V868" s="147"/>
      <c r="W868" s="147"/>
      <c r="X868" s="147"/>
      <c r="Y868" s="147"/>
      <c r="Z868" s="147"/>
      <c r="AA868" s="147"/>
      <c r="AB868" s="147"/>
      <c r="AC868" s="147"/>
      <c r="AD868" s="147"/>
      <c r="AE868" s="147"/>
      <c r="AF868" s="147"/>
      <c r="AG868" s="147"/>
      <c r="AH868" s="147"/>
      <c r="AI868" s="147"/>
      <c r="AJ868" s="147"/>
      <c r="AK868" s="147"/>
      <c r="AL868" s="147"/>
      <c r="AM868" s="147"/>
      <c r="AN868" s="147"/>
      <c r="AO868" s="147"/>
      <c r="AP868" s="147"/>
      <c r="AQ868" s="147"/>
      <c r="AR868" s="147"/>
      <c r="AS868" s="147"/>
      <c r="AT868" s="147"/>
      <c r="AU868" s="147"/>
      <c r="AV868" s="147"/>
      <c r="AW868" s="147"/>
    </row>
    <row r="869">
      <c r="A869" s="631"/>
      <c r="B869" s="631"/>
      <c r="C869" s="632"/>
      <c r="D869" s="633"/>
      <c r="E869" s="634"/>
      <c r="F869" s="635"/>
      <c r="G869" s="636"/>
      <c r="H869" s="637"/>
      <c r="I869" s="643"/>
      <c r="J869" s="644"/>
      <c r="K869" s="147"/>
      <c r="L869" s="632"/>
      <c r="M869" s="147"/>
      <c r="N869" s="640"/>
      <c r="O869" s="640"/>
      <c r="P869" s="641"/>
      <c r="Q869" s="642"/>
      <c r="R869" s="147"/>
      <c r="S869" s="147"/>
      <c r="T869" s="147"/>
      <c r="U869" s="147"/>
      <c r="V869" s="147"/>
      <c r="W869" s="147"/>
      <c r="X869" s="147"/>
      <c r="Y869" s="147"/>
      <c r="Z869" s="147"/>
      <c r="AA869" s="147"/>
      <c r="AB869" s="147"/>
      <c r="AC869" s="147"/>
      <c r="AD869" s="147"/>
      <c r="AE869" s="147"/>
      <c r="AF869" s="147"/>
      <c r="AG869" s="147"/>
      <c r="AH869" s="147"/>
      <c r="AI869" s="147"/>
      <c r="AJ869" s="147"/>
      <c r="AK869" s="147"/>
      <c r="AL869" s="147"/>
      <c r="AM869" s="147"/>
      <c r="AN869" s="147"/>
      <c r="AO869" s="147"/>
      <c r="AP869" s="147"/>
      <c r="AQ869" s="147"/>
      <c r="AR869" s="147"/>
      <c r="AS869" s="147"/>
      <c r="AT869" s="147"/>
      <c r="AU869" s="147"/>
      <c r="AV869" s="147"/>
      <c r="AW869" s="147"/>
    </row>
    <row r="870">
      <c r="A870" s="631"/>
      <c r="B870" s="631"/>
      <c r="C870" s="632"/>
      <c r="D870" s="633"/>
      <c r="E870" s="634"/>
      <c r="F870" s="635"/>
      <c r="G870" s="636"/>
      <c r="H870" s="637"/>
      <c r="I870" s="643"/>
      <c r="J870" s="644"/>
      <c r="K870" s="147"/>
      <c r="L870" s="632"/>
      <c r="M870" s="147"/>
      <c r="N870" s="640"/>
      <c r="O870" s="640"/>
      <c r="P870" s="641"/>
      <c r="Q870" s="642"/>
      <c r="R870" s="147"/>
      <c r="S870" s="147"/>
      <c r="T870" s="147"/>
      <c r="U870" s="147"/>
      <c r="V870" s="147"/>
      <c r="W870" s="147"/>
      <c r="X870" s="147"/>
      <c r="Y870" s="147"/>
      <c r="Z870" s="147"/>
      <c r="AA870" s="147"/>
      <c r="AB870" s="147"/>
      <c r="AC870" s="147"/>
      <c r="AD870" s="147"/>
      <c r="AE870" s="147"/>
      <c r="AF870" s="147"/>
      <c r="AG870" s="147"/>
      <c r="AH870" s="147"/>
      <c r="AI870" s="147"/>
      <c r="AJ870" s="147"/>
      <c r="AK870" s="147"/>
      <c r="AL870" s="147"/>
      <c r="AM870" s="147"/>
      <c r="AN870" s="147"/>
      <c r="AO870" s="147"/>
      <c r="AP870" s="147"/>
      <c r="AQ870" s="147"/>
      <c r="AR870" s="147"/>
      <c r="AS870" s="147"/>
      <c r="AT870" s="147"/>
      <c r="AU870" s="147"/>
      <c r="AV870" s="147"/>
      <c r="AW870" s="147"/>
    </row>
    <row r="871">
      <c r="A871" s="631"/>
      <c r="B871" s="631"/>
      <c r="C871" s="632"/>
      <c r="D871" s="633"/>
      <c r="E871" s="634"/>
      <c r="F871" s="635"/>
      <c r="G871" s="636"/>
      <c r="H871" s="637"/>
      <c r="I871" s="643"/>
      <c r="J871" s="644"/>
      <c r="K871" s="147"/>
      <c r="L871" s="632"/>
      <c r="M871" s="147"/>
      <c r="N871" s="640"/>
      <c r="O871" s="640"/>
      <c r="P871" s="641"/>
      <c r="Q871" s="642"/>
      <c r="R871" s="147"/>
      <c r="S871" s="147"/>
      <c r="T871" s="147"/>
      <c r="U871" s="147"/>
      <c r="V871" s="147"/>
      <c r="W871" s="147"/>
      <c r="X871" s="147"/>
      <c r="Y871" s="147"/>
      <c r="Z871" s="147"/>
      <c r="AA871" s="147"/>
      <c r="AB871" s="147"/>
      <c r="AC871" s="147"/>
      <c r="AD871" s="147"/>
      <c r="AE871" s="147"/>
      <c r="AF871" s="147"/>
      <c r="AG871" s="147"/>
      <c r="AH871" s="147"/>
      <c r="AI871" s="147"/>
      <c r="AJ871" s="147"/>
      <c r="AK871" s="147"/>
      <c r="AL871" s="147"/>
      <c r="AM871" s="147"/>
      <c r="AN871" s="147"/>
      <c r="AO871" s="147"/>
      <c r="AP871" s="147"/>
      <c r="AQ871" s="147"/>
      <c r="AR871" s="147"/>
      <c r="AS871" s="147"/>
      <c r="AT871" s="147"/>
      <c r="AU871" s="147"/>
      <c r="AV871" s="147"/>
      <c r="AW871" s="147"/>
    </row>
    <row r="872">
      <c r="A872" s="631"/>
      <c r="B872" s="631"/>
      <c r="C872" s="632"/>
      <c r="D872" s="633"/>
      <c r="E872" s="634"/>
      <c r="F872" s="635"/>
      <c r="G872" s="636"/>
      <c r="H872" s="637"/>
      <c r="I872" s="643"/>
      <c r="J872" s="644"/>
      <c r="K872" s="147"/>
      <c r="L872" s="632"/>
      <c r="M872" s="147"/>
      <c r="N872" s="640"/>
      <c r="O872" s="640"/>
      <c r="P872" s="641"/>
      <c r="Q872" s="642"/>
      <c r="R872" s="147"/>
      <c r="S872" s="147"/>
      <c r="T872" s="147"/>
      <c r="U872" s="147"/>
      <c r="V872" s="147"/>
      <c r="W872" s="147"/>
      <c r="X872" s="147"/>
      <c r="Y872" s="147"/>
      <c r="Z872" s="147"/>
      <c r="AA872" s="147"/>
      <c r="AB872" s="147"/>
      <c r="AC872" s="147"/>
      <c r="AD872" s="147"/>
      <c r="AE872" s="147"/>
      <c r="AF872" s="147"/>
      <c r="AG872" s="147"/>
      <c r="AH872" s="147"/>
      <c r="AI872" s="147"/>
      <c r="AJ872" s="147"/>
      <c r="AK872" s="147"/>
      <c r="AL872" s="147"/>
      <c r="AM872" s="147"/>
      <c r="AN872" s="147"/>
      <c r="AO872" s="147"/>
      <c r="AP872" s="147"/>
      <c r="AQ872" s="147"/>
      <c r="AR872" s="147"/>
      <c r="AS872" s="147"/>
      <c r="AT872" s="147"/>
      <c r="AU872" s="147"/>
      <c r="AV872" s="147"/>
      <c r="AW872" s="147"/>
    </row>
    <row r="873">
      <c r="A873" s="631"/>
      <c r="B873" s="631"/>
      <c r="C873" s="632"/>
      <c r="D873" s="633"/>
      <c r="E873" s="634"/>
      <c r="F873" s="635"/>
      <c r="G873" s="636"/>
      <c r="H873" s="637"/>
      <c r="I873" s="643"/>
      <c r="J873" s="644"/>
      <c r="K873" s="147"/>
      <c r="L873" s="632"/>
      <c r="M873" s="147"/>
      <c r="N873" s="640"/>
      <c r="O873" s="640"/>
      <c r="P873" s="641"/>
      <c r="Q873" s="642"/>
      <c r="R873" s="147"/>
      <c r="S873" s="147"/>
      <c r="T873" s="147"/>
      <c r="U873" s="147"/>
      <c r="V873" s="147"/>
      <c r="W873" s="147"/>
      <c r="X873" s="147"/>
      <c r="Y873" s="147"/>
      <c r="Z873" s="147"/>
      <c r="AA873" s="147"/>
      <c r="AB873" s="147"/>
      <c r="AC873" s="147"/>
      <c r="AD873" s="147"/>
      <c r="AE873" s="147"/>
      <c r="AF873" s="147"/>
      <c r="AG873" s="147"/>
      <c r="AH873" s="147"/>
      <c r="AI873" s="147"/>
      <c r="AJ873" s="147"/>
      <c r="AK873" s="147"/>
      <c r="AL873" s="147"/>
      <c r="AM873" s="147"/>
      <c r="AN873" s="147"/>
      <c r="AO873" s="147"/>
      <c r="AP873" s="147"/>
      <c r="AQ873" s="147"/>
      <c r="AR873" s="147"/>
      <c r="AS873" s="147"/>
      <c r="AT873" s="147"/>
      <c r="AU873" s="147"/>
      <c r="AV873" s="147"/>
      <c r="AW873" s="147"/>
    </row>
    <row r="874">
      <c r="A874" s="631"/>
      <c r="B874" s="631"/>
      <c r="C874" s="632"/>
      <c r="D874" s="633"/>
      <c r="E874" s="634"/>
      <c r="F874" s="635"/>
      <c r="G874" s="636"/>
      <c r="H874" s="637"/>
      <c r="I874" s="643"/>
      <c r="J874" s="644"/>
      <c r="K874" s="147"/>
      <c r="L874" s="632"/>
      <c r="M874" s="147"/>
      <c r="N874" s="640"/>
      <c r="O874" s="640"/>
      <c r="P874" s="641"/>
      <c r="Q874" s="642"/>
      <c r="R874" s="147"/>
      <c r="S874" s="147"/>
      <c r="T874" s="147"/>
      <c r="U874" s="147"/>
      <c r="V874" s="147"/>
      <c r="W874" s="147"/>
      <c r="X874" s="147"/>
      <c r="Y874" s="147"/>
      <c r="Z874" s="147"/>
      <c r="AA874" s="147"/>
      <c r="AB874" s="147"/>
      <c r="AC874" s="147"/>
      <c r="AD874" s="147"/>
      <c r="AE874" s="147"/>
      <c r="AF874" s="147"/>
      <c r="AG874" s="147"/>
      <c r="AH874" s="147"/>
      <c r="AI874" s="147"/>
      <c r="AJ874" s="147"/>
      <c r="AK874" s="147"/>
      <c r="AL874" s="147"/>
      <c r="AM874" s="147"/>
      <c r="AN874" s="147"/>
      <c r="AO874" s="147"/>
      <c r="AP874" s="147"/>
      <c r="AQ874" s="147"/>
      <c r="AR874" s="147"/>
      <c r="AS874" s="147"/>
      <c r="AT874" s="147"/>
      <c r="AU874" s="147"/>
      <c r="AV874" s="147"/>
      <c r="AW874" s="147"/>
    </row>
    <row r="875">
      <c r="A875" s="631"/>
      <c r="B875" s="631"/>
      <c r="C875" s="632"/>
      <c r="D875" s="633"/>
      <c r="E875" s="634"/>
      <c r="F875" s="635"/>
      <c r="G875" s="636"/>
      <c r="H875" s="637"/>
      <c r="I875" s="643"/>
      <c r="J875" s="644"/>
      <c r="K875" s="147"/>
      <c r="L875" s="632"/>
      <c r="M875" s="147"/>
      <c r="N875" s="640"/>
      <c r="O875" s="640"/>
      <c r="P875" s="641"/>
      <c r="Q875" s="642"/>
      <c r="R875" s="147"/>
      <c r="S875" s="147"/>
      <c r="T875" s="147"/>
      <c r="U875" s="147"/>
      <c r="V875" s="147"/>
      <c r="W875" s="147"/>
      <c r="X875" s="147"/>
      <c r="Y875" s="147"/>
      <c r="Z875" s="147"/>
      <c r="AA875" s="147"/>
      <c r="AB875" s="147"/>
      <c r="AC875" s="147"/>
      <c r="AD875" s="147"/>
      <c r="AE875" s="147"/>
      <c r="AF875" s="147"/>
      <c r="AG875" s="147"/>
      <c r="AH875" s="147"/>
      <c r="AI875" s="147"/>
      <c r="AJ875" s="147"/>
      <c r="AK875" s="147"/>
      <c r="AL875" s="147"/>
      <c r="AM875" s="147"/>
      <c r="AN875" s="147"/>
      <c r="AO875" s="147"/>
      <c r="AP875" s="147"/>
      <c r="AQ875" s="147"/>
      <c r="AR875" s="147"/>
      <c r="AS875" s="147"/>
      <c r="AT875" s="147"/>
      <c r="AU875" s="147"/>
      <c r="AV875" s="147"/>
      <c r="AW875" s="147"/>
    </row>
    <row r="876">
      <c r="A876" s="631"/>
      <c r="B876" s="631"/>
      <c r="C876" s="632"/>
      <c r="D876" s="633"/>
      <c r="E876" s="634"/>
      <c r="F876" s="635"/>
      <c r="G876" s="636"/>
      <c r="H876" s="637"/>
      <c r="I876" s="643"/>
      <c r="J876" s="644"/>
      <c r="K876" s="147"/>
      <c r="L876" s="632"/>
      <c r="M876" s="147"/>
      <c r="N876" s="640"/>
      <c r="O876" s="640"/>
      <c r="P876" s="641"/>
      <c r="Q876" s="642"/>
      <c r="R876" s="147"/>
      <c r="S876" s="147"/>
      <c r="T876" s="147"/>
      <c r="U876" s="147"/>
      <c r="V876" s="147"/>
      <c r="W876" s="147"/>
      <c r="X876" s="147"/>
      <c r="Y876" s="147"/>
      <c r="Z876" s="147"/>
      <c r="AA876" s="147"/>
      <c r="AB876" s="147"/>
      <c r="AC876" s="147"/>
      <c r="AD876" s="147"/>
      <c r="AE876" s="147"/>
      <c r="AF876" s="147"/>
      <c r="AG876" s="147"/>
      <c r="AH876" s="147"/>
      <c r="AI876" s="147"/>
      <c r="AJ876" s="147"/>
      <c r="AK876" s="147"/>
      <c r="AL876" s="147"/>
      <c r="AM876" s="147"/>
      <c r="AN876" s="147"/>
      <c r="AO876" s="147"/>
      <c r="AP876" s="147"/>
      <c r="AQ876" s="147"/>
      <c r="AR876" s="147"/>
      <c r="AS876" s="147"/>
      <c r="AT876" s="147"/>
      <c r="AU876" s="147"/>
      <c r="AV876" s="147"/>
      <c r="AW876" s="147"/>
    </row>
    <row r="877">
      <c r="A877" s="631"/>
      <c r="B877" s="631"/>
      <c r="C877" s="632"/>
      <c r="D877" s="633"/>
      <c r="E877" s="634"/>
      <c r="F877" s="635"/>
      <c r="G877" s="636"/>
      <c r="H877" s="637"/>
      <c r="I877" s="643"/>
      <c r="J877" s="644"/>
      <c r="K877" s="147"/>
      <c r="L877" s="632"/>
      <c r="M877" s="147"/>
      <c r="N877" s="640"/>
      <c r="O877" s="640"/>
      <c r="P877" s="641"/>
      <c r="Q877" s="642"/>
      <c r="R877" s="147"/>
      <c r="S877" s="147"/>
      <c r="T877" s="147"/>
      <c r="U877" s="147"/>
      <c r="V877" s="147"/>
      <c r="W877" s="147"/>
      <c r="X877" s="147"/>
      <c r="Y877" s="147"/>
      <c r="Z877" s="147"/>
      <c r="AA877" s="147"/>
      <c r="AB877" s="147"/>
      <c r="AC877" s="147"/>
      <c r="AD877" s="147"/>
      <c r="AE877" s="147"/>
      <c r="AF877" s="147"/>
      <c r="AG877" s="147"/>
      <c r="AH877" s="147"/>
      <c r="AI877" s="147"/>
      <c r="AJ877" s="147"/>
      <c r="AK877" s="147"/>
      <c r="AL877" s="147"/>
      <c r="AM877" s="147"/>
      <c r="AN877" s="147"/>
      <c r="AO877" s="147"/>
      <c r="AP877" s="147"/>
      <c r="AQ877" s="147"/>
      <c r="AR877" s="147"/>
      <c r="AS877" s="147"/>
      <c r="AT877" s="147"/>
      <c r="AU877" s="147"/>
      <c r="AV877" s="147"/>
      <c r="AW877" s="147"/>
    </row>
    <row r="878">
      <c r="A878" s="631"/>
      <c r="B878" s="631"/>
      <c r="C878" s="632"/>
      <c r="D878" s="633"/>
      <c r="E878" s="634"/>
      <c r="F878" s="635"/>
      <c r="G878" s="636"/>
      <c r="H878" s="637"/>
      <c r="I878" s="643"/>
      <c r="J878" s="644"/>
      <c r="K878" s="147"/>
      <c r="L878" s="632"/>
      <c r="M878" s="147"/>
      <c r="N878" s="640"/>
      <c r="O878" s="640"/>
      <c r="P878" s="641"/>
      <c r="Q878" s="642"/>
      <c r="R878" s="147"/>
      <c r="S878" s="147"/>
      <c r="T878" s="147"/>
      <c r="U878" s="147"/>
      <c r="V878" s="147"/>
      <c r="W878" s="147"/>
      <c r="X878" s="147"/>
      <c r="Y878" s="147"/>
      <c r="Z878" s="147"/>
      <c r="AA878" s="147"/>
      <c r="AB878" s="147"/>
      <c r="AC878" s="147"/>
      <c r="AD878" s="147"/>
      <c r="AE878" s="147"/>
      <c r="AF878" s="147"/>
      <c r="AG878" s="147"/>
      <c r="AH878" s="147"/>
      <c r="AI878" s="147"/>
      <c r="AJ878" s="147"/>
      <c r="AK878" s="147"/>
      <c r="AL878" s="147"/>
      <c r="AM878" s="147"/>
      <c r="AN878" s="147"/>
      <c r="AO878" s="147"/>
      <c r="AP878" s="147"/>
      <c r="AQ878" s="147"/>
      <c r="AR878" s="147"/>
      <c r="AS878" s="147"/>
      <c r="AT878" s="147"/>
      <c r="AU878" s="147"/>
      <c r="AV878" s="147"/>
      <c r="AW878" s="147"/>
    </row>
    <row r="879">
      <c r="A879" s="631"/>
      <c r="B879" s="631"/>
      <c r="C879" s="632"/>
      <c r="D879" s="633"/>
      <c r="E879" s="634"/>
      <c r="F879" s="635"/>
      <c r="G879" s="636"/>
      <c r="H879" s="637"/>
      <c r="I879" s="643"/>
      <c r="J879" s="644"/>
      <c r="K879" s="147"/>
      <c r="L879" s="632"/>
      <c r="M879" s="147"/>
      <c r="N879" s="640"/>
      <c r="O879" s="640"/>
      <c r="P879" s="641"/>
      <c r="Q879" s="642"/>
      <c r="R879" s="147"/>
      <c r="S879" s="147"/>
      <c r="T879" s="147"/>
      <c r="U879" s="147"/>
      <c r="V879" s="147"/>
      <c r="W879" s="147"/>
      <c r="X879" s="147"/>
      <c r="Y879" s="147"/>
      <c r="Z879" s="147"/>
      <c r="AA879" s="147"/>
      <c r="AB879" s="147"/>
      <c r="AC879" s="147"/>
      <c r="AD879" s="147"/>
      <c r="AE879" s="147"/>
      <c r="AF879" s="147"/>
      <c r="AG879" s="147"/>
      <c r="AH879" s="147"/>
      <c r="AI879" s="147"/>
      <c r="AJ879" s="147"/>
      <c r="AK879" s="147"/>
      <c r="AL879" s="147"/>
      <c r="AM879" s="147"/>
      <c r="AN879" s="147"/>
      <c r="AO879" s="147"/>
      <c r="AP879" s="147"/>
      <c r="AQ879" s="147"/>
      <c r="AR879" s="147"/>
      <c r="AS879" s="147"/>
      <c r="AT879" s="147"/>
      <c r="AU879" s="147"/>
      <c r="AV879" s="147"/>
      <c r="AW879" s="147"/>
    </row>
    <row r="880">
      <c r="A880" s="631"/>
      <c r="B880" s="631"/>
      <c r="C880" s="632"/>
      <c r="D880" s="633"/>
      <c r="E880" s="634"/>
      <c r="F880" s="635"/>
      <c r="G880" s="636"/>
      <c r="H880" s="637"/>
      <c r="I880" s="643"/>
      <c r="J880" s="644"/>
      <c r="K880" s="147"/>
      <c r="L880" s="632"/>
      <c r="M880" s="147"/>
      <c r="N880" s="640"/>
      <c r="O880" s="640"/>
      <c r="P880" s="641"/>
      <c r="Q880" s="642"/>
      <c r="R880" s="147"/>
      <c r="S880" s="147"/>
      <c r="T880" s="147"/>
      <c r="U880" s="147"/>
      <c r="V880" s="147"/>
      <c r="W880" s="147"/>
      <c r="X880" s="147"/>
      <c r="Y880" s="147"/>
      <c r="Z880" s="147"/>
      <c r="AA880" s="147"/>
      <c r="AB880" s="147"/>
      <c r="AC880" s="147"/>
      <c r="AD880" s="147"/>
      <c r="AE880" s="147"/>
      <c r="AF880" s="147"/>
      <c r="AG880" s="147"/>
      <c r="AH880" s="147"/>
      <c r="AI880" s="147"/>
      <c r="AJ880" s="147"/>
      <c r="AK880" s="147"/>
      <c r="AL880" s="147"/>
      <c r="AM880" s="147"/>
      <c r="AN880" s="147"/>
      <c r="AO880" s="147"/>
      <c r="AP880" s="147"/>
      <c r="AQ880" s="147"/>
      <c r="AR880" s="147"/>
      <c r="AS880" s="147"/>
      <c r="AT880" s="147"/>
      <c r="AU880" s="147"/>
      <c r="AV880" s="147"/>
      <c r="AW880" s="147"/>
    </row>
    <row r="881">
      <c r="A881" s="631"/>
      <c r="B881" s="631"/>
      <c r="C881" s="632"/>
      <c r="D881" s="633"/>
      <c r="E881" s="634"/>
      <c r="F881" s="635"/>
      <c r="G881" s="636"/>
      <c r="H881" s="637"/>
      <c r="I881" s="643"/>
      <c r="J881" s="644"/>
      <c r="K881" s="147"/>
      <c r="L881" s="632"/>
      <c r="M881" s="147"/>
      <c r="N881" s="640"/>
      <c r="O881" s="640"/>
      <c r="P881" s="641"/>
      <c r="Q881" s="642"/>
      <c r="R881" s="147"/>
      <c r="S881" s="147"/>
      <c r="T881" s="147"/>
      <c r="U881" s="147"/>
      <c r="V881" s="147"/>
      <c r="W881" s="147"/>
      <c r="X881" s="147"/>
      <c r="Y881" s="147"/>
      <c r="Z881" s="147"/>
      <c r="AA881" s="147"/>
      <c r="AB881" s="147"/>
      <c r="AC881" s="147"/>
      <c r="AD881" s="147"/>
      <c r="AE881" s="147"/>
      <c r="AF881" s="147"/>
      <c r="AG881" s="147"/>
      <c r="AH881" s="147"/>
      <c r="AI881" s="147"/>
      <c r="AJ881" s="147"/>
      <c r="AK881" s="147"/>
      <c r="AL881" s="147"/>
      <c r="AM881" s="147"/>
      <c r="AN881" s="147"/>
      <c r="AO881" s="147"/>
      <c r="AP881" s="147"/>
      <c r="AQ881" s="147"/>
      <c r="AR881" s="147"/>
      <c r="AS881" s="147"/>
      <c r="AT881" s="147"/>
      <c r="AU881" s="147"/>
      <c r="AV881" s="147"/>
      <c r="AW881" s="147"/>
    </row>
    <row r="882">
      <c r="A882" s="631"/>
      <c r="B882" s="631"/>
      <c r="C882" s="632"/>
      <c r="D882" s="633"/>
      <c r="E882" s="634"/>
      <c r="F882" s="635"/>
      <c r="G882" s="636"/>
      <c r="H882" s="637"/>
      <c r="I882" s="643"/>
      <c r="J882" s="644"/>
      <c r="K882" s="147"/>
      <c r="L882" s="632"/>
      <c r="M882" s="147"/>
      <c r="N882" s="640"/>
      <c r="O882" s="640"/>
      <c r="P882" s="641"/>
      <c r="Q882" s="642"/>
      <c r="R882" s="147"/>
      <c r="S882" s="147"/>
      <c r="T882" s="147"/>
      <c r="U882" s="147"/>
      <c r="V882" s="147"/>
      <c r="W882" s="147"/>
      <c r="X882" s="147"/>
      <c r="Y882" s="147"/>
      <c r="Z882" s="147"/>
      <c r="AA882" s="147"/>
      <c r="AB882" s="147"/>
      <c r="AC882" s="147"/>
      <c r="AD882" s="147"/>
      <c r="AE882" s="147"/>
      <c r="AF882" s="147"/>
      <c r="AG882" s="147"/>
      <c r="AH882" s="147"/>
      <c r="AI882" s="147"/>
      <c r="AJ882" s="147"/>
      <c r="AK882" s="147"/>
      <c r="AL882" s="147"/>
      <c r="AM882" s="147"/>
      <c r="AN882" s="147"/>
      <c r="AO882" s="147"/>
      <c r="AP882" s="147"/>
      <c r="AQ882" s="147"/>
      <c r="AR882" s="147"/>
      <c r="AS882" s="147"/>
      <c r="AT882" s="147"/>
      <c r="AU882" s="147"/>
      <c r="AV882" s="147"/>
      <c r="AW882" s="147"/>
    </row>
    <row r="883">
      <c r="A883" s="631"/>
      <c r="B883" s="631"/>
      <c r="C883" s="632"/>
      <c r="D883" s="633"/>
      <c r="E883" s="634"/>
      <c r="F883" s="635"/>
      <c r="G883" s="636"/>
      <c r="H883" s="637"/>
      <c r="I883" s="643"/>
      <c r="J883" s="644"/>
      <c r="K883" s="147"/>
      <c r="L883" s="632"/>
      <c r="M883" s="147"/>
      <c r="N883" s="640"/>
      <c r="O883" s="640"/>
      <c r="P883" s="641"/>
      <c r="Q883" s="642"/>
      <c r="R883" s="147"/>
      <c r="S883" s="147"/>
      <c r="T883" s="147"/>
      <c r="U883" s="147"/>
      <c r="V883" s="147"/>
      <c r="W883" s="147"/>
      <c r="X883" s="147"/>
      <c r="Y883" s="147"/>
      <c r="Z883" s="147"/>
      <c r="AA883" s="147"/>
      <c r="AB883" s="147"/>
      <c r="AC883" s="147"/>
      <c r="AD883" s="147"/>
      <c r="AE883" s="147"/>
      <c r="AF883" s="147"/>
      <c r="AG883" s="147"/>
      <c r="AH883" s="147"/>
      <c r="AI883" s="147"/>
      <c r="AJ883" s="147"/>
      <c r="AK883" s="147"/>
      <c r="AL883" s="147"/>
      <c r="AM883" s="147"/>
      <c r="AN883" s="147"/>
      <c r="AO883" s="147"/>
      <c r="AP883" s="147"/>
      <c r="AQ883" s="147"/>
      <c r="AR883" s="147"/>
      <c r="AS883" s="147"/>
      <c r="AT883" s="147"/>
      <c r="AU883" s="147"/>
      <c r="AV883" s="147"/>
      <c r="AW883" s="147"/>
    </row>
    <row r="884">
      <c r="A884" s="631"/>
      <c r="B884" s="631"/>
      <c r="C884" s="632"/>
      <c r="D884" s="633"/>
      <c r="E884" s="634"/>
      <c r="F884" s="635"/>
      <c r="G884" s="636"/>
      <c r="H884" s="637"/>
      <c r="I884" s="643"/>
      <c r="J884" s="644"/>
      <c r="K884" s="147"/>
      <c r="L884" s="632"/>
      <c r="M884" s="147"/>
      <c r="N884" s="640"/>
      <c r="O884" s="640"/>
      <c r="P884" s="641"/>
      <c r="Q884" s="642"/>
      <c r="R884" s="147"/>
      <c r="S884" s="147"/>
      <c r="T884" s="147"/>
      <c r="U884" s="147"/>
      <c r="V884" s="147"/>
      <c r="W884" s="147"/>
      <c r="X884" s="147"/>
      <c r="Y884" s="147"/>
      <c r="Z884" s="147"/>
      <c r="AA884" s="147"/>
      <c r="AB884" s="147"/>
      <c r="AC884" s="147"/>
      <c r="AD884" s="147"/>
      <c r="AE884" s="147"/>
      <c r="AF884" s="147"/>
      <c r="AG884" s="147"/>
      <c r="AH884" s="147"/>
      <c r="AI884" s="147"/>
      <c r="AJ884" s="147"/>
      <c r="AK884" s="147"/>
      <c r="AL884" s="147"/>
      <c r="AM884" s="147"/>
      <c r="AN884" s="147"/>
      <c r="AO884" s="147"/>
      <c r="AP884" s="147"/>
      <c r="AQ884" s="147"/>
      <c r="AR884" s="147"/>
      <c r="AS884" s="147"/>
      <c r="AT884" s="147"/>
      <c r="AU884" s="147"/>
      <c r="AV884" s="147"/>
      <c r="AW884" s="147"/>
    </row>
    <row r="885">
      <c r="A885" s="631"/>
      <c r="B885" s="631"/>
      <c r="C885" s="632"/>
      <c r="D885" s="633"/>
      <c r="E885" s="634"/>
      <c r="F885" s="635"/>
      <c r="G885" s="636"/>
      <c r="H885" s="637"/>
      <c r="I885" s="643"/>
      <c r="J885" s="644"/>
      <c r="K885" s="147"/>
      <c r="L885" s="632"/>
      <c r="M885" s="147"/>
      <c r="N885" s="640"/>
      <c r="O885" s="640"/>
      <c r="P885" s="641"/>
      <c r="Q885" s="642"/>
      <c r="R885" s="147"/>
      <c r="S885" s="147"/>
      <c r="T885" s="147"/>
      <c r="U885" s="147"/>
      <c r="V885" s="147"/>
      <c r="W885" s="147"/>
      <c r="X885" s="147"/>
      <c r="Y885" s="147"/>
      <c r="Z885" s="147"/>
      <c r="AA885" s="147"/>
      <c r="AB885" s="147"/>
      <c r="AC885" s="147"/>
      <c r="AD885" s="147"/>
      <c r="AE885" s="147"/>
      <c r="AF885" s="147"/>
      <c r="AG885" s="147"/>
      <c r="AH885" s="147"/>
      <c r="AI885" s="147"/>
      <c r="AJ885" s="147"/>
      <c r="AK885" s="147"/>
      <c r="AL885" s="147"/>
      <c r="AM885" s="147"/>
      <c r="AN885" s="147"/>
      <c r="AO885" s="147"/>
      <c r="AP885" s="147"/>
      <c r="AQ885" s="147"/>
      <c r="AR885" s="147"/>
      <c r="AS885" s="147"/>
      <c r="AT885" s="147"/>
      <c r="AU885" s="147"/>
      <c r="AV885" s="147"/>
      <c r="AW885" s="147"/>
    </row>
    <row r="886">
      <c r="A886" s="631"/>
      <c r="B886" s="631"/>
      <c r="C886" s="632"/>
      <c r="D886" s="633"/>
      <c r="E886" s="634"/>
      <c r="F886" s="635"/>
      <c r="G886" s="636"/>
      <c r="H886" s="637"/>
      <c r="I886" s="643"/>
      <c r="J886" s="644"/>
      <c r="K886" s="147"/>
      <c r="L886" s="632"/>
      <c r="M886" s="147"/>
      <c r="N886" s="640"/>
      <c r="O886" s="640"/>
      <c r="P886" s="641"/>
      <c r="Q886" s="642"/>
      <c r="R886" s="147"/>
      <c r="S886" s="147"/>
      <c r="T886" s="147"/>
      <c r="U886" s="147"/>
      <c r="V886" s="147"/>
      <c r="W886" s="147"/>
      <c r="X886" s="147"/>
      <c r="Y886" s="147"/>
      <c r="Z886" s="147"/>
      <c r="AA886" s="147"/>
      <c r="AB886" s="147"/>
      <c r="AC886" s="147"/>
      <c r="AD886" s="147"/>
      <c r="AE886" s="147"/>
      <c r="AF886" s="147"/>
      <c r="AG886" s="147"/>
      <c r="AH886" s="147"/>
      <c r="AI886" s="147"/>
      <c r="AJ886" s="147"/>
      <c r="AK886" s="147"/>
      <c r="AL886" s="147"/>
      <c r="AM886" s="147"/>
      <c r="AN886" s="147"/>
      <c r="AO886" s="147"/>
      <c r="AP886" s="147"/>
      <c r="AQ886" s="147"/>
      <c r="AR886" s="147"/>
      <c r="AS886" s="147"/>
      <c r="AT886" s="147"/>
      <c r="AU886" s="147"/>
      <c r="AV886" s="147"/>
      <c r="AW886" s="147"/>
    </row>
    <row r="887">
      <c r="A887" s="631"/>
      <c r="B887" s="631"/>
      <c r="C887" s="632"/>
      <c r="D887" s="633"/>
      <c r="E887" s="634"/>
      <c r="F887" s="635"/>
      <c r="G887" s="636"/>
      <c r="H887" s="637"/>
      <c r="I887" s="643"/>
      <c r="J887" s="644"/>
      <c r="K887" s="147"/>
      <c r="L887" s="632"/>
      <c r="M887" s="147"/>
      <c r="N887" s="640"/>
      <c r="O887" s="640"/>
      <c r="P887" s="641"/>
      <c r="Q887" s="642"/>
      <c r="R887" s="147"/>
      <c r="S887" s="147"/>
      <c r="T887" s="147"/>
      <c r="U887" s="147"/>
      <c r="V887" s="147"/>
      <c r="W887" s="147"/>
      <c r="X887" s="147"/>
      <c r="Y887" s="147"/>
      <c r="Z887" s="147"/>
      <c r="AA887" s="147"/>
      <c r="AB887" s="147"/>
      <c r="AC887" s="147"/>
      <c r="AD887" s="147"/>
      <c r="AE887" s="147"/>
      <c r="AF887" s="147"/>
      <c r="AG887" s="147"/>
      <c r="AH887" s="147"/>
      <c r="AI887" s="147"/>
      <c r="AJ887" s="147"/>
      <c r="AK887" s="147"/>
      <c r="AL887" s="147"/>
      <c r="AM887" s="147"/>
      <c r="AN887" s="147"/>
      <c r="AO887" s="147"/>
      <c r="AP887" s="147"/>
      <c r="AQ887" s="147"/>
      <c r="AR887" s="147"/>
      <c r="AS887" s="147"/>
      <c r="AT887" s="147"/>
      <c r="AU887" s="147"/>
      <c r="AV887" s="147"/>
      <c r="AW887" s="147"/>
    </row>
    <row r="888">
      <c r="A888" s="631"/>
      <c r="B888" s="631"/>
      <c r="C888" s="632"/>
      <c r="D888" s="633"/>
      <c r="E888" s="634"/>
      <c r="F888" s="635"/>
      <c r="G888" s="636"/>
      <c r="H888" s="637"/>
      <c r="I888" s="643"/>
      <c r="J888" s="644"/>
      <c r="K888" s="147"/>
      <c r="L888" s="632"/>
      <c r="M888" s="147"/>
      <c r="N888" s="640"/>
      <c r="O888" s="640"/>
      <c r="P888" s="641"/>
      <c r="Q888" s="642"/>
      <c r="R888" s="147"/>
      <c r="S888" s="147"/>
      <c r="T888" s="147"/>
      <c r="U888" s="147"/>
      <c r="V888" s="147"/>
      <c r="W888" s="147"/>
      <c r="X888" s="147"/>
      <c r="Y888" s="147"/>
      <c r="Z888" s="147"/>
      <c r="AA888" s="147"/>
      <c r="AB888" s="147"/>
      <c r="AC888" s="147"/>
      <c r="AD888" s="147"/>
      <c r="AE888" s="147"/>
      <c r="AF888" s="147"/>
      <c r="AG888" s="147"/>
      <c r="AH888" s="147"/>
      <c r="AI888" s="147"/>
      <c r="AJ888" s="147"/>
      <c r="AK888" s="147"/>
      <c r="AL888" s="147"/>
      <c r="AM888" s="147"/>
      <c r="AN888" s="147"/>
      <c r="AO888" s="147"/>
      <c r="AP888" s="147"/>
      <c r="AQ888" s="147"/>
      <c r="AR888" s="147"/>
      <c r="AS888" s="147"/>
      <c r="AT888" s="147"/>
      <c r="AU888" s="147"/>
      <c r="AV888" s="147"/>
      <c r="AW888" s="147"/>
    </row>
    <row r="889">
      <c r="A889" s="631"/>
      <c r="B889" s="631"/>
      <c r="C889" s="632"/>
      <c r="D889" s="633"/>
      <c r="E889" s="634"/>
      <c r="F889" s="635"/>
      <c r="G889" s="636"/>
      <c r="H889" s="637"/>
      <c r="I889" s="643"/>
      <c r="J889" s="644"/>
      <c r="K889" s="147"/>
      <c r="L889" s="632"/>
      <c r="M889" s="147"/>
      <c r="N889" s="640"/>
      <c r="O889" s="640"/>
      <c r="P889" s="641"/>
      <c r="Q889" s="642"/>
      <c r="R889" s="147"/>
      <c r="S889" s="147"/>
      <c r="T889" s="147"/>
      <c r="U889" s="147"/>
      <c r="V889" s="147"/>
      <c r="W889" s="147"/>
      <c r="X889" s="147"/>
      <c r="Y889" s="147"/>
      <c r="Z889" s="147"/>
      <c r="AA889" s="147"/>
      <c r="AB889" s="147"/>
      <c r="AC889" s="147"/>
      <c r="AD889" s="147"/>
      <c r="AE889" s="147"/>
      <c r="AF889" s="147"/>
      <c r="AG889" s="147"/>
      <c r="AH889" s="147"/>
      <c r="AI889" s="147"/>
      <c r="AJ889" s="147"/>
      <c r="AK889" s="147"/>
      <c r="AL889" s="147"/>
      <c r="AM889" s="147"/>
      <c r="AN889" s="147"/>
      <c r="AO889" s="147"/>
      <c r="AP889" s="147"/>
      <c r="AQ889" s="147"/>
      <c r="AR889" s="147"/>
      <c r="AS889" s="147"/>
      <c r="AT889" s="147"/>
      <c r="AU889" s="147"/>
      <c r="AV889" s="147"/>
      <c r="AW889" s="147"/>
    </row>
    <row r="890">
      <c r="A890" s="631"/>
      <c r="B890" s="631"/>
      <c r="C890" s="632"/>
      <c r="D890" s="633"/>
      <c r="E890" s="634"/>
      <c r="F890" s="635"/>
      <c r="G890" s="636"/>
      <c r="H890" s="637"/>
      <c r="I890" s="643"/>
      <c r="J890" s="644"/>
      <c r="K890" s="147"/>
      <c r="L890" s="632"/>
      <c r="M890" s="147"/>
      <c r="N890" s="640"/>
      <c r="O890" s="640"/>
      <c r="P890" s="641"/>
      <c r="Q890" s="642"/>
      <c r="R890" s="147"/>
      <c r="S890" s="147"/>
      <c r="T890" s="147"/>
      <c r="U890" s="147"/>
      <c r="V890" s="147"/>
      <c r="W890" s="147"/>
      <c r="X890" s="147"/>
      <c r="Y890" s="147"/>
      <c r="Z890" s="147"/>
      <c r="AA890" s="147"/>
      <c r="AB890" s="147"/>
      <c r="AC890" s="147"/>
      <c r="AD890" s="147"/>
      <c r="AE890" s="147"/>
      <c r="AF890" s="147"/>
      <c r="AG890" s="147"/>
      <c r="AH890" s="147"/>
      <c r="AI890" s="147"/>
      <c r="AJ890" s="147"/>
      <c r="AK890" s="147"/>
      <c r="AL890" s="147"/>
      <c r="AM890" s="147"/>
      <c r="AN890" s="147"/>
      <c r="AO890" s="147"/>
      <c r="AP890" s="147"/>
      <c r="AQ890" s="147"/>
      <c r="AR890" s="147"/>
      <c r="AS890" s="147"/>
      <c r="AT890" s="147"/>
      <c r="AU890" s="147"/>
      <c r="AV890" s="147"/>
      <c r="AW890" s="147"/>
    </row>
    <row r="891">
      <c r="A891" s="631"/>
      <c r="B891" s="631"/>
      <c r="C891" s="632"/>
      <c r="D891" s="633"/>
      <c r="E891" s="634"/>
      <c r="F891" s="635"/>
      <c r="G891" s="636"/>
      <c r="H891" s="637"/>
      <c r="I891" s="643"/>
      <c r="J891" s="644"/>
      <c r="K891" s="147"/>
      <c r="L891" s="632"/>
      <c r="M891" s="147"/>
      <c r="N891" s="640"/>
      <c r="O891" s="640"/>
      <c r="P891" s="641"/>
      <c r="Q891" s="642"/>
      <c r="R891" s="147"/>
      <c r="S891" s="147"/>
      <c r="T891" s="147"/>
      <c r="U891" s="147"/>
      <c r="V891" s="147"/>
      <c r="W891" s="147"/>
      <c r="X891" s="147"/>
      <c r="Y891" s="147"/>
      <c r="Z891" s="147"/>
      <c r="AA891" s="147"/>
      <c r="AB891" s="147"/>
      <c r="AC891" s="147"/>
      <c r="AD891" s="147"/>
      <c r="AE891" s="147"/>
      <c r="AF891" s="147"/>
      <c r="AG891" s="147"/>
      <c r="AH891" s="147"/>
      <c r="AI891" s="147"/>
      <c r="AJ891" s="147"/>
      <c r="AK891" s="147"/>
      <c r="AL891" s="147"/>
      <c r="AM891" s="147"/>
      <c r="AN891" s="147"/>
      <c r="AO891" s="147"/>
      <c r="AP891" s="147"/>
      <c r="AQ891" s="147"/>
      <c r="AR891" s="147"/>
      <c r="AS891" s="147"/>
      <c r="AT891" s="147"/>
      <c r="AU891" s="147"/>
      <c r="AV891" s="147"/>
      <c r="AW891" s="147"/>
    </row>
    <row r="892">
      <c r="A892" s="631"/>
      <c r="B892" s="631"/>
      <c r="C892" s="632"/>
      <c r="D892" s="633"/>
      <c r="E892" s="634"/>
      <c r="F892" s="635"/>
      <c r="G892" s="636"/>
      <c r="H892" s="637"/>
      <c r="I892" s="643"/>
      <c r="J892" s="644"/>
      <c r="K892" s="147"/>
      <c r="L892" s="632"/>
      <c r="M892" s="147"/>
      <c r="N892" s="640"/>
      <c r="O892" s="640"/>
      <c r="P892" s="641"/>
      <c r="Q892" s="642"/>
      <c r="R892" s="147"/>
      <c r="S892" s="147"/>
      <c r="T892" s="147"/>
      <c r="U892" s="147"/>
      <c r="V892" s="147"/>
      <c r="W892" s="147"/>
      <c r="X892" s="147"/>
      <c r="Y892" s="147"/>
      <c r="Z892" s="147"/>
      <c r="AA892" s="147"/>
      <c r="AB892" s="147"/>
      <c r="AC892" s="147"/>
      <c r="AD892" s="147"/>
      <c r="AE892" s="147"/>
      <c r="AF892" s="147"/>
      <c r="AG892" s="147"/>
      <c r="AH892" s="147"/>
      <c r="AI892" s="147"/>
      <c r="AJ892" s="147"/>
      <c r="AK892" s="147"/>
      <c r="AL892" s="147"/>
      <c r="AM892" s="147"/>
      <c r="AN892" s="147"/>
      <c r="AO892" s="147"/>
      <c r="AP892" s="147"/>
      <c r="AQ892" s="147"/>
      <c r="AR892" s="147"/>
      <c r="AS892" s="147"/>
      <c r="AT892" s="147"/>
      <c r="AU892" s="147"/>
      <c r="AV892" s="147"/>
      <c r="AW892" s="147"/>
    </row>
    <row r="893">
      <c r="A893" s="631"/>
      <c r="B893" s="631"/>
      <c r="C893" s="632"/>
      <c r="D893" s="633"/>
      <c r="E893" s="634"/>
      <c r="F893" s="635"/>
      <c r="G893" s="636"/>
      <c r="H893" s="637"/>
      <c r="I893" s="643"/>
      <c r="J893" s="644"/>
      <c r="K893" s="147"/>
      <c r="L893" s="632"/>
      <c r="M893" s="147"/>
      <c r="N893" s="640"/>
      <c r="O893" s="640"/>
      <c r="P893" s="641"/>
      <c r="Q893" s="642"/>
      <c r="R893" s="147"/>
      <c r="S893" s="147"/>
      <c r="T893" s="147"/>
      <c r="U893" s="147"/>
      <c r="V893" s="147"/>
      <c r="W893" s="147"/>
      <c r="X893" s="147"/>
      <c r="Y893" s="147"/>
      <c r="Z893" s="147"/>
      <c r="AA893" s="147"/>
      <c r="AB893" s="147"/>
      <c r="AC893" s="147"/>
      <c r="AD893" s="147"/>
      <c r="AE893" s="147"/>
      <c r="AF893" s="147"/>
      <c r="AG893" s="147"/>
      <c r="AH893" s="147"/>
      <c r="AI893" s="147"/>
      <c r="AJ893" s="147"/>
      <c r="AK893" s="147"/>
      <c r="AL893" s="147"/>
      <c r="AM893" s="147"/>
      <c r="AN893" s="147"/>
      <c r="AO893" s="147"/>
      <c r="AP893" s="147"/>
      <c r="AQ893" s="147"/>
      <c r="AR893" s="147"/>
      <c r="AS893" s="147"/>
      <c r="AT893" s="147"/>
      <c r="AU893" s="147"/>
      <c r="AV893" s="147"/>
      <c r="AW893" s="147"/>
    </row>
    <row r="894">
      <c r="A894" s="631"/>
      <c r="B894" s="631"/>
      <c r="C894" s="632"/>
      <c r="D894" s="633"/>
      <c r="E894" s="634"/>
      <c r="F894" s="635"/>
      <c r="G894" s="636"/>
      <c r="H894" s="637"/>
      <c r="I894" s="643"/>
      <c r="J894" s="644"/>
      <c r="K894" s="147"/>
      <c r="L894" s="632"/>
      <c r="M894" s="147"/>
      <c r="N894" s="640"/>
      <c r="O894" s="640"/>
      <c r="P894" s="641"/>
      <c r="Q894" s="642"/>
      <c r="R894" s="147"/>
      <c r="S894" s="147"/>
      <c r="T894" s="147"/>
      <c r="U894" s="147"/>
      <c r="V894" s="147"/>
      <c r="W894" s="147"/>
      <c r="X894" s="147"/>
      <c r="Y894" s="147"/>
      <c r="Z894" s="147"/>
      <c r="AA894" s="147"/>
      <c r="AB894" s="147"/>
      <c r="AC894" s="147"/>
      <c r="AD894" s="147"/>
      <c r="AE894" s="147"/>
      <c r="AF894" s="147"/>
      <c r="AG894" s="147"/>
      <c r="AH894" s="147"/>
      <c r="AI894" s="147"/>
      <c r="AJ894" s="147"/>
      <c r="AK894" s="147"/>
      <c r="AL894" s="147"/>
      <c r="AM894" s="147"/>
      <c r="AN894" s="147"/>
      <c r="AO894" s="147"/>
      <c r="AP894" s="147"/>
      <c r="AQ894" s="147"/>
      <c r="AR894" s="147"/>
      <c r="AS894" s="147"/>
      <c r="AT894" s="147"/>
      <c r="AU894" s="147"/>
      <c r="AV894" s="147"/>
      <c r="AW894" s="147"/>
    </row>
    <row r="895">
      <c r="A895" s="631"/>
      <c r="B895" s="631"/>
      <c r="C895" s="632"/>
      <c r="D895" s="633"/>
      <c r="E895" s="634"/>
      <c r="F895" s="635"/>
      <c r="G895" s="636"/>
      <c r="H895" s="637"/>
      <c r="I895" s="643"/>
      <c r="J895" s="644"/>
      <c r="K895" s="147"/>
      <c r="L895" s="632"/>
      <c r="M895" s="147"/>
      <c r="N895" s="640"/>
      <c r="O895" s="640"/>
      <c r="P895" s="641"/>
      <c r="Q895" s="642"/>
      <c r="R895" s="147"/>
      <c r="S895" s="147"/>
      <c r="T895" s="147"/>
      <c r="U895" s="147"/>
      <c r="V895" s="147"/>
      <c r="W895" s="147"/>
      <c r="X895" s="147"/>
      <c r="Y895" s="147"/>
      <c r="Z895" s="147"/>
      <c r="AA895" s="147"/>
      <c r="AB895" s="147"/>
      <c r="AC895" s="147"/>
      <c r="AD895" s="147"/>
      <c r="AE895" s="147"/>
      <c r="AF895" s="147"/>
      <c r="AG895" s="147"/>
      <c r="AH895" s="147"/>
      <c r="AI895" s="147"/>
      <c r="AJ895" s="147"/>
      <c r="AK895" s="147"/>
      <c r="AL895" s="147"/>
      <c r="AM895" s="147"/>
      <c r="AN895" s="147"/>
      <c r="AO895" s="147"/>
      <c r="AP895" s="147"/>
      <c r="AQ895" s="147"/>
      <c r="AR895" s="147"/>
      <c r="AS895" s="147"/>
      <c r="AT895" s="147"/>
      <c r="AU895" s="147"/>
      <c r="AV895" s="147"/>
      <c r="AW895" s="147"/>
    </row>
    <row r="896">
      <c r="A896" s="631"/>
      <c r="B896" s="631"/>
      <c r="C896" s="632"/>
      <c r="D896" s="633"/>
      <c r="E896" s="634"/>
      <c r="F896" s="635"/>
      <c r="G896" s="636"/>
      <c r="H896" s="637"/>
      <c r="I896" s="643"/>
      <c r="J896" s="644"/>
      <c r="K896" s="147"/>
      <c r="L896" s="632"/>
      <c r="M896" s="147"/>
      <c r="N896" s="640"/>
      <c r="O896" s="640"/>
      <c r="P896" s="641"/>
      <c r="Q896" s="642"/>
      <c r="R896" s="147"/>
      <c r="S896" s="147"/>
      <c r="T896" s="147"/>
      <c r="U896" s="147"/>
      <c r="V896" s="147"/>
      <c r="W896" s="147"/>
      <c r="X896" s="147"/>
      <c r="Y896" s="147"/>
      <c r="Z896" s="147"/>
      <c r="AA896" s="147"/>
      <c r="AB896" s="147"/>
      <c r="AC896" s="147"/>
      <c r="AD896" s="147"/>
      <c r="AE896" s="147"/>
      <c r="AF896" s="147"/>
      <c r="AG896" s="147"/>
      <c r="AH896" s="147"/>
      <c r="AI896" s="147"/>
      <c r="AJ896" s="147"/>
      <c r="AK896" s="147"/>
      <c r="AL896" s="147"/>
      <c r="AM896" s="147"/>
      <c r="AN896" s="147"/>
      <c r="AO896" s="147"/>
      <c r="AP896" s="147"/>
      <c r="AQ896" s="147"/>
      <c r="AR896" s="147"/>
      <c r="AS896" s="147"/>
      <c r="AT896" s="147"/>
      <c r="AU896" s="147"/>
      <c r="AV896" s="147"/>
      <c r="AW896" s="147"/>
    </row>
    <row r="897">
      <c r="A897" s="631"/>
      <c r="B897" s="631"/>
      <c r="C897" s="632"/>
      <c r="D897" s="633"/>
      <c r="E897" s="634"/>
      <c r="F897" s="635"/>
      <c r="G897" s="636"/>
      <c r="H897" s="637"/>
      <c r="I897" s="643"/>
      <c r="J897" s="644"/>
      <c r="K897" s="147"/>
      <c r="L897" s="632"/>
      <c r="M897" s="147"/>
      <c r="N897" s="640"/>
      <c r="O897" s="640"/>
      <c r="P897" s="641"/>
      <c r="Q897" s="642"/>
      <c r="R897" s="147"/>
      <c r="S897" s="147"/>
      <c r="T897" s="147"/>
      <c r="U897" s="147"/>
      <c r="V897" s="147"/>
      <c r="W897" s="147"/>
      <c r="X897" s="147"/>
      <c r="Y897" s="147"/>
      <c r="Z897" s="147"/>
      <c r="AA897" s="147"/>
      <c r="AB897" s="147"/>
      <c r="AC897" s="147"/>
      <c r="AD897" s="147"/>
      <c r="AE897" s="147"/>
      <c r="AF897" s="147"/>
      <c r="AG897" s="147"/>
      <c r="AH897" s="147"/>
      <c r="AI897" s="147"/>
      <c r="AJ897" s="147"/>
      <c r="AK897" s="147"/>
      <c r="AL897" s="147"/>
      <c r="AM897" s="147"/>
      <c r="AN897" s="147"/>
      <c r="AO897" s="147"/>
      <c r="AP897" s="147"/>
      <c r="AQ897" s="147"/>
      <c r="AR897" s="147"/>
      <c r="AS897" s="147"/>
      <c r="AT897" s="147"/>
      <c r="AU897" s="147"/>
      <c r="AV897" s="147"/>
      <c r="AW897" s="147"/>
    </row>
    <row r="898">
      <c r="A898" s="631"/>
      <c r="B898" s="631"/>
      <c r="C898" s="632"/>
      <c r="D898" s="633"/>
      <c r="E898" s="634"/>
      <c r="F898" s="635"/>
      <c r="G898" s="636"/>
      <c r="H898" s="637"/>
      <c r="I898" s="643"/>
      <c r="J898" s="644"/>
      <c r="K898" s="147"/>
      <c r="L898" s="632"/>
      <c r="M898" s="147"/>
      <c r="N898" s="640"/>
      <c r="O898" s="640"/>
      <c r="P898" s="641"/>
      <c r="Q898" s="642"/>
      <c r="R898" s="147"/>
      <c r="S898" s="147"/>
      <c r="T898" s="147"/>
      <c r="U898" s="147"/>
      <c r="V898" s="147"/>
      <c r="W898" s="147"/>
      <c r="X898" s="147"/>
      <c r="Y898" s="147"/>
      <c r="Z898" s="147"/>
      <c r="AA898" s="147"/>
      <c r="AB898" s="147"/>
      <c r="AC898" s="147"/>
      <c r="AD898" s="147"/>
      <c r="AE898" s="147"/>
      <c r="AF898" s="147"/>
      <c r="AG898" s="147"/>
      <c r="AH898" s="147"/>
      <c r="AI898" s="147"/>
      <c r="AJ898" s="147"/>
      <c r="AK898" s="147"/>
      <c r="AL898" s="147"/>
      <c r="AM898" s="147"/>
      <c r="AN898" s="147"/>
      <c r="AO898" s="147"/>
      <c r="AP898" s="147"/>
      <c r="AQ898" s="147"/>
      <c r="AR898" s="147"/>
      <c r="AS898" s="147"/>
      <c r="AT898" s="147"/>
      <c r="AU898" s="147"/>
      <c r="AV898" s="147"/>
      <c r="AW898" s="147"/>
    </row>
    <row r="899">
      <c r="A899" s="631"/>
      <c r="B899" s="631"/>
      <c r="C899" s="632"/>
      <c r="D899" s="633"/>
      <c r="E899" s="634"/>
      <c r="F899" s="635"/>
      <c r="G899" s="636"/>
      <c r="H899" s="637"/>
      <c r="I899" s="643"/>
      <c r="J899" s="644"/>
      <c r="K899" s="147"/>
      <c r="L899" s="632"/>
      <c r="M899" s="147"/>
      <c r="N899" s="640"/>
      <c r="O899" s="640"/>
      <c r="P899" s="641"/>
      <c r="Q899" s="642"/>
      <c r="R899" s="147"/>
      <c r="S899" s="147"/>
      <c r="T899" s="147"/>
      <c r="U899" s="147"/>
      <c r="V899" s="147"/>
      <c r="W899" s="147"/>
      <c r="X899" s="147"/>
      <c r="Y899" s="147"/>
      <c r="Z899" s="147"/>
      <c r="AA899" s="147"/>
      <c r="AB899" s="147"/>
      <c r="AC899" s="147"/>
      <c r="AD899" s="147"/>
      <c r="AE899" s="147"/>
      <c r="AF899" s="147"/>
      <c r="AG899" s="147"/>
      <c r="AH899" s="147"/>
      <c r="AI899" s="147"/>
      <c r="AJ899" s="147"/>
      <c r="AK899" s="147"/>
      <c r="AL899" s="147"/>
      <c r="AM899" s="147"/>
      <c r="AN899" s="147"/>
      <c r="AO899" s="147"/>
      <c r="AP899" s="147"/>
      <c r="AQ899" s="147"/>
      <c r="AR899" s="147"/>
      <c r="AS899" s="147"/>
      <c r="AT899" s="147"/>
      <c r="AU899" s="147"/>
      <c r="AV899" s="147"/>
      <c r="AW899" s="147"/>
    </row>
    <row r="900">
      <c r="A900" s="631"/>
      <c r="B900" s="631"/>
      <c r="C900" s="632"/>
      <c r="D900" s="633"/>
      <c r="E900" s="634"/>
      <c r="F900" s="635"/>
      <c r="G900" s="636"/>
      <c r="H900" s="637"/>
      <c r="I900" s="643"/>
      <c r="J900" s="644"/>
      <c r="K900" s="147"/>
      <c r="L900" s="632"/>
      <c r="M900" s="147"/>
      <c r="N900" s="640"/>
      <c r="O900" s="640"/>
      <c r="P900" s="641"/>
      <c r="Q900" s="642"/>
      <c r="R900" s="147"/>
      <c r="S900" s="147"/>
      <c r="T900" s="147"/>
      <c r="U900" s="147"/>
      <c r="V900" s="147"/>
      <c r="W900" s="147"/>
      <c r="X900" s="147"/>
      <c r="Y900" s="147"/>
      <c r="Z900" s="147"/>
      <c r="AA900" s="147"/>
      <c r="AB900" s="147"/>
      <c r="AC900" s="147"/>
      <c r="AD900" s="147"/>
      <c r="AE900" s="147"/>
      <c r="AF900" s="147"/>
      <c r="AG900" s="147"/>
      <c r="AH900" s="147"/>
      <c r="AI900" s="147"/>
      <c r="AJ900" s="147"/>
      <c r="AK900" s="147"/>
      <c r="AL900" s="147"/>
      <c r="AM900" s="147"/>
      <c r="AN900" s="147"/>
      <c r="AO900" s="147"/>
      <c r="AP900" s="147"/>
      <c r="AQ900" s="147"/>
      <c r="AR900" s="147"/>
      <c r="AS900" s="147"/>
      <c r="AT900" s="147"/>
      <c r="AU900" s="147"/>
      <c r="AV900" s="147"/>
      <c r="AW900" s="147"/>
    </row>
    <row r="901">
      <c r="A901" s="631"/>
      <c r="B901" s="631"/>
      <c r="C901" s="632"/>
      <c r="D901" s="633"/>
      <c r="E901" s="634"/>
      <c r="F901" s="635"/>
      <c r="G901" s="636"/>
      <c r="H901" s="637"/>
      <c r="I901" s="643"/>
      <c r="J901" s="644"/>
      <c r="K901" s="147"/>
      <c r="L901" s="632"/>
      <c r="M901" s="147"/>
      <c r="N901" s="640"/>
      <c r="O901" s="640"/>
      <c r="P901" s="641"/>
      <c r="Q901" s="642"/>
      <c r="R901" s="147"/>
      <c r="S901" s="147"/>
      <c r="T901" s="147"/>
      <c r="U901" s="147"/>
      <c r="V901" s="147"/>
      <c r="W901" s="147"/>
      <c r="X901" s="147"/>
      <c r="Y901" s="147"/>
      <c r="Z901" s="147"/>
      <c r="AA901" s="147"/>
      <c r="AB901" s="147"/>
      <c r="AC901" s="147"/>
      <c r="AD901" s="147"/>
      <c r="AE901" s="147"/>
      <c r="AF901" s="147"/>
      <c r="AG901" s="147"/>
      <c r="AH901" s="147"/>
      <c r="AI901" s="147"/>
      <c r="AJ901" s="147"/>
      <c r="AK901" s="147"/>
      <c r="AL901" s="147"/>
      <c r="AM901" s="147"/>
      <c r="AN901" s="147"/>
      <c r="AO901" s="147"/>
      <c r="AP901" s="147"/>
      <c r="AQ901" s="147"/>
      <c r="AR901" s="147"/>
      <c r="AS901" s="147"/>
      <c r="AT901" s="147"/>
      <c r="AU901" s="147"/>
      <c r="AV901" s="147"/>
      <c r="AW901" s="147"/>
    </row>
    <row r="902">
      <c r="A902" s="631"/>
      <c r="B902" s="631"/>
      <c r="C902" s="632"/>
      <c r="D902" s="633"/>
      <c r="E902" s="634"/>
      <c r="F902" s="635"/>
      <c r="G902" s="636"/>
      <c r="H902" s="637"/>
      <c r="I902" s="643"/>
      <c r="J902" s="644"/>
      <c r="K902" s="147"/>
      <c r="L902" s="632"/>
      <c r="M902" s="147"/>
      <c r="N902" s="640"/>
      <c r="O902" s="640"/>
      <c r="P902" s="641"/>
      <c r="Q902" s="642"/>
      <c r="R902" s="147"/>
      <c r="S902" s="147"/>
      <c r="T902" s="147"/>
      <c r="U902" s="147"/>
      <c r="V902" s="147"/>
      <c r="W902" s="147"/>
      <c r="X902" s="147"/>
      <c r="Y902" s="147"/>
      <c r="Z902" s="147"/>
      <c r="AA902" s="147"/>
      <c r="AB902" s="147"/>
      <c r="AC902" s="147"/>
      <c r="AD902" s="147"/>
      <c r="AE902" s="147"/>
      <c r="AF902" s="147"/>
      <c r="AG902" s="147"/>
      <c r="AH902" s="147"/>
      <c r="AI902" s="147"/>
      <c r="AJ902" s="147"/>
      <c r="AK902" s="147"/>
      <c r="AL902" s="147"/>
      <c r="AM902" s="147"/>
      <c r="AN902" s="147"/>
      <c r="AO902" s="147"/>
      <c r="AP902" s="147"/>
      <c r="AQ902" s="147"/>
      <c r="AR902" s="147"/>
      <c r="AS902" s="147"/>
      <c r="AT902" s="147"/>
      <c r="AU902" s="147"/>
      <c r="AV902" s="147"/>
      <c r="AW902" s="147"/>
    </row>
    <row r="903">
      <c r="A903" s="631"/>
      <c r="B903" s="631"/>
      <c r="C903" s="632"/>
      <c r="D903" s="633"/>
      <c r="E903" s="634"/>
      <c r="F903" s="635"/>
      <c r="G903" s="636"/>
      <c r="H903" s="637"/>
      <c r="I903" s="643"/>
      <c r="J903" s="644"/>
      <c r="K903" s="147"/>
      <c r="L903" s="632"/>
      <c r="M903" s="147"/>
      <c r="N903" s="640"/>
      <c r="O903" s="640"/>
      <c r="P903" s="641"/>
      <c r="Q903" s="642"/>
      <c r="R903" s="147"/>
      <c r="S903" s="147"/>
      <c r="T903" s="147"/>
      <c r="U903" s="147"/>
      <c r="V903" s="147"/>
      <c r="W903" s="147"/>
      <c r="X903" s="147"/>
      <c r="Y903" s="147"/>
      <c r="Z903" s="147"/>
      <c r="AA903" s="147"/>
      <c r="AB903" s="147"/>
      <c r="AC903" s="147"/>
      <c r="AD903" s="147"/>
      <c r="AE903" s="147"/>
      <c r="AF903" s="147"/>
      <c r="AG903" s="147"/>
      <c r="AH903" s="147"/>
      <c r="AI903" s="147"/>
      <c r="AJ903" s="147"/>
      <c r="AK903" s="147"/>
      <c r="AL903" s="147"/>
      <c r="AM903" s="147"/>
      <c r="AN903" s="147"/>
      <c r="AO903" s="147"/>
      <c r="AP903" s="147"/>
      <c r="AQ903" s="147"/>
      <c r="AR903" s="147"/>
      <c r="AS903" s="147"/>
      <c r="AT903" s="147"/>
      <c r="AU903" s="147"/>
      <c r="AV903" s="147"/>
      <c r="AW903" s="147"/>
    </row>
    <row r="904">
      <c r="A904" s="631"/>
      <c r="B904" s="631"/>
      <c r="C904" s="632"/>
      <c r="D904" s="633"/>
      <c r="E904" s="634"/>
      <c r="F904" s="635"/>
      <c r="G904" s="636"/>
      <c r="H904" s="637"/>
      <c r="I904" s="643"/>
      <c r="J904" s="644"/>
      <c r="K904" s="147"/>
      <c r="L904" s="632"/>
      <c r="M904" s="147"/>
      <c r="N904" s="640"/>
      <c r="O904" s="640"/>
      <c r="P904" s="641"/>
      <c r="Q904" s="642"/>
      <c r="R904" s="147"/>
      <c r="S904" s="147"/>
      <c r="T904" s="147"/>
      <c r="U904" s="147"/>
      <c r="V904" s="147"/>
      <c r="W904" s="147"/>
      <c r="X904" s="147"/>
      <c r="Y904" s="147"/>
      <c r="Z904" s="147"/>
      <c r="AA904" s="147"/>
      <c r="AB904" s="147"/>
      <c r="AC904" s="147"/>
      <c r="AD904" s="147"/>
      <c r="AE904" s="147"/>
      <c r="AF904" s="147"/>
      <c r="AG904" s="147"/>
      <c r="AH904" s="147"/>
      <c r="AI904" s="147"/>
      <c r="AJ904" s="147"/>
      <c r="AK904" s="147"/>
      <c r="AL904" s="147"/>
      <c r="AM904" s="147"/>
      <c r="AN904" s="147"/>
      <c r="AO904" s="147"/>
      <c r="AP904" s="147"/>
      <c r="AQ904" s="147"/>
      <c r="AR904" s="147"/>
      <c r="AS904" s="147"/>
      <c r="AT904" s="147"/>
      <c r="AU904" s="147"/>
      <c r="AV904" s="147"/>
      <c r="AW904" s="147"/>
    </row>
    <row r="905">
      <c r="A905" s="631"/>
      <c r="B905" s="631"/>
      <c r="C905" s="632"/>
      <c r="D905" s="633"/>
      <c r="E905" s="634"/>
      <c r="F905" s="635"/>
      <c r="G905" s="636"/>
      <c r="H905" s="637"/>
      <c r="I905" s="643"/>
      <c r="J905" s="644"/>
      <c r="K905" s="147"/>
      <c r="L905" s="632"/>
      <c r="M905" s="147"/>
      <c r="N905" s="640"/>
      <c r="O905" s="640"/>
      <c r="P905" s="641"/>
      <c r="Q905" s="642"/>
      <c r="R905" s="147"/>
      <c r="S905" s="147"/>
      <c r="T905" s="147"/>
      <c r="U905" s="147"/>
      <c r="V905" s="147"/>
      <c r="W905" s="147"/>
      <c r="X905" s="147"/>
      <c r="Y905" s="147"/>
      <c r="Z905" s="147"/>
      <c r="AA905" s="147"/>
      <c r="AB905" s="147"/>
      <c r="AC905" s="147"/>
      <c r="AD905" s="147"/>
      <c r="AE905" s="147"/>
      <c r="AF905" s="147"/>
      <c r="AG905" s="147"/>
      <c r="AH905" s="147"/>
      <c r="AI905" s="147"/>
      <c r="AJ905" s="147"/>
      <c r="AK905" s="147"/>
      <c r="AL905" s="147"/>
      <c r="AM905" s="147"/>
      <c r="AN905" s="147"/>
      <c r="AO905" s="147"/>
      <c r="AP905" s="147"/>
      <c r="AQ905" s="147"/>
      <c r="AR905" s="147"/>
      <c r="AS905" s="147"/>
      <c r="AT905" s="147"/>
      <c r="AU905" s="147"/>
      <c r="AV905" s="147"/>
      <c r="AW905" s="147"/>
    </row>
    <row r="906">
      <c r="A906" s="631"/>
      <c r="B906" s="631"/>
      <c r="C906" s="632"/>
      <c r="D906" s="633"/>
      <c r="E906" s="634"/>
      <c r="F906" s="635"/>
      <c r="G906" s="636"/>
      <c r="H906" s="637"/>
      <c r="I906" s="643"/>
      <c r="J906" s="644"/>
      <c r="K906" s="147"/>
      <c r="L906" s="632"/>
      <c r="M906" s="147"/>
      <c r="N906" s="640"/>
      <c r="O906" s="640"/>
      <c r="P906" s="641"/>
      <c r="Q906" s="642"/>
      <c r="R906" s="147"/>
      <c r="S906" s="147"/>
      <c r="T906" s="147"/>
      <c r="U906" s="147"/>
      <c r="V906" s="147"/>
      <c r="W906" s="147"/>
      <c r="X906" s="147"/>
      <c r="Y906" s="147"/>
      <c r="Z906" s="147"/>
      <c r="AA906" s="147"/>
      <c r="AB906" s="147"/>
      <c r="AC906" s="147"/>
      <c r="AD906" s="147"/>
      <c r="AE906" s="147"/>
      <c r="AF906" s="147"/>
      <c r="AG906" s="147"/>
      <c r="AH906" s="147"/>
      <c r="AI906" s="147"/>
      <c r="AJ906" s="147"/>
      <c r="AK906" s="147"/>
      <c r="AL906" s="147"/>
      <c r="AM906" s="147"/>
      <c r="AN906" s="147"/>
      <c r="AO906" s="147"/>
      <c r="AP906" s="147"/>
      <c r="AQ906" s="147"/>
      <c r="AR906" s="147"/>
      <c r="AS906" s="147"/>
      <c r="AT906" s="147"/>
      <c r="AU906" s="147"/>
      <c r="AV906" s="147"/>
      <c r="AW906" s="147"/>
    </row>
    <row r="907">
      <c r="A907" s="631"/>
      <c r="B907" s="631"/>
      <c r="C907" s="632"/>
      <c r="D907" s="633"/>
      <c r="E907" s="634"/>
      <c r="F907" s="635"/>
      <c r="G907" s="636"/>
      <c r="H907" s="637"/>
      <c r="I907" s="643"/>
      <c r="J907" s="644"/>
      <c r="K907" s="147"/>
      <c r="L907" s="632"/>
      <c r="M907" s="147"/>
      <c r="N907" s="640"/>
      <c r="O907" s="640"/>
      <c r="P907" s="641"/>
      <c r="Q907" s="642"/>
      <c r="R907" s="147"/>
      <c r="S907" s="147"/>
      <c r="T907" s="147"/>
      <c r="U907" s="147"/>
      <c r="V907" s="147"/>
      <c r="W907" s="147"/>
      <c r="X907" s="147"/>
      <c r="Y907" s="147"/>
      <c r="Z907" s="147"/>
      <c r="AA907" s="147"/>
      <c r="AB907" s="147"/>
      <c r="AC907" s="147"/>
      <c r="AD907" s="147"/>
      <c r="AE907" s="147"/>
      <c r="AF907" s="147"/>
      <c r="AG907" s="147"/>
      <c r="AH907" s="147"/>
      <c r="AI907" s="147"/>
      <c r="AJ907" s="147"/>
      <c r="AK907" s="147"/>
      <c r="AL907" s="147"/>
      <c r="AM907" s="147"/>
      <c r="AN907" s="147"/>
      <c r="AO907" s="147"/>
      <c r="AP907" s="147"/>
      <c r="AQ907" s="147"/>
      <c r="AR907" s="147"/>
      <c r="AS907" s="147"/>
      <c r="AT907" s="147"/>
      <c r="AU907" s="147"/>
      <c r="AV907" s="147"/>
      <c r="AW907" s="147"/>
    </row>
    <row r="908">
      <c r="A908" s="631"/>
      <c r="B908" s="631"/>
      <c r="C908" s="632"/>
      <c r="D908" s="633"/>
      <c r="E908" s="634"/>
      <c r="F908" s="635"/>
      <c r="G908" s="636"/>
      <c r="H908" s="637"/>
      <c r="I908" s="643"/>
      <c r="J908" s="644"/>
      <c r="K908" s="147"/>
      <c r="L908" s="632"/>
      <c r="M908" s="147"/>
      <c r="N908" s="640"/>
      <c r="O908" s="640"/>
      <c r="P908" s="641"/>
      <c r="Q908" s="642"/>
      <c r="R908" s="147"/>
      <c r="S908" s="147"/>
      <c r="T908" s="147"/>
      <c r="U908" s="147"/>
      <c r="V908" s="147"/>
      <c r="W908" s="147"/>
      <c r="X908" s="147"/>
      <c r="Y908" s="147"/>
      <c r="Z908" s="147"/>
      <c r="AA908" s="147"/>
      <c r="AB908" s="147"/>
      <c r="AC908" s="147"/>
      <c r="AD908" s="147"/>
      <c r="AE908" s="147"/>
      <c r="AF908" s="147"/>
      <c r="AG908" s="147"/>
      <c r="AH908" s="147"/>
      <c r="AI908" s="147"/>
      <c r="AJ908" s="147"/>
      <c r="AK908" s="147"/>
      <c r="AL908" s="147"/>
      <c r="AM908" s="147"/>
      <c r="AN908" s="147"/>
      <c r="AO908" s="147"/>
      <c r="AP908" s="147"/>
      <c r="AQ908" s="147"/>
      <c r="AR908" s="147"/>
      <c r="AS908" s="147"/>
      <c r="AT908" s="147"/>
      <c r="AU908" s="147"/>
      <c r="AV908" s="147"/>
      <c r="AW908" s="147"/>
    </row>
    <row r="909">
      <c r="A909" s="631"/>
      <c r="B909" s="631"/>
      <c r="C909" s="632"/>
      <c r="D909" s="633"/>
      <c r="E909" s="634"/>
      <c r="F909" s="635"/>
      <c r="G909" s="636"/>
      <c r="H909" s="637"/>
      <c r="I909" s="643"/>
      <c r="J909" s="644"/>
      <c r="K909" s="147"/>
      <c r="L909" s="632"/>
      <c r="M909" s="147"/>
      <c r="N909" s="640"/>
      <c r="O909" s="640"/>
      <c r="P909" s="641"/>
      <c r="Q909" s="642"/>
      <c r="R909" s="147"/>
      <c r="S909" s="147"/>
      <c r="T909" s="147"/>
      <c r="U909" s="147"/>
      <c r="V909" s="147"/>
      <c r="W909" s="147"/>
      <c r="X909" s="147"/>
      <c r="Y909" s="147"/>
      <c r="Z909" s="147"/>
      <c r="AA909" s="147"/>
      <c r="AB909" s="147"/>
      <c r="AC909" s="147"/>
      <c r="AD909" s="147"/>
      <c r="AE909" s="147"/>
      <c r="AF909" s="147"/>
      <c r="AG909" s="147"/>
      <c r="AH909" s="147"/>
      <c r="AI909" s="147"/>
      <c r="AJ909" s="147"/>
      <c r="AK909" s="147"/>
      <c r="AL909" s="147"/>
      <c r="AM909" s="147"/>
      <c r="AN909" s="147"/>
      <c r="AO909" s="147"/>
      <c r="AP909" s="147"/>
      <c r="AQ909" s="147"/>
      <c r="AR909" s="147"/>
      <c r="AS909" s="147"/>
      <c r="AT909" s="147"/>
      <c r="AU909" s="147"/>
      <c r="AV909" s="147"/>
      <c r="AW909" s="147"/>
    </row>
    <row r="910">
      <c r="A910" s="631"/>
      <c r="B910" s="631"/>
      <c r="C910" s="632"/>
      <c r="D910" s="633"/>
      <c r="E910" s="634"/>
      <c r="F910" s="635"/>
      <c r="G910" s="636"/>
      <c r="H910" s="637"/>
      <c r="I910" s="643"/>
      <c r="J910" s="644"/>
      <c r="K910" s="147"/>
      <c r="L910" s="632"/>
      <c r="M910" s="147"/>
      <c r="N910" s="640"/>
      <c r="O910" s="640"/>
      <c r="P910" s="641"/>
      <c r="Q910" s="642"/>
      <c r="R910" s="147"/>
      <c r="S910" s="147"/>
      <c r="T910" s="147"/>
      <c r="U910" s="147"/>
      <c r="V910" s="147"/>
      <c r="W910" s="147"/>
      <c r="X910" s="147"/>
      <c r="Y910" s="147"/>
      <c r="Z910" s="147"/>
      <c r="AA910" s="147"/>
      <c r="AB910" s="147"/>
      <c r="AC910" s="147"/>
      <c r="AD910" s="147"/>
      <c r="AE910" s="147"/>
      <c r="AF910" s="147"/>
      <c r="AG910" s="147"/>
      <c r="AH910" s="147"/>
      <c r="AI910" s="147"/>
      <c r="AJ910" s="147"/>
      <c r="AK910" s="147"/>
      <c r="AL910" s="147"/>
      <c r="AM910" s="147"/>
      <c r="AN910" s="147"/>
      <c r="AO910" s="147"/>
      <c r="AP910" s="147"/>
      <c r="AQ910" s="147"/>
      <c r="AR910" s="147"/>
      <c r="AS910" s="147"/>
      <c r="AT910" s="147"/>
      <c r="AU910" s="147"/>
      <c r="AV910" s="147"/>
      <c r="AW910" s="147"/>
    </row>
    <row r="911">
      <c r="A911" s="631"/>
      <c r="B911" s="631"/>
      <c r="C911" s="632"/>
      <c r="D911" s="633"/>
      <c r="E911" s="634"/>
      <c r="F911" s="635"/>
      <c r="G911" s="636"/>
      <c r="H911" s="637"/>
      <c r="I911" s="643"/>
      <c r="J911" s="644"/>
      <c r="K911" s="147"/>
      <c r="L911" s="632"/>
      <c r="M911" s="147"/>
      <c r="N911" s="640"/>
      <c r="O911" s="640"/>
      <c r="P911" s="641"/>
      <c r="Q911" s="642"/>
      <c r="R911" s="147"/>
      <c r="S911" s="147"/>
      <c r="T911" s="147"/>
      <c r="U911" s="147"/>
      <c r="V911" s="147"/>
      <c r="W911" s="147"/>
      <c r="X911" s="147"/>
      <c r="Y911" s="147"/>
      <c r="Z911" s="147"/>
      <c r="AA911" s="147"/>
      <c r="AB911" s="147"/>
      <c r="AC911" s="147"/>
      <c r="AD911" s="147"/>
      <c r="AE911" s="147"/>
      <c r="AF911" s="147"/>
      <c r="AG911" s="147"/>
      <c r="AH911" s="147"/>
      <c r="AI911" s="147"/>
      <c r="AJ911" s="147"/>
      <c r="AK911" s="147"/>
      <c r="AL911" s="147"/>
      <c r="AM911" s="147"/>
      <c r="AN911" s="147"/>
      <c r="AO911" s="147"/>
      <c r="AP911" s="147"/>
      <c r="AQ911" s="147"/>
      <c r="AR911" s="147"/>
      <c r="AS911" s="147"/>
      <c r="AT911" s="147"/>
      <c r="AU911" s="147"/>
      <c r="AV911" s="147"/>
      <c r="AW911" s="147"/>
    </row>
    <row r="912">
      <c r="A912" s="631"/>
      <c r="B912" s="631"/>
      <c r="C912" s="632"/>
      <c r="D912" s="633"/>
      <c r="E912" s="634"/>
      <c r="F912" s="635"/>
      <c r="G912" s="636"/>
      <c r="H912" s="637"/>
      <c r="I912" s="643"/>
      <c r="J912" s="644"/>
      <c r="K912" s="147"/>
      <c r="L912" s="632"/>
      <c r="M912" s="147"/>
      <c r="N912" s="640"/>
      <c r="O912" s="640"/>
      <c r="P912" s="641"/>
      <c r="Q912" s="642"/>
      <c r="R912" s="147"/>
      <c r="S912" s="147"/>
      <c r="T912" s="147"/>
      <c r="U912" s="147"/>
      <c r="V912" s="147"/>
      <c r="W912" s="147"/>
      <c r="X912" s="147"/>
      <c r="Y912" s="147"/>
      <c r="Z912" s="147"/>
      <c r="AA912" s="147"/>
      <c r="AB912" s="147"/>
      <c r="AC912" s="147"/>
      <c r="AD912" s="147"/>
      <c r="AE912" s="147"/>
      <c r="AF912" s="147"/>
      <c r="AG912" s="147"/>
      <c r="AH912" s="147"/>
      <c r="AI912" s="147"/>
      <c r="AJ912" s="147"/>
      <c r="AK912" s="147"/>
      <c r="AL912" s="147"/>
      <c r="AM912" s="147"/>
      <c r="AN912" s="147"/>
      <c r="AO912" s="147"/>
      <c r="AP912" s="147"/>
      <c r="AQ912" s="147"/>
      <c r="AR912" s="147"/>
      <c r="AS912" s="147"/>
      <c r="AT912" s="147"/>
      <c r="AU912" s="147"/>
      <c r="AV912" s="147"/>
      <c r="AW912" s="147"/>
    </row>
    <row r="913">
      <c r="A913" s="631"/>
      <c r="B913" s="631"/>
      <c r="C913" s="632"/>
      <c r="D913" s="633"/>
      <c r="E913" s="634"/>
      <c r="F913" s="635"/>
      <c r="G913" s="636"/>
      <c r="H913" s="637"/>
      <c r="I913" s="643"/>
      <c r="J913" s="644"/>
      <c r="K913" s="147"/>
      <c r="L913" s="632"/>
      <c r="M913" s="147"/>
      <c r="N913" s="640"/>
      <c r="O913" s="640"/>
      <c r="P913" s="641"/>
      <c r="Q913" s="642"/>
      <c r="R913" s="147"/>
      <c r="S913" s="147"/>
      <c r="T913" s="147"/>
      <c r="U913" s="147"/>
      <c r="V913" s="147"/>
      <c r="W913" s="147"/>
      <c r="X913" s="147"/>
      <c r="Y913" s="147"/>
      <c r="Z913" s="147"/>
      <c r="AA913" s="147"/>
      <c r="AB913" s="147"/>
      <c r="AC913" s="147"/>
      <c r="AD913" s="147"/>
      <c r="AE913" s="147"/>
      <c r="AF913" s="147"/>
      <c r="AG913" s="147"/>
      <c r="AH913" s="147"/>
      <c r="AI913" s="147"/>
      <c r="AJ913" s="147"/>
      <c r="AK913" s="147"/>
      <c r="AL913" s="147"/>
      <c r="AM913" s="147"/>
      <c r="AN913" s="147"/>
      <c r="AO913" s="147"/>
      <c r="AP913" s="147"/>
      <c r="AQ913" s="147"/>
      <c r="AR913" s="147"/>
      <c r="AS913" s="147"/>
      <c r="AT913" s="147"/>
      <c r="AU913" s="147"/>
      <c r="AV913" s="147"/>
      <c r="AW913" s="147"/>
    </row>
    <row r="914">
      <c r="A914" s="631"/>
      <c r="B914" s="631"/>
      <c r="C914" s="632"/>
      <c r="D914" s="633"/>
      <c r="E914" s="634"/>
      <c r="F914" s="635"/>
      <c r="G914" s="636"/>
      <c r="H914" s="637"/>
      <c r="I914" s="643"/>
      <c r="J914" s="644"/>
      <c r="K914" s="147"/>
      <c r="L914" s="632"/>
      <c r="M914" s="147"/>
      <c r="N914" s="640"/>
      <c r="O914" s="640"/>
      <c r="P914" s="641"/>
      <c r="Q914" s="642"/>
      <c r="R914" s="147"/>
      <c r="S914" s="147"/>
      <c r="T914" s="147"/>
      <c r="U914" s="147"/>
      <c r="V914" s="147"/>
      <c r="W914" s="147"/>
      <c r="X914" s="147"/>
      <c r="Y914" s="147"/>
      <c r="Z914" s="147"/>
      <c r="AA914" s="147"/>
      <c r="AB914" s="147"/>
      <c r="AC914" s="147"/>
      <c r="AD914" s="147"/>
      <c r="AE914" s="147"/>
      <c r="AF914" s="147"/>
      <c r="AG914" s="147"/>
      <c r="AH914" s="147"/>
      <c r="AI914" s="147"/>
      <c r="AJ914" s="147"/>
      <c r="AK914" s="147"/>
      <c r="AL914" s="147"/>
      <c r="AM914" s="147"/>
      <c r="AN914" s="147"/>
      <c r="AO914" s="147"/>
      <c r="AP914" s="147"/>
      <c r="AQ914" s="147"/>
      <c r="AR914" s="147"/>
      <c r="AS914" s="147"/>
      <c r="AT914" s="147"/>
      <c r="AU914" s="147"/>
      <c r="AV914" s="147"/>
      <c r="AW914" s="147"/>
    </row>
    <row r="915">
      <c r="A915" s="631"/>
      <c r="B915" s="631"/>
      <c r="C915" s="632"/>
      <c r="D915" s="633"/>
      <c r="E915" s="634"/>
      <c r="F915" s="635"/>
      <c r="G915" s="636"/>
      <c r="H915" s="637"/>
      <c r="I915" s="643"/>
      <c r="J915" s="644"/>
      <c r="K915" s="147"/>
      <c r="L915" s="632"/>
      <c r="M915" s="147"/>
      <c r="N915" s="640"/>
      <c r="O915" s="640"/>
      <c r="P915" s="641"/>
      <c r="Q915" s="642"/>
      <c r="R915" s="147"/>
      <c r="S915" s="147"/>
      <c r="T915" s="147"/>
      <c r="U915" s="147"/>
      <c r="V915" s="147"/>
      <c r="W915" s="147"/>
      <c r="X915" s="147"/>
      <c r="Y915" s="147"/>
      <c r="Z915" s="147"/>
      <c r="AA915" s="147"/>
      <c r="AB915" s="147"/>
      <c r="AC915" s="147"/>
      <c r="AD915" s="147"/>
      <c r="AE915" s="147"/>
      <c r="AF915" s="147"/>
      <c r="AG915" s="147"/>
      <c r="AH915" s="147"/>
      <c r="AI915" s="147"/>
      <c r="AJ915" s="147"/>
      <c r="AK915" s="147"/>
      <c r="AL915" s="147"/>
      <c r="AM915" s="147"/>
      <c r="AN915" s="147"/>
      <c r="AO915" s="147"/>
      <c r="AP915" s="147"/>
      <c r="AQ915" s="147"/>
      <c r="AR915" s="147"/>
      <c r="AS915" s="147"/>
      <c r="AT915" s="147"/>
      <c r="AU915" s="147"/>
      <c r="AV915" s="147"/>
      <c r="AW915" s="147"/>
    </row>
    <row r="916">
      <c r="A916" s="631"/>
      <c r="B916" s="631"/>
      <c r="C916" s="632"/>
      <c r="D916" s="633"/>
      <c r="E916" s="634"/>
      <c r="F916" s="635"/>
      <c r="G916" s="636"/>
      <c r="H916" s="637"/>
      <c r="I916" s="643"/>
      <c r="J916" s="644"/>
      <c r="K916" s="147"/>
      <c r="L916" s="632"/>
      <c r="M916" s="147"/>
      <c r="N916" s="640"/>
      <c r="O916" s="640"/>
      <c r="P916" s="641"/>
      <c r="Q916" s="642"/>
      <c r="R916" s="147"/>
      <c r="S916" s="147"/>
      <c r="T916" s="147"/>
      <c r="U916" s="147"/>
      <c r="V916" s="147"/>
      <c r="W916" s="147"/>
      <c r="X916" s="147"/>
      <c r="Y916" s="147"/>
      <c r="Z916" s="147"/>
      <c r="AA916" s="147"/>
      <c r="AB916" s="147"/>
      <c r="AC916" s="147"/>
      <c r="AD916" s="147"/>
      <c r="AE916" s="147"/>
      <c r="AF916" s="147"/>
      <c r="AG916" s="147"/>
      <c r="AH916" s="147"/>
      <c r="AI916" s="147"/>
      <c r="AJ916" s="147"/>
      <c r="AK916" s="147"/>
      <c r="AL916" s="147"/>
      <c r="AM916" s="147"/>
      <c r="AN916" s="147"/>
      <c r="AO916" s="147"/>
      <c r="AP916" s="147"/>
      <c r="AQ916" s="147"/>
      <c r="AR916" s="147"/>
      <c r="AS916" s="147"/>
      <c r="AT916" s="147"/>
      <c r="AU916" s="147"/>
      <c r="AV916" s="147"/>
      <c r="AW916" s="147"/>
    </row>
    <row r="917">
      <c r="A917" s="631"/>
      <c r="B917" s="631"/>
      <c r="C917" s="632"/>
      <c r="D917" s="633"/>
      <c r="E917" s="634"/>
      <c r="F917" s="635"/>
      <c r="G917" s="636"/>
      <c r="H917" s="637"/>
      <c r="I917" s="643"/>
      <c r="J917" s="644"/>
      <c r="K917" s="147"/>
      <c r="L917" s="632"/>
      <c r="M917" s="147"/>
      <c r="N917" s="640"/>
      <c r="O917" s="640"/>
      <c r="P917" s="641"/>
      <c r="Q917" s="642"/>
      <c r="R917" s="147"/>
      <c r="S917" s="147"/>
      <c r="T917" s="147"/>
      <c r="U917" s="147"/>
      <c r="V917" s="147"/>
      <c r="W917" s="147"/>
      <c r="X917" s="147"/>
      <c r="Y917" s="147"/>
      <c r="Z917" s="147"/>
      <c r="AA917" s="147"/>
      <c r="AB917" s="147"/>
      <c r="AC917" s="147"/>
      <c r="AD917" s="147"/>
      <c r="AE917" s="147"/>
      <c r="AF917" s="147"/>
      <c r="AG917" s="147"/>
      <c r="AH917" s="147"/>
      <c r="AI917" s="147"/>
      <c r="AJ917" s="147"/>
      <c r="AK917" s="147"/>
      <c r="AL917" s="147"/>
      <c r="AM917" s="147"/>
      <c r="AN917" s="147"/>
      <c r="AO917" s="147"/>
      <c r="AP917" s="147"/>
      <c r="AQ917" s="147"/>
      <c r="AR917" s="147"/>
      <c r="AS917" s="147"/>
      <c r="AT917" s="147"/>
      <c r="AU917" s="147"/>
      <c r="AV917" s="147"/>
      <c r="AW917" s="147"/>
    </row>
    <row r="918">
      <c r="A918" s="631"/>
      <c r="B918" s="631"/>
      <c r="C918" s="632"/>
      <c r="D918" s="633"/>
      <c r="E918" s="634"/>
      <c r="F918" s="635"/>
      <c r="G918" s="636"/>
      <c r="H918" s="637"/>
      <c r="I918" s="643"/>
      <c r="J918" s="644"/>
      <c r="K918" s="147"/>
      <c r="L918" s="632"/>
      <c r="M918" s="147"/>
      <c r="N918" s="640"/>
      <c r="O918" s="640"/>
      <c r="P918" s="641"/>
      <c r="Q918" s="642"/>
      <c r="R918" s="147"/>
      <c r="S918" s="147"/>
      <c r="T918" s="147"/>
      <c r="U918" s="147"/>
      <c r="V918" s="147"/>
      <c r="W918" s="147"/>
      <c r="X918" s="147"/>
      <c r="Y918" s="147"/>
      <c r="Z918" s="147"/>
      <c r="AA918" s="147"/>
      <c r="AB918" s="147"/>
      <c r="AC918" s="147"/>
      <c r="AD918" s="147"/>
      <c r="AE918" s="147"/>
      <c r="AF918" s="147"/>
      <c r="AG918" s="147"/>
      <c r="AH918" s="147"/>
      <c r="AI918" s="147"/>
      <c r="AJ918" s="147"/>
      <c r="AK918" s="147"/>
      <c r="AL918" s="147"/>
      <c r="AM918" s="147"/>
      <c r="AN918" s="147"/>
      <c r="AO918" s="147"/>
      <c r="AP918" s="147"/>
      <c r="AQ918" s="147"/>
      <c r="AR918" s="147"/>
      <c r="AS918" s="147"/>
      <c r="AT918" s="147"/>
      <c r="AU918" s="147"/>
      <c r="AV918" s="147"/>
      <c r="AW918" s="147"/>
    </row>
    <row r="919">
      <c r="A919" s="631"/>
      <c r="B919" s="631"/>
      <c r="C919" s="632"/>
      <c r="D919" s="633"/>
      <c r="E919" s="634"/>
      <c r="F919" s="635"/>
      <c r="G919" s="636"/>
      <c r="H919" s="637"/>
      <c r="I919" s="643"/>
      <c r="J919" s="644"/>
      <c r="K919" s="147"/>
      <c r="L919" s="632"/>
      <c r="M919" s="147"/>
      <c r="N919" s="640"/>
      <c r="O919" s="640"/>
      <c r="P919" s="641"/>
      <c r="Q919" s="642"/>
      <c r="R919" s="147"/>
      <c r="S919" s="147"/>
      <c r="T919" s="147"/>
      <c r="U919" s="147"/>
      <c r="V919" s="147"/>
      <c r="W919" s="147"/>
      <c r="X919" s="147"/>
      <c r="Y919" s="147"/>
      <c r="Z919" s="147"/>
      <c r="AA919" s="147"/>
      <c r="AB919" s="147"/>
      <c r="AC919" s="147"/>
      <c r="AD919" s="147"/>
      <c r="AE919" s="147"/>
      <c r="AF919" s="147"/>
      <c r="AG919" s="147"/>
      <c r="AH919" s="147"/>
      <c r="AI919" s="147"/>
      <c r="AJ919" s="147"/>
      <c r="AK919" s="147"/>
      <c r="AL919" s="147"/>
      <c r="AM919" s="147"/>
      <c r="AN919" s="147"/>
      <c r="AO919" s="147"/>
      <c r="AP919" s="147"/>
      <c r="AQ919" s="147"/>
      <c r="AR919" s="147"/>
      <c r="AS919" s="147"/>
      <c r="AT919" s="147"/>
      <c r="AU919" s="147"/>
      <c r="AV919" s="147"/>
      <c r="AW919" s="147"/>
    </row>
    <row r="920">
      <c r="A920" s="631"/>
      <c r="B920" s="631"/>
      <c r="C920" s="632"/>
      <c r="D920" s="633"/>
      <c r="E920" s="634"/>
      <c r="F920" s="635"/>
      <c r="G920" s="636"/>
      <c r="H920" s="637"/>
      <c r="I920" s="643"/>
      <c r="J920" s="644"/>
      <c r="K920" s="147"/>
      <c r="L920" s="632"/>
      <c r="M920" s="147"/>
      <c r="N920" s="640"/>
      <c r="O920" s="640"/>
      <c r="P920" s="641"/>
      <c r="Q920" s="642"/>
      <c r="R920" s="147"/>
      <c r="S920" s="147"/>
      <c r="T920" s="147"/>
      <c r="U920" s="147"/>
      <c r="V920" s="147"/>
      <c r="W920" s="147"/>
      <c r="X920" s="147"/>
      <c r="Y920" s="147"/>
      <c r="Z920" s="147"/>
      <c r="AA920" s="147"/>
      <c r="AB920" s="147"/>
      <c r="AC920" s="147"/>
      <c r="AD920" s="147"/>
      <c r="AE920" s="147"/>
      <c r="AF920" s="147"/>
      <c r="AG920" s="147"/>
      <c r="AH920" s="147"/>
      <c r="AI920" s="147"/>
      <c r="AJ920" s="147"/>
      <c r="AK920" s="147"/>
      <c r="AL920" s="147"/>
      <c r="AM920" s="147"/>
      <c r="AN920" s="147"/>
      <c r="AO920" s="147"/>
      <c r="AP920" s="147"/>
      <c r="AQ920" s="147"/>
      <c r="AR920" s="147"/>
      <c r="AS920" s="147"/>
      <c r="AT920" s="147"/>
      <c r="AU920" s="147"/>
      <c r="AV920" s="147"/>
      <c r="AW920" s="147"/>
    </row>
    <row r="921">
      <c r="A921" s="631"/>
      <c r="B921" s="631"/>
      <c r="C921" s="632"/>
      <c r="D921" s="633"/>
      <c r="E921" s="634"/>
      <c r="F921" s="635"/>
      <c r="G921" s="636"/>
      <c r="H921" s="637"/>
      <c r="I921" s="643"/>
      <c r="J921" s="644"/>
      <c r="K921" s="147"/>
      <c r="L921" s="632"/>
      <c r="M921" s="147"/>
      <c r="N921" s="640"/>
      <c r="O921" s="640"/>
      <c r="P921" s="641"/>
      <c r="Q921" s="642"/>
      <c r="R921" s="147"/>
      <c r="S921" s="147"/>
      <c r="T921" s="147"/>
      <c r="U921" s="147"/>
      <c r="V921" s="147"/>
      <c r="W921" s="147"/>
      <c r="X921" s="147"/>
      <c r="Y921" s="147"/>
      <c r="Z921" s="147"/>
      <c r="AA921" s="147"/>
      <c r="AB921" s="147"/>
      <c r="AC921" s="147"/>
      <c r="AD921" s="147"/>
      <c r="AE921" s="147"/>
      <c r="AF921" s="147"/>
      <c r="AG921" s="147"/>
      <c r="AH921" s="147"/>
      <c r="AI921" s="147"/>
      <c r="AJ921" s="147"/>
      <c r="AK921" s="147"/>
      <c r="AL921" s="147"/>
      <c r="AM921" s="147"/>
      <c r="AN921" s="147"/>
      <c r="AO921" s="147"/>
      <c r="AP921" s="147"/>
      <c r="AQ921" s="147"/>
      <c r="AR921" s="147"/>
      <c r="AS921" s="147"/>
      <c r="AT921" s="147"/>
      <c r="AU921" s="147"/>
      <c r="AV921" s="147"/>
      <c r="AW921" s="147"/>
    </row>
    <row r="922">
      <c r="A922" s="631"/>
      <c r="B922" s="631"/>
      <c r="C922" s="632"/>
      <c r="D922" s="633"/>
      <c r="E922" s="634"/>
      <c r="F922" s="635"/>
      <c r="G922" s="636"/>
      <c r="H922" s="637"/>
      <c r="I922" s="643"/>
      <c r="J922" s="644"/>
      <c r="K922" s="147"/>
      <c r="L922" s="632"/>
      <c r="M922" s="147"/>
      <c r="N922" s="640"/>
      <c r="O922" s="640"/>
      <c r="P922" s="641"/>
      <c r="Q922" s="642"/>
      <c r="R922" s="147"/>
      <c r="S922" s="147"/>
      <c r="T922" s="147"/>
      <c r="U922" s="147"/>
      <c r="V922" s="147"/>
      <c r="W922" s="147"/>
      <c r="X922" s="147"/>
      <c r="Y922" s="147"/>
      <c r="Z922" s="147"/>
      <c r="AA922" s="147"/>
      <c r="AB922" s="147"/>
      <c r="AC922" s="147"/>
      <c r="AD922" s="147"/>
      <c r="AE922" s="147"/>
      <c r="AF922" s="147"/>
      <c r="AG922" s="147"/>
      <c r="AH922" s="147"/>
      <c r="AI922" s="147"/>
      <c r="AJ922" s="147"/>
      <c r="AK922" s="147"/>
      <c r="AL922" s="147"/>
      <c r="AM922" s="147"/>
      <c r="AN922" s="147"/>
      <c r="AO922" s="147"/>
      <c r="AP922" s="147"/>
      <c r="AQ922" s="147"/>
      <c r="AR922" s="147"/>
      <c r="AS922" s="147"/>
      <c r="AT922" s="147"/>
      <c r="AU922" s="147"/>
      <c r="AV922" s="147"/>
      <c r="AW922" s="147"/>
    </row>
    <row r="923">
      <c r="A923" s="631"/>
      <c r="B923" s="631"/>
      <c r="C923" s="632"/>
      <c r="D923" s="633"/>
      <c r="E923" s="634"/>
      <c r="F923" s="635"/>
      <c r="G923" s="636"/>
      <c r="H923" s="637"/>
      <c r="I923" s="643"/>
      <c r="J923" s="644"/>
      <c r="K923" s="147"/>
      <c r="L923" s="632"/>
      <c r="M923" s="147"/>
      <c r="N923" s="640"/>
      <c r="O923" s="640"/>
      <c r="P923" s="641"/>
      <c r="Q923" s="642"/>
      <c r="R923" s="147"/>
      <c r="S923" s="147"/>
      <c r="T923" s="147"/>
      <c r="U923" s="147"/>
      <c r="V923" s="147"/>
      <c r="W923" s="147"/>
      <c r="X923" s="147"/>
      <c r="Y923" s="147"/>
      <c r="Z923" s="147"/>
      <c r="AA923" s="147"/>
      <c r="AB923" s="147"/>
      <c r="AC923" s="147"/>
      <c r="AD923" s="147"/>
      <c r="AE923" s="147"/>
      <c r="AF923" s="147"/>
      <c r="AG923" s="147"/>
      <c r="AH923" s="147"/>
      <c r="AI923" s="147"/>
      <c r="AJ923" s="147"/>
      <c r="AK923" s="147"/>
      <c r="AL923" s="147"/>
      <c r="AM923" s="147"/>
      <c r="AN923" s="147"/>
      <c r="AO923" s="147"/>
      <c r="AP923" s="147"/>
      <c r="AQ923" s="147"/>
      <c r="AR923" s="147"/>
      <c r="AS923" s="147"/>
      <c r="AT923" s="147"/>
      <c r="AU923" s="147"/>
      <c r="AV923" s="147"/>
      <c r="AW923" s="147"/>
    </row>
    <row r="924">
      <c r="A924" s="631"/>
      <c r="B924" s="631"/>
      <c r="C924" s="632"/>
      <c r="D924" s="633"/>
      <c r="E924" s="634"/>
      <c r="F924" s="635"/>
      <c r="G924" s="636"/>
      <c r="H924" s="637"/>
      <c r="I924" s="643"/>
      <c r="J924" s="644"/>
      <c r="K924" s="147"/>
      <c r="L924" s="632"/>
      <c r="M924" s="147"/>
      <c r="N924" s="640"/>
      <c r="O924" s="640"/>
      <c r="P924" s="641"/>
      <c r="Q924" s="642"/>
      <c r="R924" s="147"/>
      <c r="S924" s="147"/>
      <c r="T924" s="147"/>
      <c r="U924" s="147"/>
      <c r="V924" s="147"/>
      <c r="W924" s="147"/>
      <c r="X924" s="147"/>
      <c r="Y924" s="147"/>
      <c r="Z924" s="147"/>
      <c r="AA924" s="147"/>
      <c r="AB924" s="147"/>
      <c r="AC924" s="147"/>
      <c r="AD924" s="147"/>
      <c r="AE924" s="147"/>
      <c r="AF924" s="147"/>
      <c r="AG924" s="147"/>
      <c r="AH924" s="147"/>
      <c r="AI924" s="147"/>
      <c r="AJ924" s="147"/>
      <c r="AK924" s="147"/>
      <c r="AL924" s="147"/>
      <c r="AM924" s="147"/>
      <c r="AN924" s="147"/>
      <c r="AO924" s="147"/>
      <c r="AP924" s="147"/>
      <c r="AQ924" s="147"/>
      <c r="AR924" s="147"/>
      <c r="AS924" s="147"/>
      <c r="AT924" s="147"/>
      <c r="AU924" s="147"/>
      <c r="AV924" s="147"/>
      <c r="AW924" s="147"/>
    </row>
    <row r="925">
      <c r="A925" s="631"/>
      <c r="B925" s="631"/>
      <c r="C925" s="632"/>
      <c r="D925" s="633"/>
      <c r="E925" s="634"/>
      <c r="F925" s="635"/>
      <c r="G925" s="636"/>
      <c r="H925" s="637"/>
      <c r="I925" s="643"/>
      <c r="J925" s="644"/>
      <c r="K925" s="147"/>
      <c r="L925" s="632"/>
      <c r="M925" s="147"/>
      <c r="N925" s="640"/>
      <c r="O925" s="640"/>
      <c r="P925" s="641"/>
      <c r="Q925" s="642"/>
      <c r="R925" s="147"/>
      <c r="S925" s="147"/>
      <c r="T925" s="147"/>
      <c r="U925" s="147"/>
      <c r="V925" s="147"/>
      <c r="W925" s="147"/>
      <c r="X925" s="147"/>
      <c r="Y925" s="147"/>
      <c r="Z925" s="147"/>
      <c r="AA925" s="147"/>
      <c r="AB925" s="147"/>
      <c r="AC925" s="147"/>
      <c r="AD925" s="147"/>
      <c r="AE925" s="147"/>
      <c r="AF925" s="147"/>
      <c r="AG925" s="147"/>
      <c r="AH925" s="147"/>
      <c r="AI925" s="147"/>
      <c r="AJ925" s="147"/>
      <c r="AK925" s="147"/>
      <c r="AL925" s="147"/>
      <c r="AM925" s="147"/>
      <c r="AN925" s="147"/>
      <c r="AO925" s="147"/>
      <c r="AP925" s="147"/>
      <c r="AQ925" s="147"/>
      <c r="AR925" s="147"/>
      <c r="AS925" s="147"/>
      <c r="AT925" s="147"/>
      <c r="AU925" s="147"/>
      <c r="AV925" s="147"/>
      <c r="AW925" s="147"/>
    </row>
    <row r="926">
      <c r="A926" s="631"/>
      <c r="B926" s="631"/>
      <c r="C926" s="632"/>
      <c r="D926" s="633"/>
      <c r="E926" s="634"/>
      <c r="F926" s="635"/>
      <c r="G926" s="636"/>
      <c r="H926" s="637"/>
      <c r="I926" s="643"/>
      <c r="J926" s="644"/>
      <c r="K926" s="147"/>
      <c r="L926" s="632"/>
      <c r="M926" s="147"/>
      <c r="N926" s="640"/>
      <c r="O926" s="640"/>
      <c r="P926" s="641"/>
      <c r="Q926" s="642"/>
      <c r="R926" s="147"/>
      <c r="S926" s="147"/>
      <c r="T926" s="147"/>
      <c r="U926" s="147"/>
      <c r="V926" s="147"/>
      <c r="W926" s="147"/>
      <c r="X926" s="147"/>
      <c r="Y926" s="147"/>
      <c r="Z926" s="147"/>
      <c r="AA926" s="147"/>
      <c r="AB926" s="147"/>
      <c r="AC926" s="147"/>
      <c r="AD926" s="147"/>
      <c r="AE926" s="147"/>
      <c r="AF926" s="147"/>
      <c r="AG926" s="147"/>
      <c r="AH926" s="147"/>
      <c r="AI926" s="147"/>
      <c r="AJ926" s="147"/>
      <c r="AK926" s="147"/>
      <c r="AL926" s="147"/>
      <c r="AM926" s="147"/>
      <c r="AN926" s="147"/>
      <c r="AO926" s="147"/>
      <c r="AP926" s="147"/>
      <c r="AQ926" s="147"/>
      <c r="AR926" s="147"/>
      <c r="AS926" s="147"/>
      <c r="AT926" s="147"/>
      <c r="AU926" s="147"/>
      <c r="AV926" s="147"/>
      <c r="AW926" s="147"/>
    </row>
    <row r="927">
      <c r="A927" s="631"/>
      <c r="B927" s="631"/>
      <c r="C927" s="632"/>
      <c r="D927" s="633"/>
      <c r="E927" s="634"/>
      <c r="F927" s="635"/>
      <c r="G927" s="636"/>
      <c r="H927" s="637"/>
      <c r="I927" s="643"/>
      <c r="J927" s="644"/>
      <c r="K927" s="147"/>
      <c r="L927" s="632"/>
      <c r="M927" s="147"/>
      <c r="N927" s="640"/>
      <c r="O927" s="640"/>
      <c r="P927" s="641"/>
      <c r="Q927" s="642"/>
      <c r="R927" s="147"/>
      <c r="S927" s="147"/>
      <c r="T927" s="147"/>
      <c r="U927" s="147"/>
      <c r="V927" s="147"/>
      <c r="W927" s="147"/>
      <c r="X927" s="147"/>
      <c r="Y927" s="147"/>
      <c r="Z927" s="147"/>
      <c r="AA927" s="147"/>
      <c r="AB927" s="147"/>
      <c r="AC927" s="147"/>
      <c r="AD927" s="147"/>
      <c r="AE927" s="147"/>
      <c r="AF927" s="147"/>
      <c r="AG927" s="147"/>
      <c r="AH927" s="147"/>
      <c r="AI927" s="147"/>
      <c r="AJ927" s="147"/>
      <c r="AK927" s="147"/>
      <c r="AL927" s="147"/>
      <c r="AM927" s="147"/>
      <c r="AN927" s="147"/>
      <c r="AO927" s="147"/>
      <c r="AP927" s="147"/>
      <c r="AQ927" s="147"/>
      <c r="AR927" s="147"/>
      <c r="AS927" s="147"/>
      <c r="AT927" s="147"/>
      <c r="AU927" s="147"/>
      <c r="AV927" s="147"/>
      <c r="AW927" s="147"/>
    </row>
    <row r="928">
      <c r="A928" s="631"/>
      <c r="B928" s="631"/>
      <c r="C928" s="632"/>
      <c r="D928" s="633"/>
      <c r="E928" s="634"/>
      <c r="F928" s="635"/>
      <c r="G928" s="636"/>
      <c r="H928" s="637"/>
      <c r="I928" s="643"/>
      <c r="J928" s="644"/>
      <c r="K928" s="147"/>
      <c r="L928" s="632"/>
      <c r="M928" s="147"/>
      <c r="N928" s="640"/>
      <c r="O928" s="640"/>
      <c r="P928" s="641"/>
      <c r="Q928" s="642"/>
      <c r="R928" s="147"/>
      <c r="S928" s="147"/>
      <c r="T928" s="147"/>
      <c r="U928" s="147"/>
      <c r="V928" s="147"/>
      <c r="W928" s="147"/>
      <c r="X928" s="147"/>
      <c r="Y928" s="147"/>
      <c r="Z928" s="147"/>
      <c r="AA928" s="147"/>
      <c r="AB928" s="147"/>
      <c r="AC928" s="147"/>
      <c r="AD928" s="147"/>
      <c r="AE928" s="147"/>
      <c r="AF928" s="147"/>
      <c r="AG928" s="147"/>
      <c r="AH928" s="147"/>
      <c r="AI928" s="147"/>
      <c r="AJ928" s="147"/>
      <c r="AK928" s="147"/>
      <c r="AL928" s="147"/>
      <c r="AM928" s="147"/>
      <c r="AN928" s="147"/>
      <c r="AO928" s="147"/>
      <c r="AP928" s="147"/>
      <c r="AQ928" s="147"/>
      <c r="AR928" s="147"/>
      <c r="AS928" s="147"/>
      <c r="AT928" s="147"/>
      <c r="AU928" s="147"/>
      <c r="AV928" s="147"/>
      <c r="AW928" s="147"/>
    </row>
    <row r="929">
      <c r="A929" s="631"/>
      <c r="B929" s="631"/>
      <c r="C929" s="632"/>
      <c r="D929" s="633"/>
      <c r="E929" s="634"/>
      <c r="F929" s="635"/>
      <c r="G929" s="636"/>
      <c r="H929" s="637"/>
      <c r="I929" s="643"/>
      <c r="J929" s="644"/>
      <c r="K929" s="147"/>
      <c r="L929" s="632"/>
      <c r="M929" s="147"/>
      <c r="N929" s="640"/>
      <c r="O929" s="640"/>
      <c r="P929" s="641"/>
      <c r="Q929" s="642"/>
      <c r="R929" s="147"/>
      <c r="S929" s="147"/>
      <c r="T929" s="147"/>
      <c r="U929" s="147"/>
      <c r="V929" s="147"/>
      <c r="W929" s="147"/>
      <c r="X929" s="147"/>
      <c r="Y929" s="147"/>
      <c r="Z929" s="147"/>
      <c r="AA929" s="147"/>
      <c r="AB929" s="147"/>
      <c r="AC929" s="147"/>
      <c r="AD929" s="147"/>
      <c r="AE929" s="147"/>
      <c r="AF929" s="147"/>
      <c r="AG929" s="147"/>
      <c r="AH929" s="147"/>
      <c r="AI929" s="147"/>
      <c r="AJ929" s="147"/>
      <c r="AK929" s="147"/>
      <c r="AL929" s="147"/>
      <c r="AM929" s="147"/>
      <c r="AN929" s="147"/>
      <c r="AO929" s="147"/>
      <c r="AP929" s="147"/>
      <c r="AQ929" s="147"/>
      <c r="AR929" s="147"/>
      <c r="AS929" s="147"/>
      <c r="AT929" s="147"/>
      <c r="AU929" s="147"/>
      <c r="AV929" s="147"/>
      <c r="AW929" s="147"/>
    </row>
    <row r="930">
      <c r="A930" s="631"/>
      <c r="B930" s="631"/>
      <c r="C930" s="632"/>
      <c r="D930" s="633"/>
      <c r="E930" s="634"/>
      <c r="F930" s="635"/>
      <c r="G930" s="636"/>
      <c r="H930" s="637"/>
      <c r="I930" s="643"/>
      <c r="J930" s="644"/>
      <c r="K930" s="147"/>
      <c r="L930" s="632"/>
      <c r="M930" s="147"/>
      <c r="N930" s="640"/>
      <c r="O930" s="640"/>
      <c r="P930" s="641"/>
      <c r="Q930" s="642"/>
      <c r="R930" s="147"/>
      <c r="S930" s="147"/>
      <c r="T930" s="147"/>
      <c r="U930" s="147"/>
      <c r="V930" s="147"/>
      <c r="W930" s="147"/>
      <c r="X930" s="147"/>
      <c r="Y930" s="147"/>
      <c r="Z930" s="147"/>
      <c r="AA930" s="147"/>
      <c r="AB930" s="147"/>
      <c r="AC930" s="147"/>
      <c r="AD930" s="147"/>
      <c r="AE930" s="147"/>
      <c r="AF930" s="147"/>
      <c r="AG930" s="147"/>
      <c r="AH930" s="147"/>
      <c r="AI930" s="147"/>
      <c r="AJ930" s="147"/>
      <c r="AK930" s="147"/>
      <c r="AL930" s="147"/>
      <c r="AM930" s="147"/>
      <c r="AN930" s="147"/>
      <c r="AO930" s="147"/>
      <c r="AP930" s="147"/>
      <c r="AQ930" s="147"/>
      <c r="AR930" s="147"/>
      <c r="AS930" s="147"/>
      <c r="AT930" s="147"/>
      <c r="AU930" s="147"/>
      <c r="AV930" s="147"/>
      <c r="AW930" s="147"/>
    </row>
    <row r="931">
      <c r="A931" s="631"/>
      <c r="B931" s="631"/>
      <c r="C931" s="632"/>
      <c r="D931" s="633"/>
      <c r="E931" s="634"/>
      <c r="F931" s="635"/>
      <c r="G931" s="636"/>
      <c r="H931" s="637"/>
      <c r="I931" s="643"/>
      <c r="J931" s="644"/>
      <c r="K931" s="147"/>
      <c r="L931" s="632"/>
      <c r="M931" s="147"/>
      <c r="N931" s="640"/>
      <c r="O931" s="640"/>
      <c r="P931" s="641"/>
      <c r="Q931" s="642"/>
      <c r="R931" s="147"/>
      <c r="S931" s="147"/>
      <c r="T931" s="147"/>
      <c r="U931" s="147"/>
      <c r="V931" s="147"/>
      <c r="W931" s="147"/>
      <c r="X931" s="147"/>
      <c r="Y931" s="147"/>
      <c r="Z931" s="147"/>
      <c r="AA931" s="147"/>
      <c r="AB931" s="147"/>
      <c r="AC931" s="147"/>
      <c r="AD931" s="147"/>
      <c r="AE931" s="147"/>
      <c r="AF931" s="147"/>
      <c r="AG931" s="147"/>
      <c r="AH931" s="147"/>
      <c r="AI931" s="147"/>
      <c r="AJ931" s="147"/>
      <c r="AK931" s="147"/>
      <c r="AL931" s="147"/>
      <c r="AM931" s="147"/>
      <c r="AN931" s="147"/>
      <c r="AO931" s="147"/>
      <c r="AP931" s="147"/>
      <c r="AQ931" s="147"/>
      <c r="AR931" s="147"/>
      <c r="AS931" s="147"/>
      <c r="AT931" s="147"/>
      <c r="AU931" s="147"/>
      <c r="AV931" s="147"/>
      <c r="AW931" s="147"/>
    </row>
    <row r="932">
      <c r="A932" s="631"/>
      <c r="B932" s="631"/>
      <c r="C932" s="632"/>
      <c r="D932" s="633"/>
      <c r="E932" s="634"/>
      <c r="F932" s="635"/>
      <c r="G932" s="636"/>
      <c r="H932" s="637"/>
      <c r="I932" s="643"/>
      <c r="J932" s="644"/>
      <c r="K932" s="147"/>
      <c r="L932" s="632"/>
      <c r="M932" s="147"/>
      <c r="N932" s="640"/>
      <c r="O932" s="640"/>
      <c r="P932" s="641"/>
      <c r="Q932" s="642"/>
      <c r="R932" s="147"/>
      <c r="S932" s="147"/>
      <c r="T932" s="147"/>
      <c r="U932" s="147"/>
      <c r="V932" s="147"/>
      <c r="W932" s="147"/>
      <c r="X932" s="147"/>
      <c r="Y932" s="147"/>
      <c r="Z932" s="147"/>
      <c r="AA932" s="147"/>
      <c r="AB932" s="147"/>
      <c r="AC932" s="147"/>
      <c r="AD932" s="147"/>
      <c r="AE932" s="147"/>
      <c r="AF932" s="147"/>
      <c r="AG932" s="147"/>
      <c r="AH932" s="147"/>
      <c r="AI932" s="147"/>
      <c r="AJ932" s="147"/>
      <c r="AK932" s="147"/>
      <c r="AL932" s="147"/>
      <c r="AM932" s="147"/>
      <c r="AN932" s="147"/>
      <c r="AO932" s="147"/>
      <c r="AP932" s="147"/>
      <c r="AQ932" s="147"/>
      <c r="AR932" s="147"/>
      <c r="AS932" s="147"/>
      <c r="AT932" s="147"/>
      <c r="AU932" s="147"/>
      <c r="AV932" s="147"/>
      <c r="AW932" s="147"/>
    </row>
    <row r="933">
      <c r="A933" s="631"/>
      <c r="B933" s="631"/>
      <c r="C933" s="632"/>
      <c r="D933" s="633"/>
      <c r="E933" s="634"/>
      <c r="F933" s="635"/>
      <c r="G933" s="636"/>
      <c r="H933" s="637"/>
      <c r="I933" s="643"/>
      <c r="J933" s="644"/>
      <c r="K933" s="147"/>
      <c r="L933" s="632"/>
      <c r="M933" s="147"/>
      <c r="N933" s="640"/>
      <c r="O933" s="640"/>
      <c r="P933" s="641"/>
      <c r="Q933" s="642"/>
      <c r="R933" s="147"/>
      <c r="S933" s="147"/>
      <c r="T933" s="147"/>
      <c r="U933" s="147"/>
      <c r="V933" s="147"/>
      <c r="W933" s="147"/>
      <c r="X933" s="147"/>
      <c r="Y933" s="147"/>
      <c r="Z933" s="147"/>
      <c r="AA933" s="147"/>
      <c r="AB933" s="147"/>
      <c r="AC933" s="147"/>
      <c r="AD933" s="147"/>
      <c r="AE933" s="147"/>
      <c r="AF933" s="147"/>
      <c r="AG933" s="147"/>
      <c r="AH933" s="147"/>
      <c r="AI933" s="147"/>
      <c r="AJ933" s="147"/>
      <c r="AK933" s="147"/>
      <c r="AL933" s="147"/>
      <c r="AM933" s="147"/>
      <c r="AN933" s="147"/>
      <c r="AO933" s="147"/>
      <c r="AP933" s="147"/>
      <c r="AQ933" s="147"/>
      <c r="AR933" s="147"/>
      <c r="AS933" s="147"/>
      <c r="AT933" s="147"/>
      <c r="AU933" s="147"/>
      <c r="AV933" s="147"/>
      <c r="AW933" s="147"/>
    </row>
    <row r="934">
      <c r="A934" s="631"/>
      <c r="B934" s="631"/>
      <c r="C934" s="632"/>
      <c r="D934" s="633"/>
      <c r="E934" s="634"/>
      <c r="F934" s="635"/>
      <c r="G934" s="636"/>
      <c r="H934" s="637"/>
      <c r="I934" s="643"/>
      <c r="J934" s="644"/>
      <c r="K934" s="147"/>
      <c r="L934" s="632"/>
      <c r="M934" s="147"/>
      <c r="N934" s="640"/>
      <c r="O934" s="640"/>
      <c r="P934" s="641"/>
      <c r="Q934" s="642"/>
      <c r="R934" s="147"/>
      <c r="S934" s="147"/>
      <c r="T934" s="147"/>
      <c r="U934" s="147"/>
      <c r="V934" s="147"/>
      <c r="W934" s="147"/>
      <c r="X934" s="147"/>
      <c r="Y934" s="147"/>
      <c r="Z934" s="147"/>
      <c r="AA934" s="147"/>
      <c r="AB934" s="147"/>
      <c r="AC934" s="147"/>
      <c r="AD934" s="147"/>
      <c r="AE934" s="147"/>
      <c r="AF934" s="147"/>
      <c r="AG934" s="147"/>
      <c r="AH934" s="147"/>
      <c r="AI934" s="147"/>
      <c r="AJ934" s="147"/>
      <c r="AK934" s="147"/>
      <c r="AL934" s="147"/>
      <c r="AM934" s="147"/>
      <c r="AN934" s="147"/>
      <c r="AO934" s="147"/>
      <c r="AP934" s="147"/>
      <c r="AQ934" s="147"/>
      <c r="AR934" s="147"/>
      <c r="AS934" s="147"/>
      <c r="AT934" s="147"/>
      <c r="AU934" s="147"/>
      <c r="AV934" s="147"/>
      <c r="AW934" s="147"/>
    </row>
    <row r="935">
      <c r="A935" s="631"/>
      <c r="B935" s="631"/>
      <c r="C935" s="632"/>
      <c r="D935" s="633"/>
      <c r="E935" s="634"/>
      <c r="F935" s="635"/>
      <c r="G935" s="636"/>
      <c r="H935" s="637"/>
      <c r="I935" s="643"/>
      <c r="J935" s="644"/>
      <c r="K935" s="147"/>
      <c r="L935" s="632"/>
      <c r="M935" s="147"/>
      <c r="N935" s="640"/>
      <c r="O935" s="640"/>
      <c r="P935" s="641"/>
      <c r="Q935" s="642"/>
      <c r="R935" s="147"/>
      <c r="S935" s="147"/>
      <c r="T935" s="147"/>
      <c r="U935" s="147"/>
      <c r="V935" s="147"/>
      <c r="W935" s="147"/>
      <c r="X935" s="147"/>
      <c r="Y935" s="147"/>
      <c r="Z935" s="147"/>
      <c r="AA935" s="147"/>
      <c r="AB935" s="147"/>
      <c r="AC935" s="147"/>
      <c r="AD935" s="147"/>
      <c r="AE935" s="147"/>
      <c r="AF935" s="147"/>
      <c r="AG935" s="147"/>
      <c r="AH935" s="147"/>
      <c r="AI935" s="147"/>
      <c r="AJ935" s="147"/>
      <c r="AK935" s="147"/>
      <c r="AL935" s="147"/>
      <c r="AM935" s="147"/>
      <c r="AN935" s="147"/>
      <c r="AO935" s="147"/>
      <c r="AP935" s="147"/>
      <c r="AQ935" s="147"/>
      <c r="AR935" s="147"/>
      <c r="AS935" s="147"/>
      <c r="AT935" s="147"/>
      <c r="AU935" s="147"/>
      <c r="AV935" s="147"/>
      <c r="AW935" s="147"/>
    </row>
    <row r="936">
      <c r="A936" s="631"/>
      <c r="B936" s="631"/>
      <c r="C936" s="632"/>
      <c r="D936" s="633"/>
      <c r="E936" s="634"/>
      <c r="F936" s="635"/>
      <c r="G936" s="636"/>
      <c r="H936" s="637"/>
      <c r="I936" s="643"/>
      <c r="J936" s="644"/>
      <c r="K936" s="147"/>
      <c r="L936" s="632"/>
      <c r="M936" s="147"/>
      <c r="N936" s="640"/>
      <c r="O936" s="640"/>
      <c r="P936" s="641"/>
      <c r="Q936" s="642"/>
      <c r="R936" s="147"/>
      <c r="S936" s="147"/>
      <c r="T936" s="147"/>
      <c r="U936" s="147"/>
      <c r="V936" s="147"/>
      <c r="W936" s="147"/>
      <c r="X936" s="147"/>
      <c r="Y936" s="147"/>
      <c r="Z936" s="147"/>
      <c r="AA936" s="147"/>
      <c r="AB936" s="147"/>
      <c r="AC936" s="147"/>
      <c r="AD936" s="147"/>
      <c r="AE936" s="147"/>
      <c r="AF936" s="147"/>
      <c r="AG936" s="147"/>
      <c r="AH936" s="147"/>
      <c r="AI936" s="147"/>
      <c r="AJ936" s="147"/>
      <c r="AK936" s="147"/>
      <c r="AL936" s="147"/>
      <c r="AM936" s="147"/>
      <c r="AN936" s="147"/>
      <c r="AO936" s="147"/>
      <c r="AP936" s="147"/>
      <c r="AQ936" s="147"/>
      <c r="AR936" s="147"/>
      <c r="AS936" s="147"/>
      <c r="AT936" s="147"/>
      <c r="AU936" s="147"/>
      <c r="AV936" s="147"/>
      <c r="AW936" s="147"/>
    </row>
    <row r="937">
      <c r="A937" s="631"/>
      <c r="B937" s="631"/>
      <c r="C937" s="632"/>
      <c r="D937" s="633"/>
      <c r="E937" s="634"/>
      <c r="F937" s="635"/>
      <c r="G937" s="636"/>
      <c r="H937" s="637"/>
      <c r="I937" s="643"/>
      <c r="J937" s="644"/>
      <c r="K937" s="147"/>
      <c r="L937" s="632"/>
      <c r="M937" s="147"/>
      <c r="N937" s="640"/>
      <c r="O937" s="640"/>
      <c r="P937" s="641"/>
      <c r="Q937" s="642"/>
      <c r="R937" s="147"/>
      <c r="S937" s="147"/>
      <c r="T937" s="147"/>
      <c r="U937" s="147"/>
      <c r="V937" s="147"/>
      <c r="W937" s="147"/>
      <c r="X937" s="147"/>
      <c r="Y937" s="147"/>
      <c r="Z937" s="147"/>
      <c r="AA937" s="147"/>
      <c r="AB937" s="147"/>
      <c r="AC937" s="147"/>
      <c r="AD937" s="147"/>
      <c r="AE937" s="147"/>
      <c r="AF937" s="147"/>
      <c r="AG937" s="147"/>
      <c r="AH937" s="147"/>
      <c r="AI937" s="147"/>
      <c r="AJ937" s="147"/>
      <c r="AK937" s="147"/>
      <c r="AL937" s="147"/>
      <c r="AM937" s="147"/>
      <c r="AN937" s="147"/>
      <c r="AO937" s="147"/>
      <c r="AP937" s="147"/>
      <c r="AQ937" s="147"/>
      <c r="AR937" s="147"/>
      <c r="AS937" s="147"/>
      <c r="AT937" s="147"/>
      <c r="AU937" s="147"/>
      <c r="AV937" s="147"/>
      <c r="AW937" s="147"/>
    </row>
    <row r="938">
      <c r="A938" s="631"/>
      <c r="B938" s="631"/>
      <c r="C938" s="632"/>
      <c r="D938" s="633"/>
      <c r="E938" s="634"/>
      <c r="F938" s="635"/>
      <c r="G938" s="636"/>
      <c r="H938" s="637"/>
      <c r="I938" s="643"/>
      <c r="J938" s="644"/>
      <c r="K938" s="147"/>
      <c r="L938" s="632"/>
      <c r="M938" s="147"/>
      <c r="N938" s="640"/>
      <c r="O938" s="640"/>
      <c r="P938" s="641"/>
      <c r="Q938" s="642"/>
      <c r="R938" s="147"/>
      <c r="S938" s="147"/>
      <c r="T938" s="147"/>
      <c r="U938" s="147"/>
      <c r="V938" s="147"/>
      <c r="W938" s="147"/>
      <c r="X938" s="147"/>
      <c r="Y938" s="147"/>
      <c r="Z938" s="147"/>
      <c r="AA938" s="147"/>
      <c r="AB938" s="147"/>
      <c r="AC938" s="147"/>
      <c r="AD938" s="147"/>
      <c r="AE938" s="147"/>
      <c r="AF938" s="147"/>
      <c r="AG938" s="147"/>
      <c r="AH938" s="147"/>
      <c r="AI938" s="147"/>
      <c r="AJ938" s="147"/>
      <c r="AK938" s="147"/>
      <c r="AL938" s="147"/>
      <c r="AM938" s="147"/>
      <c r="AN938" s="147"/>
      <c r="AO938" s="147"/>
      <c r="AP938" s="147"/>
      <c r="AQ938" s="147"/>
      <c r="AR938" s="147"/>
      <c r="AS938" s="147"/>
      <c r="AT938" s="147"/>
      <c r="AU938" s="147"/>
      <c r="AV938" s="147"/>
      <c r="AW938" s="147"/>
    </row>
    <row r="939">
      <c r="A939" s="631"/>
      <c r="B939" s="631"/>
      <c r="C939" s="632"/>
      <c r="D939" s="633"/>
      <c r="E939" s="634"/>
      <c r="F939" s="635"/>
      <c r="G939" s="636"/>
      <c r="H939" s="637"/>
      <c r="I939" s="643"/>
      <c r="J939" s="644"/>
      <c r="K939" s="147"/>
      <c r="L939" s="632"/>
      <c r="M939" s="147"/>
      <c r="N939" s="640"/>
      <c r="O939" s="640"/>
      <c r="P939" s="641"/>
      <c r="Q939" s="642"/>
      <c r="R939" s="147"/>
      <c r="S939" s="147"/>
      <c r="T939" s="147"/>
      <c r="U939" s="147"/>
      <c r="V939" s="147"/>
      <c r="W939" s="147"/>
      <c r="X939" s="147"/>
      <c r="Y939" s="147"/>
      <c r="Z939" s="147"/>
      <c r="AA939" s="147"/>
      <c r="AB939" s="147"/>
      <c r="AC939" s="147"/>
      <c r="AD939" s="147"/>
      <c r="AE939" s="147"/>
      <c r="AF939" s="147"/>
      <c r="AG939" s="147"/>
      <c r="AH939" s="147"/>
      <c r="AI939" s="147"/>
      <c r="AJ939" s="147"/>
      <c r="AK939" s="147"/>
      <c r="AL939" s="147"/>
      <c r="AM939" s="147"/>
      <c r="AN939" s="147"/>
      <c r="AO939" s="147"/>
      <c r="AP939" s="147"/>
      <c r="AQ939" s="147"/>
      <c r="AR939" s="147"/>
      <c r="AS939" s="147"/>
      <c r="AT939" s="147"/>
      <c r="AU939" s="147"/>
      <c r="AV939" s="147"/>
      <c r="AW939" s="147"/>
    </row>
    <row r="940">
      <c r="A940" s="631"/>
      <c r="B940" s="631"/>
      <c r="C940" s="632"/>
      <c r="D940" s="633"/>
      <c r="E940" s="634"/>
      <c r="F940" s="635"/>
      <c r="G940" s="636"/>
      <c r="H940" s="637"/>
      <c r="I940" s="643"/>
      <c r="J940" s="644"/>
      <c r="K940" s="147"/>
      <c r="L940" s="632"/>
      <c r="M940" s="147"/>
      <c r="N940" s="640"/>
      <c r="O940" s="640"/>
      <c r="P940" s="641"/>
      <c r="Q940" s="642"/>
      <c r="R940" s="147"/>
      <c r="S940" s="147"/>
      <c r="T940" s="147"/>
      <c r="U940" s="147"/>
      <c r="V940" s="147"/>
      <c r="W940" s="147"/>
      <c r="X940" s="147"/>
      <c r="Y940" s="147"/>
      <c r="Z940" s="147"/>
      <c r="AA940" s="147"/>
      <c r="AB940" s="147"/>
      <c r="AC940" s="147"/>
      <c r="AD940" s="147"/>
      <c r="AE940" s="147"/>
      <c r="AF940" s="147"/>
      <c r="AG940" s="147"/>
      <c r="AH940" s="147"/>
      <c r="AI940" s="147"/>
      <c r="AJ940" s="147"/>
      <c r="AK940" s="147"/>
      <c r="AL940" s="147"/>
      <c r="AM940" s="147"/>
      <c r="AN940" s="147"/>
      <c r="AO940" s="147"/>
      <c r="AP940" s="147"/>
      <c r="AQ940" s="147"/>
      <c r="AR940" s="147"/>
      <c r="AS940" s="147"/>
      <c r="AT940" s="147"/>
      <c r="AU940" s="147"/>
      <c r="AV940" s="147"/>
      <c r="AW940" s="147"/>
    </row>
    <row r="941">
      <c r="A941" s="631"/>
      <c r="B941" s="631"/>
      <c r="C941" s="632"/>
      <c r="D941" s="633"/>
      <c r="E941" s="634"/>
      <c r="F941" s="635"/>
      <c r="G941" s="636"/>
      <c r="H941" s="637"/>
      <c r="I941" s="643"/>
      <c r="J941" s="644"/>
      <c r="K941" s="147"/>
      <c r="L941" s="632"/>
      <c r="M941" s="147"/>
      <c r="N941" s="640"/>
      <c r="O941" s="640"/>
      <c r="P941" s="641"/>
      <c r="Q941" s="642"/>
      <c r="R941" s="147"/>
      <c r="S941" s="147"/>
      <c r="T941" s="147"/>
      <c r="U941" s="147"/>
      <c r="V941" s="147"/>
      <c r="W941" s="147"/>
      <c r="X941" s="147"/>
      <c r="Y941" s="147"/>
      <c r="Z941" s="147"/>
      <c r="AA941" s="147"/>
      <c r="AB941" s="147"/>
      <c r="AC941" s="147"/>
      <c r="AD941" s="147"/>
      <c r="AE941" s="147"/>
      <c r="AF941" s="147"/>
      <c r="AG941" s="147"/>
      <c r="AH941" s="147"/>
      <c r="AI941" s="147"/>
      <c r="AJ941" s="147"/>
      <c r="AK941" s="147"/>
      <c r="AL941" s="147"/>
      <c r="AM941" s="147"/>
      <c r="AN941" s="147"/>
      <c r="AO941" s="147"/>
      <c r="AP941" s="147"/>
      <c r="AQ941" s="147"/>
      <c r="AR941" s="147"/>
      <c r="AS941" s="147"/>
      <c r="AT941" s="147"/>
      <c r="AU941" s="147"/>
      <c r="AV941" s="147"/>
      <c r="AW941" s="147"/>
    </row>
    <row r="942">
      <c r="A942" s="631"/>
      <c r="B942" s="631"/>
      <c r="C942" s="632"/>
      <c r="D942" s="633"/>
      <c r="E942" s="634"/>
      <c r="F942" s="635"/>
      <c r="G942" s="636"/>
      <c r="H942" s="637"/>
      <c r="I942" s="643"/>
      <c r="J942" s="644"/>
      <c r="K942" s="147"/>
      <c r="L942" s="632"/>
      <c r="M942" s="147"/>
      <c r="N942" s="640"/>
      <c r="O942" s="640"/>
      <c r="P942" s="641"/>
      <c r="Q942" s="642"/>
      <c r="R942" s="147"/>
      <c r="S942" s="147"/>
      <c r="T942" s="147"/>
      <c r="U942" s="147"/>
      <c r="V942" s="147"/>
      <c r="W942" s="147"/>
      <c r="X942" s="147"/>
      <c r="Y942" s="147"/>
      <c r="Z942" s="147"/>
      <c r="AA942" s="147"/>
      <c r="AB942" s="147"/>
      <c r="AC942" s="147"/>
      <c r="AD942" s="147"/>
      <c r="AE942" s="147"/>
      <c r="AF942" s="147"/>
      <c r="AG942" s="147"/>
      <c r="AH942" s="147"/>
      <c r="AI942" s="147"/>
      <c r="AJ942" s="147"/>
      <c r="AK942" s="147"/>
      <c r="AL942" s="147"/>
      <c r="AM942" s="147"/>
      <c r="AN942" s="147"/>
      <c r="AO942" s="147"/>
      <c r="AP942" s="147"/>
      <c r="AQ942" s="147"/>
      <c r="AR942" s="147"/>
      <c r="AS942" s="147"/>
      <c r="AT942" s="147"/>
      <c r="AU942" s="147"/>
      <c r="AV942" s="147"/>
      <c r="AW942" s="147"/>
    </row>
    <row r="943">
      <c r="A943" s="631"/>
      <c r="B943" s="631"/>
      <c r="C943" s="632"/>
      <c r="D943" s="633"/>
      <c r="E943" s="634"/>
      <c r="F943" s="635"/>
      <c r="G943" s="636"/>
      <c r="H943" s="637"/>
      <c r="I943" s="643"/>
      <c r="J943" s="644"/>
      <c r="K943" s="147"/>
      <c r="L943" s="632"/>
      <c r="M943" s="147"/>
      <c r="N943" s="640"/>
      <c r="O943" s="640"/>
      <c r="P943" s="641"/>
      <c r="Q943" s="642"/>
      <c r="R943" s="147"/>
      <c r="S943" s="147"/>
      <c r="T943" s="147"/>
      <c r="U943" s="147"/>
      <c r="V943" s="147"/>
      <c r="W943" s="147"/>
      <c r="X943" s="147"/>
      <c r="Y943" s="147"/>
      <c r="Z943" s="147"/>
      <c r="AA943" s="147"/>
      <c r="AB943" s="147"/>
      <c r="AC943" s="147"/>
      <c r="AD943" s="147"/>
      <c r="AE943" s="147"/>
      <c r="AF943" s="147"/>
      <c r="AG943" s="147"/>
      <c r="AH943" s="147"/>
      <c r="AI943" s="147"/>
      <c r="AJ943" s="147"/>
      <c r="AK943" s="147"/>
      <c r="AL943" s="147"/>
      <c r="AM943" s="147"/>
      <c r="AN943" s="147"/>
      <c r="AO943" s="147"/>
      <c r="AP943" s="147"/>
      <c r="AQ943" s="147"/>
      <c r="AR943" s="147"/>
      <c r="AS943" s="147"/>
      <c r="AT943" s="147"/>
      <c r="AU943" s="147"/>
      <c r="AV943" s="147"/>
      <c r="AW943" s="147"/>
    </row>
    <row r="944">
      <c r="A944" s="631"/>
      <c r="B944" s="631"/>
      <c r="C944" s="632"/>
      <c r="D944" s="633"/>
      <c r="E944" s="634"/>
      <c r="F944" s="635"/>
      <c r="G944" s="636"/>
      <c r="H944" s="637"/>
      <c r="I944" s="643"/>
      <c r="J944" s="644"/>
      <c r="K944" s="147"/>
      <c r="L944" s="632"/>
      <c r="M944" s="147"/>
      <c r="N944" s="640"/>
      <c r="O944" s="640"/>
      <c r="P944" s="641"/>
      <c r="Q944" s="642"/>
      <c r="R944" s="147"/>
      <c r="S944" s="147"/>
      <c r="T944" s="147"/>
      <c r="U944" s="147"/>
      <c r="V944" s="147"/>
      <c r="W944" s="147"/>
      <c r="X944" s="147"/>
      <c r="Y944" s="147"/>
      <c r="Z944" s="147"/>
      <c r="AA944" s="147"/>
      <c r="AB944" s="147"/>
      <c r="AC944" s="147"/>
      <c r="AD944" s="147"/>
      <c r="AE944" s="147"/>
      <c r="AF944" s="147"/>
      <c r="AG944" s="147"/>
      <c r="AH944" s="147"/>
      <c r="AI944" s="147"/>
      <c r="AJ944" s="147"/>
      <c r="AK944" s="147"/>
      <c r="AL944" s="147"/>
      <c r="AM944" s="147"/>
      <c r="AN944" s="147"/>
      <c r="AO944" s="147"/>
      <c r="AP944" s="147"/>
      <c r="AQ944" s="147"/>
      <c r="AR944" s="147"/>
      <c r="AS944" s="147"/>
      <c r="AT944" s="147"/>
      <c r="AU944" s="147"/>
      <c r="AV944" s="147"/>
      <c r="AW944" s="147"/>
    </row>
    <row r="945">
      <c r="A945" s="631"/>
      <c r="B945" s="631"/>
      <c r="C945" s="632"/>
      <c r="D945" s="633"/>
      <c r="E945" s="634"/>
      <c r="F945" s="635"/>
      <c r="G945" s="636"/>
      <c r="H945" s="637"/>
      <c r="I945" s="643"/>
      <c r="J945" s="644"/>
      <c r="K945" s="147"/>
      <c r="L945" s="632"/>
      <c r="M945" s="147"/>
      <c r="N945" s="640"/>
      <c r="O945" s="640"/>
      <c r="P945" s="641"/>
      <c r="Q945" s="642"/>
      <c r="R945" s="147"/>
      <c r="S945" s="147"/>
      <c r="T945" s="147"/>
      <c r="U945" s="147"/>
      <c r="V945" s="147"/>
      <c r="W945" s="147"/>
      <c r="X945" s="147"/>
      <c r="Y945" s="147"/>
      <c r="Z945" s="147"/>
      <c r="AA945" s="147"/>
      <c r="AB945" s="147"/>
      <c r="AC945" s="147"/>
      <c r="AD945" s="147"/>
      <c r="AE945" s="147"/>
      <c r="AF945" s="147"/>
      <c r="AG945" s="147"/>
      <c r="AH945" s="147"/>
      <c r="AI945" s="147"/>
      <c r="AJ945" s="147"/>
      <c r="AK945" s="147"/>
      <c r="AL945" s="147"/>
      <c r="AM945" s="147"/>
      <c r="AN945" s="147"/>
      <c r="AO945" s="147"/>
      <c r="AP945" s="147"/>
      <c r="AQ945" s="147"/>
      <c r="AR945" s="147"/>
      <c r="AS945" s="147"/>
      <c r="AT945" s="147"/>
      <c r="AU945" s="147"/>
      <c r="AV945" s="147"/>
      <c r="AW945" s="147"/>
    </row>
    <row r="946">
      <c r="A946" s="631"/>
      <c r="B946" s="631"/>
      <c r="C946" s="632"/>
      <c r="D946" s="633"/>
      <c r="E946" s="634"/>
      <c r="F946" s="635"/>
      <c r="G946" s="636"/>
      <c r="H946" s="637"/>
      <c r="I946" s="643"/>
      <c r="J946" s="644"/>
      <c r="K946" s="147"/>
      <c r="L946" s="632"/>
      <c r="M946" s="147"/>
      <c r="N946" s="640"/>
      <c r="O946" s="640"/>
      <c r="P946" s="641"/>
      <c r="Q946" s="642"/>
      <c r="R946" s="147"/>
      <c r="S946" s="147"/>
      <c r="T946" s="147"/>
      <c r="U946" s="147"/>
      <c r="V946" s="147"/>
      <c r="W946" s="147"/>
      <c r="X946" s="147"/>
      <c r="Y946" s="147"/>
      <c r="Z946" s="147"/>
      <c r="AA946" s="147"/>
      <c r="AB946" s="147"/>
      <c r="AC946" s="147"/>
      <c r="AD946" s="147"/>
      <c r="AE946" s="147"/>
      <c r="AF946" s="147"/>
      <c r="AG946" s="147"/>
      <c r="AH946" s="147"/>
      <c r="AI946" s="147"/>
      <c r="AJ946" s="147"/>
      <c r="AK946" s="147"/>
      <c r="AL946" s="147"/>
      <c r="AM946" s="147"/>
      <c r="AN946" s="147"/>
      <c r="AO946" s="147"/>
      <c r="AP946" s="147"/>
      <c r="AQ946" s="147"/>
      <c r="AR946" s="147"/>
      <c r="AS946" s="147"/>
      <c r="AT946" s="147"/>
      <c r="AU946" s="147"/>
      <c r="AV946" s="147"/>
      <c r="AW946" s="147"/>
    </row>
    <row r="947">
      <c r="A947" s="631"/>
      <c r="B947" s="631"/>
      <c r="C947" s="632"/>
      <c r="D947" s="633"/>
      <c r="E947" s="634"/>
      <c r="F947" s="635"/>
      <c r="G947" s="636"/>
      <c r="H947" s="637"/>
      <c r="I947" s="643"/>
      <c r="J947" s="644"/>
      <c r="K947" s="147"/>
      <c r="L947" s="632"/>
      <c r="M947" s="147"/>
      <c r="N947" s="640"/>
      <c r="O947" s="640"/>
      <c r="P947" s="641"/>
      <c r="Q947" s="642"/>
      <c r="R947" s="147"/>
      <c r="S947" s="147"/>
      <c r="T947" s="147"/>
      <c r="U947" s="147"/>
      <c r="V947" s="147"/>
      <c r="W947" s="147"/>
      <c r="X947" s="147"/>
      <c r="Y947" s="147"/>
      <c r="Z947" s="147"/>
      <c r="AA947" s="147"/>
      <c r="AB947" s="147"/>
      <c r="AC947" s="147"/>
      <c r="AD947" s="147"/>
      <c r="AE947" s="147"/>
      <c r="AF947" s="147"/>
      <c r="AG947" s="147"/>
      <c r="AH947" s="147"/>
      <c r="AI947" s="147"/>
      <c r="AJ947" s="147"/>
      <c r="AK947" s="147"/>
      <c r="AL947" s="147"/>
      <c r="AM947" s="147"/>
      <c r="AN947" s="147"/>
      <c r="AO947" s="147"/>
      <c r="AP947" s="147"/>
      <c r="AQ947" s="147"/>
      <c r="AR947" s="147"/>
      <c r="AS947" s="147"/>
      <c r="AT947" s="147"/>
      <c r="AU947" s="147"/>
      <c r="AV947" s="147"/>
      <c r="AW947" s="147"/>
    </row>
    <row r="948">
      <c r="A948" s="631"/>
      <c r="B948" s="631"/>
      <c r="C948" s="632"/>
      <c r="D948" s="633"/>
      <c r="E948" s="634"/>
      <c r="F948" s="635"/>
      <c r="G948" s="636"/>
      <c r="H948" s="637"/>
      <c r="I948" s="643"/>
      <c r="J948" s="644"/>
      <c r="K948" s="147"/>
      <c r="L948" s="632"/>
      <c r="M948" s="147"/>
      <c r="N948" s="640"/>
      <c r="O948" s="640"/>
      <c r="P948" s="641"/>
      <c r="Q948" s="642"/>
      <c r="R948" s="147"/>
      <c r="S948" s="147"/>
      <c r="T948" s="147"/>
      <c r="U948" s="147"/>
      <c r="V948" s="147"/>
      <c r="W948" s="147"/>
      <c r="X948" s="147"/>
      <c r="Y948" s="147"/>
      <c r="Z948" s="147"/>
      <c r="AA948" s="147"/>
      <c r="AB948" s="147"/>
      <c r="AC948" s="147"/>
      <c r="AD948" s="147"/>
      <c r="AE948" s="147"/>
      <c r="AF948" s="147"/>
      <c r="AG948" s="147"/>
      <c r="AH948" s="147"/>
      <c r="AI948" s="147"/>
      <c r="AJ948" s="147"/>
      <c r="AK948" s="147"/>
      <c r="AL948" s="147"/>
      <c r="AM948" s="147"/>
      <c r="AN948" s="147"/>
      <c r="AO948" s="147"/>
      <c r="AP948" s="147"/>
      <c r="AQ948" s="147"/>
      <c r="AR948" s="147"/>
      <c r="AS948" s="147"/>
      <c r="AT948" s="147"/>
      <c r="AU948" s="147"/>
      <c r="AV948" s="147"/>
      <c r="AW948" s="147"/>
    </row>
    <row r="949">
      <c r="A949" s="631"/>
      <c r="B949" s="631"/>
      <c r="C949" s="632"/>
      <c r="D949" s="633"/>
      <c r="E949" s="634"/>
      <c r="F949" s="635"/>
      <c r="G949" s="636"/>
      <c r="H949" s="637"/>
      <c r="I949" s="643"/>
      <c r="J949" s="644"/>
      <c r="K949" s="147"/>
      <c r="L949" s="632"/>
      <c r="M949" s="147"/>
      <c r="N949" s="640"/>
      <c r="O949" s="640"/>
      <c r="P949" s="641"/>
      <c r="Q949" s="642"/>
      <c r="R949" s="147"/>
      <c r="S949" s="147"/>
      <c r="T949" s="147"/>
      <c r="U949" s="147"/>
      <c r="V949" s="147"/>
      <c r="W949" s="147"/>
      <c r="X949" s="147"/>
      <c r="Y949" s="147"/>
      <c r="Z949" s="147"/>
      <c r="AA949" s="147"/>
      <c r="AB949" s="147"/>
      <c r="AC949" s="147"/>
      <c r="AD949" s="147"/>
      <c r="AE949" s="147"/>
      <c r="AF949" s="147"/>
      <c r="AG949" s="147"/>
      <c r="AH949" s="147"/>
      <c r="AI949" s="147"/>
      <c r="AJ949" s="147"/>
      <c r="AK949" s="147"/>
      <c r="AL949" s="147"/>
      <c r="AM949" s="147"/>
      <c r="AN949" s="147"/>
      <c r="AO949" s="147"/>
      <c r="AP949" s="147"/>
      <c r="AQ949" s="147"/>
      <c r="AR949" s="147"/>
      <c r="AS949" s="147"/>
      <c r="AT949" s="147"/>
      <c r="AU949" s="147"/>
      <c r="AV949" s="147"/>
      <c r="AW949" s="147"/>
    </row>
    <row r="950">
      <c r="A950" s="631"/>
      <c r="B950" s="631"/>
      <c r="C950" s="632"/>
      <c r="D950" s="633"/>
      <c r="E950" s="634"/>
      <c r="F950" s="635"/>
      <c r="G950" s="636"/>
      <c r="H950" s="637"/>
      <c r="I950" s="643"/>
      <c r="J950" s="644"/>
      <c r="K950" s="147"/>
      <c r="L950" s="632"/>
      <c r="M950" s="147"/>
      <c r="N950" s="640"/>
      <c r="O950" s="640"/>
      <c r="P950" s="641"/>
      <c r="Q950" s="642"/>
      <c r="R950" s="147"/>
      <c r="S950" s="147"/>
      <c r="T950" s="147"/>
      <c r="U950" s="147"/>
      <c r="V950" s="147"/>
      <c r="W950" s="147"/>
      <c r="X950" s="147"/>
      <c r="Y950" s="147"/>
      <c r="Z950" s="147"/>
      <c r="AA950" s="147"/>
      <c r="AB950" s="147"/>
      <c r="AC950" s="147"/>
      <c r="AD950" s="147"/>
      <c r="AE950" s="147"/>
      <c r="AF950" s="147"/>
      <c r="AG950" s="147"/>
      <c r="AH950" s="147"/>
      <c r="AI950" s="147"/>
      <c r="AJ950" s="147"/>
      <c r="AK950" s="147"/>
      <c r="AL950" s="147"/>
      <c r="AM950" s="147"/>
      <c r="AN950" s="147"/>
      <c r="AO950" s="147"/>
      <c r="AP950" s="147"/>
      <c r="AQ950" s="147"/>
      <c r="AR950" s="147"/>
      <c r="AS950" s="147"/>
      <c r="AT950" s="147"/>
      <c r="AU950" s="147"/>
      <c r="AV950" s="147"/>
      <c r="AW950" s="147"/>
    </row>
    <row r="951">
      <c r="A951" s="631"/>
      <c r="B951" s="631"/>
      <c r="C951" s="632"/>
      <c r="D951" s="633"/>
      <c r="E951" s="634"/>
      <c r="F951" s="635"/>
      <c r="G951" s="636"/>
      <c r="H951" s="637"/>
      <c r="I951" s="643"/>
      <c r="J951" s="644"/>
      <c r="K951" s="147"/>
      <c r="L951" s="632"/>
      <c r="M951" s="147"/>
      <c r="N951" s="640"/>
      <c r="O951" s="640"/>
      <c r="P951" s="641"/>
      <c r="Q951" s="642"/>
      <c r="R951" s="147"/>
      <c r="S951" s="147"/>
      <c r="T951" s="147"/>
      <c r="U951" s="147"/>
      <c r="V951" s="147"/>
      <c r="W951" s="147"/>
      <c r="X951" s="147"/>
      <c r="Y951" s="147"/>
      <c r="Z951" s="147"/>
      <c r="AA951" s="147"/>
      <c r="AB951" s="147"/>
      <c r="AC951" s="147"/>
      <c r="AD951" s="147"/>
      <c r="AE951" s="147"/>
      <c r="AF951" s="147"/>
      <c r="AG951" s="147"/>
      <c r="AH951" s="147"/>
      <c r="AI951" s="147"/>
      <c r="AJ951" s="147"/>
      <c r="AK951" s="147"/>
      <c r="AL951" s="147"/>
      <c r="AM951" s="147"/>
      <c r="AN951" s="147"/>
      <c r="AO951" s="147"/>
      <c r="AP951" s="147"/>
      <c r="AQ951" s="147"/>
      <c r="AR951" s="147"/>
      <c r="AS951" s="147"/>
      <c r="AT951" s="147"/>
      <c r="AU951" s="147"/>
      <c r="AV951" s="147"/>
      <c r="AW951" s="147"/>
    </row>
    <row r="952">
      <c r="A952" s="631"/>
      <c r="B952" s="631"/>
      <c r="C952" s="632"/>
      <c r="D952" s="633"/>
      <c r="E952" s="634"/>
      <c r="F952" s="635"/>
      <c r="G952" s="636"/>
      <c r="H952" s="637"/>
      <c r="I952" s="643"/>
      <c r="J952" s="644"/>
      <c r="K952" s="147"/>
      <c r="L952" s="632"/>
      <c r="M952" s="147"/>
      <c r="N952" s="640"/>
      <c r="O952" s="640"/>
      <c r="P952" s="641"/>
      <c r="Q952" s="642"/>
      <c r="R952" s="147"/>
      <c r="S952" s="147"/>
      <c r="T952" s="147"/>
      <c r="U952" s="147"/>
      <c r="V952" s="147"/>
      <c r="W952" s="147"/>
      <c r="X952" s="147"/>
      <c r="Y952" s="147"/>
      <c r="Z952" s="147"/>
      <c r="AA952" s="147"/>
      <c r="AB952" s="147"/>
      <c r="AC952" s="147"/>
      <c r="AD952" s="147"/>
      <c r="AE952" s="147"/>
      <c r="AF952" s="147"/>
      <c r="AG952" s="147"/>
      <c r="AH952" s="147"/>
      <c r="AI952" s="147"/>
      <c r="AJ952" s="147"/>
      <c r="AK952" s="147"/>
      <c r="AL952" s="147"/>
      <c r="AM952" s="147"/>
      <c r="AN952" s="147"/>
      <c r="AO952" s="147"/>
      <c r="AP952" s="147"/>
      <c r="AQ952" s="147"/>
      <c r="AR952" s="147"/>
      <c r="AS952" s="147"/>
      <c r="AT952" s="147"/>
      <c r="AU952" s="147"/>
      <c r="AV952" s="147"/>
      <c r="AW952" s="147"/>
    </row>
    <row r="953">
      <c r="A953" s="631"/>
      <c r="B953" s="631"/>
      <c r="C953" s="632"/>
      <c r="D953" s="633"/>
      <c r="E953" s="634"/>
      <c r="F953" s="635"/>
      <c r="G953" s="636"/>
      <c r="H953" s="637"/>
      <c r="I953" s="643"/>
      <c r="J953" s="644"/>
      <c r="K953" s="147"/>
      <c r="L953" s="632"/>
      <c r="M953" s="147"/>
      <c r="N953" s="640"/>
      <c r="O953" s="640"/>
      <c r="P953" s="641"/>
      <c r="Q953" s="642"/>
      <c r="R953" s="147"/>
      <c r="S953" s="147"/>
      <c r="T953" s="147"/>
      <c r="U953" s="147"/>
      <c r="V953" s="147"/>
      <c r="W953" s="147"/>
      <c r="X953" s="147"/>
      <c r="Y953" s="147"/>
      <c r="Z953" s="147"/>
      <c r="AA953" s="147"/>
      <c r="AB953" s="147"/>
      <c r="AC953" s="147"/>
      <c r="AD953" s="147"/>
      <c r="AE953" s="147"/>
      <c r="AF953" s="147"/>
      <c r="AG953" s="147"/>
      <c r="AH953" s="147"/>
      <c r="AI953" s="147"/>
      <c r="AJ953" s="147"/>
      <c r="AK953" s="147"/>
      <c r="AL953" s="147"/>
      <c r="AM953" s="147"/>
      <c r="AN953" s="147"/>
      <c r="AO953" s="147"/>
      <c r="AP953" s="147"/>
      <c r="AQ953" s="147"/>
      <c r="AR953" s="147"/>
      <c r="AS953" s="147"/>
      <c r="AT953" s="147"/>
      <c r="AU953" s="147"/>
      <c r="AV953" s="147"/>
      <c r="AW953" s="147"/>
    </row>
    <row r="954">
      <c r="A954" s="631"/>
      <c r="B954" s="631"/>
      <c r="C954" s="632"/>
      <c r="D954" s="633"/>
      <c r="E954" s="634"/>
      <c r="F954" s="635"/>
      <c r="G954" s="636"/>
      <c r="H954" s="637"/>
      <c r="I954" s="643"/>
      <c r="J954" s="644"/>
      <c r="K954" s="147"/>
      <c r="L954" s="632"/>
      <c r="M954" s="147"/>
      <c r="N954" s="640"/>
      <c r="O954" s="640"/>
      <c r="P954" s="641"/>
      <c r="Q954" s="642"/>
      <c r="R954" s="147"/>
      <c r="S954" s="147"/>
      <c r="T954" s="147"/>
      <c r="U954" s="147"/>
      <c r="V954" s="147"/>
      <c r="W954" s="147"/>
      <c r="X954" s="147"/>
      <c r="Y954" s="147"/>
      <c r="Z954" s="147"/>
      <c r="AA954" s="147"/>
      <c r="AB954" s="147"/>
      <c r="AC954" s="147"/>
      <c r="AD954" s="147"/>
      <c r="AE954" s="147"/>
      <c r="AF954" s="147"/>
      <c r="AG954" s="147"/>
      <c r="AH954" s="147"/>
      <c r="AI954" s="147"/>
      <c r="AJ954" s="147"/>
      <c r="AK954" s="147"/>
      <c r="AL954" s="147"/>
      <c r="AM954" s="147"/>
      <c r="AN954" s="147"/>
      <c r="AO954" s="147"/>
      <c r="AP954" s="147"/>
      <c r="AQ954" s="147"/>
      <c r="AR954" s="147"/>
      <c r="AS954" s="147"/>
      <c r="AT954" s="147"/>
      <c r="AU954" s="147"/>
      <c r="AV954" s="147"/>
      <c r="AW954" s="147"/>
    </row>
    <row r="955">
      <c r="A955" s="631"/>
      <c r="B955" s="631"/>
      <c r="C955" s="632"/>
      <c r="D955" s="633"/>
      <c r="E955" s="634"/>
      <c r="F955" s="635"/>
      <c r="G955" s="636"/>
      <c r="H955" s="637"/>
      <c r="I955" s="643"/>
      <c r="J955" s="644"/>
      <c r="K955" s="147"/>
      <c r="L955" s="632"/>
      <c r="M955" s="147"/>
      <c r="N955" s="640"/>
      <c r="O955" s="640"/>
      <c r="P955" s="641"/>
      <c r="Q955" s="642"/>
      <c r="R955" s="147"/>
      <c r="S955" s="147"/>
      <c r="T955" s="147"/>
      <c r="U955" s="147"/>
      <c r="V955" s="147"/>
      <c r="W955" s="147"/>
      <c r="X955" s="147"/>
      <c r="Y955" s="147"/>
      <c r="Z955" s="147"/>
      <c r="AA955" s="147"/>
      <c r="AB955" s="147"/>
      <c r="AC955" s="147"/>
      <c r="AD955" s="147"/>
      <c r="AE955" s="147"/>
      <c r="AF955" s="147"/>
      <c r="AG955" s="147"/>
      <c r="AH955" s="147"/>
      <c r="AI955" s="147"/>
      <c r="AJ955" s="147"/>
      <c r="AK955" s="147"/>
      <c r="AL955" s="147"/>
      <c r="AM955" s="147"/>
      <c r="AN955" s="147"/>
      <c r="AO955" s="147"/>
      <c r="AP955" s="147"/>
      <c r="AQ955" s="147"/>
      <c r="AR955" s="147"/>
      <c r="AS955" s="147"/>
      <c r="AT955" s="147"/>
      <c r="AU955" s="147"/>
      <c r="AV955" s="147"/>
      <c r="AW955" s="147"/>
    </row>
    <row r="956">
      <c r="A956" s="631"/>
      <c r="B956" s="631"/>
      <c r="C956" s="632"/>
      <c r="D956" s="633"/>
      <c r="E956" s="634"/>
      <c r="F956" s="635"/>
      <c r="G956" s="636"/>
      <c r="H956" s="637"/>
      <c r="I956" s="643"/>
      <c r="J956" s="644"/>
      <c r="K956" s="147"/>
      <c r="L956" s="632"/>
      <c r="M956" s="147"/>
      <c r="N956" s="640"/>
      <c r="O956" s="640"/>
      <c r="P956" s="641"/>
      <c r="Q956" s="642"/>
      <c r="R956" s="147"/>
      <c r="S956" s="147"/>
      <c r="T956" s="147"/>
      <c r="U956" s="147"/>
      <c r="V956" s="147"/>
      <c r="W956" s="147"/>
      <c r="X956" s="147"/>
      <c r="Y956" s="147"/>
      <c r="Z956" s="147"/>
      <c r="AA956" s="147"/>
      <c r="AB956" s="147"/>
      <c r="AC956" s="147"/>
      <c r="AD956" s="147"/>
      <c r="AE956" s="147"/>
      <c r="AF956" s="147"/>
      <c r="AG956" s="147"/>
      <c r="AH956" s="147"/>
      <c r="AI956" s="147"/>
      <c r="AJ956" s="147"/>
      <c r="AK956" s="147"/>
      <c r="AL956" s="147"/>
      <c r="AM956" s="147"/>
      <c r="AN956" s="147"/>
      <c r="AO956" s="147"/>
      <c r="AP956" s="147"/>
      <c r="AQ956" s="147"/>
      <c r="AR956" s="147"/>
      <c r="AS956" s="147"/>
      <c r="AT956" s="147"/>
      <c r="AU956" s="147"/>
      <c r="AV956" s="147"/>
      <c r="AW956" s="147"/>
    </row>
    <row r="957">
      <c r="A957" s="631"/>
      <c r="B957" s="631"/>
      <c r="C957" s="632"/>
      <c r="D957" s="633"/>
      <c r="E957" s="634"/>
      <c r="F957" s="635"/>
      <c r="G957" s="636"/>
      <c r="H957" s="637"/>
      <c r="I957" s="643"/>
      <c r="J957" s="644"/>
      <c r="K957" s="147"/>
      <c r="L957" s="632"/>
      <c r="M957" s="147"/>
      <c r="N957" s="640"/>
      <c r="O957" s="640"/>
      <c r="P957" s="641"/>
      <c r="Q957" s="642"/>
      <c r="R957" s="147"/>
      <c r="S957" s="147"/>
      <c r="T957" s="147"/>
      <c r="U957" s="147"/>
      <c r="V957" s="147"/>
      <c r="W957" s="147"/>
      <c r="X957" s="147"/>
      <c r="Y957" s="147"/>
      <c r="Z957" s="147"/>
      <c r="AA957" s="147"/>
      <c r="AB957" s="147"/>
      <c r="AC957" s="147"/>
      <c r="AD957" s="147"/>
      <c r="AE957" s="147"/>
      <c r="AF957" s="147"/>
      <c r="AG957" s="147"/>
      <c r="AH957" s="147"/>
      <c r="AI957" s="147"/>
      <c r="AJ957" s="147"/>
      <c r="AK957" s="147"/>
      <c r="AL957" s="147"/>
      <c r="AM957" s="147"/>
      <c r="AN957" s="147"/>
      <c r="AO957" s="147"/>
      <c r="AP957" s="147"/>
      <c r="AQ957" s="147"/>
      <c r="AR957" s="147"/>
      <c r="AS957" s="147"/>
      <c r="AT957" s="147"/>
      <c r="AU957" s="147"/>
      <c r="AV957" s="147"/>
      <c r="AW957" s="147"/>
    </row>
    <row r="958">
      <c r="A958" s="631"/>
      <c r="B958" s="631"/>
      <c r="C958" s="632"/>
      <c r="D958" s="633"/>
      <c r="E958" s="634"/>
      <c r="F958" s="635"/>
      <c r="G958" s="636"/>
      <c r="H958" s="637"/>
      <c r="I958" s="643"/>
      <c r="J958" s="644"/>
      <c r="K958" s="147"/>
      <c r="L958" s="632"/>
      <c r="M958" s="147"/>
      <c r="N958" s="640"/>
      <c r="O958" s="640"/>
      <c r="P958" s="641"/>
      <c r="Q958" s="642"/>
      <c r="R958" s="147"/>
      <c r="S958" s="147"/>
      <c r="T958" s="147"/>
      <c r="U958" s="147"/>
      <c r="V958" s="147"/>
      <c r="W958" s="147"/>
      <c r="X958" s="147"/>
      <c r="Y958" s="147"/>
      <c r="Z958" s="147"/>
      <c r="AA958" s="147"/>
      <c r="AB958" s="147"/>
      <c r="AC958" s="147"/>
      <c r="AD958" s="147"/>
      <c r="AE958" s="147"/>
      <c r="AF958" s="147"/>
      <c r="AG958" s="147"/>
      <c r="AH958" s="147"/>
      <c r="AI958" s="147"/>
      <c r="AJ958" s="147"/>
      <c r="AK958" s="147"/>
      <c r="AL958" s="147"/>
      <c r="AM958" s="147"/>
      <c r="AN958" s="147"/>
      <c r="AO958" s="147"/>
      <c r="AP958" s="147"/>
      <c r="AQ958" s="147"/>
      <c r="AR958" s="147"/>
      <c r="AS958" s="147"/>
      <c r="AT958" s="147"/>
      <c r="AU958" s="147"/>
      <c r="AV958" s="147"/>
      <c r="AW958" s="147"/>
    </row>
    <row r="959">
      <c r="A959" s="631"/>
      <c r="B959" s="631"/>
      <c r="C959" s="632"/>
      <c r="D959" s="633"/>
      <c r="E959" s="634"/>
      <c r="F959" s="635"/>
      <c r="G959" s="636"/>
      <c r="H959" s="637"/>
      <c r="I959" s="643"/>
      <c r="J959" s="644"/>
      <c r="K959" s="147"/>
      <c r="L959" s="632"/>
      <c r="M959" s="147"/>
      <c r="N959" s="640"/>
      <c r="O959" s="640"/>
      <c r="P959" s="641"/>
      <c r="Q959" s="642"/>
      <c r="R959" s="147"/>
      <c r="S959" s="147"/>
      <c r="T959" s="147"/>
      <c r="U959" s="147"/>
      <c r="V959" s="147"/>
      <c r="W959" s="147"/>
      <c r="X959" s="147"/>
      <c r="Y959" s="147"/>
      <c r="Z959" s="147"/>
      <c r="AA959" s="147"/>
      <c r="AB959" s="147"/>
      <c r="AC959" s="147"/>
      <c r="AD959" s="147"/>
      <c r="AE959" s="147"/>
      <c r="AF959" s="147"/>
      <c r="AG959" s="147"/>
      <c r="AH959" s="147"/>
      <c r="AI959" s="147"/>
      <c r="AJ959" s="147"/>
      <c r="AK959" s="147"/>
      <c r="AL959" s="147"/>
      <c r="AM959" s="147"/>
      <c r="AN959" s="147"/>
      <c r="AO959" s="147"/>
      <c r="AP959" s="147"/>
      <c r="AQ959" s="147"/>
      <c r="AR959" s="147"/>
      <c r="AS959" s="147"/>
      <c r="AT959" s="147"/>
      <c r="AU959" s="147"/>
      <c r="AV959" s="147"/>
      <c r="AW959" s="147"/>
    </row>
    <row r="960">
      <c r="A960" s="631"/>
      <c r="B960" s="631"/>
      <c r="C960" s="632"/>
      <c r="D960" s="633"/>
      <c r="E960" s="634"/>
      <c r="F960" s="635"/>
      <c r="G960" s="636"/>
      <c r="H960" s="637"/>
      <c r="I960" s="643"/>
      <c r="J960" s="644"/>
      <c r="K960" s="147"/>
      <c r="L960" s="632"/>
      <c r="M960" s="147"/>
      <c r="N960" s="640"/>
      <c r="O960" s="640"/>
      <c r="P960" s="641"/>
      <c r="Q960" s="642"/>
      <c r="R960" s="147"/>
      <c r="S960" s="147"/>
      <c r="T960" s="147"/>
      <c r="U960" s="147"/>
      <c r="V960" s="147"/>
      <c r="W960" s="147"/>
      <c r="X960" s="147"/>
      <c r="Y960" s="147"/>
      <c r="Z960" s="147"/>
      <c r="AA960" s="147"/>
      <c r="AB960" s="147"/>
      <c r="AC960" s="147"/>
      <c r="AD960" s="147"/>
      <c r="AE960" s="147"/>
      <c r="AF960" s="147"/>
      <c r="AG960" s="147"/>
      <c r="AH960" s="147"/>
      <c r="AI960" s="147"/>
      <c r="AJ960" s="147"/>
      <c r="AK960" s="147"/>
      <c r="AL960" s="147"/>
      <c r="AM960" s="147"/>
      <c r="AN960" s="147"/>
      <c r="AO960" s="147"/>
      <c r="AP960" s="147"/>
      <c r="AQ960" s="147"/>
      <c r="AR960" s="147"/>
      <c r="AS960" s="147"/>
      <c r="AT960" s="147"/>
      <c r="AU960" s="147"/>
      <c r="AV960" s="147"/>
      <c r="AW960" s="147"/>
    </row>
    <row r="961">
      <c r="A961" s="631"/>
      <c r="B961" s="631"/>
      <c r="C961" s="632"/>
      <c r="D961" s="633"/>
      <c r="E961" s="634"/>
      <c r="F961" s="635"/>
      <c r="G961" s="636"/>
      <c r="H961" s="637"/>
      <c r="I961" s="643"/>
      <c r="J961" s="644"/>
      <c r="K961" s="147"/>
      <c r="L961" s="632"/>
      <c r="M961" s="147"/>
      <c r="N961" s="640"/>
      <c r="O961" s="640"/>
      <c r="P961" s="641"/>
      <c r="Q961" s="642"/>
      <c r="R961" s="147"/>
      <c r="S961" s="147"/>
      <c r="T961" s="147"/>
      <c r="U961" s="147"/>
      <c r="V961" s="147"/>
      <c r="W961" s="147"/>
      <c r="X961" s="147"/>
      <c r="Y961" s="147"/>
      <c r="Z961" s="147"/>
      <c r="AA961" s="147"/>
      <c r="AB961" s="147"/>
      <c r="AC961" s="147"/>
      <c r="AD961" s="147"/>
      <c r="AE961" s="147"/>
      <c r="AF961" s="147"/>
      <c r="AG961" s="147"/>
      <c r="AH961" s="147"/>
      <c r="AI961" s="147"/>
      <c r="AJ961" s="147"/>
      <c r="AK961" s="147"/>
      <c r="AL961" s="147"/>
      <c r="AM961" s="147"/>
      <c r="AN961" s="147"/>
      <c r="AO961" s="147"/>
      <c r="AP961" s="147"/>
      <c r="AQ961" s="147"/>
      <c r="AR961" s="147"/>
      <c r="AS961" s="147"/>
      <c r="AT961" s="147"/>
      <c r="AU961" s="147"/>
      <c r="AV961" s="147"/>
      <c r="AW961" s="147"/>
    </row>
    <row r="962">
      <c r="A962" s="631"/>
      <c r="B962" s="631"/>
      <c r="C962" s="632"/>
      <c r="D962" s="633"/>
      <c r="E962" s="634"/>
      <c r="F962" s="635"/>
      <c r="G962" s="636"/>
      <c r="H962" s="637"/>
      <c r="I962" s="643"/>
      <c r="J962" s="644"/>
      <c r="K962" s="147"/>
      <c r="L962" s="632"/>
      <c r="M962" s="147"/>
      <c r="N962" s="640"/>
      <c r="O962" s="640"/>
      <c r="P962" s="641"/>
      <c r="Q962" s="642"/>
      <c r="R962" s="147"/>
      <c r="S962" s="147"/>
      <c r="T962" s="147"/>
      <c r="U962" s="147"/>
      <c r="V962" s="147"/>
      <c r="W962" s="147"/>
      <c r="X962" s="147"/>
      <c r="Y962" s="147"/>
      <c r="Z962" s="147"/>
      <c r="AA962" s="147"/>
      <c r="AB962" s="147"/>
      <c r="AC962" s="147"/>
      <c r="AD962" s="147"/>
      <c r="AE962" s="147"/>
      <c r="AF962" s="147"/>
      <c r="AG962" s="147"/>
      <c r="AH962" s="147"/>
      <c r="AI962" s="147"/>
      <c r="AJ962" s="147"/>
      <c r="AK962" s="147"/>
      <c r="AL962" s="147"/>
      <c r="AM962" s="147"/>
      <c r="AN962" s="147"/>
      <c r="AO962" s="147"/>
      <c r="AP962" s="147"/>
      <c r="AQ962" s="147"/>
      <c r="AR962" s="147"/>
      <c r="AS962" s="147"/>
      <c r="AT962" s="147"/>
      <c r="AU962" s="147"/>
      <c r="AV962" s="147"/>
      <c r="AW962" s="147"/>
    </row>
    <row r="963">
      <c r="A963" s="631"/>
      <c r="B963" s="631"/>
      <c r="C963" s="632"/>
      <c r="D963" s="633"/>
      <c r="E963" s="634"/>
      <c r="F963" s="635"/>
      <c r="G963" s="636"/>
      <c r="H963" s="637"/>
      <c r="I963" s="643"/>
      <c r="J963" s="644"/>
      <c r="K963" s="147"/>
      <c r="L963" s="632"/>
      <c r="M963" s="147"/>
      <c r="N963" s="640"/>
      <c r="O963" s="640"/>
      <c r="P963" s="641"/>
      <c r="Q963" s="642"/>
      <c r="R963" s="147"/>
      <c r="S963" s="147"/>
      <c r="T963" s="147"/>
      <c r="U963" s="147"/>
      <c r="V963" s="147"/>
      <c r="W963" s="147"/>
      <c r="X963" s="147"/>
      <c r="Y963" s="147"/>
      <c r="Z963" s="147"/>
      <c r="AA963" s="147"/>
      <c r="AB963" s="147"/>
      <c r="AC963" s="147"/>
      <c r="AD963" s="147"/>
      <c r="AE963" s="147"/>
      <c r="AF963" s="147"/>
      <c r="AG963" s="147"/>
      <c r="AH963" s="147"/>
      <c r="AI963" s="147"/>
      <c r="AJ963" s="147"/>
      <c r="AK963" s="147"/>
      <c r="AL963" s="147"/>
      <c r="AM963" s="147"/>
      <c r="AN963" s="147"/>
      <c r="AO963" s="147"/>
      <c r="AP963" s="147"/>
      <c r="AQ963" s="147"/>
      <c r="AR963" s="147"/>
      <c r="AS963" s="147"/>
      <c r="AT963" s="147"/>
      <c r="AU963" s="147"/>
      <c r="AV963" s="147"/>
      <c r="AW963" s="147"/>
    </row>
    <row r="964">
      <c r="A964" s="631"/>
      <c r="B964" s="631"/>
      <c r="C964" s="632"/>
      <c r="D964" s="633"/>
      <c r="E964" s="634"/>
      <c r="F964" s="635"/>
      <c r="G964" s="636"/>
      <c r="H964" s="637"/>
      <c r="I964" s="643"/>
      <c r="J964" s="644"/>
      <c r="K964" s="147"/>
      <c r="L964" s="632"/>
      <c r="M964" s="147"/>
      <c r="N964" s="640"/>
      <c r="O964" s="640"/>
      <c r="P964" s="641"/>
      <c r="Q964" s="642"/>
      <c r="R964" s="147"/>
      <c r="S964" s="147"/>
      <c r="T964" s="147"/>
      <c r="U964" s="147"/>
      <c r="V964" s="147"/>
      <c r="W964" s="147"/>
      <c r="X964" s="147"/>
      <c r="Y964" s="147"/>
      <c r="Z964" s="147"/>
      <c r="AA964" s="147"/>
      <c r="AB964" s="147"/>
      <c r="AC964" s="147"/>
      <c r="AD964" s="147"/>
      <c r="AE964" s="147"/>
      <c r="AF964" s="147"/>
      <c r="AG964" s="147"/>
      <c r="AH964" s="147"/>
      <c r="AI964" s="147"/>
      <c r="AJ964" s="147"/>
      <c r="AK964" s="147"/>
      <c r="AL964" s="147"/>
      <c r="AM964" s="147"/>
      <c r="AN964" s="147"/>
      <c r="AO964" s="147"/>
      <c r="AP964" s="147"/>
      <c r="AQ964" s="147"/>
      <c r="AR964" s="147"/>
      <c r="AS964" s="147"/>
      <c r="AT964" s="147"/>
      <c r="AU964" s="147"/>
      <c r="AV964" s="147"/>
      <c r="AW964" s="147"/>
    </row>
    <row r="965">
      <c r="A965" s="631"/>
      <c r="B965" s="631"/>
      <c r="C965" s="632"/>
      <c r="D965" s="633"/>
      <c r="E965" s="634"/>
      <c r="F965" s="635"/>
      <c r="G965" s="636"/>
      <c r="H965" s="637"/>
      <c r="I965" s="643"/>
      <c r="J965" s="644"/>
      <c r="K965" s="147"/>
      <c r="L965" s="632"/>
      <c r="M965" s="147"/>
      <c r="N965" s="640"/>
      <c r="O965" s="640"/>
      <c r="P965" s="641"/>
      <c r="Q965" s="642"/>
      <c r="R965" s="147"/>
      <c r="S965" s="147"/>
      <c r="T965" s="147"/>
      <c r="U965" s="147"/>
      <c r="V965" s="147"/>
      <c r="W965" s="147"/>
      <c r="X965" s="147"/>
      <c r="Y965" s="147"/>
      <c r="Z965" s="147"/>
      <c r="AA965" s="147"/>
      <c r="AB965" s="147"/>
      <c r="AC965" s="147"/>
      <c r="AD965" s="147"/>
      <c r="AE965" s="147"/>
      <c r="AF965" s="147"/>
      <c r="AG965" s="147"/>
      <c r="AH965" s="147"/>
      <c r="AI965" s="147"/>
      <c r="AJ965" s="147"/>
      <c r="AK965" s="147"/>
      <c r="AL965" s="147"/>
      <c r="AM965" s="147"/>
      <c r="AN965" s="147"/>
      <c r="AO965" s="147"/>
      <c r="AP965" s="147"/>
      <c r="AQ965" s="147"/>
      <c r="AR965" s="147"/>
      <c r="AS965" s="147"/>
      <c r="AT965" s="147"/>
      <c r="AU965" s="147"/>
      <c r="AV965" s="147"/>
      <c r="AW965" s="147"/>
    </row>
    <row r="966">
      <c r="A966" s="631"/>
      <c r="B966" s="631"/>
      <c r="C966" s="632"/>
      <c r="D966" s="633"/>
      <c r="E966" s="634"/>
      <c r="F966" s="635"/>
      <c r="G966" s="636"/>
      <c r="H966" s="637"/>
      <c r="I966" s="643"/>
      <c r="J966" s="644"/>
      <c r="K966" s="147"/>
      <c r="L966" s="632"/>
      <c r="M966" s="147"/>
      <c r="N966" s="640"/>
      <c r="O966" s="640"/>
      <c r="P966" s="641"/>
      <c r="Q966" s="642"/>
      <c r="R966" s="147"/>
      <c r="S966" s="147"/>
      <c r="T966" s="147"/>
      <c r="U966" s="147"/>
      <c r="V966" s="147"/>
      <c r="W966" s="147"/>
      <c r="X966" s="147"/>
      <c r="Y966" s="147"/>
      <c r="Z966" s="147"/>
      <c r="AA966" s="147"/>
      <c r="AB966" s="147"/>
      <c r="AC966" s="147"/>
      <c r="AD966" s="147"/>
      <c r="AE966" s="147"/>
      <c r="AF966" s="147"/>
      <c r="AG966" s="147"/>
      <c r="AH966" s="147"/>
      <c r="AI966" s="147"/>
      <c r="AJ966" s="147"/>
      <c r="AK966" s="147"/>
      <c r="AL966" s="147"/>
      <c r="AM966" s="147"/>
      <c r="AN966" s="147"/>
      <c r="AO966" s="147"/>
      <c r="AP966" s="147"/>
      <c r="AQ966" s="147"/>
      <c r="AR966" s="147"/>
      <c r="AS966" s="147"/>
      <c r="AT966" s="147"/>
      <c r="AU966" s="147"/>
      <c r="AV966" s="147"/>
      <c r="AW966" s="147"/>
    </row>
    <row r="967">
      <c r="A967" s="631"/>
      <c r="B967" s="631"/>
      <c r="C967" s="632"/>
      <c r="D967" s="633"/>
      <c r="E967" s="634"/>
      <c r="F967" s="635"/>
      <c r="G967" s="636"/>
      <c r="H967" s="637"/>
      <c r="I967" s="643"/>
      <c r="J967" s="644"/>
      <c r="K967" s="147"/>
      <c r="L967" s="632"/>
      <c r="M967" s="147"/>
      <c r="N967" s="640"/>
      <c r="O967" s="640"/>
      <c r="P967" s="641"/>
      <c r="Q967" s="642"/>
      <c r="R967" s="147"/>
      <c r="S967" s="147"/>
      <c r="T967" s="147"/>
      <c r="U967" s="147"/>
      <c r="V967" s="147"/>
      <c r="W967" s="147"/>
      <c r="X967" s="147"/>
      <c r="Y967" s="147"/>
      <c r="Z967" s="147"/>
      <c r="AA967" s="147"/>
      <c r="AB967" s="147"/>
      <c r="AC967" s="147"/>
      <c r="AD967" s="147"/>
      <c r="AE967" s="147"/>
      <c r="AF967" s="147"/>
      <c r="AG967" s="147"/>
      <c r="AH967" s="147"/>
      <c r="AI967" s="147"/>
      <c r="AJ967" s="147"/>
      <c r="AK967" s="147"/>
      <c r="AL967" s="147"/>
      <c r="AM967" s="147"/>
      <c r="AN967" s="147"/>
      <c r="AO967" s="147"/>
      <c r="AP967" s="147"/>
      <c r="AQ967" s="147"/>
      <c r="AR967" s="147"/>
      <c r="AS967" s="147"/>
      <c r="AT967" s="147"/>
      <c r="AU967" s="147"/>
      <c r="AV967" s="147"/>
      <c r="AW967" s="147"/>
    </row>
    <row r="968">
      <c r="A968" s="631"/>
      <c r="B968" s="631"/>
      <c r="C968" s="632"/>
      <c r="D968" s="633"/>
      <c r="E968" s="634"/>
      <c r="F968" s="635"/>
      <c r="G968" s="636"/>
      <c r="H968" s="637"/>
      <c r="I968" s="643"/>
      <c r="J968" s="644"/>
      <c r="K968" s="147"/>
      <c r="L968" s="632"/>
      <c r="M968" s="147"/>
      <c r="N968" s="640"/>
      <c r="O968" s="640"/>
      <c r="P968" s="641"/>
      <c r="Q968" s="642"/>
      <c r="R968" s="147"/>
      <c r="S968" s="147"/>
      <c r="T968" s="147"/>
      <c r="U968" s="147"/>
      <c r="V968" s="147"/>
      <c r="W968" s="147"/>
      <c r="X968" s="147"/>
      <c r="Y968" s="147"/>
      <c r="Z968" s="147"/>
      <c r="AA968" s="147"/>
      <c r="AB968" s="147"/>
      <c r="AC968" s="147"/>
      <c r="AD968" s="147"/>
      <c r="AE968" s="147"/>
      <c r="AF968" s="147"/>
      <c r="AG968" s="147"/>
      <c r="AH968" s="147"/>
      <c r="AI968" s="147"/>
      <c r="AJ968" s="147"/>
      <c r="AK968" s="147"/>
      <c r="AL968" s="147"/>
      <c r="AM968" s="147"/>
      <c r="AN968" s="147"/>
      <c r="AO968" s="147"/>
      <c r="AP968" s="147"/>
      <c r="AQ968" s="147"/>
      <c r="AR968" s="147"/>
      <c r="AS968" s="147"/>
      <c r="AT968" s="147"/>
      <c r="AU968" s="147"/>
      <c r="AV968" s="147"/>
      <c r="AW968" s="147"/>
    </row>
    <row r="969">
      <c r="A969" s="631"/>
      <c r="B969" s="631"/>
      <c r="C969" s="632"/>
      <c r="D969" s="633"/>
      <c r="E969" s="634"/>
      <c r="F969" s="635"/>
      <c r="G969" s="636"/>
      <c r="H969" s="637"/>
      <c r="I969" s="643"/>
      <c r="J969" s="644"/>
      <c r="K969" s="147"/>
      <c r="L969" s="632"/>
      <c r="M969" s="147"/>
      <c r="N969" s="640"/>
      <c r="O969" s="640"/>
      <c r="P969" s="641"/>
      <c r="Q969" s="642"/>
      <c r="R969" s="147"/>
      <c r="S969" s="147"/>
      <c r="T969" s="147"/>
      <c r="U969" s="147"/>
      <c r="V969" s="147"/>
      <c r="W969" s="147"/>
      <c r="X969" s="147"/>
      <c r="Y969" s="147"/>
      <c r="Z969" s="147"/>
      <c r="AA969" s="147"/>
      <c r="AB969" s="147"/>
      <c r="AC969" s="147"/>
      <c r="AD969" s="147"/>
      <c r="AE969" s="147"/>
      <c r="AF969" s="147"/>
      <c r="AG969" s="147"/>
      <c r="AH969" s="147"/>
      <c r="AI969" s="147"/>
      <c r="AJ969" s="147"/>
      <c r="AK969" s="147"/>
      <c r="AL969" s="147"/>
      <c r="AM969" s="147"/>
      <c r="AN969" s="147"/>
      <c r="AO969" s="147"/>
      <c r="AP969" s="147"/>
      <c r="AQ969" s="147"/>
      <c r="AR969" s="147"/>
      <c r="AS969" s="147"/>
      <c r="AT969" s="147"/>
      <c r="AU969" s="147"/>
      <c r="AV969" s="147"/>
      <c r="AW969" s="147"/>
    </row>
    <row r="970">
      <c r="A970" s="631"/>
      <c r="B970" s="631"/>
      <c r="C970" s="632"/>
      <c r="D970" s="633"/>
      <c r="E970" s="634"/>
      <c r="F970" s="635"/>
      <c r="G970" s="636"/>
      <c r="H970" s="637"/>
      <c r="I970" s="643"/>
      <c r="J970" s="644"/>
      <c r="K970" s="147"/>
      <c r="L970" s="632"/>
      <c r="M970" s="147"/>
      <c r="N970" s="640"/>
      <c r="O970" s="640"/>
      <c r="P970" s="641"/>
      <c r="Q970" s="642"/>
      <c r="R970" s="147"/>
      <c r="S970" s="147"/>
      <c r="T970" s="147"/>
      <c r="U970" s="147"/>
      <c r="V970" s="147"/>
      <c r="W970" s="147"/>
      <c r="X970" s="147"/>
      <c r="Y970" s="147"/>
      <c r="Z970" s="147"/>
      <c r="AA970" s="147"/>
      <c r="AB970" s="147"/>
      <c r="AC970" s="147"/>
      <c r="AD970" s="147"/>
      <c r="AE970" s="147"/>
      <c r="AF970" s="147"/>
      <c r="AG970" s="147"/>
      <c r="AH970" s="147"/>
      <c r="AI970" s="147"/>
      <c r="AJ970" s="147"/>
      <c r="AK970" s="147"/>
      <c r="AL970" s="147"/>
      <c r="AM970" s="147"/>
      <c r="AN970" s="147"/>
      <c r="AO970" s="147"/>
      <c r="AP970" s="147"/>
      <c r="AQ970" s="147"/>
      <c r="AR970" s="147"/>
      <c r="AS970" s="147"/>
      <c r="AT970" s="147"/>
      <c r="AU970" s="147"/>
      <c r="AV970" s="147"/>
      <c r="AW970" s="147"/>
    </row>
    <row r="971">
      <c r="A971" s="631"/>
      <c r="B971" s="631"/>
      <c r="C971" s="632"/>
      <c r="D971" s="633"/>
      <c r="E971" s="634"/>
      <c r="F971" s="635"/>
      <c r="G971" s="636"/>
      <c r="H971" s="637"/>
      <c r="I971" s="643"/>
      <c r="J971" s="644"/>
      <c r="K971" s="147"/>
      <c r="L971" s="632"/>
      <c r="M971" s="147"/>
      <c r="N971" s="640"/>
      <c r="O971" s="640"/>
      <c r="P971" s="641"/>
      <c r="Q971" s="642"/>
      <c r="R971" s="147"/>
      <c r="S971" s="147"/>
      <c r="T971" s="147"/>
      <c r="U971" s="147"/>
      <c r="V971" s="147"/>
      <c r="W971" s="147"/>
      <c r="X971" s="147"/>
      <c r="Y971" s="147"/>
      <c r="Z971" s="147"/>
      <c r="AA971" s="147"/>
      <c r="AB971" s="147"/>
      <c r="AC971" s="147"/>
      <c r="AD971" s="147"/>
      <c r="AE971" s="147"/>
      <c r="AF971" s="147"/>
      <c r="AG971" s="147"/>
      <c r="AH971" s="147"/>
      <c r="AI971" s="147"/>
      <c r="AJ971" s="147"/>
      <c r="AK971" s="147"/>
      <c r="AL971" s="147"/>
      <c r="AM971" s="147"/>
      <c r="AN971" s="147"/>
      <c r="AO971" s="147"/>
      <c r="AP971" s="147"/>
      <c r="AQ971" s="147"/>
      <c r="AR971" s="147"/>
      <c r="AS971" s="147"/>
      <c r="AT971" s="147"/>
      <c r="AU971" s="147"/>
      <c r="AV971" s="147"/>
      <c r="AW971" s="147"/>
    </row>
    <row r="972">
      <c r="A972" s="631"/>
      <c r="B972" s="631"/>
      <c r="C972" s="632"/>
      <c r="D972" s="633"/>
      <c r="E972" s="634"/>
      <c r="F972" s="635"/>
      <c r="G972" s="636"/>
      <c r="H972" s="637"/>
      <c r="I972" s="643"/>
      <c r="J972" s="644"/>
      <c r="K972" s="147"/>
      <c r="L972" s="632"/>
      <c r="M972" s="147"/>
      <c r="N972" s="640"/>
      <c r="O972" s="640"/>
      <c r="P972" s="641"/>
      <c r="Q972" s="642"/>
      <c r="R972" s="147"/>
      <c r="S972" s="147"/>
      <c r="T972" s="147"/>
      <c r="U972" s="147"/>
      <c r="V972" s="147"/>
      <c r="W972" s="147"/>
      <c r="X972" s="147"/>
      <c r="Y972" s="147"/>
      <c r="Z972" s="147"/>
      <c r="AA972" s="147"/>
      <c r="AB972" s="147"/>
      <c r="AC972" s="147"/>
      <c r="AD972" s="147"/>
      <c r="AE972" s="147"/>
      <c r="AF972" s="147"/>
      <c r="AG972" s="147"/>
      <c r="AH972" s="147"/>
      <c r="AI972" s="147"/>
      <c r="AJ972" s="147"/>
      <c r="AK972" s="147"/>
      <c r="AL972" s="147"/>
      <c r="AM972" s="147"/>
      <c r="AN972" s="147"/>
      <c r="AO972" s="147"/>
      <c r="AP972" s="147"/>
      <c r="AQ972" s="147"/>
      <c r="AR972" s="147"/>
      <c r="AS972" s="147"/>
      <c r="AT972" s="147"/>
      <c r="AU972" s="147"/>
      <c r="AV972" s="147"/>
      <c r="AW972" s="147"/>
    </row>
    <row r="973">
      <c r="A973" s="631"/>
      <c r="B973" s="631"/>
      <c r="C973" s="632"/>
      <c r="D973" s="633"/>
      <c r="E973" s="634"/>
      <c r="F973" s="635"/>
      <c r="G973" s="636"/>
      <c r="H973" s="637"/>
      <c r="I973" s="643"/>
      <c r="J973" s="644"/>
      <c r="K973" s="147"/>
      <c r="L973" s="632"/>
      <c r="M973" s="147"/>
      <c r="N973" s="640"/>
      <c r="O973" s="640"/>
      <c r="P973" s="641"/>
      <c r="Q973" s="642"/>
      <c r="R973" s="147"/>
      <c r="S973" s="147"/>
      <c r="T973" s="147"/>
      <c r="U973" s="147"/>
      <c r="V973" s="147"/>
      <c r="W973" s="147"/>
      <c r="X973" s="147"/>
      <c r="Y973" s="147"/>
      <c r="Z973" s="147"/>
      <c r="AA973" s="147"/>
      <c r="AB973" s="147"/>
      <c r="AC973" s="147"/>
      <c r="AD973" s="147"/>
      <c r="AE973" s="147"/>
      <c r="AF973" s="147"/>
      <c r="AG973" s="147"/>
      <c r="AH973" s="147"/>
      <c r="AI973" s="147"/>
      <c r="AJ973" s="147"/>
      <c r="AK973" s="147"/>
      <c r="AL973" s="147"/>
      <c r="AM973" s="147"/>
      <c r="AN973" s="147"/>
      <c r="AO973" s="147"/>
      <c r="AP973" s="147"/>
      <c r="AQ973" s="147"/>
      <c r="AR973" s="147"/>
      <c r="AS973" s="147"/>
      <c r="AT973" s="147"/>
      <c r="AU973" s="147"/>
      <c r="AV973" s="147"/>
      <c r="AW973" s="147"/>
    </row>
    <row r="974">
      <c r="A974" s="631"/>
      <c r="B974" s="631"/>
      <c r="C974" s="632"/>
      <c r="D974" s="633"/>
      <c r="E974" s="634"/>
      <c r="F974" s="635"/>
      <c r="G974" s="636"/>
      <c r="H974" s="637"/>
      <c r="I974" s="643"/>
      <c r="J974" s="644"/>
      <c r="K974" s="147"/>
      <c r="L974" s="632"/>
      <c r="M974" s="147"/>
      <c r="N974" s="640"/>
      <c r="O974" s="640"/>
      <c r="P974" s="641"/>
      <c r="Q974" s="642"/>
      <c r="R974" s="147"/>
      <c r="S974" s="147"/>
      <c r="T974" s="147"/>
      <c r="U974" s="147"/>
      <c r="V974" s="147"/>
      <c r="W974" s="147"/>
      <c r="X974" s="147"/>
      <c r="Y974" s="147"/>
      <c r="Z974" s="147"/>
      <c r="AA974" s="147"/>
      <c r="AB974" s="147"/>
      <c r="AC974" s="147"/>
      <c r="AD974" s="147"/>
      <c r="AE974" s="147"/>
      <c r="AF974" s="147"/>
      <c r="AG974" s="147"/>
      <c r="AH974" s="147"/>
      <c r="AI974" s="147"/>
      <c r="AJ974" s="147"/>
      <c r="AK974" s="147"/>
      <c r="AL974" s="147"/>
      <c r="AM974" s="147"/>
      <c r="AN974" s="147"/>
      <c r="AO974" s="147"/>
      <c r="AP974" s="147"/>
      <c r="AQ974" s="147"/>
      <c r="AR974" s="147"/>
      <c r="AS974" s="147"/>
      <c r="AT974" s="147"/>
      <c r="AU974" s="147"/>
      <c r="AV974" s="147"/>
      <c r="AW974" s="147"/>
    </row>
    <row r="975">
      <c r="A975" s="631"/>
      <c r="B975" s="631"/>
      <c r="C975" s="632"/>
      <c r="D975" s="633"/>
      <c r="E975" s="634"/>
      <c r="F975" s="635"/>
      <c r="G975" s="636"/>
      <c r="H975" s="637"/>
      <c r="I975" s="643"/>
      <c r="J975" s="644"/>
      <c r="K975" s="147"/>
      <c r="L975" s="632"/>
      <c r="M975" s="147"/>
      <c r="N975" s="640"/>
      <c r="O975" s="640"/>
      <c r="P975" s="641"/>
      <c r="Q975" s="642"/>
      <c r="R975" s="147"/>
      <c r="S975" s="147"/>
      <c r="T975" s="147"/>
      <c r="U975" s="147"/>
      <c r="V975" s="147"/>
      <c r="W975" s="147"/>
      <c r="X975" s="147"/>
      <c r="Y975" s="147"/>
      <c r="Z975" s="147"/>
      <c r="AA975" s="147"/>
      <c r="AB975" s="147"/>
      <c r="AC975" s="147"/>
      <c r="AD975" s="147"/>
      <c r="AE975" s="147"/>
      <c r="AF975" s="147"/>
      <c r="AG975" s="147"/>
      <c r="AH975" s="147"/>
      <c r="AI975" s="147"/>
      <c r="AJ975" s="147"/>
      <c r="AK975" s="147"/>
      <c r="AL975" s="147"/>
      <c r="AM975" s="147"/>
      <c r="AN975" s="147"/>
      <c r="AO975" s="147"/>
      <c r="AP975" s="147"/>
      <c r="AQ975" s="147"/>
      <c r="AR975" s="147"/>
      <c r="AS975" s="147"/>
      <c r="AT975" s="147"/>
      <c r="AU975" s="147"/>
      <c r="AV975" s="147"/>
      <c r="AW975" s="147"/>
    </row>
    <row r="976">
      <c r="A976" s="631"/>
      <c r="B976" s="631"/>
      <c r="C976" s="632"/>
      <c r="D976" s="633"/>
      <c r="E976" s="634"/>
      <c r="F976" s="635"/>
      <c r="G976" s="636"/>
      <c r="H976" s="637"/>
      <c r="I976" s="643"/>
      <c r="J976" s="644"/>
      <c r="K976" s="147"/>
      <c r="L976" s="632"/>
      <c r="M976" s="147"/>
      <c r="N976" s="640"/>
      <c r="O976" s="640"/>
      <c r="P976" s="641"/>
      <c r="Q976" s="642"/>
      <c r="R976" s="147"/>
      <c r="S976" s="147"/>
      <c r="T976" s="147"/>
      <c r="U976" s="147"/>
      <c r="V976" s="147"/>
      <c r="W976" s="147"/>
      <c r="X976" s="147"/>
      <c r="Y976" s="147"/>
      <c r="Z976" s="147"/>
      <c r="AA976" s="147"/>
      <c r="AB976" s="147"/>
      <c r="AC976" s="147"/>
      <c r="AD976" s="147"/>
      <c r="AE976" s="147"/>
      <c r="AF976" s="147"/>
      <c r="AG976" s="147"/>
      <c r="AH976" s="147"/>
      <c r="AI976" s="147"/>
      <c r="AJ976" s="147"/>
      <c r="AK976" s="147"/>
      <c r="AL976" s="147"/>
      <c r="AM976" s="147"/>
      <c r="AN976" s="147"/>
      <c r="AO976" s="147"/>
      <c r="AP976" s="147"/>
      <c r="AQ976" s="147"/>
      <c r="AR976" s="147"/>
      <c r="AS976" s="147"/>
      <c r="AT976" s="147"/>
      <c r="AU976" s="147"/>
      <c r="AV976" s="147"/>
      <c r="AW976" s="147"/>
    </row>
    <row r="977">
      <c r="A977" s="631"/>
      <c r="B977" s="631"/>
      <c r="C977" s="632"/>
      <c r="D977" s="633"/>
      <c r="E977" s="634"/>
      <c r="F977" s="635"/>
      <c r="G977" s="636"/>
      <c r="H977" s="637"/>
      <c r="I977" s="643"/>
      <c r="J977" s="644"/>
      <c r="K977" s="147"/>
      <c r="L977" s="632"/>
      <c r="M977" s="147"/>
      <c r="N977" s="640"/>
      <c r="O977" s="640"/>
      <c r="P977" s="641"/>
      <c r="Q977" s="642"/>
      <c r="R977" s="147"/>
      <c r="S977" s="147"/>
      <c r="T977" s="147"/>
      <c r="U977" s="147"/>
      <c r="V977" s="147"/>
      <c r="W977" s="147"/>
      <c r="X977" s="147"/>
      <c r="Y977" s="147"/>
      <c r="Z977" s="147"/>
      <c r="AA977" s="147"/>
      <c r="AB977" s="147"/>
      <c r="AC977" s="147"/>
      <c r="AD977" s="147"/>
      <c r="AE977" s="147"/>
      <c r="AF977" s="147"/>
      <c r="AG977" s="147"/>
      <c r="AH977" s="147"/>
      <c r="AI977" s="147"/>
      <c r="AJ977" s="147"/>
      <c r="AK977" s="147"/>
      <c r="AL977" s="147"/>
      <c r="AM977" s="147"/>
      <c r="AN977" s="147"/>
      <c r="AO977" s="147"/>
      <c r="AP977" s="147"/>
      <c r="AQ977" s="147"/>
      <c r="AR977" s="147"/>
      <c r="AS977" s="147"/>
      <c r="AT977" s="147"/>
      <c r="AU977" s="147"/>
      <c r="AV977" s="147"/>
      <c r="AW977" s="147"/>
    </row>
    <row r="978">
      <c r="A978" s="631"/>
      <c r="B978" s="631"/>
      <c r="C978" s="632"/>
      <c r="D978" s="633"/>
      <c r="E978" s="634"/>
      <c r="F978" s="635"/>
      <c r="G978" s="636"/>
      <c r="H978" s="637"/>
      <c r="I978" s="643"/>
      <c r="J978" s="644"/>
      <c r="K978" s="147"/>
      <c r="L978" s="632"/>
      <c r="M978" s="147"/>
      <c r="N978" s="640"/>
      <c r="O978" s="640"/>
      <c r="P978" s="641"/>
      <c r="Q978" s="642"/>
      <c r="R978" s="147"/>
      <c r="S978" s="147"/>
      <c r="T978" s="147"/>
      <c r="U978" s="147"/>
      <c r="V978" s="147"/>
      <c r="W978" s="147"/>
      <c r="X978" s="147"/>
      <c r="Y978" s="147"/>
      <c r="Z978" s="147"/>
      <c r="AA978" s="147"/>
      <c r="AB978" s="147"/>
      <c r="AC978" s="147"/>
      <c r="AD978" s="147"/>
      <c r="AE978" s="147"/>
      <c r="AF978" s="147"/>
      <c r="AG978" s="147"/>
      <c r="AH978" s="147"/>
      <c r="AI978" s="147"/>
      <c r="AJ978" s="147"/>
      <c r="AK978" s="147"/>
      <c r="AL978" s="147"/>
      <c r="AM978" s="147"/>
      <c r="AN978" s="147"/>
      <c r="AO978" s="147"/>
      <c r="AP978" s="147"/>
      <c r="AQ978" s="147"/>
      <c r="AR978" s="147"/>
      <c r="AS978" s="147"/>
      <c r="AT978" s="147"/>
      <c r="AU978" s="147"/>
      <c r="AV978" s="147"/>
      <c r="AW978" s="147"/>
    </row>
    <row r="979">
      <c r="A979" s="631"/>
      <c r="B979" s="631"/>
      <c r="C979" s="632"/>
      <c r="D979" s="633"/>
      <c r="E979" s="634"/>
      <c r="F979" s="635"/>
      <c r="G979" s="636"/>
      <c r="H979" s="637"/>
      <c r="I979" s="643"/>
      <c r="J979" s="644"/>
      <c r="K979" s="147"/>
      <c r="L979" s="632"/>
      <c r="M979" s="147"/>
      <c r="N979" s="640"/>
      <c r="O979" s="640"/>
      <c r="P979" s="641"/>
      <c r="Q979" s="642"/>
      <c r="R979" s="147"/>
      <c r="S979" s="147"/>
      <c r="T979" s="147"/>
      <c r="U979" s="147"/>
      <c r="V979" s="147"/>
      <c r="W979" s="147"/>
      <c r="X979" s="147"/>
      <c r="Y979" s="147"/>
      <c r="Z979" s="147"/>
      <c r="AA979" s="147"/>
      <c r="AB979" s="147"/>
      <c r="AC979" s="147"/>
      <c r="AD979" s="147"/>
      <c r="AE979" s="147"/>
      <c r="AF979" s="147"/>
      <c r="AG979" s="147"/>
      <c r="AH979" s="147"/>
      <c r="AI979" s="147"/>
      <c r="AJ979" s="147"/>
      <c r="AK979" s="147"/>
      <c r="AL979" s="147"/>
      <c r="AM979" s="147"/>
      <c r="AN979" s="147"/>
      <c r="AO979" s="147"/>
      <c r="AP979" s="147"/>
      <c r="AQ979" s="147"/>
      <c r="AR979" s="147"/>
      <c r="AS979" s="147"/>
      <c r="AT979" s="147"/>
      <c r="AU979" s="147"/>
      <c r="AV979" s="147"/>
      <c r="AW979" s="147"/>
    </row>
    <row r="980">
      <c r="A980" s="631"/>
      <c r="B980" s="631"/>
      <c r="C980" s="632"/>
      <c r="D980" s="633"/>
      <c r="E980" s="634"/>
      <c r="F980" s="635"/>
      <c r="G980" s="636"/>
      <c r="H980" s="637"/>
      <c r="I980" s="643"/>
      <c r="J980" s="644"/>
      <c r="K980" s="147"/>
      <c r="L980" s="632"/>
      <c r="M980" s="147"/>
      <c r="N980" s="640"/>
      <c r="O980" s="640"/>
      <c r="P980" s="641"/>
      <c r="Q980" s="642"/>
      <c r="R980" s="147"/>
      <c r="S980" s="147"/>
      <c r="T980" s="147"/>
      <c r="U980" s="147"/>
      <c r="V980" s="147"/>
      <c r="W980" s="147"/>
      <c r="X980" s="147"/>
      <c r="Y980" s="147"/>
      <c r="Z980" s="147"/>
      <c r="AA980" s="147"/>
      <c r="AB980" s="147"/>
      <c r="AC980" s="147"/>
      <c r="AD980" s="147"/>
      <c r="AE980" s="147"/>
      <c r="AF980" s="147"/>
      <c r="AG980" s="147"/>
      <c r="AH980" s="147"/>
      <c r="AI980" s="147"/>
      <c r="AJ980" s="147"/>
      <c r="AK980" s="147"/>
      <c r="AL980" s="147"/>
      <c r="AM980" s="147"/>
      <c r="AN980" s="147"/>
      <c r="AO980" s="147"/>
      <c r="AP980" s="147"/>
      <c r="AQ980" s="147"/>
      <c r="AR980" s="147"/>
      <c r="AS980" s="147"/>
      <c r="AT980" s="147"/>
      <c r="AU980" s="147"/>
      <c r="AV980" s="147"/>
      <c r="AW980" s="147"/>
    </row>
    <row r="981">
      <c r="A981" s="631"/>
      <c r="B981" s="631"/>
      <c r="C981" s="632"/>
      <c r="D981" s="633"/>
      <c r="E981" s="634"/>
      <c r="F981" s="635"/>
      <c r="G981" s="636"/>
      <c r="H981" s="637"/>
      <c r="I981" s="643"/>
      <c r="J981" s="644"/>
      <c r="K981" s="147"/>
      <c r="L981" s="632"/>
      <c r="M981" s="147"/>
      <c r="N981" s="640"/>
      <c r="O981" s="640"/>
      <c r="P981" s="641"/>
      <c r="Q981" s="642"/>
      <c r="R981" s="147"/>
      <c r="S981" s="147"/>
      <c r="T981" s="147"/>
      <c r="U981" s="147"/>
      <c r="V981" s="147"/>
      <c r="W981" s="147"/>
      <c r="X981" s="147"/>
      <c r="Y981" s="147"/>
      <c r="Z981" s="147"/>
      <c r="AA981" s="147"/>
      <c r="AB981" s="147"/>
      <c r="AC981" s="147"/>
      <c r="AD981" s="147"/>
      <c r="AE981" s="147"/>
      <c r="AF981" s="147"/>
      <c r="AG981" s="147"/>
      <c r="AH981" s="147"/>
      <c r="AI981" s="147"/>
      <c r="AJ981" s="147"/>
      <c r="AK981" s="147"/>
      <c r="AL981" s="147"/>
      <c r="AM981" s="147"/>
      <c r="AN981" s="147"/>
      <c r="AO981" s="147"/>
      <c r="AP981" s="147"/>
      <c r="AQ981" s="147"/>
      <c r="AR981" s="147"/>
      <c r="AS981" s="147"/>
      <c r="AT981" s="147"/>
      <c r="AU981" s="147"/>
      <c r="AV981" s="147"/>
      <c r="AW981" s="147"/>
    </row>
    <row r="982">
      <c r="A982" s="631"/>
      <c r="B982" s="631"/>
      <c r="C982" s="632"/>
      <c r="D982" s="633"/>
      <c r="E982" s="634"/>
      <c r="F982" s="635"/>
      <c r="G982" s="636"/>
      <c r="H982" s="637"/>
      <c r="I982" s="643"/>
      <c r="J982" s="644"/>
      <c r="K982" s="147"/>
      <c r="L982" s="632"/>
      <c r="M982" s="147"/>
      <c r="N982" s="640"/>
      <c r="O982" s="640"/>
      <c r="P982" s="641"/>
      <c r="Q982" s="642"/>
      <c r="R982" s="147"/>
      <c r="S982" s="147"/>
      <c r="T982" s="147"/>
      <c r="U982" s="147"/>
      <c r="V982" s="147"/>
      <c r="W982" s="147"/>
      <c r="X982" s="147"/>
      <c r="Y982" s="147"/>
      <c r="Z982" s="147"/>
      <c r="AA982" s="147"/>
      <c r="AB982" s="147"/>
      <c r="AC982" s="147"/>
      <c r="AD982" s="147"/>
      <c r="AE982" s="147"/>
      <c r="AF982" s="147"/>
      <c r="AG982" s="147"/>
      <c r="AH982" s="147"/>
      <c r="AI982" s="147"/>
      <c r="AJ982" s="147"/>
      <c r="AK982" s="147"/>
      <c r="AL982" s="147"/>
      <c r="AM982" s="147"/>
      <c r="AN982" s="147"/>
      <c r="AO982" s="147"/>
      <c r="AP982" s="147"/>
      <c r="AQ982" s="147"/>
      <c r="AR982" s="147"/>
      <c r="AS982" s="147"/>
      <c r="AT982" s="147"/>
      <c r="AU982" s="147"/>
      <c r="AV982" s="147"/>
      <c r="AW982" s="147"/>
    </row>
    <row r="983">
      <c r="A983" s="631"/>
      <c r="B983" s="631"/>
      <c r="C983" s="632"/>
      <c r="D983" s="633"/>
      <c r="E983" s="634"/>
      <c r="F983" s="635"/>
      <c r="G983" s="636"/>
      <c r="H983" s="637"/>
      <c r="I983" s="643"/>
      <c r="J983" s="644"/>
      <c r="K983" s="147"/>
      <c r="L983" s="632"/>
      <c r="M983" s="147"/>
      <c r="N983" s="640"/>
      <c r="O983" s="640"/>
      <c r="P983" s="641"/>
      <c r="Q983" s="642"/>
      <c r="R983" s="147"/>
      <c r="S983" s="147"/>
      <c r="T983" s="147"/>
      <c r="U983" s="147"/>
      <c r="V983" s="147"/>
      <c r="W983" s="147"/>
      <c r="X983" s="147"/>
      <c r="Y983" s="147"/>
      <c r="Z983" s="147"/>
      <c r="AA983" s="147"/>
      <c r="AB983" s="147"/>
      <c r="AC983" s="147"/>
      <c r="AD983" s="147"/>
      <c r="AE983" s="147"/>
      <c r="AF983" s="147"/>
      <c r="AG983" s="147"/>
      <c r="AH983" s="147"/>
      <c r="AI983" s="147"/>
      <c r="AJ983" s="147"/>
      <c r="AK983" s="147"/>
      <c r="AL983" s="147"/>
      <c r="AM983" s="147"/>
      <c r="AN983" s="147"/>
      <c r="AO983" s="147"/>
      <c r="AP983" s="147"/>
      <c r="AQ983" s="147"/>
      <c r="AR983" s="147"/>
      <c r="AS983" s="147"/>
      <c r="AT983" s="147"/>
      <c r="AU983" s="147"/>
      <c r="AV983" s="147"/>
      <c r="AW983" s="147"/>
    </row>
    <row r="984">
      <c r="A984" s="631"/>
      <c r="B984" s="631"/>
      <c r="C984" s="632"/>
      <c r="D984" s="633"/>
      <c r="E984" s="634"/>
      <c r="F984" s="635"/>
      <c r="G984" s="636"/>
      <c r="H984" s="637"/>
      <c r="I984" s="643"/>
      <c r="J984" s="644"/>
      <c r="K984" s="147"/>
      <c r="L984" s="632"/>
      <c r="M984" s="147"/>
      <c r="N984" s="640"/>
      <c r="O984" s="640"/>
      <c r="P984" s="641"/>
      <c r="Q984" s="642"/>
      <c r="R984" s="147"/>
      <c r="S984" s="147"/>
      <c r="T984" s="147"/>
      <c r="U984" s="147"/>
      <c r="V984" s="147"/>
      <c r="W984" s="147"/>
      <c r="X984" s="147"/>
      <c r="Y984" s="147"/>
      <c r="Z984" s="147"/>
      <c r="AA984" s="147"/>
      <c r="AB984" s="147"/>
      <c r="AC984" s="147"/>
      <c r="AD984" s="147"/>
      <c r="AE984" s="147"/>
      <c r="AF984" s="147"/>
      <c r="AG984" s="147"/>
      <c r="AH984" s="147"/>
      <c r="AI984" s="147"/>
      <c r="AJ984" s="147"/>
      <c r="AK984" s="147"/>
      <c r="AL984" s="147"/>
      <c r="AM984" s="147"/>
      <c r="AN984" s="147"/>
      <c r="AO984" s="147"/>
      <c r="AP984" s="147"/>
      <c r="AQ984" s="147"/>
      <c r="AR984" s="147"/>
      <c r="AS984" s="147"/>
      <c r="AT984" s="147"/>
      <c r="AU984" s="147"/>
      <c r="AV984" s="147"/>
      <c r="AW984" s="147"/>
    </row>
    <row r="985">
      <c r="A985" s="631"/>
      <c r="B985" s="631"/>
      <c r="C985" s="632"/>
      <c r="D985" s="633"/>
      <c r="E985" s="634"/>
      <c r="F985" s="635"/>
      <c r="G985" s="636"/>
      <c r="H985" s="637"/>
      <c r="I985" s="643"/>
      <c r="J985" s="644"/>
      <c r="K985" s="147"/>
      <c r="L985" s="632"/>
      <c r="M985" s="147"/>
      <c r="N985" s="640"/>
      <c r="O985" s="640"/>
      <c r="P985" s="641"/>
      <c r="Q985" s="642"/>
      <c r="R985" s="147"/>
      <c r="S985" s="147"/>
      <c r="T985" s="147"/>
      <c r="U985" s="147"/>
      <c r="V985" s="147"/>
      <c r="W985" s="147"/>
      <c r="X985" s="147"/>
      <c r="Y985" s="147"/>
      <c r="Z985" s="147"/>
      <c r="AA985" s="147"/>
      <c r="AB985" s="147"/>
      <c r="AC985" s="147"/>
      <c r="AD985" s="147"/>
      <c r="AE985" s="147"/>
      <c r="AF985" s="147"/>
      <c r="AG985" s="147"/>
      <c r="AH985" s="147"/>
      <c r="AI985" s="147"/>
      <c r="AJ985" s="147"/>
      <c r="AK985" s="147"/>
      <c r="AL985" s="147"/>
      <c r="AM985" s="147"/>
      <c r="AN985" s="147"/>
      <c r="AO985" s="147"/>
      <c r="AP985" s="147"/>
      <c r="AQ985" s="147"/>
      <c r="AR985" s="147"/>
      <c r="AS985" s="147"/>
      <c r="AT985" s="147"/>
      <c r="AU985" s="147"/>
      <c r="AV985" s="147"/>
      <c r="AW985" s="147"/>
    </row>
    <row r="986">
      <c r="A986" s="631"/>
      <c r="B986" s="631"/>
      <c r="C986" s="632"/>
      <c r="D986" s="633"/>
      <c r="E986" s="634"/>
      <c r="F986" s="635"/>
      <c r="G986" s="636"/>
      <c r="H986" s="637"/>
      <c r="I986" s="643"/>
      <c r="J986" s="644"/>
      <c r="K986" s="147"/>
      <c r="L986" s="632"/>
      <c r="M986" s="147"/>
      <c r="N986" s="640"/>
      <c r="O986" s="640"/>
      <c r="P986" s="641"/>
      <c r="Q986" s="642"/>
      <c r="R986" s="147"/>
      <c r="S986" s="147"/>
      <c r="T986" s="147"/>
      <c r="U986" s="147"/>
      <c r="V986" s="147"/>
      <c r="W986" s="147"/>
      <c r="X986" s="147"/>
      <c r="Y986" s="147"/>
      <c r="Z986" s="147"/>
      <c r="AA986" s="147"/>
      <c r="AB986" s="147"/>
      <c r="AC986" s="147"/>
      <c r="AD986" s="147"/>
      <c r="AE986" s="147"/>
      <c r="AF986" s="147"/>
      <c r="AG986" s="147"/>
      <c r="AH986" s="147"/>
      <c r="AI986" s="147"/>
      <c r="AJ986" s="147"/>
      <c r="AK986" s="147"/>
      <c r="AL986" s="147"/>
      <c r="AM986" s="147"/>
      <c r="AN986" s="147"/>
      <c r="AO986" s="147"/>
      <c r="AP986" s="147"/>
      <c r="AQ986" s="147"/>
      <c r="AR986" s="147"/>
      <c r="AS986" s="147"/>
      <c r="AT986" s="147"/>
      <c r="AU986" s="147"/>
      <c r="AV986" s="147"/>
      <c r="AW986" s="147"/>
    </row>
    <row r="987">
      <c r="A987" s="631"/>
      <c r="B987" s="631"/>
      <c r="C987" s="632"/>
      <c r="D987" s="633"/>
      <c r="E987" s="634"/>
      <c r="F987" s="635"/>
      <c r="G987" s="636"/>
      <c r="H987" s="637"/>
      <c r="I987" s="643"/>
      <c r="J987" s="644"/>
      <c r="K987" s="147"/>
      <c r="L987" s="632"/>
      <c r="M987" s="147"/>
      <c r="N987" s="640"/>
      <c r="O987" s="640"/>
      <c r="P987" s="641"/>
      <c r="Q987" s="642"/>
      <c r="R987" s="147"/>
      <c r="S987" s="147"/>
      <c r="T987" s="147"/>
      <c r="U987" s="147"/>
      <c r="V987" s="147"/>
      <c r="W987" s="147"/>
      <c r="X987" s="147"/>
      <c r="Y987" s="147"/>
      <c r="Z987" s="147"/>
      <c r="AA987" s="147"/>
      <c r="AB987" s="147"/>
      <c r="AC987" s="147"/>
      <c r="AD987" s="147"/>
      <c r="AE987" s="147"/>
      <c r="AF987" s="147"/>
      <c r="AG987" s="147"/>
      <c r="AH987" s="147"/>
      <c r="AI987" s="147"/>
      <c r="AJ987" s="147"/>
      <c r="AK987" s="147"/>
      <c r="AL987" s="147"/>
      <c r="AM987" s="147"/>
      <c r="AN987" s="147"/>
      <c r="AO987" s="147"/>
      <c r="AP987" s="147"/>
      <c r="AQ987" s="147"/>
      <c r="AR987" s="147"/>
      <c r="AS987" s="147"/>
      <c r="AT987" s="147"/>
      <c r="AU987" s="147"/>
      <c r="AV987" s="147"/>
      <c r="AW987" s="147"/>
    </row>
    <row r="988">
      <c r="A988" s="631"/>
      <c r="B988" s="631"/>
      <c r="C988" s="632"/>
      <c r="D988" s="633"/>
      <c r="E988" s="634"/>
      <c r="F988" s="635"/>
      <c r="G988" s="636"/>
      <c r="H988" s="637"/>
      <c r="I988" s="643"/>
      <c r="J988" s="644"/>
      <c r="K988" s="147"/>
      <c r="L988" s="632"/>
      <c r="M988" s="147"/>
      <c r="N988" s="640"/>
      <c r="O988" s="640"/>
      <c r="P988" s="641"/>
      <c r="Q988" s="642"/>
      <c r="R988" s="147"/>
      <c r="S988" s="147"/>
      <c r="T988" s="147"/>
      <c r="U988" s="147"/>
      <c r="V988" s="147"/>
      <c r="W988" s="147"/>
      <c r="X988" s="147"/>
      <c r="Y988" s="147"/>
      <c r="Z988" s="147"/>
      <c r="AA988" s="147"/>
      <c r="AB988" s="147"/>
      <c r="AC988" s="147"/>
      <c r="AD988" s="147"/>
      <c r="AE988" s="147"/>
      <c r="AF988" s="147"/>
      <c r="AG988" s="147"/>
      <c r="AH988" s="147"/>
      <c r="AI988" s="147"/>
      <c r="AJ988" s="147"/>
      <c r="AK988" s="147"/>
      <c r="AL988" s="147"/>
      <c r="AM988" s="147"/>
      <c r="AN988" s="147"/>
      <c r="AO988" s="147"/>
      <c r="AP988" s="147"/>
      <c r="AQ988" s="147"/>
      <c r="AR988" s="147"/>
      <c r="AS988" s="147"/>
      <c r="AT988" s="147"/>
      <c r="AU988" s="147"/>
      <c r="AV988" s="147"/>
      <c r="AW988" s="147"/>
    </row>
    <row r="989">
      <c r="A989" s="631"/>
      <c r="B989" s="631"/>
      <c r="C989" s="632"/>
      <c r="D989" s="633"/>
      <c r="E989" s="634"/>
      <c r="F989" s="635"/>
      <c r="G989" s="636"/>
      <c r="H989" s="637"/>
      <c r="I989" s="643"/>
      <c r="J989" s="644"/>
      <c r="K989" s="147"/>
      <c r="L989" s="632"/>
      <c r="M989" s="147"/>
      <c r="N989" s="640"/>
      <c r="O989" s="640"/>
      <c r="P989" s="641"/>
      <c r="Q989" s="642"/>
      <c r="R989" s="147"/>
      <c r="S989" s="147"/>
      <c r="T989" s="147"/>
      <c r="U989" s="147"/>
      <c r="V989" s="147"/>
      <c r="W989" s="147"/>
      <c r="X989" s="147"/>
      <c r="Y989" s="147"/>
      <c r="Z989" s="147"/>
      <c r="AA989" s="147"/>
      <c r="AB989" s="147"/>
      <c r="AC989" s="147"/>
      <c r="AD989" s="147"/>
      <c r="AE989" s="147"/>
      <c r="AF989" s="147"/>
      <c r="AG989" s="147"/>
      <c r="AH989" s="147"/>
      <c r="AI989" s="147"/>
      <c r="AJ989" s="147"/>
      <c r="AK989" s="147"/>
      <c r="AL989" s="147"/>
      <c r="AM989" s="147"/>
      <c r="AN989" s="147"/>
      <c r="AO989" s="147"/>
      <c r="AP989" s="147"/>
      <c r="AQ989" s="147"/>
      <c r="AR989" s="147"/>
      <c r="AS989" s="147"/>
      <c r="AT989" s="147"/>
      <c r="AU989" s="147"/>
      <c r="AV989" s="147"/>
      <c r="AW989" s="147"/>
    </row>
    <row r="990">
      <c r="A990" s="631"/>
      <c r="B990" s="631"/>
      <c r="C990" s="632"/>
      <c r="D990" s="633"/>
      <c r="E990" s="634"/>
      <c r="F990" s="635"/>
      <c r="G990" s="636"/>
      <c r="H990" s="637"/>
      <c r="I990" s="643"/>
      <c r="J990" s="644"/>
      <c r="K990" s="147"/>
      <c r="L990" s="632"/>
      <c r="M990" s="147"/>
      <c r="N990" s="640"/>
      <c r="O990" s="640"/>
      <c r="P990" s="641"/>
      <c r="Q990" s="642"/>
      <c r="R990" s="147"/>
      <c r="S990" s="147"/>
      <c r="T990" s="147"/>
      <c r="U990" s="147"/>
      <c r="V990" s="147"/>
      <c r="W990" s="147"/>
      <c r="X990" s="147"/>
      <c r="Y990" s="147"/>
      <c r="Z990" s="147"/>
      <c r="AA990" s="147"/>
      <c r="AB990" s="147"/>
      <c r="AC990" s="147"/>
      <c r="AD990" s="147"/>
      <c r="AE990" s="147"/>
      <c r="AF990" s="147"/>
      <c r="AG990" s="147"/>
      <c r="AH990" s="147"/>
      <c r="AI990" s="147"/>
      <c r="AJ990" s="147"/>
      <c r="AK990" s="147"/>
      <c r="AL990" s="147"/>
      <c r="AM990" s="147"/>
      <c r="AN990" s="147"/>
      <c r="AO990" s="147"/>
      <c r="AP990" s="147"/>
      <c r="AQ990" s="147"/>
      <c r="AR990" s="147"/>
      <c r="AS990" s="147"/>
      <c r="AT990" s="147"/>
      <c r="AU990" s="147"/>
      <c r="AV990" s="147"/>
      <c r="AW990" s="147"/>
    </row>
    <row r="991">
      <c r="A991" s="631"/>
      <c r="B991" s="631"/>
      <c r="C991" s="632"/>
      <c r="D991" s="633"/>
      <c r="E991" s="634"/>
      <c r="F991" s="635"/>
      <c r="G991" s="636"/>
      <c r="H991" s="637"/>
      <c r="I991" s="643"/>
      <c r="J991" s="644"/>
      <c r="K991" s="147"/>
      <c r="L991" s="632"/>
      <c r="M991" s="147"/>
      <c r="N991" s="640"/>
      <c r="O991" s="640"/>
      <c r="P991" s="641"/>
      <c r="Q991" s="642"/>
      <c r="R991" s="147"/>
      <c r="S991" s="147"/>
      <c r="T991" s="147"/>
      <c r="U991" s="147"/>
      <c r="V991" s="147"/>
      <c r="W991" s="147"/>
      <c r="X991" s="147"/>
      <c r="Y991" s="147"/>
      <c r="Z991" s="147"/>
      <c r="AA991" s="147"/>
      <c r="AB991" s="147"/>
      <c r="AC991" s="147"/>
      <c r="AD991" s="147"/>
      <c r="AE991" s="147"/>
      <c r="AF991" s="147"/>
      <c r="AG991" s="147"/>
      <c r="AH991" s="147"/>
      <c r="AI991" s="147"/>
      <c r="AJ991" s="147"/>
      <c r="AK991" s="147"/>
      <c r="AL991" s="147"/>
      <c r="AM991" s="147"/>
      <c r="AN991" s="147"/>
      <c r="AO991" s="147"/>
      <c r="AP991" s="147"/>
      <c r="AQ991" s="147"/>
      <c r="AR991" s="147"/>
      <c r="AS991" s="147"/>
      <c r="AT991" s="147"/>
      <c r="AU991" s="147"/>
      <c r="AV991" s="147"/>
      <c r="AW991" s="147"/>
    </row>
    <row r="992">
      <c r="A992" s="631"/>
      <c r="B992" s="631"/>
      <c r="C992" s="632"/>
      <c r="D992" s="633"/>
      <c r="E992" s="634"/>
      <c r="F992" s="635"/>
      <c r="G992" s="636"/>
      <c r="H992" s="637"/>
      <c r="I992" s="643"/>
      <c r="J992" s="644"/>
      <c r="K992" s="147"/>
      <c r="L992" s="632"/>
      <c r="M992" s="147"/>
      <c r="N992" s="640"/>
      <c r="O992" s="640"/>
      <c r="P992" s="641"/>
      <c r="Q992" s="642"/>
      <c r="R992" s="147"/>
      <c r="S992" s="147"/>
      <c r="T992" s="147"/>
      <c r="U992" s="147"/>
      <c r="V992" s="147"/>
      <c r="W992" s="147"/>
      <c r="X992" s="147"/>
      <c r="Y992" s="147"/>
      <c r="Z992" s="147"/>
      <c r="AA992" s="147"/>
      <c r="AB992" s="147"/>
      <c r="AC992" s="147"/>
      <c r="AD992" s="147"/>
      <c r="AE992" s="147"/>
      <c r="AF992" s="147"/>
      <c r="AG992" s="147"/>
      <c r="AH992" s="147"/>
      <c r="AI992" s="147"/>
      <c r="AJ992" s="147"/>
      <c r="AK992" s="147"/>
      <c r="AL992" s="147"/>
      <c r="AM992" s="147"/>
      <c r="AN992" s="147"/>
      <c r="AO992" s="147"/>
      <c r="AP992" s="147"/>
      <c r="AQ992" s="147"/>
      <c r="AR992" s="147"/>
      <c r="AS992" s="147"/>
      <c r="AT992" s="147"/>
      <c r="AU992" s="147"/>
      <c r="AV992" s="147"/>
      <c r="AW992" s="147"/>
    </row>
    <row r="993">
      <c r="A993" s="631"/>
      <c r="B993" s="631"/>
      <c r="C993" s="632"/>
      <c r="D993" s="633"/>
      <c r="E993" s="634"/>
      <c r="F993" s="635"/>
      <c r="G993" s="636"/>
      <c r="H993" s="637"/>
      <c r="I993" s="643"/>
      <c r="J993" s="644"/>
      <c r="K993" s="147"/>
      <c r="L993" s="632"/>
      <c r="M993" s="147"/>
      <c r="N993" s="640"/>
      <c r="O993" s="640"/>
      <c r="P993" s="641"/>
      <c r="Q993" s="642"/>
      <c r="R993" s="147"/>
      <c r="S993" s="147"/>
      <c r="T993" s="147"/>
      <c r="U993" s="147"/>
      <c r="V993" s="147"/>
      <c r="W993" s="147"/>
      <c r="X993" s="147"/>
      <c r="Y993" s="147"/>
      <c r="Z993" s="147"/>
      <c r="AA993" s="147"/>
      <c r="AB993" s="147"/>
      <c r="AC993" s="147"/>
      <c r="AD993" s="147"/>
      <c r="AE993" s="147"/>
      <c r="AF993" s="147"/>
      <c r="AG993" s="147"/>
      <c r="AH993" s="147"/>
      <c r="AI993" s="147"/>
      <c r="AJ993" s="147"/>
      <c r="AK993" s="147"/>
      <c r="AL993" s="147"/>
      <c r="AM993" s="147"/>
      <c r="AN993" s="147"/>
      <c r="AO993" s="147"/>
      <c r="AP993" s="147"/>
      <c r="AQ993" s="147"/>
      <c r="AR993" s="147"/>
      <c r="AS993" s="147"/>
      <c r="AT993" s="147"/>
      <c r="AU993" s="147"/>
      <c r="AV993" s="147"/>
      <c r="AW993" s="147"/>
    </row>
    <row r="994">
      <c r="A994" s="631"/>
      <c r="B994" s="631"/>
      <c r="C994" s="632"/>
      <c r="D994" s="633"/>
      <c r="E994" s="634"/>
      <c r="F994" s="635"/>
      <c r="G994" s="636"/>
      <c r="H994" s="637"/>
      <c r="I994" s="643"/>
      <c r="J994" s="644"/>
      <c r="K994" s="147"/>
      <c r="L994" s="632"/>
      <c r="M994" s="147"/>
      <c r="N994" s="640"/>
      <c r="O994" s="640"/>
      <c r="P994" s="641"/>
      <c r="Q994" s="642"/>
      <c r="R994" s="147"/>
      <c r="S994" s="147"/>
      <c r="T994" s="147"/>
      <c r="U994" s="147"/>
      <c r="V994" s="147"/>
      <c r="W994" s="147"/>
      <c r="X994" s="147"/>
      <c r="Y994" s="147"/>
      <c r="Z994" s="147"/>
      <c r="AA994" s="147"/>
      <c r="AB994" s="147"/>
      <c r="AC994" s="147"/>
      <c r="AD994" s="147"/>
      <c r="AE994" s="147"/>
      <c r="AF994" s="147"/>
      <c r="AG994" s="147"/>
      <c r="AH994" s="147"/>
      <c r="AI994" s="147"/>
      <c r="AJ994" s="147"/>
      <c r="AK994" s="147"/>
      <c r="AL994" s="147"/>
      <c r="AM994" s="147"/>
      <c r="AN994" s="147"/>
      <c r="AO994" s="147"/>
      <c r="AP994" s="147"/>
      <c r="AQ994" s="147"/>
      <c r="AR994" s="147"/>
      <c r="AS994" s="147"/>
      <c r="AT994" s="147"/>
      <c r="AU994" s="147"/>
      <c r="AV994" s="147"/>
      <c r="AW994" s="147"/>
    </row>
    <row r="995">
      <c r="A995" s="631"/>
      <c r="B995" s="631"/>
      <c r="C995" s="632"/>
      <c r="D995" s="633"/>
      <c r="E995" s="634"/>
      <c r="F995" s="635"/>
      <c r="G995" s="636"/>
      <c r="H995" s="637"/>
      <c r="I995" s="643"/>
      <c r="J995" s="644"/>
      <c r="K995" s="147"/>
      <c r="L995" s="632"/>
      <c r="M995" s="147"/>
      <c r="N995" s="640"/>
      <c r="O995" s="640"/>
      <c r="P995" s="641"/>
      <c r="Q995" s="642"/>
      <c r="R995" s="147"/>
      <c r="S995" s="147"/>
      <c r="T995" s="147"/>
      <c r="U995" s="147"/>
      <c r="V995" s="147"/>
      <c r="W995" s="147"/>
      <c r="X995" s="147"/>
      <c r="Y995" s="147"/>
      <c r="Z995" s="147"/>
      <c r="AA995" s="147"/>
      <c r="AB995" s="147"/>
      <c r="AC995" s="147"/>
      <c r="AD995" s="147"/>
      <c r="AE995" s="147"/>
      <c r="AF995" s="147"/>
      <c r="AG995" s="147"/>
      <c r="AH995" s="147"/>
      <c r="AI995" s="147"/>
      <c r="AJ995" s="147"/>
      <c r="AK995" s="147"/>
      <c r="AL995" s="147"/>
      <c r="AM995" s="147"/>
      <c r="AN995" s="147"/>
      <c r="AO995" s="147"/>
      <c r="AP995" s="147"/>
      <c r="AQ995" s="147"/>
      <c r="AR995" s="147"/>
      <c r="AS995" s="147"/>
      <c r="AT995" s="147"/>
      <c r="AU995" s="147"/>
      <c r="AV995" s="147"/>
      <c r="AW995" s="147"/>
    </row>
    <row r="996">
      <c r="A996" s="631"/>
      <c r="B996" s="631"/>
      <c r="C996" s="632"/>
      <c r="D996" s="633"/>
      <c r="E996" s="634"/>
      <c r="F996" s="635"/>
      <c r="G996" s="636"/>
      <c r="H996" s="637"/>
      <c r="I996" s="643"/>
      <c r="J996" s="644"/>
      <c r="K996" s="147"/>
      <c r="L996" s="632"/>
      <c r="M996" s="147"/>
      <c r="N996" s="640"/>
      <c r="O996" s="640"/>
      <c r="P996" s="641"/>
      <c r="Q996" s="642"/>
      <c r="R996" s="147"/>
      <c r="S996" s="147"/>
      <c r="T996" s="147"/>
      <c r="U996" s="147"/>
      <c r="V996" s="147"/>
      <c r="W996" s="147"/>
      <c r="X996" s="147"/>
      <c r="Y996" s="147"/>
      <c r="Z996" s="147"/>
      <c r="AA996" s="147"/>
      <c r="AB996" s="147"/>
      <c r="AC996" s="147"/>
      <c r="AD996" s="147"/>
      <c r="AE996" s="147"/>
      <c r="AF996" s="147"/>
      <c r="AG996" s="147"/>
      <c r="AH996" s="147"/>
      <c r="AI996" s="147"/>
      <c r="AJ996" s="147"/>
      <c r="AK996" s="147"/>
      <c r="AL996" s="147"/>
      <c r="AM996" s="147"/>
      <c r="AN996" s="147"/>
      <c r="AO996" s="147"/>
      <c r="AP996" s="147"/>
      <c r="AQ996" s="147"/>
      <c r="AR996" s="147"/>
      <c r="AS996" s="147"/>
      <c r="AT996" s="147"/>
      <c r="AU996" s="147"/>
      <c r="AV996" s="147"/>
      <c r="AW996" s="147"/>
    </row>
    <row r="997">
      <c r="A997" s="631"/>
      <c r="B997" s="631"/>
      <c r="C997" s="632"/>
      <c r="D997" s="633"/>
      <c r="E997" s="634"/>
      <c r="F997" s="635"/>
      <c r="G997" s="636"/>
      <c r="H997" s="637"/>
      <c r="I997" s="643"/>
      <c r="J997" s="644"/>
      <c r="K997" s="147"/>
      <c r="L997" s="632"/>
      <c r="M997" s="147"/>
      <c r="N997" s="640"/>
      <c r="O997" s="640"/>
      <c r="P997" s="641"/>
      <c r="Q997" s="642"/>
      <c r="R997" s="147"/>
      <c r="S997" s="147"/>
      <c r="T997" s="147"/>
      <c r="U997" s="147"/>
      <c r="V997" s="147"/>
      <c r="W997" s="147"/>
      <c r="X997" s="147"/>
      <c r="Y997" s="147"/>
      <c r="Z997" s="147"/>
      <c r="AA997" s="147"/>
      <c r="AB997" s="147"/>
      <c r="AC997" s="147"/>
      <c r="AD997" s="147"/>
      <c r="AE997" s="147"/>
      <c r="AF997" s="147"/>
      <c r="AG997" s="147"/>
      <c r="AH997" s="147"/>
      <c r="AI997" s="147"/>
      <c r="AJ997" s="147"/>
      <c r="AK997" s="147"/>
      <c r="AL997" s="147"/>
      <c r="AM997" s="147"/>
      <c r="AN997" s="147"/>
      <c r="AO997" s="147"/>
      <c r="AP997" s="147"/>
      <c r="AQ997" s="147"/>
      <c r="AR997" s="147"/>
      <c r="AS997" s="147"/>
      <c r="AT997" s="147"/>
      <c r="AU997" s="147"/>
      <c r="AV997" s="147"/>
      <c r="AW997" s="147"/>
    </row>
    <row r="998">
      <c r="A998" s="631"/>
      <c r="B998" s="631"/>
      <c r="C998" s="632"/>
      <c r="D998" s="633"/>
      <c r="E998" s="634"/>
      <c r="F998" s="635"/>
      <c r="G998" s="636"/>
      <c r="H998" s="637"/>
      <c r="I998" s="643"/>
      <c r="J998" s="644"/>
      <c r="K998" s="147"/>
      <c r="L998" s="632"/>
      <c r="M998" s="147"/>
      <c r="N998" s="640"/>
      <c r="O998" s="640"/>
      <c r="P998" s="641"/>
      <c r="Q998" s="642"/>
      <c r="R998" s="147"/>
      <c r="S998" s="147"/>
      <c r="T998" s="147"/>
      <c r="U998" s="147"/>
      <c r="V998" s="147"/>
      <c r="W998" s="147"/>
      <c r="X998" s="147"/>
      <c r="Y998" s="147"/>
      <c r="Z998" s="147"/>
      <c r="AA998" s="147"/>
      <c r="AB998" s="147"/>
      <c r="AC998" s="147"/>
      <c r="AD998" s="147"/>
      <c r="AE998" s="147"/>
      <c r="AF998" s="147"/>
      <c r="AG998" s="147"/>
      <c r="AH998" s="147"/>
      <c r="AI998" s="147"/>
      <c r="AJ998" s="147"/>
      <c r="AK998" s="147"/>
      <c r="AL998" s="147"/>
      <c r="AM998" s="147"/>
      <c r="AN998" s="147"/>
      <c r="AO998" s="147"/>
      <c r="AP998" s="147"/>
      <c r="AQ998" s="147"/>
      <c r="AR998" s="147"/>
      <c r="AS998" s="147"/>
      <c r="AT998" s="147"/>
      <c r="AU998" s="147"/>
      <c r="AV998" s="147"/>
      <c r="AW998" s="147"/>
    </row>
    <row r="999">
      <c r="A999" s="631"/>
      <c r="B999" s="631"/>
      <c r="C999" s="632"/>
      <c r="D999" s="633"/>
      <c r="E999" s="634"/>
      <c r="F999" s="635"/>
      <c r="G999" s="636"/>
      <c r="H999" s="637"/>
      <c r="I999" s="643"/>
      <c r="J999" s="644"/>
      <c r="K999" s="147"/>
      <c r="L999" s="632"/>
      <c r="M999" s="147"/>
      <c r="N999" s="640"/>
      <c r="O999" s="640"/>
      <c r="P999" s="641"/>
      <c r="Q999" s="642"/>
      <c r="R999" s="147"/>
      <c r="S999" s="147"/>
      <c r="T999" s="147"/>
      <c r="U999" s="147"/>
      <c r="V999" s="147"/>
      <c r="W999" s="147"/>
      <c r="X999" s="147"/>
      <c r="Y999" s="147"/>
      <c r="Z999" s="147"/>
      <c r="AA999" s="147"/>
      <c r="AB999" s="147"/>
      <c r="AC999" s="147"/>
      <c r="AD999" s="147"/>
      <c r="AE999" s="147"/>
      <c r="AF999" s="147"/>
      <c r="AG999" s="147"/>
      <c r="AH999" s="147"/>
      <c r="AI999" s="147"/>
      <c r="AJ999" s="147"/>
      <c r="AK999" s="147"/>
      <c r="AL999" s="147"/>
      <c r="AM999" s="147"/>
      <c r="AN999" s="147"/>
      <c r="AO999" s="147"/>
      <c r="AP999" s="147"/>
      <c r="AQ999" s="147"/>
      <c r="AR999" s="147"/>
      <c r="AS999" s="147"/>
      <c r="AT999" s="147"/>
      <c r="AU999" s="147"/>
      <c r="AV999" s="147"/>
      <c r="AW999" s="147"/>
    </row>
    <row r="1000">
      <c r="A1000" s="631"/>
      <c r="B1000" s="631"/>
      <c r="C1000" s="632"/>
      <c r="D1000" s="633"/>
      <c r="E1000" s="634"/>
      <c r="F1000" s="635"/>
      <c r="G1000" s="636"/>
      <c r="H1000" s="637"/>
      <c r="I1000" s="643"/>
      <c r="J1000" s="644"/>
      <c r="K1000" s="147"/>
      <c r="L1000" s="632"/>
      <c r="M1000" s="147"/>
      <c r="N1000" s="640"/>
      <c r="O1000" s="640"/>
      <c r="P1000" s="641"/>
      <c r="Q1000" s="642"/>
      <c r="R1000" s="147"/>
      <c r="S1000" s="147"/>
      <c r="T1000" s="147"/>
      <c r="U1000" s="147"/>
      <c r="V1000" s="147"/>
      <c r="W1000" s="147"/>
      <c r="X1000" s="147"/>
      <c r="Y1000" s="147"/>
      <c r="Z1000" s="147"/>
      <c r="AA1000" s="147"/>
      <c r="AB1000" s="147"/>
      <c r="AC1000" s="147"/>
      <c r="AD1000" s="147"/>
      <c r="AE1000" s="147"/>
      <c r="AF1000" s="147"/>
      <c r="AG1000" s="147"/>
      <c r="AH1000" s="147"/>
      <c r="AI1000" s="147"/>
      <c r="AJ1000" s="147"/>
      <c r="AK1000" s="147"/>
      <c r="AL1000" s="147"/>
      <c r="AM1000" s="147"/>
      <c r="AN1000" s="147"/>
      <c r="AO1000" s="147"/>
      <c r="AP1000" s="147"/>
      <c r="AQ1000" s="147"/>
      <c r="AR1000" s="147"/>
      <c r="AS1000" s="147"/>
      <c r="AT1000" s="147"/>
      <c r="AU1000" s="147"/>
      <c r="AV1000" s="147"/>
      <c r="AW1000" s="147"/>
    </row>
    <row r="1001">
      <c r="A1001" s="631"/>
      <c r="B1001" s="631"/>
      <c r="C1001" s="632"/>
      <c r="D1001" s="633"/>
      <c r="E1001" s="634"/>
      <c r="F1001" s="635"/>
      <c r="G1001" s="636"/>
      <c r="H1001" s="637"/>
      <c r="I1001" s="643"/>
      <c r="J1001" s="644"/>
      <c r="K1001" s="147"/>
      <c r="L1001" s="632"/>
      <c r="M1001" s="147"/>
      <c r="N1001" s="640"/>
      <c r="O1001" s="640"/>
      <c r="P1001" s="641"/>
      <c r="Q1001" s="642"/>
      <c r="R1001" s="147"/>
      <c r="S1001" s="147"/>
      <c r="T1001" s="147"/>
      <c r="U1001" s="147"/>
      <c r="V1001" s="147"/>
      <c r="W1001" s="147"/>
      <c r="X1001" s="147"/>
      <c r="Y1001" s="147"/>
      <c r="Z1001" s="147"/>
      <c r="AA1001" s="147"/>
      <c r="AB1001" s="147"/>
      <c r="AC1001" s="147"/>
      <c r="AD1001" s="147"/>
      <c r="AE1001" s="147"/>
      <c r="AF1001" s="147"/>
      <c r="AG1001" s="147"/>
      <c r="AH1001" s="147"/>
      <c r="AI1001" s="147"/>
      <c r="AJ1001" s="147"/>
      <c r="AK1001" s="147"/>
      <c r="AL1001" s="147"/>
      <c r="AM1001" s="147"/>
      <c r="AN1001" s="147"/>
      <c r="AO1001" s="147"/>
      <c r="AP1001" s="147"/>
      <c r="AQ1001" s="147"/>
      <c r="AR1001" s="147"/>
      <c r="AS1001" s="147"/>
      <c r="AT1001" s="147"/>
      <c r="AU1001" s="147"/>
      <c r="AV1001" s="147"/>
      <c r="AW1001" s="147"/>
    </row>
    <row r="1002">
      <c r="A1002" s="631"/>
      <c r="B1002" s="631"/>
      <c r="C1002" s="632"/>
      <c r="D1002" s="633"/>
      <c r="E1002" s="634"/>
      <c r="F1002" s="635"/>
      <c r="G1002" s="636"/>
      <c r="H1002" s="637"/>
      <c r="I1002" s="643"/>
      <c r="J1002" s="644"/>
      <c r="K1002" s="147"/>
      <c r="L1002" s="632"/>
      <c r="M1002" s="147"/>
      <c r="N1002" s="640"/>
      <c r="O1002" s="640"/>
      <c r="P1002" s="641"/>
      <c r="Q1002" s="642"/>
      <c r="R1002" s="147"/>
      <c r="S1002" s="147"/>
      <c r="T1002" s="147"/>
      <c r="U1002" s="147"/>
      <c r="V1002" s="147"/>
      <c r="W1002" s="147"/>
      <c r="X1002" s="147"/>
      <c r="Y1002" s="147"/>
      <c r="Z1002" s="147"/>
      <c r="AA1002" s="147"/>
      <c r="AB1002" s="147"/>
      <c r="AC1002" s="147"/>
      <c r="AD1002" s="147"/>
      <c r="AE1002" s="147"/>
      <c r="AF1002" s="147"/>
      <c r="AG1002" s="147"/>
      <c r="AH1002" s="147"/>
      <c r="AI1002" s="147"/>
      <c r="AJ1002" s="147"/>
      <c r="AK1002" s="147"/>
      <c r="AL1002" s="147"/>
      <c r="AM1002" s="147"/>
      <c r="AN1002" s="147"/>
      <c r="AO1002" s="147"/>
      <c r="AP1002" s="147"/>
      <c r="AQ1002" s="147"/>
      <c r="AR1002" s="147"/>
      <c r="AS1002" s="147"/>
      <c r="AT1002" s="147"/>
      <c r="AU1002" s="147"/>
      <c r="AV1002" s="147"/>
      <c r="AW1002" s="147"/>
    </row>
    <row r="1003">
      <c r="A1003" s="631"/>
      <c r="B1003" s="631"/>
      <c r="C1003" s="632"/>
      <c r="D1003" s="633"/>
      <c r="E1003" s="634"/>
      <c r="F1003" s="635"/>
      <c r="G1003" s="636"/>
      <c r="H1003" s="637"/>
      <c r="I1003" s="643"/>
      <c r="J1003" s="644"/>
      <c r="K1003" s="147"/>
      <c r="L1003" s="632"/>
      <c r="M1003" s="147"/>
      <c r="N1003" s="640"/>
      <c r="O1003" s="640"/>
      <c r="P1003" s="641"/>
      <c r="Q1003" s="642"/>
      <c r="R1003" s="147"/>
      <c r="S1003" s="147"/>
      <c r="T1003" s="147"/>
      <c r="U1003" s="147"/>
      <c r="V1003" s="147"/>
      <c r="W1003" s="147"/>
      <c r="X1003" s="147"/>
      <c r="Y1003" s="147"/>
      <c r="Z1003" s="147"/>
      <c r="AA1003" s="147"/>
      <c r="AB1003" s="147"/>
      <c r="AC1003" s="147"/>
      <c r="AD1003" s="147"/>
      <c r="AE1003" s="147"/>
      <c r="AF1003" s="147"/>
      <c r="AG1003" s="147"/>
      <c r="AH1003" s="147"/>
      <c r="AI1003" s="147"/>
      <c r="AJ1003" s="147"/>
      <c r="AK1003" s="147"/>
      <c r="AL1003" s="147"/>
      <c r="AM1003" s="147"/>
      <c r="AN1003" s="147"/>
      <c r="AO1003" s="147"/>
      <c r="AP1003" s="147"/>
      <c r="AQ1003" s="147"/>
      <c r="AR1003" s="147"/>
      <c r="AS1003" s="147"/>
      <c r="AT1003" s="147"/>
      <c r="AU1003" s="147"/>
      <c r="AV1003" s="147"/>
      <c r="AW1003" s="147"/>
    </row>
    <row r="1004">
      <c r="A1004" s="631"/>
      <c r="B1004" s="631"/>
      <c r="C1004" s="632"/>
      <c r="D1004" s="633"/>
      <c r="E1004" s="634"/>
      <c r="F1004" s="635"/>
      <c r="G1004" s="636"/>
      <c r="H1004" s="637"/>
      <c r="I1004" s="643"/>
      <c r="J1004" s="644"/>
      <c r="K1004" s="147"/>
      <c r="L1004" s="632"/>
      <c r="M1004" s="147"/>
      <c r="N1004" s="640"/>
      <c r="O1004" s="640"/>
      <c r="P1004" s="641"/>
      <c r="Q1004" s="642"/>
      <c r="R1004" s="147"/>
      <c r="S1004" s="147"/>
      <c r="T1004" s="147"/>
      <c r="U1004" s="147"/>
      <c r="V1004" s="147"/>
      <c r="W1004" s="147"/>
      <c r="X1004" s="147"/>
      <c r="Y1004" s="147"/>
      <c r="Z1004" s="147"/>
      <c r="AA1004" s="147"/>
      <c r="AB1004" s="147"/>
      <c r="AC1004" s="147"/>
      <c r="AD1004" s="147"/>
      <c r="AE1004" s="147"/>
      <c r="AF1004" s="147"/>
      <c r="AG1004" s="147"/>
      <c r="AH1004" s="147"/>
      <c r="AI1004" s="147"/>
      <c r="AJ1004" s="147"/>
      <c r="AK1004" s="147"/>
      <c r="AL1004" s="147"/>
      <c r="AM1004" s="147"/>
      <c r="AN1004" s="147"/>
      <c r="AO1004" s="147"/>
      <c r="AP1004" s="147"/>
      <c r="AQ1004" s="147"/>
      <c r="AR1004" s="147"/>
      <c r="AS1004" s="147"/>
      <c r="AT1004" s="147"/>
      <c r="AU1004" s="147"/>
      <c r="AV1004" s="147"/>
      <c r="AW1004" s="147"/>
    </row>
    <row r="1005">
      <c r="A1005" s="631"/>
      <c r="B1005" s="631"/>
      <c r="C1005" s="632"/>
      <c r="D1005" s="633"/>
      <c r="E1005" s="634"/>
      <c r="F1005" s="635"/>
      <c r="G1005" s="636"/>
      <c r="H1005" s="637"/>
      <c r="I1005" s="643"/>
      <c r="J1005" s="644"/>
      <c r="K1005" s="147"/>
      <c r="L1005" s="632"/>
      <c r="M1005" s="147"/>
      <c r="N1005" s="640"/>
      <c r="O1005" s="640"/>
      <c r="P1005" s="641"/>
      <c r="Q1005" s="642"/>
      <c r="R1005" s="147"/>
      <c r="S1005" s="147"/>
      <c r="T1005" s="147"/>
      <c r="U1005" s="147"/>
      <c r="V1005" s="147"/>
      <c r="W1005" s="147"/>
      <c r="X1005" s="147"/>
      <c r="Y1005" s="147"/>
      <c r="Z1005" s="147"/>
      <c r="AA1005" s="147"/>
      <c r="AB1005" s="147"/>
      <c r="AC1005" s="147"/>
      <c r="AD1005" s="147"/>
      <c r="AE1005" s="147"/>
      <c r="AF1005" s="147"/>
      <c r="AG1005" s="147"/>
      <c r="AH1005" s="147"/>
      <c r="AI1005" s="147"/>
      <c r="AJ1005" s="147"/>
      <c r="AK1005" s="147"/>
      <c r="AL1005" s="147"/>
      <c r="AM1005" s="147"/>
      <c r="AN1005" s="147"/>
      <c r="AO1005" s="147"/>
      <c r="AP1005" s="147"/>
      <c r="AQ1005" s="147"/>
      <c r="AR1005" s="147"/>
      <c r="AS1005" s="147"/>
      <c r="AT1005" s="147"/>
      <c r="AU1005" s="147"/>
      <c r="AV1005" s="147"/>
      <c r="AW1005" s="147"/>
    </row>
    <row r="1006">
      <c r="A1006" s="631"/>
      <c r="B1006" s="631"/>
      <c r="C1006" s="632"/>
      <c r="D1006" s="633"/>
      <c r="E1006" s="634"/>
      <c r="F1006" s="635"/>
      <c r="G1006" s="636"/>
      <c r="H1006" s="637"/>
      <c r="I1006" s="643"/>
      <c r="J1006" s="644"/>
      <c r="K1006" s="147"/>
      <c r="L1006" s="632"/>
      <c r="M1006" s="147"/>
      <c r="N1006" s="640"/>
      <c r="O1006" s="640"/>
      <c r="P1006" s="641"/>
      <c r="Q1006" s="642"/>
      <c r="R1006" s="147"/>
      <c r="S1006" s="147"/>
      <c r="T1006" s="147"/>
      <c r="U1006" s="147"/>
      <c r="V1006" s="147"/>
      <c r="W1006" s="147"/>
      <c r="X1006" s="147"/>
      <c r="Y1006" s="147"/>
      <c r="Z1006" s="147"/>
      <c r="AA1006" s="147"/>
      <c r="AB1006" s="147"/>
      <c r="AC1006" s="147"/>
      <c r="AD1006" s="147"/>
      <c r="AE1006" s="147"/>
      <c r="AF1006" s="147"/>
      <c r="AG1006" s="147"/>
      <c r="AH1006" s="147"/>
      <c r="AI1006" s="147"/>
      <c r="AJ1006" s="147"/>
      <c r="AK1006" s="147"/>
      <c r="AL1006" s="147"/>
      <c r="AM1006" s="147"/>
      <c r="AN1006" s="147"/>
      <c r="AO1006" s="147"/>
      <c r="AP1006" s="147"/>
      <c r="AQ1006" s="147"/>
      <c r="AR1006" s="147"/>
      <c r="AS1006" s="147"/>
      <c r="AT1006" s="147"/>
      <c r="AU1006" s="147"/>
      <c r="AV1006" s="147"/>
      <c r="AW1006" s="147"/>
    </row>
    <row r="1007">
      <c r="A1007" s="631"/>
      <c r="B1007" s="631"/>
      <c r="C1007" s="632"/>
      <c r="D1007" s="633"/>
      <c r="E1007" s="634"/>
      <c r="F1007" s="635"/>
      <c r="G1007" s="636"/>
      <c r="H1007" s="637"/>
      <c r="I1007" s="643"/>
      <c r="J1007" s="644"/>
      <c r="K1007" s="147"/>
      <c r="L1007" s="632"/>
      <c r="M1007" s="147"/>
      <c r="N1007" s="640"/>
      <c r="O1007" s="640"/>
      <c r="P1007" s="641"/>
      <c r="Q1007" s="642"/>
      <c r="R1007" s="147"/>
      <c r="S1007" s="147"/>
      <c r="T1007" s="147"/>
      <c r="U1007" s="147"/>
      <c r="V1007" s="147"/>
      <c r="W1007" s="147"/>
      <c r="X1007" s="147"/>
      <c r="Y1007" s="147"/>
      <c r="Z1007" s="147"/>
      <c r="AA1007" s="147"/>
      <c r="AB1007" s="147"/>
      <c r="AC1007" s="147"/>
      <c r="AD1007" s="147"/>
      <c r="AE1007" s="147"/>
      <c r="AF1007" s="147"/>
      <c r="AG1007" s="147"/>
      <c r="AH1007" s="147"/>
      <c r="AI1007" s="147"/>
      <c r="AJ1007" s="147"/>
      <c r="AK1007" s="147"/>
      <c r="AL1007" s="147"/>
      <c r="AM1007" s="147"/>
      <c r="AN1007" s="147"/>
      <c r="AO1007" s="147"/>
      <c r="AP1007" s="147"/>
      <c r="AQ1007" s="147"/>
      <c r="AR1007" s="147"/>
      <c r="AS1007" s="147"/>
      <c r="AT1007" s="147"/>
      <c r="AU1007" s="147"/>
      <c r="AV1007" s="147"/>
      <c r="AW1007" s="147"/>
    </row>
    <row r="1008">
      <c r="A1008" s="631"/>
      <c r="B1008" s="631"/>
      <c r="C1008" s="632"/>
      <c r="D1008" s="633"/>
      <c r="E1008" s="634"/>
      <c r="F1008" s="635"/>
      <c r="G1008" s="636"/>
      <c r="H1008" s="637"/>
      <c r="I1008" s="643"/>
      <c r="J1008" s="644"/>
      <c r="K1008" s="147"/>
      <c r="L1008" s="632"/>
      <c r="M1008" s="147"/>
      <c r="N1008" s="640"/>
      <c r="O1008" s="640"/>
      <c r="P1008" s="641"/>
      <c r="Q1008" s="642"/>
      <c r="R1008" s="147"/>
      <c r="S1008" s="147"/>
      <c r="T1008" s="147"/>
      <c r="U1008" s="147"/>
      <c r="V1008" s="147"/>
      <c r="W1008" s="147"/>
      <c r="X1008" s="147"/>
      <c r="Y1008" s="147"/>
      <c r="Z1008" s="147"/>
      <c r="AA1008" s="147"/>
      <c r="AB1008" s="147"/>
      <c r="AC1008" s="147"/>
      <c r="AD1008" s="147"/>
      <c r="AE1008" s="147"/>
      <c r="AF1008" s="147"/>
      <c r="AG1008" s="147"/>
      <c r="AH1008" s="147"/>
      <c r="AI1008" s="147"/>
      <c r="AJ1008" s="147"/>
      <c r="AK1008" s="147"/>
      <c r="AL1008" s="147"/>
      <c r="AM1008" s="147"/>
      <c r="AN1008" s="147"/>
      <c r="AO1008" s="147"/>
      <c r="AP1008" s="147"/>
      <c r="AQ1008" s="147"/>
      <c r="AR1008" s="147"/>
      <c r="AS1008" s="147"/>
      <c r="AT1008" s="147"/>
      <c r="AU1008" s="147"/>
      <c r="AV1008" s="147"/>
      <c r="AW1008" s="147"/>
    </row>
    <row r="1009">
      <c r="A1009" s="631"/>
      <c r="B1009" s="631"/>
      <c r="C1009" s="632"/>
      <c r="D1009" s="633"/>
      <c r="E1009" s="634"/>
      <c r="F1009" s="635"/>
      <c r="G1009" s="636"/>
      <c r="H1009" s="637"/>
      <c r="I1009" s="643"/>
      <c r="J1009" s="644"/>
      <c r="K1009" s="147"/>
      <c r="L1009" s="632"/>
      <c r="M1009" s="147"/>
      <c r="N1009" s="640"/>
      <c r="O1009" s="640"/>
      <c r="P1009" s="641"/>
      <c r="Q1009" s="642"/>
      <c r="R1009" s="147"/>
      <c r="S1009" s="147"/>
      <c r="T1009" s="147"/>
      <c r="U1009" s="147"/>
      <c r="V1009" s="147"/>
      <c r="W1009" s="147"/>
      <c r="X1009" s="147"/>
      <c r="Y1009" s="147"/>
      <c r="Z1009" s="147"/>
      <c r="AA1009" s="147"/>
      <c r="AB1009" s="147"/>
      <c r="AC1009" s="147"/>
      <c r="AD1009" s="147"/>
      <c r="AE1009" s="147"/>
      <c r="AF1009" s="147"/>
      <c r="AG1009" s="147"/>
      <c r="AH1009" s="147"/>
      <c r="AI1009" s="147"/>
      <c r="AJ1009" s="147"/>
      <c r="AK1009" s="147"/>
      <c r="AL1009" s="147"/>
      <c r="AM1009" s="147"/>
      <c r="AN1009" s="147"/>
      <c r="AO1009" s="147"/>
      <c r="AP1009" s="147"/>
      <c r="AQ1009" s="147"/>
      <c r="AR1009" s="147"/>
      <c r="AS1009" s="147"/>
      <c r="AT1009" s="147"/>
      <c r="AU1009" s="147"/>
      <c r="AV1009" s="147"/>
      <c r="AW1009" s="147"/>
    </row>
    <row r="1010">
      <c r="A1010" s="631"/>
      <c r="B1010" s="631"/>
      <c r="C1010" s="632"/>
      <c r="D1010" s="633"/>
      <c r="E1010" s="634"/>
      <c r="F1010" s="635"/>
      <c r="G1010" s="636"/>
      <c r="H1010" s="637"/>
      <c r="I1010" s="643"/>
      <c r="J1010" s="644"/>
      <c r="K1010" s="147"/>
      <c r="L1010" s="632"/>
      <c r="M1010" s="147"/>
      <c r="N1010" s="640"/>
      <c r="O1010" s="640"/>
      <c r="P1010" s="641"/>
      <c r="Q1010" s="642"/>
      <c r="R1010" s="147"/>
      <c r="S1010" s="147"/>
      <c r="T1010" s="147"/>
      <c r="U1010" s="147"/>
      <c r="V1010" s="147"/>
      <c r="W1010" s="147"/>
      <c r="X1010" s="147"/>
      <c r="Y1010" s="147"/>
      <c r="Z1010" s="147"/>
      <c r="AA1010" s="147"/>
      <c r="AB1010" s="147"/>
      <c r="AC1010" s="147"/>
      <c r="AD1010" s="147"/>
      <c r="AE1010" s="147"/>
      <c r="AF1010" s="147"/>
      <c r="AG1010" s="147"/>
      <c r="AH1010" s="147"/>
      <c r="AI1010" s="147"/>
      <c r="AJ1010" s="147"/>
      <c r="AK1010" s="147"/>
      <c r="AL1010" s="147"/>
      <c r="AM1010" s="147"/>
      <c r="AN1010" s="147"/>
      <c r="AO1010" s="147"/>
      <c r="AP1010" s="147"/>
      <c r="AQ1010" s="147"/>
      <c r="AR1010" s="147"/>
      <c r="AS1010" s="147"/>
      <c r="AT1010" s="147"/>
      <c r="AU1010" s="147"/>
      <c r="AV1010" s="147"/>
      <c r="AW1010" s="147"/>
    </row>
    <row r="1011">
      <c r="A1011" s="631"/>
      <c r="B1011" s="631"/>
      <c r="C1011" s="632"/>
      <c r="D1011" s="633"/>
      <c r="E1011" s="634"/>
      <c r="F1011" s="635"/>
      <c r="G1011" s="636"/>
      <c r="H1011" s="637"/>
      <c r="I1011" s="643"/>
      <c r="J1011" s="644"/>
      <c r="K1011" s="147"/>
      <c r="L1011" s="632"/>
      <c r="M1011" s="147"/>
      <c r="N1011" s="640"/>
      <c r="O1011" s="640"/>
      <c r="P1011" s="641"/>
      <c r="Q1011" s="642"/>
      <c r="R1011" s="147"/>
      <c r="S1011" s="147"/>
      <c r="T1011" s="147"/>
      <c r="U1011" s="147"/>
      <c r="V1011" s="147"/>
      <c r="W1011" s="147"/>
      <c r="X1011" s="147"/>
      <c r="Y1011" s="147"/>
      <c r="Z1011" s="147"/>
      <c r="AA1011" s="147"/>
      <c r="AB1011" s="147"/>
      <c r="AC1011" s="147"/>
      <c r="AD1011" s="147"/>
      <c r="AE1011" s="147"/>
      <c r="AF1011" s="147"/>
      <c r="AG1011" s="147"/>
      <c r="AH1011" s="147"/>
      <c r="AI1011" s="147"/>
      <c r="AJ1011" s="147"/>
      <c r="AK1011" s="147"/>
      <c r="AL1011" s="147"/>
      <c r="AM1011" s="147"/>
      <c r="AN1011" s="147"/>
      <c r="AO1011" s="147"/>
      <c r="AP1011" s="147"/>
      <c r="AQ1011" s="147"/>
      <c r="AR1011" s="147"/>
      <c r="AS1011" s="147"/>
      <c r="AT1011" s="147"/>
      <c r="AU1011" s="147"/>
      <c r="AV1011" s="147"/>
      <c r="AW1011" s="147"/>
    </row>
    <row r="1012">
      <c r="A1012" s="631"/>
      <c r="B1012" s="631"/>
      <c r="C1012" s="632"/>
      <c r="D1012" s="633"/>
      <c r="E1012" s="634"/>
      <c r="F1012" s="635"/>
      <c r="G1012" s="636"/>
      <c r="H1012" s="637"/>
      <c r="I1012" s="643"/>
      <c r="J1012" s="644"/>
      <c r="K1012" s="147"/>
      <c r="L1012" s="632"/>
      <c r="M1012" s="147"/>
      <c r="N1012" s="640"/>
      <c r="O1012" s="640"/>
      <c r="P1012" s="641"/>
      <c r="Q1012" s="642"/>
      <c r="R1012" s="147"/>
      <c r="S1012" s="147"/>
      <c r="T1012" s="147"/>
      <c r="U1012" s="147"/>
      <c r="V1012" s="147"/>
      <c r="W1012" s="147"/>
      <c r="X1012" s="147"/>
      <c r="Y1012" s="147"/>
      <c r="Z1012" s="147"/>
      <c r="AA1012" s="147"/>
      <c r="AB1012" s="147"/>
      <c r="AC1012" s="147"/>
      <c r="AD1012" s="147"/>
      <c r="AE1012" s="147"/>
      <c r="AF1012" s="147"/>
      <c r="AG1012" s="147"/>
      <c r="AH1012" s="147"/>
      <c r="AI1012" s="147"/>
      <c r="AJ1012" s="147"/>
      <c r="AK1012" s="147"/>
      <c r="AL1012" s="147"/>
      <c r="AM1012" s="147"/>
      <c r="AN1012" s="147"/>
      <c r="AO1012" s="147"/>
      <c r="AP1012" s="147"/>
      <c r="AQ1012" s="147"/>
      <c r="AR1012" s="147"/>
      <c r="AS1012" s="147"/>
      <c r="AT1012" s="147"/>
      <c r="AU1012" s="147"/>
      <c r="AV1012" s="147"/>
      <c r="AW1012" s="147"/>
    </row>
    <row r="1013">
      <c r="A1013" s="631"/>
      <c r="B1013" s="631"/>
      <c r="C1013" s="632"/>
      <c r="D1013" s="633"/>
      <c r="E1013" s="634"/>
      <c r="F1013" s="635"/>
      <c r="G1013" s="636"/>
      <c r="H1013" s="637"/>
      <c r="I1013" s="643"/>
      <c r="J1013" s="644"/>
      <c r="K1013" s="147"/>
      <c r="L1013" s="632"/>
      <c r="M1013" s="147"/>
      <c r="N1013" s="640"/>
      <c r="O1013" s="640"/>
      <c r="P1013" s="641"/>
      <c r="Q1013" s="642"/>
      <c r="R1013" s="147"/>
      <c r="S1013" s="147"/>
      <c r="T1013" s="147"/>
      <c r="U1013" s="147"/>
      <c r="V1013" s="147"/>
      <c r="W1013" s="147"/>
      <c r="X1013" s="147"/>
      <c r="Y1013" s="147"/>
      <c r="Z1013" s="147"/>
      <c r="AA1013" s="147"/>
      <c r="AB1013" s="147"/>
      <c r="AC1013" s="147"/>
      <c r="AD1013" s="147"/>
      <c r="AE1013" s="147"/>
      <c r="AF1013" s="147"/>
      <c r="AG1013" s="147"/>
      <c r="AH1013" s="147"/>
      <c r="AI1013" s="147"/>
      <c r="AJ1013" s="147"/>
      <c r="AK1013" s="147"/>
      <c r="AL1013" s="147"/>
      <c r="AM1013" s="147"/>
      <c r="AN1013" s="147"/>
      <c r="AO1013" s="147"/>
      <c r="AP1013" s="147"/>
      <c r="AQ1013" s="147"/>
      <c r="AR1013" s="147"/>
      <c r="AS1013" s="147"/>
      <c r="AT1013" s="147"/>
      <c r="AU1013" s="147"/>
      <c r="AV1013" s="147"/>
      <c r="AW1013" s="147"/>
    </row>
    <row r="1014">
      <c r="A1014" s="631"/>
      <c r="B1014" s="631"/>
      <c r="C1014" s="632"/>
      <c r="D1014" s="633"/>
      <c r="E1014" s="634"/>
      <c r="F1014" s="635"/>
      <c r="G1014" s="636"/>
      <c r="H1014" s="637"/>
      <c r="I1014" s="643"/>
      <c r="J1014" s="644"/>
      <c r="K1014" s="147"/>
      <c r="L1014" s="632"/>
      <c r="M1014" s="147"/>
      <c r="N1014" s="640"/>
      <c r="O1014" s="640"/>
      <c r="P1014" s="641"/>
      <c r="Q1014" s="642"/>
      <c r="R1014" s="147"/>
      <c r="S1014" s="147"/>
      <c r="T1014" s="147"/>
      <c r="U1014" s="147"/>
      <c r="V1014" s="147"/>
      <c r="W1014" s="147"/>
      <c r="X1014" s="147"/>
      <c r="Y1014" s="147"/>
      <c r="Z1014" s="147"/>
      <c r="AA1014" s="147"/>
      <c r="AB1014" s="147"/>
      <c r="AC1014" s="147"/>
      <c r="AD1014" s="147"/>
      <c r="AE1014" s="147"/>
      <c r="AF1014" s="147"/>
      <c r="AG1014" s="147"/>
      <c r="AH1014" s="147"/>
      <c r="AI1014" s="147"/>
      <c r="AJ1014" s="147"/>
      <c r="AK1014" s="147"/>
      <c r="AL1014" s="147"/>
      <c r="AM1014" s="147"/>
      <c r="AN1014" s="147"/>
      <c r="AO1014" s="147"/>
      <c r="AP1014" s="147"/>
      <c r="AQ1014" s="147"/>
      <c r="AR1014" s="147"/>
      <c r="AS1014" s="147"/>
      <c r="AT1014" s="147"/>
      <c r="AU1014" s="147"/>
      <c r="AV1014" s="147"/>
      <c r="AW1014" s="147"/>
    </row>
    <row r="1015">
      <c r="A1015" s="631"/>
      <c r="B1015" s="631"/>
      <c r="C1015" s="632"/>
      <c r="D1015" s="633"/>
      <c r="E1015" s="634"/>
      <c r="F1015" s="635"/>
      <c r="G1015" s="636"/>
      <c r="H1015" s="637"/>
      <c r="I1015" s="643"/>
      <c r="J1015" s="644"/>
      <c r="K1015" s="147"/>
      <c r="L1015" s="632"/>
      <c r="M1015" s="147"/>
      <c r="N1015" s="640"/>
      <c r="O1015" s="640"/>
      <c r="P1015" s="641"/>
      <c r="Q1015" s="642"/>
      <c r="R1015" s="147"/>
      <c r="S1015" s="147"/>
      <c r="T1015" s="147"/>
      <c r="U1015" s="147"/>
      <c r="V1015" s="147"/>
      <c r="W1015" s="147"/>
      <c r="X1015" s="147"/>
      <c r="Y1015" s="147"/>
      <c r="Z1015" s="147"/>
      <c r="AA1015" s="147"/>
      <c r="AB1015" s="147"/>
      <c r="AC1015" s="147"/>
      <c r="AD1015" s="147"/>
      <c r="AE1015" s="147"/>
      <c r="AF1015" s="147"/>
      <c r="AG1015" s="147"/>
      <c r="AH1015" s="147"/>
      <c r="AI1015" s="147"/>
      <c r="AJ1015" s="147"/>
      <c r="AK1015" s="147"/>
      <c r="AL1015" s="147"/>
      <c r="AM1015" s="147"/>
      <c r="AN1015" s="147"/>
      <c r="AO1015" s="147"/>
      <c r="AP1015" s="147"/>
      <c r="AQ1015" s="147"/>
      <c r="AR1015" s="147"/>
      <c r="AS1015" s="147"/>
      <c r="AT1015" s="147"/>
      <c r="AU1015" s="147"/>
      <c r="AV1015" s="147"/>
      <c r="AW1015" s="147"/>
    </row>
    <row r="1016">
      <c r="A1016" s="631"/>
      <c r="B1016" s="631"/>
      <c r="C1016" s="632"/>
      <c r="D1016" s="633"/>
      <c r="E1016" s="634"/>
      <c r="F1016" s="635"/>
      <c r="G1016" s="636"/>
      <c r="H1016" s="637"/>
      <c r="I1016" s="643"/>
      <c r="J1016" s="644"/>
      <c r="K1016" s="147"/>
      <c r="L1016" s="632"/>
      <c r="M1016" s="147"/>
      <c r="N1016" s="640"/>
      <c r="O1016" s="640"/>
      <c r="P1016" s="641"/>
      <c r="Q1016" s="642"/>
      <c r="R1016" s="147"/>
      <c r="S1016" s="147"/>
      <c r="T1016" s="147"/>
      <c r="U1016" s="147"/>
      <c r="V1016" s="147"/>
      <c r="W1016" s="147"/>
      <c r="X1016" s="147"/>
      <c r="Y1016" s="147"/>
      <c r="Z1016" s="147"/>
      <c r="AA1016" s="147"/>
      <c r="AB1016" s="147"/>
      <c r="AC1016" s="147"/>
      <c r="AD1016" s="147"/>
      <c r="AE1016" s="147"/>
      <c r="AF1016" s="147"/>
      <c r="AG1016" s="147"/>
      <c r="AH1016" s="147"/>
      <c r="AI1016" s="147"/>
      <c r="AJ1016" s="147"/>
      <c r="AK1016" s="147"/>
      <c r="AL1016" s="147"/>
      <c r="AM1016" s="147"/>
      <c r="AN1016" s="147"/>
      <c r="AO1016" s="147"/>
      <c r="AP1016" s="147"/>
      <c r="AQ1016" s="147"/>
      <c r="AR1016" s="147"/>
      <c r="AS1016" s="147"/>
      <c r="AT1016" s="147"/>
      <c r="AU1016" s="147"/>
      <c r="AV1016" s="147"/>
      <c r="AW1016" s="147"/>
    </row>
    <row r="1017">
      <c r="A1017" s="631"/>
      <c r="B1017" s="631"/>
      <c r="C1017" s="632"/>
      <c r="D1017" s="633"/>
      <c r="E1017" s="634"/>
      <c r="F1017" s="635"/>
      <c r="G1017" s="636"/>
      <c r="H1017" s="637"/>
      <c r="I1017" s="643"/>
      <c r="J1017" s="644"/>
      <c r="K1017" s="147"/>
      <c r="L1017" s="632"/>
      <c r="M1017" s="147"/>
      <c r="N1017" s="640"/>
      <c r="O1017" s="640"/>
      <c r="P1017" s="641"/>
      <c r="Q1017" s="642"/>
      <c r="R1017" s="147"/>
      <c r="S1017" s="147"/>
      <c r="T1017" s="147"/>
      <c r="U1017" s="147"/>
      <c r="V1017" s="147"/>
      <c r="W1017" s="147"/>
      <c r="X1017" s="147"/>
      <c r="Y1017" s="147"/>
      <c r="Z1017" s="147"/>
      <c r="AA1017" s="147"/>
      <c r="AB1017" s="147"/>
      <c r="AC1017" s="147"/>
      <c r="AD1017" s="147"/>
      <c r="AE1017" s="147"/>
      <c r="AF1017" s="147"/>
      <c r="AG1017" s="147"/>
      <c r="AH1017" s="147"/>
      <c r="AI1017" s="147"/>
      <c r="AJ1017" s="147"/>
      <c r="AK1017" s="147"/>
      <c r="AL1017" s="147"/>
      <c r="AM1017" s="147"/>
      <c r="AN1017" s="147"/>
      <c r="AO1017" s="147"/>
      <c r="AP1017" s="147"/>
      <c r="AQ1017" s="147"/>
      <c r="AR1017" s="147"/>
      <c r="AS1017" s="147"/>
      <c r="AT1017" s="147"/>
      <c r="AU1017" s="147"/>
      <c r="AV1017" s="147"/>
      <c r="AW1017" s="147"/>
    </row>
    <row r="1018">
      <c r="A1018" s="631"/>
      <c r="B1018" s="631"/>
      <c r="C1018" s="632"/>
      <c r="D1018" s="633"/>
      <c r="E1018" s="634"/>
      <c r="F1018" s="635"/>
      <c r="G1018" s="636"/>
      <c r="H1018" s="637"/>
      <c r="I1018" s="643"/>
      <c r="J1018" s="644"/>
      <c r="K1018" s="147"/>
      <c r="L1018" s="632"/>
      <c r="M1018" s="147"/>
      <c r="N1018" s="640"/>
      <c r="O1018" s="640"/>
      <c r="P1018" s="641"/>
      <c r="Q1018" s="642"/>
      <c r="R1018" s="147"/>
      <c r="S1018" s="147"/>
      <c r="T1018" s="147"/>
      <c r="U1018" s="147"/>
      <c r="V1018" s="147"/>
      <c r="W1018" s="147"/>
      <c r="X1018" s="147"/>
      <c r="Y1018" s="147"/>
      <c r="Z1018" s="147"/>
      <c r="AA1018" s="147"/>
      <c r="AB1018" s="147"/>
      <c r="AC1018" s="147"/>
      <c r="AD1018" s="147"/>
      <c r="AE1018" s="147"/>
      <c r="AF1018" s="147"/>
      <c r="AG1018" s="147"/>
      <c r="AH1018" s="147"/>
      <c r="AI1018" s="147"/>
      <c r="AJ1018" s="147"/>
      <c r="AK1018" s="147"/>
      <c r="AL1018" s="147"/>
      <c r="AM1018" s="147"/>
      <c r="AN1018" s="147"/>
      <c r="AO1018" s="147"/>
      <c r="AP1018" s="147"/>
      <c r="AQ1018" s="147"/>
      <c r="AR1018" s="147"/>
      <c r="AS1018" s="147"/>
      <c r="AT1018" s="147"/>
      <c r="AU1018" s="147"/>
      <c r="AV1018" s="147"/>
      <c r="AW1018" s="147"/>
    </row>
    <row r="1019">
      <c r="A1019" s="631"/>
      <c r="B1019" s="631"/>
      <c r="C1019" s="632"/>
      <c r="D1019" s="633"/>
      <c r="E1019" s="634"/>
      <c r="F1019" s="635"/>
      <c r="G1019" s="636"/>
      <c r="H1019" s="637"/>
      <c r="I1019" s="643"/>
      <c r="J1019" s="644"/>
      <c r="K1019" s="147"/>
      <c r="L1019" s="632"/>
      <c r="M1019" s="147"/>
      <c r="N1019" s="640"/>
      <c r="O1019" s="640"/>
      <c r="P1019" s="641"/>
      <c r="Q1019" s="642"/>
      <c r="R1019" s="147"/>
      <c r="S1019" s="147"/>
      <c r="T1019" s="147"/>
      <c r="U1019" s="147"/>
      <c r="V1019" s="147"/>
      <c r="W1019" s="147"/>
      <c r="X1019" s="147"/>
      <c r="Y1019" s="147"/>
      <c r="Z1019" s="147"/>
      <c r="AA1019" s="147"/>
      <c r="AB1019" s="147"/>
      <c r="AC1019" s="147"/>
      <c r="AD1019" s="147"/>
      <c r="AE1019" s="147"/>
      <c r="AF1019" s="147"/>
      <c r="AG1019" s="147"/>
      <c r="AH1019" s="147"/>
      <c r="AI1019" s="147"/>
      <c r="AJ1019" s="147"/>
      <c r="AK1019" s="147"/>
      <c r="AL1019" s="147"/>
      <c r="AM1019" s="147"/>
      <c r="AN1019" s="147"/>
      <c r="AO1019" s="147"/>
      <c r="AP1019" s="147"/>
      <c r="AQ1019" s="147"/>
      <c r="AR1019" s="147"/>
      <c r="AS1019" s="147"/>
      <c r="AT1019" s="147"/>
      <c r="AU1019" s="147"/>
      <c r="AV1019" s="147"/>
      <c r="AW1019" s="147"/>
    </row>
    <row r="1020">
      <c r="A1020" s="631"/>
      <c r="B1020" s="631"/>
      <c r="C1020" s="632"/>
      <c r="D1020" s="633"/>
      <c r="E1020" s="634"/>
      <c r="F1020" s="635"/>
      <c r="G1020" s="636"/>
      <c r="H1020" s="637"/>
      <c r="I1020" s="643"/>
      <c r="J1020" s="644"/>
      <c r="K1020" s="147"/>
      <c r="L1020" s="632"/>
      <c r="M1020" s="147"/>
      <c r="N1020" s="640"/>
      <c r="O1020" s="640"/>
      <c r="P1020" s="641"/>
      <c r="Q1020" s="642"/>
      <c r="R1020" s="147"/>
      <c r="S1020" s="147"/>
      <c r="T1020" s="147"/>
      <c r="U1020" s="147"/>
      <c r="V1020" s="147"/>
      <c r="W1020" s="147"/>
      <c r="X1020" s="147"/>
      <c r="Y1020" s="147"/>
      <c r="Z1020" s="147"/>
      <c r="AA1020" s="147"/>
      <c r="AB1020" s="147"/>
      <c r="AC1020" s="147"/>
      <c r="AD1020" s="147"/>
      <c r="AE1020" s="147"/>
      <c r="AF1020" s="147"/>
      <c r="AG1020" s="147"/>
      <c r="AH1020" s="147"/>
      <c r="AI1020" s="147"/>
      <c r="AJ1020" s="147"/>
      <c r="AK1020" s="147"/>
      <c r="AL1020" s="147"/>
      <c r="AM1020" s="147"/>
      <c r="AN1020" s="147"/>
      <c r="AO1020" s="147"/>
      <c r="AP1020" s="147"/>
      <c r="AQ1020" s="147"/>
      <c r="AR1020" s="147"/>
      <c r="AS1020" s="147"/>
      <c r="AT1020" s="147"/>
      <c r="AU1020" s="147"/>
      <c r="AV1020" s="147"/>
      <c r="AW1020" s="147"/>
    </row>
    <row r="1021">
      <c r="A1021" s="631"/>
      <c r="B1021" s="631"/>
      <c r="C1021" s="632"/>
      <c r="D1021" s="633"/>
      <c r="E1021" s="634"/>
      <c r="F1021" s="635"/>
      <c r="G1021" s="636"/>
      <c r="H1021" s="637"/>
      <c r="I1021" s="643"/>
      <c r="J1021" s="644"/>
      <c r="K1021" s="147"/>
      <c r="L1021" s="632"/>
      <c r="M1021" s="147"/>
      <c r="N1021" s="640"/>
      <c r="O1021" s="640"/>
      <c r="P1021" s="641"/>
      <c r="Q1021" s="642"/>
      <c r="R1021" s="147"/>
      <c r="S1021" s="147"/>
      <c r="T1021" s="147"/>
      <c r="U1021" s="147"/>
      <c r="V1021" s="147"/>
      <c r="W1021" s="147"/>
      <c r="X1021" s="147"/>
      <c r="Y1021" s="147"/>
      <c r="Z1021" s="147"/>
      <c r="AA1021" s="147"/>
      <c r="AB1021" s="147"/>
      <c r="AC1021" s="147"/>
      <c r="AD1021" s="147"/>
      <c r="AE1021" s="147"/>
      <c r="AF1021" s="147"/>
      <c r="AG1021" s="147"/>
      <c r="AH1021" s="147"/>
      <c r="AI1021" s="147"/>
      <c r="AJ1021" s="147"/>
      <c r="AK1021" s="147"/>
      <c r="AL1021" s="147"/>
      <c r="AM1021" s="147"/>
      <c r="AN1021" s="147"/>
      <c r="AO1021" s="147"/>
      <c r="AP1021" s="147"/>
      <c r="AQ1021" s="147"/>
      <c r="AR1021" s="147"/>
      <c r="AS1021" s="147"/>
      <c r="AT1021" s="147"/>
      <c r="AU1021" s="147"/>
      <c r="AV1021" s="147"/>
      <c r="AW1021" s="147"/>
    </row>
    <row r="1022">
      <c r="A1022" s="631"/>
      <c r="B1022" s="631"/>
      <c r="C1022" s="632"/>
      <c r="D1022" s="633"/>
      <c r="E1022" s="634"/>
      <c r="F1022" s="635"/>
      <c r="G1022" s="636"/>
      <c r="H1022" s="637"/>
      <c r="I1022" s="643"/>
      <c r="J1022" s="644"/>
      <c r="K1022" s="147"/>
      <c r="L1022" s="632"/>
      <c r="M1022" s="147"/>
      <c r="N1022" s="640"/>
      <c r="O1022" s="640"/>
      <c r="P1022" s="641"/>
      <c r="Q1022" s="642"/>
      <c r="R1022" s="147"/>
      <c r="S1022" s="147"/>
      <c r="T1022" s="147"/>
      <c r="U1022" s="147"/>
      <c r="V1022" s="147"/>
      <c r="W1022" s="147"/>
      <c r="X1022" s="147"/>
      <c r="Y1022" s="147"/>
      <c r="Z1022" s="147"/>
      <c r="AA1022" s="147"/>
      <c r="AB1022" s="147"/>
      <c r="AC1022" s="147"/>
      <c r="AD1022" s="147"/>
      <c r="AE1022" s="147"/>
      <c r="AF1022" s="147"/>
      <c r="AG1022" s="147"/>
      <c r="AH1022" s="147"/>
      <c r="AI1022" s="147"/>
      <c r="AJ1022" s="147"/>
      <c r="AK1022" s="147"/>
      <c r="AL1022" s="147"/>
      <c r="AM1022" s="147"/>
      <c r="AN1022" s="147"/>
      <c r="AO1022" s="147"/>
      <c r="AP1022" s="147"/>
      <c r="AQ1022" s="147"/>
      <c r="AR1022" s="147"/>
      <c r="AS1022" s="147"/>
      <c r="AT1022" s="147"/>
      <c r="AU1022" s="147"/>
      <c r="AV1022" s="147"/>
      <c r="AW1022" s="147"/>
    </row>
    <row r="1023">
      <c r="A1023" s="631"/>
      <c r="B1023" s="631"/>
      <c r="C1023" s="632"/>
      <c r="D1023" s="633"/>
      <c r="E1023" s="634"/>
      <c r="F1023" s="635"/>
      <c r="G1023" s="636"/>
      <c r="H1023" s="637"/>
      <c r="I1023" s="643"/>
      <c r="J1023" s="644"/>
      <c r="K1023" s="147"/>
      <c r="L1023" s="632"/>
      <c r="M1023" s="147"/>
      <c r="N1023" s="640"/>
      <c r="O1023" s="640"/>
      <c r="P1023" s="641"/>
      <c r="Q1023" s="642"/>
      <c r="R1023" s="147"/>
      <c r="S1023" s="147"/>
      <c r="T1023" s="147"/>
      <c r="U1023" s="147"/>
      <c r="V1023" s="147"/>
      <c r="W1023" s="147"/>
      <c r="X1023" s="147"/>
      <c r="Y1023" s="147"/>
      <c r="Z1023" s="147"/>
      <c r="AA1023" s="147"/>
      <c r="AB1023" s="147"/>
      <c r="AC1023" s="147"/>
      <c r="AD1023" s="147"/>
      <c r="AE1023" s="147"/>
      <c r="AF1023" s="147"/>
      <c r="AG1023" s="147"/>
      <c r="AH1023" s="147"/>
      <c r="AI1023" s="147"/>
      <c r="AJ1023" s="147"/>
      <c r="AK1023" s="147"/>
      <c r="AL1023" s="147"/>
      <c r="AM1023" s="147"/>
      <c r="AN1023" s="147"/>
      <c r="AO1023" s="147"/>
      <c r="AP1023" s="147"/>
      <c r="AQ1023" s="147"/>
      <c r="AR1023" s="147"/>
      <c r="AS1023" s="147"/>
      <c r="AT1023" s="147"/>
      <c r="AU1023" s="147"/>
      <c r="AV1023" s="147"/>
      <c r="AW1023" s="147"/>
    </row>
    <row r="1024">
      <c r="A1024" s="631"/>
      <c r="B1024" s="631"/>
      <c r="C1024" s="632"/>
      <c r="D1024" s="633"/>
      <c r="E1024" s="634"/>
      <c r="F1024" s="635"/>
      <c r="G1024" s="636"/>
      <c r="H1024" s="637"/>
      <c r="I1024" s="643"/>
      <c r="J1024" s="644"/>
      <c r="K1024" s="147"/>
      <c r="L1024" s="632"/>
      <c r="M1024" s="147"/>
      <c r="N1024" s="640"/>
      <c r="O1024" s="640"/>
      <c r="P1024" s="641"/>
      <c r="Q1024" s="642"/>
      <c r="R1024" s="147"/>
      <c r="S1024" s="147"/>
      <c r="T1024" s="147"/>
      <c r="U1024" s="147"/>
      <c r="V1024" s="147"/>
      <c r="W1024" s="147"/>
      <c r="X1024" s="147"/>
      <c r="Y1024" s="147"/>
      <c r="Z1024" s="147"/>
      <c r="AA1024" s="147"/>
      <c r="AB1024" s="147"/>
      <c r="AC1024" s="147"/>
      <c r="AD1024" s="147"/>
      <c r="AE1024" s="147"/>
      <c r="AF1024" s="147"/>
      <c r="AG1024" s="147"/>
      <c r="AH1024" s="147"/>
      <c r="AI1024" s="147"/>
      <c r="AJ1024" s="147"/>
      <c r="AK1024" s="147"/>
      <c r="AL1024" s="147"/>
      <c r="AM1024" s="147"/>
      <c r="AN1024" s="147"/>
      <c r="AO1024" s="147"/>
      <c r="AP1024" s="147"/>
      <c r="AQ1024" s="147"/>
      <c r="AR1024" s="147"/>
      <c r="AS1024" s="147"/>
      <c r="AT1024" s="147"/>
      <c r="AU1024" s="147"/>
      <c r="AV1024" s="147"/>
      <c r="AW1024" s="147"/>
    </row>
    <row r="1025">
      <c r="A1025" s="631"/>
      <c r="B1025" s="631"/>
      <c r="C1025" s="632"/>
      <c r="D1025" s="633"/>
      <c r="E1025" s="634"/>
      <c r="F1025" s="635"/>
      <c r="G1025" s="636"/>
      <c r="H1025" s="637"/>
      <c r="I1025" s="643"/>
      <c r="J1025" s="644"/>
      <c r="K1025" s="147"/>
      <c r="L1025" s="632"/>
      <c r="M1025" s="147"/>
      <c r="N1025" s="640"/>
      <c r="O1025" s="640"/>
      <c r="P1025" s="641"/>
      <c r="Q1025" s="642"/>
      <c r="R1025" s="147"/>
      <c r="S1025" s="147"/>
      <c r="T1025" s="147"/>
      <c r="U1025" s="147"/>
      <c r="V1025" s="147"/>
      <c r="W1025" s="147"/>
      <c r="X1025" s="147"/>
      <c r="Y1025" s="147"/>
      <c r="Z1025" s="147"/>
      <c r="AA1025" s="147"/>
      <c r="AB1025" s="147"/>
      <c r="AC1025" s="147"/>
      <c r="AD1025" s="147"/>
      <c r="AE1025" s="147"/>
      <c r="AF1025" s="147"/>
      <c r="AG1025" s="147"/>
      <c r="AH1025" s="147"/>
      <c r="AI1025" s="147"/>
      <c r="AJ1025" s="147"/>
      <c r="AK1025" s="147"/>
      <c r="AL1025" s="147"/>
      <c r="AM1025" s="147"/>
      <c r="AN1025" s="147"/>
      <c r="AO1025" s="147"/>
      <c r="AP1025" s="147"/>
      <c r="AQ1025" s="147"/>
      <c r="AR1025" s="147"/>
      <c r="AS1025" s="147"/>
      <c r="AT1025" s="147"/>
      <c r="AU1025" s="147"/>
      <c r="AV1025" s="147"/>
      <c r="AW1025" s="147"/>
    </row>
    <row r="1026">
      <c r="A1026" s="631"/>
      <c r="B1026" s="631"/>
      <c r="C1026" s="632"/>
      <c r="D1026" s="633"/>
      <c r="E1026" s="634"/>
      <c r="F1026" s="635"/>
      <c r="G1026" s="636"/>
      <c r="H1026" s="637"/>
      <c r="I1026" s="643"/>
      <c r="J1026" s="644"/>
      <c r="K1026" s="147"/>
      <c r="L1026" s="632"/>
      <c r="M1026" s="147"/>
      <c r="N1026" s="640"/>
      <c r="O1026" s="640"/>
      <c r="P1026" s="641"/>
      <c r="Q1026" s="642"/>
      <c r="R1026" s="147"/>
      <c r="S1026" s="147"/>
      <c r="T1026" s="147"/>
      <c r="U1026" s="147"/>
      <c r="V1026" s="147"/>
      <c r="W1026" s="147"/>
      <c r="X1026" s="147"/>
      <c r="Y1026" s="147"/>
      <c r="Z1026" s="147"/>
      <c r="AA1026" s="147"/>
      <c r="AB1026" s="147"/>
      <c r="AC1026" s="147"/>
      <c r="AD1026" s="147"/>
      <c r="AE1026" s="147"/>
      <c r="AF1026" s="147"/>
      <c r="AG1026" s="147"/>
      <c r="AH1026" s="147"/>
      <c r="AI1026" s="147"/>
      <c r="AJ1026" s="147"/>
      <c r="AK1026" s="147"/>
      <c r="AL1026" s="147"/>
      <c r="AM1026" s="147"/>
      <c r="AN1026" s="147"/>
      <c r="AO1026" s="147"/>
      <c r="AP1026" s="147"/>
      <c r="AQ1026" s="147"/>
      <c r="AR1026" s="147"/>
      <c r="AS1026" s="147"/>
      <c r="AT1026" s="147"/>
      <c r="AU1026" s="147"/>
      <c r="AV1026" s="147"/>
      <c r="AW1026" s="147"/>
    </row>
    <row r="1027">
      <c r="A1027" s="631"/>
      <c r="B1027" s="631"/>
      <c r="C1027" s="632"/>
      <c r="D1027" s="633"/>
      <c r="E1027" s="634"/>
      <c r="F1027" s="635"/>
      <c r="G1027" s="636"/>
      <c r="H1027" s="637"/>
      <c r="I1027" s="643"/>
      <c r="J1027" s="644"/>
      <c r="K1027" s="147"/>
      <c r="L1027" s="632"/>
      <c r="M1027" s="147"/>
      <c r="N1027" s="640"/>
      <c r="O1027" s="640"/>
      <c r="P1027" s="641"/>
      <c r="Q1027" s="642"/>
      <c r="R1027" s="147"/>
      <c r="S1027" s="147"/>
      <c r="T1027" s="147"/>
      <c r="U1027" s="147"/>
      <c r="V1027" s="147"/>
      <c r="W1027" s="147"/>
      <c r="X1027" s="147"/>
      <c r="Y1027" s="147"/>
      <c r="Z1027" s="147"/>
      <c r="AA1027" s="147"/>
      <c r="AB1027" s="147"/>
      <c r="AC1027" s="147"/>
      <c r="AD1027" s="147"/>
      <c r="AE1027" s="147"/>
      <c r="AF1027" s="147"/>
      <c r="AG1027" s="147"/>
      <c r="AH1027" s="147"/>
      <c r="AI1027" s="147"/>
      <c r="AJ1027" s="147"/>
      <c r="AK1027" s="147"/>
      <c r="AL1027" s="147"/>
      <c r="AM1027" s="147"/>
      <c r="AN1027" s="147"/>
      <c r="AO1027" s="147"/>
      <c r="AP1027" s="147"/>
      <c r="AQ1027" s="147"/>
      <c r="AR1027" s="147"/>
      <c r="AS1027" s="147"/>
      <c r="AT1027" s="147"/>
      <c r="AU1027" s="147"/>
      <c r="AV1027" s="147"/>
      <c r="AW1027" s="147"/>
    </row>
    <row r="1028">
      <c r="A1028" s="631"/>
      <c r="B1028" s="631"/>
      <c r="C1028" s="632"/>
      <c r="D1028" s="633"/>
      <c r="E1028" s="634"/>
      <c r="F1028" s="635"/>
      <c r="G1028" s="636"/>
      <c r="H1028" s="637"/>
      <c r="I1028" s="643"/>
      <c r="J1028" s="644"/>
      <c r="K1028" s="147"/>
      <c r="L1028" s="632"/>
      <c r="M1028" s="147"/>
      <c r="N1028" s="640"/>
      <c r="O1028" s="640"/>
      <c r="P1028" s="641"/>
      <c r="Q1028" s="642"/>
      <c r="R1028" s="147"/>
      <c r="S1028" s="147"/>
      <c r="T1028" s="147"/>
      <c r="U1028" s="147"/>
      <c r="V1028" s="147"/>
      <c r="W1028" s="147"/>
      <c r="X1028" s="147"/>
      <c r="Y1028" s="147"/>
      <c r="Z1028" s="147"/>
      <c r="AA1028" s="147"/>
      <c r="AB1028" s="147"/>
      <c r="AC1028" s="147"/>
      <c r="AD1028" s="147"/>
      <c r="AE1028" s="147"/>
      <c r="AF1028" s="147"/>
      <c r="AG1028" s="147"/>
      <c r="AH1028" s="147"/>
      <c r="AI1028" s="147"/>
      <c r="AJ1028" s="147"/>
      <c r="AK1028" s="147"/>
      <c r="AL1028" s="147"/>
      <c r="AM1028" s="147"/>
      <c r="AN1028" s="147"/>
      <c r="AO1028" s="147"/>
      <c r="AP1028" s="147"/>
      <c r="AQ1028" s="147"/>
      <c r="AR1028" s="147"/>
      <c r="AS1028" s="147"/>
      <c r="AT1028" s="147"/>
      <c r="AU1028" s="147"/>
      <c r="AV1028" s="147"/>
      <c r="AW1028" s="147"/>
    </row>
    <row r="1029">
      <c r="A1029" s="631"/>
      <c r="B1029" s="631"/>
      <c r="C1029" s="632"/>
      <c r="D1029" s="633"/>
      <c r="E1029" s="634"/>
      <c r="F1029" s="635"/>
      <c r="G1029" s="636"/>
      <c r="H1029" s="637"/>
      <c r="I1029" s="643"/>
      <c r="J1029" s="644"/>
      <c r="K1029" s="147"/>
      <c r="L1029" s="632"/>
      <c r="M1029" s="147"/>
      <c r="N1029" s="640"/>
      <c r="O1029" s="640"/>
      <c r="P1029" s="641"/>
      <c r="Q1029" s="642"/>
      <c r="R1029" s="147"/>
      <c r="S1029" s="147"/>
      <c r="T1029" s="147"/>
      <c r="U1029" s="147"/>
      <c r="V1029" s="147"/>
      <c r="W1029" s="147"/>
      <c r="X1029" s="147"/>
      <c r="Y1029" s="147"/>
      <c r="Z1029" s="147"/>
      <c r="AA1029" s="147"/>
      <c r="AB1029" s="147"/>
      <c r="AC1029" s="147"/>
      <c r="AD1029" s="147"/>
      <c r="AE1029" s="147"/>
      <c r="AF1029" s="147"/>
      <c r="AG1029" s="147"/>
      <c r="AH1029" s="147"/>
      <c r="AI1029" s="147"/>
      <c r="AJ1029" s="147"/>
      <c r="AK1029" s="147"/>
      <c r="AL1029" s="147"/>
      <c r="AM1029" s="147"/>
      <c r="AN1029" s="147"/>
      <c r="AO1029" s="147"/>
      <c r="AP1029" s="147"/>
      <c r="AQ1029" s="147"/>
      <c r="AR1029" s="147"/>
      <c r="AS1029" s="147"/>
      <c r="AT1029" s="147"/>
      <c r="AU1029" s="147"/>
      <c r="AV1029" s="147"/>
      <c r="AW1029" s="147"/>
    </row>
    <row r="1030">
      <c r="A1030" s="631"/>
      <c r="B1030" s="631"/>
      <c r="C1030" s="632"/>
      <c r="D1030" s="633"/>
      <c r="E1030" s="634"/>
      <c r="F1030" s="635"/>
      <c r="G1030" s="636"/>
      <c r="H1030" s="637"/>
      <c r="I1030" s="643"/>
      <c r="J1030" s="644"/>
      <c r="K1030" s="147"/>
      <c r="L1030" s="632"/>
      <c r="M1030" s="147"/>
      <c r="N1030" s="640"/>
      <c r="O1030" s="640"/>
      <c r="P1030" s="641"/>
      <c r="Q1030" s="642"/>
      <c r="R1030" s="147"/>
      <c r="S1030" s="147"/>
      <c r="T1030" s="147"/>
      <c r="U1030" s="147"/>
      <c r="V1030" s="147"/>
      <c r="W1030" s="147"/>
      <c r="X1030" s="147"/>
      <c r="Y1030" s="147"/>
      <c r="Z1030" s="147"/>
      <c r="AA1030" s="147"/>
      <c r="AB1030" s="147"/>
      <c r="AC1030" s="147"/>
      <c r="AD1030" s="147"/>
      <c r="AE1030" s="147"/>
      <c r="AF1030" s="147"/>
      <c r="AG1030" s="147"/>
      <c r="AH1030" s="147"/>
      <c r="AI1030" s="147"/>
      <c r="AJ1030" s="147"/>
      <c r="AK1030" s="147"/>
      <c r="AL1030" s="147"/>
      <c r="AM1030" s="147"/>
      <c r="AN1030" s="147"/>
      <c r="AO1030" s="147"/>
      <c r="AP1030" s="147"/>
      <c r="AQ1030" s="147"/>
      <c r="AR1030" s="147"/>
      <c r="AS1030" s="147"/>
      <c r="AT1030" s="147"/>
      <c r="AU1030" s="147"/>
      <c r="AV1030" s="147"/>
      <c r="AW1030" s="147"/>
    </row>
    <row r="1031">
      <c r="A1031" s="631"/>
      <c r="B1031" s="631"/>
      <c r="C1031" s="632"/>
      <c r="D1031" s="633"/>
      <c r="E1031" s="634"/>
      <c r="F1031" s="635"/>
      <c r="G1031" s="636"/>
      <c r="H1031" s="637"/>
      <c r="I1031" s="643"/>
      <c r="J1031" s="644"/>
      <c r="K1031" s="147"/>
      <c r="L1031" s="632"/>
      <c r="M1031" s="147"/>
      <c r="N1031" s="640"/>
      <c r="O1031" s="640"/>
      <c r="P1031" s="641"/>
      <c r="Q1031" s="642"/>
      <c r="R1031" s="147"/>
      <c r="S1031" s="147"/>
      <c r="T1031" s="147"/>
      <c r="U1031" s="147"/>
      <c r="V1031" s="147"/>
      <c r="W1031" s="147"/>
      <c r="X1031" s="147"/>
      <c r="Y1031" s="147"/>
      <c r="Z1031" s="147"/>
      <c r="AA1031" s="147"/>
      <c r="AB1031" s="147"/>
      <c r="AC1031" s="147"/>
      <c r="AD1031" s="147"/>
      <c r="AE1031" s="147"/>
      <c r="AF1031" s="147"/>
      <c r="AG1031" s="147"/>
      <c r="AH1031" s="147"/>
      <c r="AI1031" s="147"/>
      <c r="AJ1031" s="147"/>
      <c r="AK1031" s="147"/>
      <c r="AL1031" s="147"/>
      <c r="AM1031" s="147"/>
      <c r="AN1031" s="147"/>
      <c r="AO1031" s="147"/>
      <c r="AP1031" s="147"/>
      <c r="AQ1031" s="147"/>
      <c r="AR1031" s="147"/>
      <c r="AS1031" s="147"/>
      <c r="AT1031" s="147"/>
      <c r="AU1031" s="147"/>
      <c r="AV1031" s="147"/>
      <c r="AW1031" s="147"/>
    </row>
    <row r="1032">
      <c r="A1032" s="631"/>
      <c r="B1032" s="631"/>
      <c r="C1032" s="632"/>
      <c r="D1032" s="633"/>
      <c r="E1032" s="634"/>
      <c r="F1032" s="635"/>
      <c r="G1032" s="636"/>
      <c r="H1032" s="637"/>
      <c r="I1032" s="643"/>
      <c r="J1032" s="644"/>
      <c r="K1032" s="147"/>
      <c r="L1032" s="632"/>
      <c r="M1032" s="147"/>
      <c r="N1032" s="640"/>
      <c r="O1032" s="640"/>
      <c r="P1032" s="641"/>
      <c r="Q1032" s="642"/>
      <c r="R1032" s="147"/>
      <c r="S1032" s="147"/>
      <c r="T1032" s="147"/>
      <c r="U1032" s="147"/>
      <c r="V1032" s="147"/>
      <c r="W1032" s="147"/>
      <c r="X1032" s="147"/>
      <c r="Y1032" s="147"/>
      <c r="Z1032" s="147"/>
      <c r="AA1032" s="147"/>
      <c r="AB1032" s="147"/>
      <c r="AC1032" s="147"/>
      <c r="AD1032" s="147"/>
      <c r="AE1032" s="147"/>
      <c r="AF1032" s="147"/>
      <c r="AG1032" s="147"/>
      <c r="AH1032" s="147"/>
      <c r="AI1032" s="147"/>
      <c r="AJ1032" s="147"/>
      <c r="AK1032" s="147"/>
      <c r="AL1032" s="147"/>
      <c r="AM1032" s="147"/>
      <c r="AN1032" s="147"/>
      <c r="AO1032" s="147"/>
      <c r="AP1032" s="147"/>
      <c r="AQ1032" s="147"/>
      <c r="AR1032" s="147"/>
      <c r="AS1032" s="147"/>
      <c r="AT1032" s="147"/>
      <c r="AU1032" s="147"/>
      <c r="AV1032" s="147"/>
      <c r="AW1032" s="147"/>
    </row>
    <row r="1033">
      <c r="A1033" s="631"/>
      <c r="B1033" s="631"/>
      <c r="C1033" s="632"/>
      <c r="D1033" s="633"/>
      <c r="E1033" s="634"/>
      <c r="F1033" s="635"/>
      <c r="G1033" s="636"/>
      <c r="H1033" s="637"/>
      <c r="I1033" s="643"/>
      <c r="J1033" s="644"/>
      <c r="K1033" s="147"/>
      <c r="L1033" s="632"/>
      <c r="M1033" s="147"/>
      <c r="N1033" s="640"/>
      <c r="O1033" s="640"/>
      <c r="P1033" s="641"/>
      <c r="Q1033" s="642"/>
      <c r="R1033" s="147"/>
      <c r="S1033" s="147"/>
      <c r="T1033" s="147"/>
      <c r="U1033" s="147"/>
      <c r="V1033" s="147"/>
      <c r="W1033" s="147"/>
      <c r="X1033" s="147"/>
      <c r="Y1033" s="147"/>
      <c r="Z1033" s="147"/>
      <c r="AA1033" s="147"/>
      <c r="AB1033" s="147"/>
      <c r="AC1033" s="147"/>
      <c r="AD1033" s="147"/>
      <c r="AE1033" s="147"/>
      <c r="AF1033" s="147"/>
      <c r="AG1033" s="147"/>
      <c r="AH1033" s="147"/>
      <c r="AI1033" s="147"/>
      <c r="AJ1033" s="147"/>
      <c r="AK1033" s="147"/>
      <c r="AL1033" s="147"/>
      <c r="AM1033" s="147"/>
      <c r="AN1033" s="147"/>
      <c r="AO1033" s="147"/>
      <c r="AP1033" s="147"/>
      <c r="AQ1033" s="147"/>
      <c r="AR1033" s="147"/>
      <c r="AS1033" s="147"/>
      <c r="AT1033" s="147"/>
      <c r="AU1033" s="147"/>
      <c r="AV1033" s="147"/>
      <c r="AW1033" s="147"/>
    </row>
    <row r="1034">
      <c r="A1034" s="631"/>
      <c r="B1034" s="631"/>
      <c r="C1034" s="632"/>
      <c r="D1034" s="633"/>
      <c r="E1034" s="634"/>
      <c r="F1034" s="635"/>
      <c r="G1034" s="636"/>
      <c r="H1034" s="637"/>
      <c r="I1034" s="643"/>
      <c r="J1034" s="644"/>
      <c r="K1034" s="147"/>
      <c r="L1034" s="632"/>
      <c r="M1034" s="147"/>
      <c r="N1034" s="640"/>
      <c r="O1034" s="640"/>
      <c r="P1034" s="641"/>
      <c r="Q1034" s="642"/>
      <c r="R1034" s="147"/>
      <c r="S1034" s="147"/>
      <c r="T1034" s="147"/>
      <c r="U1034" s="147"/>
      <c r="V1034" s="147"/>
      <c r="W1034" s="147"/>
      <c r="X1034" s="147"/>
      <c r="Y1034" s="147"/>
      <c r="Z1034" s="147"/>
      <c r="AA1034" s="147"/>
      <c r="AB1034" s="147"/>
      <c r="AC1034" s="147"/>
      <c r="AD1034" s="147"/>
      <c r="AE1034" s="147"/>
      <c r="AF1034" s="147"/>
      <c r="AG1034" s="147"/>
      <c r="AH1034" s="147"/>
      <c r="AI1034" s="147"/>
      <c r="AJ1034" s="147"/>
      <c r="AK1034" s="147"/>
      <c r="AL1034" s="147"/>
      <c r="AM1034" s="147"/>
      <c r="AN1034" s="147"/>
      <c r="AO1034" s="147"/>
      <c r="AP1034" s="147"/>
      <c r="AQ1034" s="147"/>
      <c r="AR1034" s="147"/>
      <c r="AS1034" s="147"/>
      <c r="AT1034" s="147"/>
      <c r="AU1034" s="147"/>
      <c r="AV1034" s="147"/>
      <c r="AW1034" s="147"/>
    </row>
    <row r="1035">
      <c r="A1035" s="631"/>
      <c r="B1035" s="631"/>
      <c r="C1035" s="632"/>
      <c r="D1035" s="633"/>
      <c r="E1035" s="634"/>
      <c r="F1035" s="635"/>
      <c r="G1035" s="636"/>
      <c r="H1035" s="637"/>
      <c r="I1035" s="643"/>
      <c r="J1035" s="644"/>
      <c r="K1035" s="147"/>
      <c r="L1035" s="632"/>
      <c r="M1035" s="147"/>
      <c r="N1035" s="640"/>
      <c r="O1035" s="640"/>
      <c r="P1035" s="641"/>
      <c r="Q1035" s="642"/>
      <c r="R1035" s="147"/>
      <c r="S1035" s="147"/>
      <c r="T1035" s="147"/>
      <c r="U1035" s="147"/>
      <c r="V1035" s="147"/>
      <c r="W1035" s="147"/>
      <c r="X1035" s="147"/>
      <c r="Y1035" s="147"/>
      <c r="Z1035" s="147"/>
      <c r="AA1035" s="147"/>
      <c r="AB1035" s="147"/>
      <c r="AC1035" s="147"/>
      <c r="AD1035" s="147"/>
      <c r="AE1035" s="147"/>
      <c r="AF1035" s="147"/>
      <c r="AG1035" s="147"/>
      <c r="AH1035" s="147"/>
      <c r="AI1035" s="147"/>
      <c r="AJ1035" s="147"/>
      <c r="AK1035" s="147"/>
      <c r="AL1035" s="147"/>
      <c r="AM1035" s="147"/>
      <c r="AN1035" s="147"/>
      <c r="AO1035" s="147"/>
      <c r="AP1035" s="147"/>
      <c r="AQ1035" s="147"/>
      <c r="AR1035" s="147"/>
      <c r="AS1035" s="147"/>
      <c r="AT1035" s="147"/>
      <c r="AU1035" s="147"/>
      <c r="AV1035" s="147"/>
      <c r="AW1035" s="147"/>
    </row>
    <row r="1036">
      <c r="A1036" s="631"/>
      <c r="B1036" s="631"/>
      <c r="C1036" s="632"/>
      <c r="D1036" s="633"/>
      <c r="E1036" s="634"/>
      <c r="F1036" s="635"/>
      <c r="G1036" s="636"/>
      <c r="H1036" s="637"/>
      <c r="I1036" s="643"/>
      <c r="J1036" s="644"/>
      <c r="K1036" s="147"/>
      <c r="L1036" s="632"/>
      <c r="M1036" s="147"/>
      <c r="N1036" s="640"/>
      <c r="O1036" s="640"/>
      <c r="P1036" s="641"/>
      <c r="Q1036" s="642"/>
      <c r="R1036" s="147"/>
      <c r="S1036" s="147"/>
      <c r="T1036" s="147"/>
      <c r="U1036" s="147"/>
      <c r="V1036" s="147"/>
      <c r="W1036" s="147"/>
      <c r="X1036" s="147"/>
      <c r="Y1036" s="147"/>
      <c r="Z1036" s="147"/>
      <c r="AA1036" s="147"/>
      <c r="AB1036" s="147"/>
      <c r="AC1036" s="147"/>
      <c r="AD1036" s="147"/>
      <c r="AE1036" s="147"/>
      <c r="AF1036" s="147"/>
      <c r="AG1036" s="147"/>
      <c r="AH1036" s="147"/>
      <c r="AI1036" s="147"/>
      <c r="AJ1036" s="147"/>
      <c r="AK1036" s="147"/>
      <c r="AL1036" s="147"/>
      <c r="AM1036" s="147"/>
      <c r="AN1036" s="147"/>
      <c r="AO1036" s="147"/>
      <c r="AP1036" s="147"/>
      <c r="AQ1036" s="147"/>
      <c r="AR1036" s="147"/>
      <c r="AS1036" s="147"/>
      <c r="AT1036" s="147"/>
      <c r="AU1036" s="147"/>
      <c r="AV1036" s="147"/>
      <c r="AW1036" s="147"/>
    </row>
    <row r="1037">
      <c r="A1037" s="631"/>
      <c r="B1037" s="631"/>
      <c r="C1037" s="632"/>
      <c r="D1037" s="633"/>
      <c r="E1037" s="634"/>
      <c r="F1037" s="635"/>
      <c r="G1037" s="636"/>
      <c r="H1037" s="637"/>
      <c r="I1037" s="643"/>
      <c r="J1037" s="644"/>
      <c r="K1037" s="147"/>
      <c r="L1037" s="632"/>
      <c r="M1037" s="147"/>
      <c r="N1037" s="640"/>
      <c r="O1037" s="640"/>
      <c r="P1037" s="641"/>
      <c r="Q1037" s="642"/>
      <c r="R1037" s="147"/>
      <c r="S1037" s="147"/>
      <c r="T1037" s="147"/>
      <c r="U1037" s="147"/>
      <c r="V1037" s="147"/>
      <c r="W1037" s="147"/>
      <c r="X1037" s="147"/>
      <c r="Y1037" s="147"/>
      <c r="Z1037" s="147"/>
      <c r="AA1037" s="147"/>
      <c r="AB1037" s="147"/>
      <c r="AC1037" s="147"/>
      <c r="AD1037" s="147"/>
      <c r="AE1037" s="147"/>
      <c r="AF1037" s="147"/>
      <c r="AG1037" s="147"/>
      <c r="AH1037" s="147"/>
      <c r="AI1037" s="147"/>
      <c r="AJ1037" s="147"/>
      <c r="AK1037" s="147"/>
      <c r="AL1037" s="147"/>
      <c r="AM1037" s="147"/>
      <c r="AN1037" s="147"/>
      <c r="AO1037" s="147"/>
      <c r="AP1037" s="147"/>
      <c r="AQ1037" s="147"/>
      <c r="AR1037" s="147"/>
      <c r="AS1037" s="147"/>
      <c r="AT1037" s="147"/>
      <c r="AU1037" s="147"/>
      <c r="AV1037" s="147"/>
      <c r="AW1037" s="147"/>
    </row>
    <row r="1038">
      <c r="A1038" s="631"/>
      <c r="B1038" s="631"/>
      <c r="C1038" s="632"/>
      <c r="D1038" s="633"/>
      <c r="E1038" s="634"/>
      <c r="F1038" s="635"/>
      <c r="G1038" s="636"/>
      <c r="H1038" s="637"/>
      <c r="I1038" s="643"/>
      <c r="J1038" s="644"/>
      <c r="K1038" s="147"/>
      <c r="L1038" s="632"/>
      <c r="M1038" s="147"/>
      <c r="N1038" s="640"/>
      <c r="O1038" s="640"/>
      <c r="P1038" s="641"/>
      <c r="Q1038" s="642"/>
      <c r="R1038" s="147"/>
      <c r="S1038" s="147"/>
      <c r="T1038" s="147"/>
      <c r="U1038" s="147"/>
      <c r="V1038" s="147"/>
      <c r="W1038" s="147"/>
      <c r="X1038" s="147"/>
      <c r="Y1038" s="147"/>
      <c r="Z1038" s="147"/>
      <c r="AA1038" s="147"/>
      <c r="AB1038" s="147"/>
      <c r="AC1038" s="147"/>
      <c r="AD1038" s="147"/>
      <c r="AE1038" s="147"/>
      <c r="AF1038" s="147"/>
      <c r="AG1038" s="147"/>
      <c r="AH1038" s="147"/>
      <c r="AI1038" s="147"/>
      <c r="AJ1038" s="147"/>
      <c r="AK1038" s="147"/>
      <c r="AL1038" s="147"/>
      <c r="AM1038" s="147"/>
      <c r="AN1038" s="147"/>
      <c r="AO1038" s="147"/>
      <c r="AP1038" s="147"/>
      <c r="AQ1038" s="147"/>
      <c r="AR1038" s="147"/>
      <c r="AS1038" s="147"/>
      <c r="AT1038" s="147"/>
      <c r="AU1038" s="147"/>
      <c r="AV1038" s="147"/>
      <c r="AW1038" s="147"/>
    </row>
    <row r="1039">
      <c r="A1039" s="631"/>
      <c r="B1039" s="631"/>
      <c r="C1039" s="632"/>
      <c r="D1039" s="633"/>
      <c r="E1039" s="634"/>
      <c r="F1039" s="635"/>
      <c r="G1039" s="636"/>
      <c r="H1039" s="637"/>
      <c r="I1039" s="643"/>
      <c r="J1039" s="644"/>
      <c r="K1039" s="147"/>
      <c r="L1039" s="632"/>
      <c r="M1039" s="147"/>
      <c r="N1039" s="640"/>
      <c r="O1039" s="640"/>
      <c r="P1039" s="641"/>
      <c r="Q1039" s="642"/>
      <c r="R1039" s="147"/>
      <c r="S1039" s="147"/>
      <c r="T1039" s="147"/>
      <c r="U1039" s="147"/>
      <c r="V1039" s="147"/>
      <c r="W1039" s="147"/>
      <c r="X1039" s="147"/>
      <c r="Y1039" s="147"/>
      <c r="Z1039" s="147"/>
      <c r="AA1039" s="147"/>
      <c r="AB1039" s="147"/>
      <c r="AC1039" s="147"/>
      <c r="AD1039" s="147"/>
      <c r="AE1039" s="147"/>
      <c r="AF1039" s="147"/>
      <c r="AG1039" s="147"/>
      <c r="AH1039" s="147"/>
      <c r="AI1039" s="147"/>
      <c r="AJ1039" s="147"/>
      <c r="AK1039" s="147"/>
      <c r="AL1039" s="147"/>
      <c r="AM1039" s="147"/>
      <c r="AN1039" s="147"/>
      <c r="AO1039" s="147"/>
      <c r="AP1039" s="147"/>
      <c r="AQ1039" s="147"/>
      <c r="AR1039" s="147"/>
      <c r="AS1039" s="147"/>
      <c r="AT1039" s="147"/>
      <c r="AU1039" s="147"/>
      <c r="AV1039" s="147"/>
      <c r="AW1039" s="147"/>
    </row>
    <row r="1040">
      <c r="A1040" s="631"/>
      <c r="B1040" s="631"/>
      <c r="C1040" s="632"/>
      <c r="D1040" s="633"/>
      <c r="E1040" s="634"/>
      <c r="F1040" s="635"/>
      <c r="G1040" s="636"/>
      <c r="H1040" s="637"/>
      <c r="I1040" s="643"/>
      <c r="J1040" s="644"/>
      <c r="K1040" s="147"/>
      <c r="L1040" s="632"/>
      <c r="M1040" s="147"/>
      <c r="N1040" s="640"/>
      <c r="O1040" s="640"/>
      <c r="P1040" s="641"/>
      <c r="Q1040" s="642"/>
      <c r="R1040" s="147"/>
      <c r="S1040" s="147"/>
      <c r="T1040" s="147"/>
      <c r="U1040" s="147"/>
      <c r="V1040" s="147"/>
      <c r="W1040" s="147"/>
      <c r="X1040" s="147"/>
      <c r="Y1040" s="147"/>
      <c r="Z1040" s="147"/>
      <c r="AA1040" s="147"/>
      <c r="AB1040" s="147"/>
      <c r="AC1040" s="147"/>
      <c r="AD1040" s="147"/>
      <c r="AE1040" s="147"/>
      <c r="AF1040" s="147"/>
      <c r="AG1040" s="147"/>
      <c r="AH1040" s="147"/>
      <c r="AI1040" s="147"/>
      <c r="AJ1040" s="147"/>
      <c r="AK1040" s="147"/>
      <c r="AL1040" s="147"/>
      <c r="AM1040" s="147"/>
      <c r="AN1040" s="147"/>
      <c r="AO1040" s="147"/>
      <c r="AP1040" s="147"/>
      <c r="AQ1040" s="147"/>
      <c r="AR1040" s="147"/>
      <c r="AS1040" s="147"/>
      <c r="AT1040" s="147"/>
      <c r="AU1040" s="147"/>
      <c r="AV1040" s="147"/>
      <c r="AW1040" s="147"/>
    </row>
    <row r="1041">
      <c r="A1041" s="631"/>
      <c r="B1041" s="631"/>
      <c r="C1041" s="632"/>
      <c r="D1041" s="633"/>
      <c r="E1041" s="634"/>
      <c r="F1041" s="635"/>
      <c r="G1041" s="636"/>
      <c r="H1041" s="637"/>
      <c r="I1041" s="643"/>
      <c r="J1041" s="644"/>
      <c r="K1041" s="147"/>
      <c r="L1041" s="632"/>
      <c r="M1041" s="147"/>
      <c r="N1041" s="640"/>
      <c r="O1041" s="640"/>
      <c r="P1041" s="641"/>
      <c r="Q1041" s="642"/>
      <c r="R1041" s="147"/>
      <c r="S1041" s="147"/>
      <c r="T1041" s="147"/>
      <c r="U1041" s="147"/>
      <c r="V1041" s="147"/>
      <c r="W1041" s="147"/>
      <c r="X1041" s="147"/>
      <c r="Y1041" s="147"/>
      <c r="Z1041" s="147"/>
      <c r="AA1041" s="147"/>
      <c r="AB1041" s="147"/>
      <c r="AC1041" s="147"/>
      <c r="AD1041" s="147"/>
      <c r="AE1041" s="147"/>
      <c r="AF1041" s="147"/>
      <c r="AG1041" s="147"/>
      <c r="AH1041" s="147"/>
      <c r="AI1041" s="147"/>
      <c r="AJ1041" s="147"/>
      <c r="AK1041" s="147"/>
      <c r="AL1041" s="147"/>
      <c r="AM1041" s="147"/>
      <c r="AN1041" s="147"/>
      <c r="AO1041" s="147"/>
      <c r="AP1041" s="147"/>
      <c r="AQ1041" s="147"/>
      <c r="AR1041" s="147"/>
      <c r="AS1041" s="147"/>
      <c r="AT1041" s="147"/>
      <c r="AU1041" s="147"/>
      <c r="AV1041" s="147"/>
      <c r="AW1041" s="147"/>
    </row>
    <row r="1042">
      <c r="A1042" s="631"/>
      <c r="B1042" s="631"/>
      <c r="C1042" s="632"/>
      <c r="D1042" s="633"/>
      <c r="E1042" s="634"/>
      <c r="F1042" s="635"/>
      <c r="G1042" s="636"/>
      <c r="H1042" s="637"/>
      <c r="I1042" s="643"/>
      <c r="J1042" s="644"/>
      <c r="K1042" s="147"/>
      <c r="L1042" s="632"/>
      <c r="M1042" s="147"/>
      <c r="N1042" s="640"/>
      <c r="O1042" s="640"/>
      <c r="P1042" s="641"/>
      <c r="Q1042" s="642"/>
      <c r="R1042" s="147"/>
      <c r="S1042" s="147"/>
      <c r="T1042" s="147"/>
      <c r="U1042" s="147"/>
      <c r="V1042" s="147"/>
      <c r="W1042" s="147"/>
      <c r="X1042" s="147"/>
      <c r="Y1042" s="147"/>
      <c r="Z1042" s="147"/>
      <c r="AA1042" s="147"/>
      <c r="AB1042" s="147"/>
      <c r="AC1042" s="147"/>
      <c r="AD1042" s="147"/>
      <c r="AE1042" s="147"/>
      <c r="AF1042" s="147"/>
      <c r="AG1042" s="147"/>
      <c r="AH1042" s="147"/>
      <c r="AI1042" s="147"/>
      <c r="AJ1042" s="147"/>
      <c r="AK1042" s="147"/>
      <c r="AL1042" s="147"/>
      <c r="AM1042" s="147"/>
      <c r="AN1042" s="147"/>
      <c r="AO1042" s="147"/>
      <c r="AP1042" s="147"/>
      <c r="AQ1042" s="147"/>
      <c r="AR1042" s="147"/>
      <c r="AS1042" s="147"/>
      <c r="AT1042" s="147"/>
      <c r="AU1042" s="147"/>
      <c r="AV1042" s="147"/>
      <c r="AW1042" s="147"/>
    </row>
    <row r="1043">
      <c r="A1043" s="631"/>
      <c r="B1043" s="631"/>
      <c r="C1043" s="632"/>
      <c r="D1043" s="633"/>
      <c r="E1043" s="634"/>
      <c r="F1043" s="635"/>
      <c r="G1043" s="636"/>
      <c r="H1043" s="637"/>
      <c r="I1043" s="643"/>
      <c r="J1043" s="644"/>
      <c r="K1043" s="147"/>
      <c r="L1043" s="632"/>
      <c r="M1043" s="147"/>
      <c r="N1043" s="640"/>
      <c r="O1043" s="640"/>
      <c r="P1043" s="641"/>
      <c r="Q1043" s="642"/>
      <c r="R1043" s="147"/>
      <c r="S1043" s="147"/>
      <c r="T1043" s="147"/>
      <c r="U1043" s="147"/>
      <c r="V1043" s="147"/>
      <c r="W1043" s="147"/>
      <c r="X1043" s="147"/>
      <c r="Y1043" s="147"/>
      <c r="Z1043" s="147"/>
      <c r="AA1043" s="147"/>
      <c r="AB1043" s="147"/>
      <c r="AC1043" s="147"/>
      <c r="AD1043" s="147"/>
      <c r="AE1043" s="147"/>
      <c r="AF1043" s="147"/>
      <c r="AG1043" s="147"/>
      <c r="AH1043" s="147"/>
      <c r="AI1043" s="147"/>
      <c r="AJ1043" s="147"/>
      <c r="AK1043" s="147"/>
      <c r="AL1043" s="147"/>
      <c r="AM1043" s="147"/>
      <c r="AN1043" s="147"/>
      <c r="AO1043" s="147"/>
      <c r="AP1043" s="147"/>
      <c r="AQ1043" s="147"/>
      <c r="AR1043" s="147"/>
      <c r="AS1043" s="147"/>
      <c r="AT1043" s="147"/>
      <c r="AU1043" s="147"/>
      <c r="AV1043" s="147"/>
      <c r="AW1043" s="147"/>
    </row>
    <row r="1044">
      <c r="A1044" s="631"/>
      <c r="B1044" s="631"/>
      <c r="C1044" s="632"/>
      <c r="D1044" s="633"/>
      <c r="E1044" s="634"/>
      <c r="F1044" s="635"/>
      <c r="G1044" s="636"/>
      <c r="H1044" s="637"/>
      <c r="I1044" s="643"/>
      <c r="J1044" s="644"/>
      <c r="K1044" s="147"/>
      <c r="L1044" s="632"/>
      <c r="M1044" s="147"/>
      <c r="N1044" s="640"/>
      <c r="O1044" s="640"/>
      <c r="P1044" s="641"/>
      <c r="Q1044" s="642"/>
      <c r="R1044" s="147"/>
      <c r="S1044" s="147"/>
      <c r="T1044" s="147"/>
      <c r="U1044" s="147"/>
      <c r="V1044" s="147"/>
      <c r="W1044" s="147"/>
      <c r="X1044" s="147"/>
      <c r="Y1044" s="147"/>
      <c r="Z1044" s="147"/>
      <c r="AA1044" s="147"/>
      <c r="AB1044" s="147"/>
      <c r="AC1044" s="147"/>
      <c r="AD1044" s="147"/>
      <c r="AE1044" s="147"/>
      <c r="AF1044" s="147"/>
      <c r="AG1044" s="147"/>
      <c r="AH1044" s="147"/>
      <c r="AI1044" s="147"/>
      <c r="AJ1044" s="147"/>
      <c r="AK1044" s="147"/>
      <c r="AL1044" s="147"/>
      <c r="AM1044" s="147"/>
      <c r="AN1044" s="147"/>
      <c r="AO1044" s="147"/>
      <c r="AP1044" s="147"/>
      <c r="AQ1044" s="147"/>
      <c r="AR1044" s="147"/>
      <c r="AS1044" s="147"/>
      <c r="AT1044" s="147"/>
      <c r="AU1044" s="147"/>
      <c r="AV1044" s="147"/>
      <c r="AW1044" s="147"/>
    </row>
    <row r="1045">
      <c r="A1045" s="631"/>
      <c r="B1045" s="631"/>
      <c r="C1045" s="632"/>
      <c r="D1045" s="633"/>
      <c r="E1045" s="634"/>
      <c r="F1045" s="635"/>
      <c r="G1045" s="636"/>
      <c r="H1045" s="637"/>
      <c r="I1045" s="643"/>
      <c r="J1045" s="644"/>
      <c r="K1045" s="147"/>
      <c r="L1045" s="632"/>
      <c r="M1045" s="147"/>
      <c r="N1045" s="640"/>
      <c r="O1045" s="640"/>
      <c r="P1045" s="641"/>
      <c r="Q1045" s="642"/>
      <c r="R1045" s="147"/>
      <c r="S1045" s="147"/>
      <c r="T1045" s="147"/>
      <c r="U1045" s="147"/>
      <c r="V1045" s="147"/>
      <c r="W1045" s="147"/>
      <c r="X1045" s="147"/>
      <c r="Y1045" s="147"/>
      <c r="Z1045" s="147"/>
      <c r="AA1045" s="147"/>
      <c r="AB1045" s="147"/>
      <c r="AC1045" s="147"/>
      <c r="AD1045" s="147"/>
      <c r="AE1045" s="147"/>
      <c r="AF1045" s="147"/>
      <c r="AG1045" s="147"/>
      <c r="AH1045" s="147"/>
      <c r="AI1045" s="147"/>
      <c r="AJ1045" s="147"/>
      <c r="AK1045" s="147"/>
      <c r="AL1045" s="147"/>
      <c r="AM1045" s="147"/>
      <c r="AN1045" s="147"/>
      <c r="AO1045" s="147"/>
      <c r="AP1045" s="147"/>
      <c r="AQ1045" s="147"/>
      <c r="AR1045" s="147"/>
      <c r="AS1045" s="147"/>
      <c r="AT1045" s="147"/>
      <c r="AU1045" s="147"/>
      <c r="AV1045" s="147"/>
      <c r="AW1045" s="147"/>
    </row>
    <row r="1046">
      <c r="A1046" s="631"/>
      <c r="B1046" s="631"/>
      <c r="C1046" s="632"/>
      <c r="D1046" s="633"/>
      <c r="E1046" s="634"/>
      <c r="F1046" s="635"/>
      <c r="G1046" s="636"/>
      <c r="H1046" s="637"/>
      <c r="I1046" s="643"/>
      <c r="J1046" s="644"/>
      <c r="K1046" s="147"/>
      <c r="L1046" s="632"/>
      <c r="M1046" s="147"/>
      <c r="N1046" s="640"/>
      <c r="O1046" s="640"/>
      <c r="P1046" s="641"/>
      <c r="Q1046" s="642"/>
      <c r="R1046" s="147"/>
      <c r="S1046" s="147"/>
      <c r="T1046" s="147"/>
      <c r="U1046" s="147"/>
      <c r="V1046" s="147"/>
      <c r="W1046" s="147"/>
      <c r="X1046" s="147"/>
      <c r="Y1046" s="147"/>
      <c r="Z1046" s="147"/>
      <c r="AA1046" s="147"/>
      <c r="AB1046" s="147"/>
      <c r="AC1046" s="147"/>
      <c r="AD1046" s="147"/>
      <c r="AE1046" s="147"/>
      <c r="AF1046" s="147"/>
      <c r="AG1046" s="147"/>
      <c r="AH1046" s="147"/>
      <c r="AI1046" s="147"/>
      <c r="AJ1046" s="147"/>
      <c r="AK1046" s="147"/>
      <c r="AL1046" s="147"/>
      <c r="AM1046" s="147"/>
      <c r="AN1046" s="147"/>
      <c r="AO1046" s="147"/>
      <c r="AP1046" s="147"/>
      <c r="AQ1046" s="147"/>
      <c r="AR1046" s="147"/>
      <c r="AS1046" s="147"/>
      <c r="AT1046" s="147"/>
      <c r="AU1046" s="147"/>
      <c r="AV1046" s="147"/>
      <c r="AW1046" s="147"/>
    </row>
    <row r="1047">
      <c r="A1047" s="631"/>
      <c r="B1047" s="631"/>
      <c r="C1047" s="632"/>
      <c r="D1047" s="633"/>
      <c r="E1047" s="634"/>
      <c r="F1047" s="635"/>
      <c r="G1047" s="636"/>
      <c r="H1047" s="637"/>
      <c r="I1047" s="643"/>
      <c r="J1047" s="644"/>
      <c r="K1047" s="147"/>
      <c r="L1047" s="632"/>
      <c r="M1047" s="147"/>
      <c r="N1047" s="640"/>
      <c r="O1047" s="640"/>
      <c r="P1047" s="641"/>
      <c r="Q1047" s="642"/>
      <c r="R1047" s="147"/>
      <c r="S1047" s="147"/>
      <c r="T1047" s="147"/>
      <c r="U1047" s="147"/>
      <c r="V1047" s="147"/>
      <c r="W1047" s="147"/>
      <c r="X1047" s="147"/>
      <c r="Y1047" s="147"/>
      <c r="Z1047" s="147"/>
      <c r="AA1047" s="147"/>
      <c r="AB1047" s="147"/>
      <c r="AC1047" s="147"/>
      <c r="AD1047" s="147"/>
      <c r="AE1047" s="147"/>
      <c r="AF1047" s="147"/>
      <c r="AG1047" s="147"/>
      <c r="AH1047" s="147"/>
      <c r="AI1047" s="147"/>
      <c r="AJ1047" s="147"/>
      <c r="AK1047" s="147"/>
      <c r="AL1047" s="147"/>
      <c r="AM1047" s="147"/>
      <c r="AN1047" s="147"/>
      <c r="AO1047" s="147"/>
      <c r="AP1047" s="147"/>
      <c r="AQ1047" s="147"/>
      <c r="AR1047" s="147"/>
      <c r="AS1047" s="147"/>
      <c r="AT1047" s="147"/>
      <c r="AU1047" s="147"/>
      <c r="AV1047" s="147"/>
      <c r="AW1047" s="147"/>
    </row>
    <row r="1048">
      <c r="A1048" s="631"/>
      <c r="B1048" s="631"/>
      <c r="C1048" s="632"/>
      <c r="D1048" s="633"/>
      <c r="E1048" s="634"/>
      <c r="F1048" s="635"/>
      <c r="G1048" s="636"/>
      <c r="H1048" s="637"/>
      <c r="I1048" s="643"/>
      <c r="J1048" s="644"/>
      <c r="K1048" s="147"/>
      <c r="L1048" s="632"/>
      <c r="M1048" s="147"/>
      <c r="N1048" s="640"/>
      <c r="O1048" s="640"/>
      <c r="P1048" s="641"/>
      <c r="Q1048" s="642"/>
      <c r="R1048" s="147"/>
      <c r="S1048" s="147"/>
      <c r="T1048" s="147"/>
      <c r="U1048" s="147"/>
      <c r="V1048" s="147"/>
      <c r="W1048" s="147"/>
      <c r="X1048" s="147"/>
      <c r="Y1048" s="147"/>
      <c r="Z1048" s="147"/>
      <c r="AA1048" s="147"/>
      <c r="AB1048" s="147"/>
      <c r="AC1048" s="147"/>
      <c r="AD1048" s="147"/>
      <c r="AE1048" s="147"/>
      <c r="AF1048" s="147"/>
      <c r="AG1048" s="147"/>
      <c r="AH1048" s="147"/>
      <c r="AI1048" s="147"/>
      <c r="AJ1048" s="147"/>
      <c r="AK1048" s="147"/>
      <c r="AL1048" s="147"/>
      <c r="AM1048" s="147"/>
      <c r="AN1048" s="147"/>
      <c r="AO1048" s="147"/>
      <c r="AP1048" s="147"/>
      <c r="AQ1048" s="147"/>
      <c r="AR1048" s="147"/>
      <c r="AS1048" s="147"/>
      <c r="AT1048" s="147"/>
      <c r="AU1048" s="147"/>
      <c r="AV1048" s="147"/>
      <c r="AW1048" s="147"/>
    </row>
    <row r="1049">
      <c r="A1049" s="631"/>
      <c r="B1049" s="631"/>
      <c r="C1049" s="632"/>
      <c r="D1049" s="633"/>
      <c r="E1049" s="634"/>
      <c r="F1049" s="635"/>
      <c r="G1049" s="636"/>
      <c r="H1049" s="637"/>
      <c r="I1049" s="643"/>
      <c r="J1049" s="644"/>
      <c r="K1049" s="147"/>
      <c r="L1049" s="632"/>
      <c r="M1049" s="147"/>
      <c r="N1049" s="640"/>
      <c r="O1049" s="640"/>
      <c r="P1049" s="641"/>
      <c r="Q1049" s="642"/>
      <c r="R1049" s="147"/>
      <c r="S1049" s="147"/>
      <c r="T1049" s="147"/>
      <c r="U1049" s="147"/>
      <c r="V1049" s="147"/>
      <c r="W1049" s="147"/>
      <c r="X1049" s="147"/>
      <c r="Y1049" s="147"/>
      <c r="Z1049" s="147"/>
      <c r="AA1049" s="147"/>
      <c r="AB1049" s="147"/>
      <c r="AC1049" s="147"/>
      <c r="AD1049" s="147"/>
      <c r="AE1049" s="147"/>
      <c r="AF1049" s="147"/>
      <c r="AG1049" s="147"/>
      <c r="AH1049" s="147"/>
      <c r="AI1049" s="147"/>
      <c r="AJ1049" s="147"/>
      <c r="AK1049" s="147"/>
      <c r="AL1049" s="147"/>
      <c r="AM1049" s="147"/>
      <c r="AN1049" s="147"/>
      <c r="AO1049" s="147"/>
      <c r="AP1049" s="147"/>
      <c r="AQ1049" s="147"/>
      <c r="AR1049" s="147"/>
      <c r="AS1049" s="147"/>
      <c r="AT1049" s="147"/>
      <c r="AU1049" s="147"/>
      <c r="AV1049" s="147"/>
      <c r="AW1049" s="147"/>
    </row>
    <row r="1050">
      <c r="A1050" s="631"/>
      <c r="B1050" s="631"/>
      <c r="C1050" s="632"/>
      <c r="D1050" s="633"/>
      <c r="E1050" s="634"/>
      <c r="F1050" s="635"/>
      <c r="G1050" s="636"/>
      <c r="H1050" s="637"/>
      <c r="I1050" s="643"/>
      <c r="J1050" s="644"/>
      <c r="K1050" s="147"/>
      <c r="L1050" s="632"/>
      <c r="M1050" s="147"/>
      <c r="N1050" s="640"/>
      <c r="O1050" s="640"/>
      <c r="P1050" s="641"/>
      <c r="Q1050" s="642"/>
      <c r="R1050" s="147"/>
      <c r="S1050" s="147"/>
      <c r="T1050" s="147"/>
      <c r="U1050" s="147"/>
      <c r="V1050" s="147"/>
      <c r="W1050" s="147"/>
      <c r="X1050" s="147"/>
      <c r="Y1050" s="147"/>
      <c r="Z1050" s="147"/>
      <c r="AA1050" s="147"/>
      <c r="AB1050" s="147"/>
      <c r="AC1050" s="147"/>
      <c r="AD1050" s="147"/>
      <c r="AE1050" s="147"/>
      <c r="AF1050" s="147"/>
      <c r="AG1050" s="147"/>
      <c r="AH1050" s="147"/>
      <c r="AI1050" s="147"/>
      <c r="AJ1050" s="147"/>
      <c r="AK1050" s="147"/>
      <c r="AL1050" s="147"/>
      <c r="AM1050" s="147"/>
      <c r="AN1050" s="147"/>
      <c r="AO1050" s="147"/>
      <c r="AP1050" s="147"/>
      <c r="AQ1050" s="147"/>
      <c r="AR1050" s="147"/>
      <c r="AS1050" s="147"/>
      <c r="AT1050" s="147"/>
      <c r="AU1050" s="147"/>
      <c r="AV1050" s="147"/>
      <c r="AW1050" s="147"/>
    </row>
    <row r="1051">
      <c r="A1051" s="631"/>
      <c r="B1051" s="631"/>
      <c r="C1051" s="632"/>
      <c r="D1051" s="633"/>
      <c r="E1051" s="634"/>
      <c r="F1051" s="635"/>
      <c r="G1051" s="636"/>
      <c r="H1051" s="637"/>
      <c r="I1051" s="643"/>
      <c r="J1051" s="644"/>
      <c r="K1051" s="147"/>
      <c r="L1051" s="632"/>
      <c r="M1051" s="147"/>
      <c r="N1051" s="640"/>
      <c r="O1051" s="640"/>
      <c r="P1051" s="641"/>
      <c r="Q1051" s="642"/>
      <c r="R1051" s="147"/>
      <c r="S1051" s="147"/>
      <c r="T1051" s="147"/>
      <c r="U1051" s="147"/>
      <c r="V1051" s="147"/>
      <c r="W1051" s="147"/>
      <c r="X1051" s="147"/>
      <c r="Y1051" s="147"/>
      <c r="Z1051" s="147"/>
      <c r="AA1051" s="147"/>
      <c r="AB1051" s="147"/>
      <c r="AC1051" s="147"/>
      <c r="AD1051" s="147"/>
      <c r="AE1051" s="147"/>
      <c r="AF1051" s="147"/>
      <c r="AG1051" s="147"/>
      <c r="AH1051" s="147"/>
      <c r="AI1051" s="147"/>
      <c r="AJ1051" s="147"/>
      <c r="AK1051" s="147"/>
      <c r="AL1051" s="147"/>
      <c r="AM1051" s="147"/>
      <c r="AN1051" s="147"/>
      <c r="AO1051" s="147"/>
      <c r="AP1051" s="147"/>
      <c r="AQ1051" s="147"/>
      <c r="AR1051" s="147"/>
      <c r="AS1051" s="147"/>
      <c r="AT1051" s="147"/>
      <c r="AU1051" s="147"/>
      <c r="AV1051" s="147"/>
      <c r="AW1051" s="147"/>
    </row>
    <row r="1052">
      <c r="A1052" s="631"/>
      <c r="B1052" s="631"/>
      <c r="C1052" s="632"/>
      <c r="D1052" s="633"/>
      <c r="E1052" s="634"/>
      <c r="F1052" s="635"/>
      <c r="G1052" s="636"/>
      <c r="H1052" s="637"/>
      <c r="I1052" s="643"/>
      <c r="J1052" s="644"/>
      <c r="K1052" s="147"/>
      <c r="L1052" s="632"/>
      <c r="M1052" s="147"/>
      <c r="N1052" s="640"/>
      <c r="O1052" s="640"/>
      <c r="P1052" s="641"/>
      <c r="Q1052" s="642"/>
      <c r="R1052" s="147"/>
      <c r="S1052" s="147"/>
      <c r="T1052" s="147"/>
      <c r="U1052" s="147"/>
      <c r="V1052" s="147"/>
      <c r="W1052" s="147"/>
      <c r="X1052" s="147"/>
      <c r="Y1052" s="147"/>
      <c r="Z1052" s="147"/>
      <c r="AA1052" s="147"/>
      <c r="AB1052" s="147"/>
      <c r="AC1052" s="147"/>
      <c r="AD1052" s="147"/>
      <c r="AE1052" s="147"/>
      <c r="AF1052" s="147"/>
      <c r="AG1052" s="147"/>
      <c r="AH1052" s="147"/>
      <c r="AI1052" s="147"/>
      <c r="AJ1052" s="147"/>
      <c r="AK1052" s="147"/>
      <c r="AL1052" s="147"/>
      <c r="AM1052" s="147"/>
      <c r="AN1052" s="147"/>
      <c r="AO1052" s="147"/>
      <c r="AP1052" s="147"/>
      <c r="AQ1052" s="147"/>
      <c r="AR1052" s="147"/>
      <c r="AS1052" s="147"/>
      <c r="AT1052" s="147"/>
      <c r="AU1052" s="147"/>
      <c r="AV1052" s="147"/>
      <c r="AW1052" s="147"/>
    </row>
    <row r="1053">
      <c r="A1053" s="631"/>
      <c r="B1053" s="631"/>
      <c r="C1053" s="632"/>
      <c r="D1053" s="633"/>
      <c r="E1053" s="634"/>
      <c r="F1053" s="635"/>
      <c r="G1053" s="636"/>
      <c r="H1053" s="637"/>
      <c r="I1053" s="643"/>
      <c r="J1053" s="644"/>
      <c r="K1053" s="147"/>
      <c r="L1053" s="632"/>
      <c r="M1053" s="147"/>
      <c r="N1053" s="640"/>
      <c r="O1053" s="640"/>
      <c r="P1053" s="641"/>
      <c r="Q1053" s="642"/>
      <c r="R1053" s="147"/>
      <c r="S1053" s="147"/>
      <c r="T1053" s="147"/>
      <c r="U1053" s="147"/>
      <c r="V1053" s="147"/>
      <c r="W1053" s="147"/>
      <c r="X1053" s="147"/>
      <c r="Y1053" s="147"/>
      <c r="Z1053" s="147"/>
      <c r="AA1053" s="147"/>
      <c r="AB1053" s="147"/>
      <c r="AC1053" s="147"/>
      <c r="AD1053" s="147"/>
      <c r="AE1053" s="147"/>
      <c r="AF1053" s="147"/>
      <c r="AG1053" s="147"/>
      <c r="AH1053" s="147"/>
      <c r="AI1053" s="147"/>
      <c r="AJ1053" s="147"/>
      <c r="AK1053" s="147"/>
      <c r="AL1053" s="147"/>
      <c r="AM1053" s="147"/>
      <c r="AN1053" s="147"/>
      <c r="AO1053" s="147"/>
      <c r="AP1053" s="147"/>
      <c r="AQ1053" s="147"/>
      <c r="AR1053" s="147"/>
      <c r="AS1053" s="147"/>
      <c r="AT1053" s="147"/>
      <c r="AU1053" s="147"/>
      <c r="AV1053" s="147"/>
      <c r="AW1053" s="147"/>
    </row>
    <row r="1054">
      <c r="A1054" s="631"/>
      <c r="B1054" s="631"/>
      <c r="C1054" s="632"/>
      <c r="D1054" s="633"/>
      <c r="E1054" s="634"/>
      <c r="F1054" s="635"/>
      <c r="G1054" s="636"/>
      <c r="H1054" s="637"/>
      <c r="I1054" s="643"/>
      <c r="J1054" s="644"/>
      <c r="K1054" s="147"/>
      <c r="L1054" s="632"/>
      <c r="M1054" s="147"/>
      <c r="N1054" s="640"/>
      <c r="O1054" s="640"/>
      <c r="P1054" s="641"/>
      <c r="Q1054" s="642"/>
      <c r="R1054" s="147"/>
      <c r="S1054" s="147"/>
      <c r="T1054" s="147"/>
      <c r="U1054" s="147"/>
      <c r="V1054" s="147"/>
      <c r="W1054" s="147"/>
      <c r="X1054" s="147"/>
      <c r="Y1054" s="147"/>
      <c r="Z1054" s="147"/>
      <c r="AA1054" s="147"/>
      <c r="AB1054" s="147"/>
      <c r="AC1054" s="147"/>
      <c r="AD1054" s="147"/>
      <c r="AE1054" s="147"/>
      <c r="AF1054" s="147"/>
      <c r="AG1054" s="147"/>
      <c r="AH1054" s="147"/>
      <c r="AI1054" s="147"/>
      <c r="AJ1054" s="147"/>
      <c r="AK1054" s="147"/>
      <c r="AL1054" s="147"/>
      <c r="AM1054" s="147"/>
      <c r="AN1054" s="147"/>
      <c r="AO1054" s="147"/>
      <c r="AP1054" s="147"/>
      <c r="AQ1054" s="147"/>
      <c r="AR1054" s="147"/>
      <c r="AS1054" s="147"/>
      <c r="AT1054" s="147"/>
      <c r="AU1054" s="147"/>
      <c r="AV1054" s="147"/>
      <c r="AW1054" s="147"/>
    </row>
    <row r="1055">
      <c r="A1055" s="631"/>
      <c r="B1055" s="631"/>
      <c r="C1055" s="632"/>
      <c r="D1055" s="633"/>
      <c r="E1055" s="634"/>
      <c r="F1055" s="635"/>
      <c r="G1055" s="636"/>
      <c r="H1055" s="637"/>
      <c r="I1055" s="643"/>
      <c r="J1055" s="644"/>
      <c r="K1055" s="147"/>
      <c r="L1055" s="632"/>
      <c r="M1055" s="147"/>
      <c r="N1055" s="640"/>
      <c r="O1055" s="640"/>
      <c r="P1055" s="641"/>
      <c r="Q1055" s="642"/>
      <c r="R1055" s="147"/>
      <c r="S1055" s="147"/>
      <c r="T1055" s="147"/>
      <c r="U1055" s="147"/>
      <c r="V1055" s="147"/>
      <c r="W1055" s="147"/>
      <c r="X1055" s="147"/>
      <c r="Y1055" s="147"/>
      <c r="Z1055" s="147"/>
      <c r="AA1055" s="147"/>
      <c r="AB1055" s="147"/>
      <c r="AC1055" s="147"/>
      <c r="AD1055" s="147"/>
      <c r="AE1055" s="147"/>
      <c r="AF1055" s="147"/>
      <c r="AG1055" s="147"/>
      <c r="AH1055" s="147"/>
      <c r="AI1055" s="147"/>
      <c r="AJ1055" s="147"/>
      <c r="AK1055" s="147"/>
      <c r="AL1055" s="147"/>
      <c r="AM1055" s="147"/>
      <c r="AN1055" s="147"/>
      <c r="AO1055" s="147"/>
      <c r="AP1055" s="147"/>
      <c r="AQ1055" s="147"/>
      <c r="AR1055" s="147"/>
      <c r="AS1055" s="147"/>
      <c r="AT1055" s="147"/>
      <c r="AU1055" s="147"/>
      <c r="AV1055" s="147"/>
      <c r="AW1055" s="147"/>
    </row>
    <row r="1056">
      <c r="A1056" s="631"/>
      <c r="B1056" s="631"/>
      <c r="C1056" s="632"/>
      <c r="D1056" s="633"/>
      <c r="E1056" s="634"/>
      <c r="F1056" s="635"/>
      <c r="G1056" s="636"/>
      <c r="H1056" s="637"/>
      <c r="I1056" s="643"/>
      <c r="J1056" s="644"/>
      <c r="K1056" s="147"/>
      <c r="L1056" s="632"/>
      <c r="M1056" s="147"/>
      <c r="N1056" s="640"/>
      <c r="O1056" s="640"/>
      <c r="P1056" s="641"/>
      <c r="Q1056" s="642"/>
      <c r="R1056" s="147"/>
      <c r="S1056" s="147"/>
      <c r="T1056" s="147"/>
      <c r="U1056" s="147"/>
      <c r="V1056" s="147"/>
      <c r="W1056" s="147"/>
      <c r="X1056" s="147"/>
      <c r="Y1056" s="147"/>
      <c r="Z1056" s="147"/>
      <c r="AA1056" s="147"/>
      <c r="AB1056" s="147"/>
      <c r="AC1056" s="147"/>
      <c r="AD1056" s="147"/>
      <c r="AE1056" s="147"/>
      <c r="AF1056" s="147"/>
      <c r="AG1056" s="147"/>
      <c r="AH1056" s="147"/>
      <c r="AI1056" s="147"/>
      <c r="AJ1056" s="147"/>
      <c r="AK1056" s="147"/>
      <c r="AL1056" s="147"/>
      <c r="AM1056" s="147"/>
      <c r="AN1056" s="147"/>
      <c r="AO1056" s="147"/>
      <c r="AP1056" s="147"/>
      <c r="AQ1056" s="147"/>
      <c r="AR1056" s="147"/>
      <c r="AS1056" s="147"/>
      <c r="AT1056" s="147"/>
      <c r="AU1056" s="147"/>
      <c r="AV1056" s="147"/>
      <c r="AW1056" s="147"/>
    </row>
    <row r="1057">
      <c r="A1057" s="631"/>
      <c r="B1057" s="631"/>
      <c r="C1057" s="632"/>
      <c r="D1057" s="633"/>
      <c r="E1057" s="634"/>
      <c r="F1057" s="635"/>
      <c r="G1057" s="636"/>
      <c r="H1057" s="637"/>
      <c r="I1057" s="643"/>
      <c r="J1057" s="644"/>
      <c r="K1057" s="147"/>
      <c r="L1057" s="632"/>
      <c r="M1057" s="147"/>
      <c r="N1057" s="640"/>
      <c r="O1057" s="640"/>
      <c r="P1057" s="641"/>
      <c r="Q1057" s="642"/>
      <c r="R1057" s="147"/>
      <c r="S1057" s="147"/>
      <c r="T1057" s="147"/>
      <c r="U1057" s="147"/>
      <c r="V1057" s="147"/>
      <c r="W1057" s="147"/>
      <c r="X1057" s="147"/>
      <c r="Y1057" s="147"/>
      <c r="Z1057" s="147"/>
      <c r="AA1057" s="147"/>
      <c r="AB1057" s="147"/>
      <c r="AC1057" s="147"/>
      <c r="AD1057" s="147"/>
      <c r="AE1057" s="147"/>
      <c r="AF1057" s="147"/>
      <c r="AG1057" s="147"/>
      <c r="AH1057" s="147"/>
      <c r="AI1057" s="147"/>
      <c r="AJ1057" s="147"/>
      <c r="AK1057" s="147"/>
      <c r="AL1057" s="147"/>
      <c r="AM1057" s="147"/>
      <c r="AN1057" s="147"/>
      <c r="AO1057" s="147"/>
      <c r="AP1057" s="147"/>
      <c r="AQ1057" s="147"/>
      <c r="AR1057" s="147"/>
      <c r="AS1057" s="147"/>
      <c r="AT1057" s="147"/>
      <c r="AU1057" s="147"/>
      <c r="AV1057" s="147"/>
      <c r="AW1057" s="147"/>
    </row>
    <row r="1058">
      <c r="A1058" s="631"/>
      <c r="B1058" s="631"/>
      <c r="C1058" s="632"/>
      <c r="D1058" s="633"/>
      <c r="E1058" s="634"/>
      <c r="F1058" s="635"/>
      <c r="G1058" s="636"/>
      <c r="H1058" s="637"/>
      <c r="I1058" s="643"/>
      <c r="J1058" s="644"/>
      <c r="K1058" s="147"/>
      <c r="L1058" s="632"/>
      <c r="M1058" s="147"/>
      <c r="N1058" s="640"/>
      <c r="O1058" s="640"/>
      <c r="P1058" s="641"/>
      <c r="Q1058" s="642"/>
      <c r="R1058" s="147"/>
      <c r="S1058" s="147"/>
      <c r="T1058" s="147"/>
      <c r="U1058" s="147"/>
      <c r="V1058" s="147"/>
      <c r="W1058" s="147"/>
      <c r="X1058" s="147"/>
      <c r="Y1058" s="147"/>
      <c r="Z1058" s="147"/>
      <c r="AA1058" s="147"/>
      <c r="AB1058" s="147"/>
      <c r="AC1058" s="147"/>
      <c r="AD1058" s="147"/>
      <c r="AE1058" s="147"/>
      <c r="AF1058" s="147"/>
      <c r="AG1058" s="147"/>
      <c r="AH1058" s="147"/>
      <c r="AI1058" s="147"/>
      <c r="AJ1058" s="147"/>
      <c r="AK1058" s="147"/>
      <c r="AL1058" s="147"/>
      <c r="AM1058" s="147"/>
      <c r="AN1058" s="147"/>
      <c r="AO1058" s="147"/>
      <c r="AP1058" s="147"/>
      <c r="AQ1058" s="147"/>
      <c r="AR1058" s="147"/>
      <c r="AS1058" s="147"/>
      <c r="AT1058" s="147"/>
      <c r="AU1058" s="147"/>
      <c r="AV1058" s="147"/>
      <c r="AW1058" s="147"/>
    </row>
    <row r="1059">
      <c r="A1059" s="631"/>
      <c r="B1059" s="631"/>
      <c r="C1059" s="632"/>
      <c r="D1059" s="633"/>
      <c r="E1059" s="634"/>
      <c r="F1059" s="635"/>
      <c r="G1059" s="636"/>
      <c r="H1059" s="637"/>
      <c r="I1059" s="643"/>
      <c r="J1059" s="644"/>
      <c r="K1059" s="147"/>
      <c r="L1059" s="632"/>
      <c r="M1059" s="147"/>
      <c r="N1059" s="640"/>
      <c r="O1059" s="640"/>
      <c r="P1059" s="641"/>
      <c r="Q1059" s="642"/>
      <c r="R1059" s="147"/>
      <c r="S1059" s="147"/>
      <c r="T1059" s="147"/>
      <c r="U1059" s="147"/>
      <c r="V1059" s="147"/>
      <c r="W1059" s="147"/>
      <c r="X1059" s="147"/>
      <c r="Y1059" s="147"/>
      <c r="Z1059" s="147"/>
      <c r="AA1059" s="147"/>
      <c r="AB1059" s="147"/>
      <c r="AC1059" s="147"/>
      <c r="AD1059" s="147"/>
      <c r="AE1059" s="147"/>
      <c r="AF1059" s="147"/>
      <c r="AG1059" s="147"/>
      <c r="AH1059" s="147"/>
      <c r="AI1059" s="147"/>
      <c r="AJ1059" s="147"/>
      <c r="AK1059" s="147"/>
      <c r="AL1059" s="147"/>
      <c r="AM1059" s="147"/>
      <c r="AN1059" s="147"/>
      <c r="AO1059" s="147"/>
      <c r="AP1059" s="147"/>
      <c r="AQ1059" s="147"/>
      <c r="AR1059" s="147"/>
      <c r="AS1059" s="147"/>
      <c r="AT1059" s="147"/>
      <c r="AU1059" s="147"/>
      <c r="AV1059" s="147"/>
      <c r="AW1059" s="147"/>
    </row>
    <row r="1060">
      <c r="A1060" s="631"/>
      <c r="B1060" s="631"/>
      <c r="C1060" s="632"/>
      <c r="D1060" s="633"/>
      <c r="E1060" s="634"/>
      <c r="F1060" s="635"/>
      <c r="G1060" s="636"/>
      <c r="H1060" s="637"/>
      <c r="I1060" s="643"/>
      <c r="J1060" s="644"/>
      <c r="K1060" s="147"/>
      <c r="L1060" s="632"/>
      <c r="M1060" s="147"/>
      <c r="N1060" s="640"/>
      <c r="O1060" s="640"/>
      <c r="P1060" s="641"/>
      <c r="Q1060" s="642"/>
      <c r="R1060" s="147"/>
      <c r="S1060" s="147"/>
      <c r="T1060" s="147"/>
      <c r="U1060" s="147"/>
      <c r="V1060" s="147"/>
      <c r="W1060" s="147"/>
      <c r="X1060" s="147"/>
      <c r="Y1060" s="147"/>
      <c r="Z1060" s="147"/>
      <c r="AA1060" s="147"/>
      <c r="AB1060" s="147"/>
      <c r="AC1060" s="147"/>
      <c r="AD1060" s="147"/>
      <c r="AE1060" s="147"/>
      <c r="AF1060" s="147"/>
      <c r="AG1060" s="147"/>
      <c r="AH1060" s="147"/>
      <c r="AI1060" s="147"/>
      <c r="AJ1060" s="147"/>
      <c r="AK1060" s="147"/>
      <c r="AL1060" s="147"/>
      <c r="AM1060" s="147"/>
      <c r="AN1060" s="147"/>
      <c r="AO1060" s="147"/>
      <c r="AP1060" s="147"/>
      <c r="AQ1060" s="147"/>
      <c r="AR1060" s="147"/>
      <c r="AS1060" s="147"/>
      <c r="AT1060" s="147"/>
      <c r="AU1060" s="147"/>
      <c r="AV1060" s="147"/>
      <c r="AW1060" s="147"/>
    </row>
    <row r="1061">
      <c r="A1061" s="631"/>
      <c r="B1061" s="631"/>
      <c r="C1061" s="632"/>
      <c r="D1061" s="633"/>
      <c r="E1061" s="634"/>
      <c r="F1061" s="635"/>
      <c r="G1061" s="636"/>
      <c r="H1061" s="637"/>
      <c r="I1061" s="643"/>
      <c r="J1061" s="644"/>
      <c r="K1061" s="147"/>
      <c r="L1061" s="632"/>
      <c r="M1061" s="147"/>
      <c r="N1061" s="640"/>
      <c r="O1061" s="640"/>
      <c r="P1061" s="641"/>
      <c r="Q1061" s="642"/>
      <c r="R1061" s="147"/>
      <c r="S1061" s="147"/>
      <c r="T1061" s="147"/>
      <c r="U1061" s="147"/>
      <c r="V1061" s="147"/>
      <c r="W1061" s="147"/>
      <c r="X1061" s="147"/>
      <c r="Y1061" s="147"/>
      <c r="Z1061" s="147"/>
      <c r="AA1061" s="147"/>
      <c r="AB1061" s="147"/>
      <c r="AC1061" s="147"/>
      <c r="AD1061" s="147"/>
      <c r="AE1061" s="147"/>
      <c r="AF1061" s="147"/>
      <c r="AG1061" s="147"/>
      <c r="AH1061" s="147"/>
      <c r="AI1061" s="147"/>
      <c r="AJ1061" s="147"/>
      <c r="AK1061" s="147"/>
      <c r="AL1061" s="147"/>
      <c r="AM1061" s="147"/>
      <c r="AN1061" s="147"/>
      <c r="AO1061" s="147"/>
      <c r="AP1061" s="147"/>
      <c r="AQ1061" s="147"/>
      <c r="AR1061" s="147"/>
      <c r="AS1061" s="147"/>
      <c r="AT1061" s="147"/>
      <c r="AU1061" s="147"/>
      <c r="AV1061" s="147"/>
      <c r="AW1061" s="147"/>
    </row>
    <row r="1062">
      <c r="A1062" s="631"/>
      <c r="B1062" s="631"/>
      <c r="C1062" s="632"/>
      <c r="D1062" s="633"/>
      <c r="E1062" s="634"/>
      <c r="F1062" s="635"/>
      <c r="G1062" s="636"/>
      <c r="H1062" s="637"/>
      <c r="I1062" s="643"/>
      <c r="J1062" s="644"/>
      <c r="K1062" s="147"/>
      <c r="L1062" s="632"/>
      <c r="M1062" s="147"/>
      <c r="N1062" s="640"/>
      <c r="O1062" s="640"/>
      <c r="P1062" s="641"/>
      <c r="Q1062" s="642"/>
      <c r="R1062" s="147"/>
      <c r="S1062" s="147"/>
      <c r="T1062" s="147"/>
      <c r="U1062" s="147"/>
      <c r="V1062" s="147"/>
      <c r="W1062" s="147"/>
      <c r="X1062" s="147"/>
      <c r="Y1062" s="147"/>
      <c r="Z1062" s="147"/>
      <c r="AA1062" s="147"/>
      <c r="AB1062" s="147"/>
      <c r="AC1062" s="147"/>
      <c r="AD1062" s="147"/>
      <c r="AE1062" s="147"/>
      <c r="AF1062" s="147"/>
      <c r="AG1062" s="147"/>
      <c r="AH1062" s="147"/>
      <c r="AI1062" s="147"/>
      <c r="AJ1062" s="147"/>
      <c r="AK1062" s="147"/>
      <c r="AL1062" s="147"/>
      <c r="AM1062" s="147"/>
      <c r="AN1062" s="147"/>
      <c r="AO1062" s="147"/>
      <c r="AP1062" s="147"/>
      <c r="AQ1062" s="147"/>
      <c r="AR1062" s="147"/>
      <c r="AS1062" s="147"/>
      <c r="AT1062" s="147"/>
      <c r="AU1062" s="147"/>
      <c r="AV1062" s="147"/>
      <c r="AW1062" s="147"/>
    </row>
    <row r="1063">
      <c r="A1063" s="631"/>
      <c r="B1063" s="631"/>
      <c r="C1063" s="632"/>
      <c r="D1063" s="633"/>
      <c r="E1063" s="634"/>
      <c r="F1063" s="635"/>
      <c r="G1063" s="636"/>
      <c r="H1063" s="637"/>
      <c r="I1063" s="643"/>
      <c r="J1063" s="644"/>
      <c r="K1063" s="147"/>
      <c r="L1063" s="632"/>
      <c r="M1063" s="147"/>
      <c r="N1063" s="640"/>
      <c r="O1063" s="640"/>
      <c r="P1063" s="641"/>
      <c r="Q1063" s="642"/>
      <c r="R1063" s="147"/>
      <c r="S1063" s="147"/>
      <c r="T1063" s="147"/>
      <c r="U1063" s="147"/>
      <c r="V1063" s="147"/>
      <c r="W1063" s="147"/>
      <c r="X1063" s="147"/>
      <c r="Y1063" s="147"/>
      <c r="Z1063" s="147"/>
      <c r="AA1063" s="147"/>
      <c r="AB1063" s="147"/>
      <c r="AC1063" s="147"/>
      <c r="AD1063" s="147"/>
      <c r="AE1063" s="147"/>
      <c r="AF1063" s="147"/>
      <c r="AG1063" s="147"/>
      <c r="AH1063" s="147"/>
      <c r="AI1063" s="147"/>
      <c r="AJ1063" s="147"/>
      <c r="AK1063" s="147"/>
      <c r="AL1063" s="147"/>
      <c r="AM1063" s="147"/>
      <c r="AN1063" s="147"/>
      <c r="AO1063" s="147"/>
      <c r="AP1063" s="147"/>
      <c r="AQ1063" s="147"/>
      <c r="AR1063" s="147"/>
      <c r="AS1063" s="147"/>
      <c r="AT1063" s="147"/>
      <c r="AU1063" s="147"/>
      <c r="AV1063" s="147"/>
      <c r="AW1063" s="147"/>
    </row>
    <row r="1064">
      <c r="A1064" s="631"/>
      <c r="B1064" s="631"/>
      <c r="C1064" s="632"/>
      <c r="D1064" s="633"/>
      <c r="E1064" s="634"/>
      <c r="F1064" s="635"/>
      <c r="G1064" s="636"/>
      <c r="H1064" s="637"/>
      <c r="I1064" s="643"/>
      <c r="J1064" s="644"/>
      <c r="K1064" s="147"/>
      <c r="L1064" s="632"/>
      <c r="M1064" s="147"/>
      <c r="N1064" s="640"/>
      <c r="O1064" s="640"/>
      <c r="P1064" s="641"/>
      <c r="Q1064" s="642"/>
      <c r="R1064" s="147"/>
      <c r="S1064" s="147"/>
      <c r="T1064" s="147"/>
      <c r="U1064" s="147"/>
      <c r="V1064" s="147"/>
      <c r="W1064" s="147"/>
      <c r="X1064" s="147"/>
      <c r="Y1064" s="147"/>
      <c r="Z1064" s="147"/>
      <c r="AA1064" s="147"/>
      <c r="AB1064" s="147"/>
      <c r="AC1064" s="147"/>
      <c r="AD1064" s="147"/>
      <c r="AE1064" s="147"/>
      <c r="AF1064" s="147"/>
      <c r="AG1064" s="147"/>
      <c r="AH1064" s="147"/>
      <c r="AI1064" s="147"/>
      <c r="AJ1064" s="147"/>
      <c r="AK1064" s="147"/>
      <c r="AL1064" s="147"/>
      <c r="AM1064" s="147"/>
      <c r="AN1064" s="147"/>
      <c r="AO1064" s="147"/>
      <c r="AP1064" s="147"/>
      <c r="AQ1064" s="147"/>
      <c r="AR1064" s="147"/>
      <c r="AS1064" s="147"/>
      <c r="AT1064" s="147"/>
      <c r="AU1064" s="147"/>
      <c r="AV1064" s="147"/>
      <c r="AW1064" s="147"/>
    </row>
    <row r="1065">
      <c r="A1065" s="631"/>
      <c r="B1065" s="631"/>
      <c r="C1065" s="632"/>
      <c r="D1065" s="633"/>
      <c r="E1065" s="634"/>
      <c r="F1065" s="635"/>
      <c r="G1065" s="636"/>
      <c r="H1065" s="637"/>
      <c r="I1065" s="643"/>
      <c r="J1065" s="644"/>
      <c r="K1065" s="147"/>
      <c r="L1065" s="632"/>
      <c r="M1065" s="147"/>
      <c r="N1065" s="640"/>
      <c r="O1065" s="640"/>
      <c r="P1065" s="641"/>
      <c r="Q1065" s="642"/>
      <c r="R1065" s="147"/>
      <c r="S1065" s="147"/>
      <c r="T1065" s="147"/>
      <c r="U1065" s="147"/>
      <c r="V1065" s="147"/>
      <c r="W1065" s="147"/>
      <c r="X1065" s="147"/>
      <c r="Y1065" s="147"/>
      <c r="Z1065" s="147"/>
      <c r="AA1065" s="147"/>
      <c r="AB1065" s="147"/>
      <c r="AC1065" s="147"/>
      <c r="AD1065" s="147"/>
      <c r="AE1065" s="147"/>
      <c r="AF1065" s="147"/>
      <c r="AG1065" s="147"/>
      <c r="AH1065" s="147"/>
      <c r="AI1065" s="147"/>
      <c r="AJ1065" s="147"/>
      <c r="AK1065" s="147"/>
      <c r="AL1065" s="147"/>
      <c r="AM1065" s="147"/>
      <c r="AN1065" s="147"/>
      <c r="AO1065" s="147"/>
      <c r="AP1065" s="147"/>
      <c r="AQ1065" s="147"/>
      <c r="AR1065" s="147"/>
      <c r="AS1065" s="147"/>
      <c r="AT1065" s="147"/>
      <c r="AU1065" s="147"/>
      <c r="AV1065" s="147"/>
      <c r="AW1065" s="147"/>
    </row>
    <row r="1066">
      <c r="A1066" s="631"/>
      <c r="B1066" s="631"/>
      <c r="C1066" s="632"/>
      <c r="D1066" s="633"/>
      <c r="E1066" s="634"/>
      <c r="F1066" s="635"/>
      <c r="G1066" s="636"/>
      <c r="H1066" s="637"/>
      <c r="I1066" s="643"/>
      <c r="J1066" s="644"/>
      <c r="K1066" s="147"/>
      <c r="L1066" s="632"/>
      <c r="M1066" s="147"/>
      <c r="N1066" s="640"/>
      <c r="O1066" s="640"/>
      <c r="P1066" s="641"/>
      <c r="Q1066" s="642"/>
      <c r="R1066" s="147"/>
      <c r="S1066" s="147"/>
      <c r="T1066" s="147"/>
      <c r="U1066" s="147"/>
      <c r="V1066" s="147"/>
      <c r="W1066" s="147"/>
      <c r="X1066" s="147"/>
      <c r="Y1066" s="147"/>
      <c r="Z1066" s="147"/>
      <c r="AA1066" s="147"/>
      <c r="AB1066" s="147"/>
      <c r="AC1066" s="147"/>
      <c r="AD1066" s="147"/>
      <c r="AE1066" s="147"/>
      <c r="AF1066" s="147"/>
      <c r="AG1066" s="147"/>
      <c r="AH1066" s="147"/>
      <c r="AI1066" s="147"/>
      <c r="AJ1066" s="147"/>
      <c r="AK1066" s="147"/>
      <c r="AL1066" s="147"/>
      <c r="AM1066" s="147"/>
      <c r="AN1066" s="147"/>
      <c r="AO1066" s="147"/>
      <c r="AP1066" s="147"/>
      <c r="AQ1066" s="147"/>
      <c r="AR1066" s="147"/>
      <c r="AS1066" s="147"/>
      <c r="AT1066" s="147"/>
      <c r="AU1066" s="147"/>
      <c r="AV1066" s="147"/>
      <c r="AW1066" s="147"/>
    </row>
    <row r="1067">
      <c r="A1067" s="631"/>
      <c r="B1067" s="631"/>
      <c r="C1067" s="632"/>
      <c r="D1067" s="633"/>
      <c r="E1067" s="634"/>
      <c r="F1067" s="635"/>
      <c r="G1067" s="636"/>
      <c r="H1067" s="637"/>
      <c r="I1067" s="643"/>
      <c r="J1067" s="644"/>
      <c r="K1067" s="147"/>
      <c r="L1067" s="632"/>
      <c r="M1067" s="147"/>
      <c r="N1067" s="640"/>
      <c r="O1067" s="640"/>
      <c r="P1067" s="641"/>
      <c r="Q1067" s="642"/>
      <c r="R1067" s="147"/>
      <c r="S1067" s="147"/>
      <c r="T1067" s="147"/>
      <c r="U1067" s="147"/>
      <c r="V1067" s="147"/>
      <c r="W1067" s="147"/>
      <c r="X1067" s="147"/>
      <c r="Y1067" s="147"/>
      <c r="Z1067" s="147"/>
      <c r="AA1067" s="147"/>
      <c r="AB1067" s="147"/>
      <c r="AC1067" s="147"/>
      <c r="AD1067" s="147"/>
      <c r="AE1067" s="147"/>
      <c r="AF1067" s="147"/>
      <c r="AG1067" s="147"/>
      <c r="AH1067" s="147"/>
      <c r="AI1067" s="147"/>
      <c r="AJ1067" s="147"/>
      <c r="AK1067" s="147"/>
      <c r="AL1067" s="147"/>
      <c r="AM1067" s="147"/>
      <c r="AN1067" s="147"/>
      <c r="AO1067" s="147"/>
      <c r="AP1067" s="147"/>
      <c r="AQ1067" s="147"/>
      <c r="AR1067" s="147"/>
      <c r="AS1067" s="147"/>
      <c r="AT1067" s="147"/>
      <c r="AU1067" s="147"/>
      <c r="AV1067" s="147"/>
      <c r="AW1067" s="147"/>
    </row>
    <row r="1068">
      <c r="A1068" s="631"/>
      <c r="B1068" s="631"/>
      <c r="C1068" s="632"/>
      <c r="D1068" s="633"/>
      <c r="E1068" s="634"/>
      <c r="F1068" s="635"/>
      <c r="G1068" s="636"/>
      <c r="H1068" s="637"/>
      <c r="I1068" s="643"/>
      <c r="J1068" s="644"/>
      <c r="K1068" s="147"/>
      <c r="L1068" s="632"/>
      <c r="M1068" s="147"/>
      <c r="N1068" s="640"/>
      <c r="O1068" s="640"/>
      <c r="P1068" s="641"/>
      <c r="Q1068" s="642"/>
      <c r="R1068" s="147"/>
      <c r="S1068" s="147"/>
      <c r="T1068" s="147"/>
      <c r="U1068" s="147"/>
      <c r="V1068" s="147"/>
      <c r="W1068" s="147"/>
      <c r="X1068" s="147"/>
      <c r="Y1068" s="147"/>
      <c r="Z1068" s="147"/>
      <c r="AA1068" s="147"/>
      <c r="AB1068" s="147"/>
      <c r="AC1068" s="147"/>
      <c r="AD1068" s="147"/>
      <c r="AE1068" s="147"/>
      <c r="AF1068" s="147"/>
      <c r="AG1068" s="147"/>
      <c r="AH1068" s="147"/>
      <c r="AI1068" s="147"/>
      <c r="AJ1068" s="147"/>
      <c r="AK1068" s="147"/>
      <c r="AL1068" s="147"/>
      <c r="AM1068" s="147"/>
      <c r="AN1068" s="147"/>
      <c r="AO1068" s="147"/>
      <c r="AP1068" s="147"/>
      <c r="AQ1068" s="147"/>
      <c r="AR1068" s="147"/>
      <c r="AS1068" s="147"/>
      <c r="AT1068" s="147"/>
      <c r="AU1068" s="147"/>
      <c r="AV1068" s="147"/>
      <c r="AW1068" s="147"/>
    </row>
    <row r="1069">
      <c r="A1069" s="631"/>
      <c r="B1069" s="631"/>
      <c r="C1069" s="632"/>
      <c r="D1069" s="633"/>
      <c r="E1069" s="634"/>
      <c r="F1069" s="635"/>
      <c r="G1069" s="636"/>
      <c r="H1069" s="637"/>
      <c r="I1069" s="643"/>
      <c r="J1069" s="644"/>
      <c r="K1069" s="147"/>
      <c r="L1069" s="632"/>
      <c r="M1069" s="147"/>
      <c r="N1069" s="640"/>
      <c r="O1069" s="640"/>
      <c r="P1069" s="641"/>
      <c r="Q1069" s="642"/>
      <c r="R1069" s="147"/>
      <c r="S1069" s="147"/>
      <c r="T1069" s="147"/>
      <c r="U1069" s="147"/>
      <c r="V1069" s="147"/>
      <c r="W1069" s="147"/>
      <c r="X1069" s="147"/>
      <c r="Y1069" s="147"/>
      <c r="Z1069" s="147"/>
      <c r="AA1069" s="147"/>
      <c r="AB1069" s="147"/>
      <c r="AC1069" s="147"/>
      <c r="AD1069" s="147"/>
      <c r="AE1069" s="147"/>
      <c r="AF1069" s="147"/>
      <c r="AG1069" s="147"/>
      <c r="AH1069" s="147"/>
      <c r="AI1069" s="147"/>
      <c r="AJ1069" s="147"/>
      <c r="AK1069" s="147"/>
      <c r="AL1069" s="147"/>
      <c r="AM1069" s="147"/>
      <c r="AN1069" s="147"/>
      <c r="AO1069" s="147"/>
      <c r="AP1069" s="147"/>
      <c r="AQ1069" s="147"/>
      <c r="AR1069" s="147"/>
      <c r="AS1069" s="147"/>
      <c r="AT1069" s="147"/>
      <c r="AU1069" s="147"/>
      <c r="AV1069" s="147"/>
      <c r="AW1069" s="147"/>
    </row>
    <row r="1070">
      <c r="A1070" s="631"/>
      <c r="B1070" s="631"/>
      <c r="C1070" s="632"/>
      <c r="D1070" s="633"/>
      <c r="E1070" s="634"/>
      <c r="F1070" s="635"/>
      <c r="G1070" s="636"/>
      <c r="H1070" s="637"/>
      <c r="I1070" s="643"/>
      <c r="J1070" s="644"/>
      <c r="K1070" s="147"/>
      <c r="L1070" s="632"/>
      <c r="M1070" s="147"/>
      <c r="N1070" s="640"/>
      <c r="O1070" s="640"/>
      <c r="P1070" s="641"/>
      <c r="Q1070" s="642"/>
      <c r="R1070" s="147"/>
      <c r="S1070" s="147"/>
      <c r="T1070" s="147"/>
      <c r="U1070" s="147"/>
      <c r="V1070" s="147"/>
      <c r="W1070" s="147"/>
      <c r="X1070" s="147"/>
      <c r="Y1070" s="147"/>
      <c r="Z1070" s="147"/>
      <c r="AA1070" s="147"/>
      <c r="AB1070" s="147"/>
      <c r="AC1070" s="147"/>
      <c r="AD1070" s="147"/>
      <c r="AE1070" s="147"/>
      <c r="AF1070" s="147"/>
      <c r="AG1070" s="147"/>
      <c r="AH1070" s="147"/>
      <c r="AI1070" s="147"/>
      <c r="AJ1070" s="147"/>
      <c r="AK1070" s="147"/>
      <c r="AL1070" s="147"/>
      <c r="AM1070" s="147"/>
      <c r="AN1070" s="147"/>
      <c r="AO1070" s="147"/>
      <c r="AP1070" s="147"/>
      <c r="AQ1070" s="147"/>
      <c r="AR1070" s="147"/>
      <c r="AS1070" s="147"/>
      <c r="AT1070" s="147"/>
      <c r="AU1070" s="147"/>
      <c r="AV1070" s="147"/>
      <c r="AW1070" s="147"/>
    </row>
    <row r="1071">
      <c r="A1071" s="631"/>
      <c r="B1071" s="631"/>
      <c r="C1071" s="632"/>
      <c r="D1071" s="633"/>
      <c r="E1071" s="634"/>
      <c r="F1071" s="635"/>
      <c r="G1071" s="636"/>
      <c r="H1071" s="637"/>
      <c r="I1071" s="643"/>
      <c r="J1071" s="644"/>
      <c r="K1071" s="147"/>
      <c r="L1071" s="632"/>
      <c r="M1071" s="147"/>
      <c r="N1071" s="640"/>
      <c r="O1071" s="640"/>
      <c r="P1071" s="641"/>
      <c r="Q1071" s="642"/>
      <c r="R1071" s="147"/>
      <c r="S1071" s="147"/>
      <c r="T1071" s="147"/>
      <c r="U1071" s="147"/>
      <c r="V1071" s="147"/>
      <c r="W1071" s="147"/>
      <c r="X1071" s="147"/>
      <c r="Y1071" s="147"/>
      <c r="Z1071" s="147"/>
      <c r="AA1071" s="147"/>
      <c r="AB1071" s="147"/>
      <c r="AC1071" s="147"/>
      <c r="AD1071" s="147"/>
      <c r="AE1071" s="147"/>
      <c r="AF1071" s="147"/>
      <c r="AG1071" s="147"/>
      <c r="AH1071" s="147"/>
      <c r="AI1071" s="147"/>
      <c r="AJ1071" s="147"/>
      <c r="AK1071" s="147"/>
      <c r="AL1071" s="147"/>
      <c r="AM1071" s="147"/>
      <c r="AN1071" s="147"/>
      <c r="AO1071" s="147"/>
      <c r="AP1071" s="147"/>
      <c r="AQ1071" s="147"/>
      <c r="AR1071" s="147"/>
      <c r="AS1071" s="147"/>
      <c r="AT1071" s="147"/>
      <c r="AU1071" s="147"/>
      <c r="AV1071" s="147"/>
      <c r="AW1071" s="147"/>
    </row>
    <row r="1072">
      <c r="A1072" s="631"/>
      <c r="B1072" s="631"/>
      <c r="C1072" s="632"/>
      <c r="D1072" s="633"/>
      <c r="E1072" s="634"/>
      <c r="F1072" s="635"/>
      <c r="G1072" s="636"/>
      <c r="H1072" s="637"/>
      <c r="I1072" s="643"/>
      <c r="J1072" s="644"/>
      <c r="K1072" s="147"/>
      <c r="L1072" s="632"/>
      <c r="M1072" s="147"/>
      <c r="N1072" s="640"/>
      <c r="O1072" s="640"/>
      <c r="P1072" s="641"/>
      <c r="Q1072" s="642"/>
      <c r="R1072" s="147"/>
      <c r="S1072" s="147"/>
      <c r="T1072" s="147"/>
      <c r="U1072" s="147"/>
      <c r="V1072" s="147"/>
      <c r="W1072" s="147"/>
      <c r="X1072" s="147"/>
      <c r="Y1072" s="147"/>
      <c r="Z1072" s="147"/>
      <c r="AA1072" s="147"/>
      <c r="AB1072" s="147"/>
      <c r="AC1072" s="147"/>
      <c r="AD1072" s="147"/>
      <c r="AE1072" s="147"/>
      <c r="AF1072" s="147"/>
      <c r="AG1072" s="147"/>
      <c r="AH1072" s="147"/>
      <c r="AI1072" s="147"/>
      <c r="AJ1072" s="147"/>
      <c r="AK1072" s="147"/>
      <c r="AL1072" s="147"/>
      <c r="AM1072" s="147"/>
      <c r="AN1072" s="147"/>
      <c r="AO1072" s="147"/>
      <c r="AP1072" s="147"/>
      <c r="AQ1072" s="147"/>
      <c r="AR1072" s="147"/>
      <c r="AS1072" s="147"/>
      <c r="AT1072" s="147"/>
      <c r="AU1072" s="147"/>
      <c r="AV1072" s="147"/>
      <c r="AW1072" s="147"/>
    </row>
    <row r="1073">
      <c r="A1073" s="631"/>
      <c r="B1073" s="631"/>
      <c r="C1073" s="632"/>
      <c r="D1073" s="633"/>
      <c r="E1073" s="634"/>
      <c r="F1073" s="635"/>
      <c r="G1073" s="636"/>
      <c r="H1073" s="637"/>
      <c r="I1073" s="643"/>
      <c r="J1073" s="644"/>
      <c r="K1073" s="147"/>
      <c r="L1073" s="632"/>
      <c r="M1073" s="147"/>
      <c r="N1073" s="640"/>
      <c r="O1073" s="640"/>
      <c r="P1073" s="641"/>
      <c r="Q1073" s="642"/>
      <c r="R1073" s="147"/>
      <c r="S1073" s="147"/>
      <c r="T1073" s="147"/>
      <c r="U1073" s="147"/>
      <c r="V1073" s="147"/>
      <c r="W1073" s="147"/>
      <c r="X1073" s="147"/>
      <c r="Y1073" s="147"/>
      <c r="Z1073" s="147"/>
      <c r="AA1073" s="147"/>
      <c r="AB1073" s="147"/>
      <c r="AC1073" s="147"/>
      <c r="AD1073" s="147"/>
      <c r="AE1073" s="147"/>
      <c r="AF1073" s="147"/>
      <c r="AG1073" s="147"/>
      <c r="AH1073" s="147"/>
      <c r="AI1073" s="147"/>
      <c r="AJ1073" s="147"/>
      <c r="AK1073" s="147"/>
      <c r="AL1073" s="147"/>
      <c r="AM1073" s="147"/>
      <c r="AN1073" s="147"/>
      <c r="AO1073" s="147"/>
      <c r="AP1073" s="147"/>
      <c r="AQ1073" s="147"/>
      <c r="AR1073" s="147"/>
      <c r="AS1073" s="147"/>
      <c r="AT1073" s="147"/>
      <c r="AU1073" s="147"/>
      <c r="AV1073" s="147"/>
      <c r="AW1073" s="147"/>
    </row>
    <row r="1074">
      <c r="A1074" s="631"/>
      <c r="B1074" s="631"/>
      <c r="C1074" s="632"/>
      <c r="D1074" s="633"/>
      <c r="E1074" s="634"/>
      <c r="F1074" s="635"/>
      <c r="G1074" s="636"/>
      <c r="H1074" s="637"/>
      <c r="I1074" s="643"/>
      <c r="J1074" s="644"/>
      <c r="K1074" s="147"/>
      <c r="L1074" s="632"/>
      <c r="M1074" s="147"/>
      <c r="N1074" s="640"/>
      <c r="O1074" s="640"/>
      <c r="P1074" s="641"/>
      <c r="Q1074" s="642"/>
      <c r="R1074" s="147"/>
      <c r="S1074" s="147"/>
      <c r="T1074" s="147"/>
      <c r="U1074" s="147"/>
      <c r="V1074" s="147"/>
      <c r="W1074" s="147"/>
      <c r="X1074" s="147"/>
      <c r="Y1074" s="147"/>
      <c r="Z1074" s="147"/>
      <c r="AA1074" s="147"/>
      <c r="AB1074" s="147"/>
      <c r="AC1074" s="147"/>
      <c r="AD1074" s="147"/>
      <c r="AE1074" s="147"/>
      <c r="AF1074" s="147"/>
      <c r="AG1074" s="147"/>
      <c r="AH1074" s="147"/>
      <c r="AI1074" s="147"/>
      <c r="AJ1074" s="147"/>
      <c r="AK1074" s="147"/>
      <c r="AL1074" s="147"/>
      <c r="AM1074" s="147"/>
      <c r="AN1074" s="147"/>
      <c r="AO1074" s="147"/>
      <c r="AP1074" s="147"/>
      <c r="AQ1074" s="147"/>
      <c r="AR1074" s="147"/>
      <c r="AS1074" s="147"/>
      <c r="AT1074" s="147"/>
      <c r="AU1074" s="147"/>
      <c r="AV1074" s="147"/>
      <c r="AW1074" s="147"/>
    </row>
    <row r="1075">
      <c r="A1075" s="631"/>
      <c r="B1075" s="631"/>
      <c r="C1075" s="632"/>
      <c r="D1075" s="633"/>
      <c r="E1075" s="634"/>
      <c r="F1075" s="635"/>
      <c r="G1075" s="636"/>
      <c r="H1075" s="637"/>
      <c r="I1075" s="643"/>
      <c r="J1075" s="644"/>
      <c r="K1075" s="147"/>
      <c r="L1075" s="632"/>
      <c r="M1075" s="147"/>
      <c r="N1075" s="640"/>
      <c r="O1075" s="640"/>
      <c r="P1075" s="641"/>
      <c r="Q1075" s="642"/>
      <c r="R1075" s="147"/>
      <c r="S1075" s="147"/>
      <c r="T1075" s="147"/>
      <c r="U1075" s="147"/>
      <c r="V1075" s="147"/>
      <c r="W1075" s="147"/>
      <c r="X1075" s="147"/>
      <c r="Y1075" s="147"/>
      <c r="Z1075" s="147"/>
      <c r="AA1075" s="147"/>
      <c r="AB1075" s="147"/>
      <c r="AC1075" s="147"/>
      <c r="AD1075" s="147"/>
      <c r="AE1075" s="147"/>
      <c r="AF1075" s="147"/>
      <c r="AG1075" s="147"/>
      <c r="AH1075" s="147"/>
      <c r="AI1075" s="147"/>
      <c r="AJ1075" s="147"/>
      <c r="AK1075" s="147"/>
      <c r="AL1075" s="147"/>
      <c r="AM1075" s="147"/>
      <c r="AN1075" s="147"/>
      <c r="AO1075" s="147"/>
      <c r="AP1075" s="147"/>
      <c r="AQ1075" s="147"/>
      <c r="AR1075" s="147"/>
      <c r="AS1075" s="147"/>
      <c r="AT1075" s="147"/>
      <c r="AU1075" s="147"/>
      <c r="AV1075" s="147"/>
      <c r="AW1075" s="147"/>
    </row>
    <row r="1076">
      <c r="A1076" s="631"/>
      <c r="B1076" s="631"/>
      <c r="C1076" s="632"/>
      <c r="D1076" s="633"/>
      <c r="E1076" s="634"/>
      <c r="F1076" s="635"/>
      <c r="G1076" s="636"/>
      <c r="H1076" s="637"/>
      <c r="I1076" s="643"/>
      <c r="J1076" s="644"/>
      <c r="K1076" s="147"/>
      <c r="L1076" s="632"/>
      <c r="M1076" s="147"/>
      <c r="N1076" s="640"/>
      <c r="O1076" s="640"/>
      <c r="P1076" s="641"/>
      <c r="Q1076" s="642"/>
      <c r="R1076" s="147"/>
      <c r="S1076" s="147"/>
      <c r="T1076" s="147"/>
      <c r="U1076" s="147"/>
      <c r="V1076" s="147"/>
      <c r="W1076" s="147"/>
      <c r="X1076" s="147"/>
      <c r="Y1076" s="147"/>
      <c r="Z1076" s="147"/>
      <c r="AA1076" s="147"/>
      <c r="AB1076" s="147"/>
      <c r="AC1076" s="147"/>
      <c r="AD1076" s="147"/>
      <c r="AE1076" s="147"/>
      <c r="AF1076" s="147"/>
      <c r="AG1076" s="147"/>
      <c r="AH1076" s="147"/>
      <c r="AI1076" s="147"/>
      <c r="AJ1076" s="147"/>
      <c r="AK1076" s="147"/>
      <c r="AL1076" s="147"/>
      <c r="AM1076" s="147"/>
      <c r="AN1076" s="147"/>
      <c r="AO1076" s="147"/>
      <c r="AP1076" s="147"/>
      <c r="AQ1076" s="147"/>
      <c r="AR1076" s="147"/>
      <c r="AS1076" s="147"/>
      <c r="AT1076" s="147"/>
      <c r="AU1076" s="147"/>
      <c r="AV1076" s="147"/>
      <c r="AW1076" s="147"/>
    </row>
    <row r="1077">
      <c r="A1077" s="631"/>
      <c r="B1077" s="631"/>
      <c r="C1077" s="632"/>
      <c r="D1077" s="633"/>
      <c r="E1077" s="634"/>
      <c r="F1077" s="635"/>
      <c r="G1077" s="636"/>
      <c r="H1077" s="637"/>
      <c r="I1077" s="643"/>
      <c r="J1077" s="644"/>
      <c r="K1077" s="147"/>
      <c r="L1077" s="632"/>
      <c r="M1077" s="147"/>
      <c r="N1077" s="640"/>
      <c r="O1077" s="640"/>
      <c r="P1077" s="641"/>
      <c r="Q1077" s="642"/>
      <c r="R1077" s="147"/>
      <c r="S1077" s="147"/>
      <c r="T1077" s="147"/>
      <c r="U1077" s="147"/>
      <c r="V1077" s="147"/>
      <c r="W1077" s="147"/>
      <c r="X1077" s="147"/>
      <c r="Y1077" s="147"/>
      <c r="Z1077" s="147"/>
      <c r="AA1077" s="147"/>
      <c r="AB1077" s="147"/>
      <c r="AC1077" s="147"/>
      <c r="AD1077" s="147"/>
      <c r="AE1077" s="147"/>
      <c r="AF1077" s="147"/>
      <c r="AG1077" s="147"/>
      <c r="AH1077" s="147"/>
      <c r="AI1077" s="147"/>
      <c r="AJ1077" s="147"/>
      <c r="AK1077" s="147"/>
      <c r="AL1077" s="147"/>
      <c r="AM1077" s="147"/>
      <c r="AN1077" s="147"/>
      <c r="AO1077" s="147"/>
      <c r="AP1077" s="147"/>
      <c r="AQ1077" s="147"/>
      <c r="AR1077" s="147"/>
      <c r="AS1077" s="147"/>
      <c r="AT1077" s="147"/>
      <c r="AU1077" s="147"/>
      <c r="AV1077" s="147"/>
      <c r="AW1077" s="147"/>
    </row>
    <row r="1078">
      <c r="A1078" s="631"/>
      <c r="B1078" s="631"/>
      <c r="C1078" s="632"/>
      <c r="D1078" s="633"/>
      <c r="E1078" s="634"/>
      <c r="F1078" s="635"/>
      <c r="G1078" s="636"/>
      <c r="H1078" s="637"/>
      <c r="I1078" s="643"/>
      <c r="J1078" s="644"/>
      <c r="K1078" s="147"/>
      <c r="L1078" s="632"/>
      <c r="M1078" s="147"/>
      <c r="N1078" s="640"/>
      <c r="O1078" s="640"/>
      <c r="P1078" s="641"/>
      <c r="Q1078" s="642"/>
      <c r="R1078" s="147"/>
      <c r="S1078" s="147"/>
      <c r="T1078" s="147"/>
      <c r="U1078" s="147"/>
      <c r="V1078" s="147"/>
      <c r="W1078" s="147"/>
      <c r="X1078" s="147"/>
      <c r="Y1078" s="147"/>
      <c r="Z1078" s="147"/>
      <c r="AA1078" s="147"/>
      <c r="AB1078" s="147"/>
      <c r="AC1078" s="147"/>
      <c r="AD1078" s="147"/>
      <c r="AE1078" s="147"/>
      <c r="AF1078" s="147"/>
      <c r="AG1078" s="147"/>
      <c r="AH1078" s="147"/>
      <c r="AI1078" s="147"/>
      <c r="AJ1078" s="147"/>
      <c r="AK1078" s="147"/>
      <c r="AL1078" s="147"/>
      <c r="AM1078" s="147"/>
      <c r="AN1078" s="147"/>
      <c r="AO1078" s="147"/>
      <c r="AP1078" s="147"/>
      <c r="AQ1078" s="147"/>
      <c r="AR1078" s="147"/>
      <c r="AS1078" s="147"/>
      <c r="AT1078" s="147"/>
      <c r="AU1078" s="147"/>
      <c r="AV1078" s="147"/>
      <c r="AW1078" s="147"/>
    </row>
    <row r="1079">
      <c r="A1079" s="631"/>
      <c r="B1079" s="631"/>
      <c r="C1079" s="632"/>
      <c r="D1079" s="633"/>
      <c r="E1079" s="634"/>
      <c r="F1079" s="635"/>
      <c r="G1079" s="636"/>
      <c r="H1079" s="637"/>
      <c r="I1079" s="643"/>
      <c r="J1079" s="644"/>
      <c r="K1079" s="147"/>
      <c r="L1079" s="632"/>
      <c r="M1079" s="147"/>
      <c r="N1079" s="640"/>
      <c r="O1079" s="640"/>
      <c r="P1079" s="641"/>
      <c r="Q1079" s="642"/>
      <c r="R1079" s="147"/>
      <c r="S1079" s="147"/>
      <c r="T1079" s="147"/>
      <c r="U1079" s="147"/>
      <c r="V1079" s="147"/>
      <c r="W1079" s="147"/>
      <c r="X1079" s="147"/>
      <c r="Y1079" s="147"/>
      <c r="Z1079" s="147"/>
      <c r="AA1079" s="147"/>
      <c r="AB1079" s="147"/>
      <c r="AC1079" s="147"/>
      <c r="AD1079" s="147"/>
      <c r="AE1079" s="147"/>
      <c r="AF1079" s="147"/>
      <c r="AG1079" s="147"/>
      <c r="AH1079" s="147"/>
      <c r="AI1079" s="147"/>
      <c r="AJ1079" s="147"/>
      <c r="AK1079" s="147"/>
      <c r="AL1079" s="147"/>
      <c r="AM1079" s="147"/>
      <c r="AN1079" s="147"/>
      <c r="AO1079" s="147"/>
      <c r="AP1079" s="147"/>
      <c r="AQ1079" s="147"/>
      <c r="AR1079" s="147"/>
      <c r="AS1079" s="147"/>
      <c r="AT1079" s="147"/>
      <c r="AU1079" s="147"/>
      <c r="AV1079" s="147"/>
      <c r="AW1079" s="147"/>
    </row>
    <row r="1080">
      <c r="A1080" s="631"/>
      <c r="B1080" s="631"/>
      <c r="C1080" s="632"/>
      <c r="D1080" s="633"/>
      <c r="E1080" s="634"/>
      <c r="F1080" s="635"/>
      <c r="G1080" s="636"/>
      <c r="H1080" s="637"/>
      <c r="I1080" s="643"/>
      <c r="J1080" s="644"/>
      <c r="K1080" s="147"/>
      <c r="L1080" s="632"/>
      <c r="M1080" s="147"/>
      <c r="N1080" s="640"/>
      <c r="O1080" s="640"/>
      <c r="P1080" s="641"/>
      <c r="Q1080" s="642"/>
      <c r="R1080" s="147"/>
      <c r="S1080" s="147"/>
      <c r="T1080" s="147"/>
      <c r="U1080" s="147"/>
      <c r="V1080" s="147"/>
      <c r="W1080" s="147"/>
      <c r="X1080" s="147"/>
      <c r="Y1080" s="147"/>
      <c r="Z1080" s="147"/>
      <c r="AA1080" s="147"/>
      <c r="AB1080" s="147"/>
      <c r="AC1080" s="147"/>
      <c r="AD1080" s="147"/>
      <c r="AE1080" s="147"/>
      <c r="AF1080" s="147"/>
      <c r="AG1080" s="147"/>
      <c r="AH1080" s="147"/>
      <c r="AI1080" s="147"/>
      <c r="AJ1080" s="147"/>
      <c r="AK1080" s="147"/>
      <c r="AL1080" s="147"/>
      <c r="AM1080" s="147"/>
      <c r="AN1080" s="147"/>
      <c r="AO1080" s="147"/>
      <c r="AP1080" s="147"/>
      <c r="AQ1080" s="147"/>
      <c r="AR1080" s="147"/>
      <c r="AS1080" s="147"/>
      <c r="AT1080" s="147"/>
      <c r="AU1080" s="147"/>
      <c r="AV1080" s="147"/>
      <c r="AW1080" s="147"/>
    </row>
    <row r="1081">
      <c r="A1081" s="631"/>
      <c r="B1081" s="631"/>
      <c r="C1081" s="632"/>
      <c r="D1081" s="633"/>
      <c r="E1081" s="634"/>
      <c r="F1081" s="635"/>
      <c r="G1081" s="636"/>
      <c r="H1081" s="637"/>
      <c r="I1081" s="643"/>
      <c r="J1081" s="644"/>
      <c r="K1081" s="147"/>
      <c r="L1081" s="632"/>
      <c r="M1081" s="147"/>
      <c r="N1081" s="640"/>
      <c r="O1081" s="640"/>
      <c r="P1081" s="641"/>
      <c r="Q1081" s="642"/>
      <c r="R1081" s="147"/>
      <c r="S1081" s="147"/>
      <c r="T1081" s="147"/>
      <c r="U1081" s="147"/>
      <c r="V1081" s="147"/>
      <c r="W1081" s="147"/>
      <c r="X1081" s="147"/>
      <c r="Y1081" s="147"/>
      <c r="Z1081" s="147"/>
      <c r="AA1081" s="147"/>
      <c r="AB1081" s="147"/>
      <c r="AC1081" s="147"/>
      <c r="AD1081" s="147"/>
      <c r="AE1081" s="147"/>
      <c r="AF1081" s="147"/>
      <c r="AG1081" s="147"/>
      <c r="AH1081" s="147"/>
      <c r="AI1081" s="147"/>
      <c r="AJ1081" s="147"/>
      <c r="AK1081" s="147"/>
      <c r="AL1081" s="147"/>
      <c r="AM1081" s="147"/>
      <c r="AN1081" s="147"/>
      <c r="AO1081" s="147"/>
      <c r="AP1081" s="147"/>
      <c r="AQ1081" s="147"/>
      <c r="AR1081" s="147"/>
      <c r="AS1081" s="147"/>
      <c r="AT1081" s="147"/>
      <c r="AU1081" s="147"/>
      <c r="AV1081" s="147"/>
      <c r="AW1081" s="147"/>
    </row>
    <row r="1082">
      <c r="A1082" s="631"/>
      <c r="B1082" s="631"/>
      <c r="C1082" s="632"/>
      <c r="D1082" s="633"/>
      <c r="E1082" s="634"/>
      <c r="F1082" s="635"/>
      <c r="G1082" s="636"/>
      <c r="H1082" s="637"/>
      <c r="I1082" s="643"/>
      <c r="J1082" s="644"/>
      <c r="K1082" s="147"/>
      <c r="L1082" s="632"/>
      <c r="M1082" s="147"/>
      <c r="N1082" s="640"/>
      <c r="O1082" s="640"/>
      <c r="P1082" s="641"/>
      <c r="Q1082" s="642"/>
      <c r="R1082" s="147"/>
      <c r="S1082" s="147"/>
      <c r="T1082" s="147"/>
      <c r="U1082" s="147"/>
      <c r="V1082" s="147"/>
      <c r="W1082" s="147"/>
      <c r="X1082" s="147"/>
      <c r="Y1082" s="147"/>
      <c r="Z1082" s="147"/>
      <c r="AA1082" s="147"/>
      <c r="AB1082" s="147"/>
      <c r="AC1082" s="147"/>
      <c r="AD1082" s="147"/>
      <c r="AE1082" s="147"/>
      <c r="AF1082" s="147"/>
      <c r="AG1082" s="147"/>
      <c r="AH1082" s="147"/>
      <c r="AI1082" s="147"/>
      <c r="AJ1082" s="147"/>
      <c r="AK1082" s="147"/>
      <c r="AL1082" s="147"/>
      <c r="AM1082" s="147"/>
      <c r="AN1082" s="147"/>
      <c r="AO1082" s="147"/>
      <c r="AP1082" s="147"/>
      <c r="AQ1082" s="147"/>
      <c r="AR1082" s="147"/>
      <c r="AS1082" s="147"/>
      <c r="AT1082" s="147"/>
      <c r="AU1082" s="147"/>
      <c r="AV1082" s="147"/>
      <c r="AW1082" s="147"/>
    </row>
    <row r="1083">
      <c r="A1083" s="631"/>
      <c r="B1083" s="631"/>
      <c r="C1083" s="632"/>
      <c r="D1083" s="633"/>
      <c r="E1083" s="634"/>
      <c r="F1083" s="635"/>
      <c r="G1083" s="636"/>
      <c r="H1083" s="637"/>
      <c r="I1083" s="643"/>
      <c r="J1083" s="644"/>
      <c r="K1083" s="147"/>
      <c r="L1083" s="632"/>
      <c r="M1083" s="147"/>
      <c r="N1083" s="640"/>
      <c r="O1083" s="640"/>
      <c r="P1083" s="641"/>
      <c r="Q1083" s="642"/>
      <c r="R1083" s="147"/>
      <c r="S1083" s="147"/>
      <c r="T1083" s="147"/>
      <c r="U1083" s="147"/>
      <c r="V1083" s="147"/>
      <c r="W1083" s="147"/>
      <c r="X1083" s="147"/>
      <c r="Y1083" s="147"/>
      <c r="Z1083" s="147"/>
      <c r="AA1083" s="147"/>
      <c r="AB1083" s="147"/>
      <c r="AC1083" s="147"/>
      <c r="AD1083" s="147"/>
      <c r="AE1083" s="147"/>
      <c r="AF1083" s="147"/>
      <c r="AG1083" s="147"/>
      <c r="AH1083" s="147"/>
      <c r="AI1083" s="147"/>
      <c r="AJ1083" s="147"/>
      <c r="AK1083" s="147"/>
      <c r="AL1083" s="147"/>
      <c r="AM1083" s="147"/>
      <c r="AN1083" s="147"/>
      <c r="AO1083" s="147"/>
      <c r="AP1083" s="147"/>
      <c r="AQ1083" s="147"/>
      <c r="AR1083" s="147"/>
      <c r="AS1083" s="147"/>
      <c r="AT1083" s="147"/>
      <c r="AU1083" s="147"/>
      <c r="AV1083" s="147"/>
      <c r="AW1083" s="147"/>
    </row>
    <row r="1084">
      <c r="A1084" s="631"/>
      <c r="B1084" s="631"/>
      <c r="C1084" s="632"/>
      <c r="D1084" s="633"/>
      <c r="E1084" s="634"/>
      <c r="F1084" s="635"/>
      <c r="G1084" s="636"/>
      <c r="H1084" s="637"/>
      <c r="I1084" s="643"/>
      <c r="J1084" s="644"/>
      <c r="K1084" s="147"/>
      <c r="L1084" s="632"/>
      <c r="M1084" s="147"/>
      <c r="N1084" s="640"/>
      <c r="O1084" s="640"/>
      <c r="P1084" s="641"/>
      <c r="Q1084" s="642"/>
      <c r="R1084" s="147"/>
      <c r="S1084" s="147"/>
      <c r="T1084" s="147"/>
      <c r="U1084" s="147"/>
      <c r="V1084" s="147"/>
      <c r="W1084" s="147"/>
      <c r="X1084" s="147"/>
      <c r="Y1084" s="147"/>
      <c r="Z1084" s="147"/>
      <c r="AA1084" s="147"/>
      <c r="AB1084" s="147"/>
      <c r="AC1084" s="147"/>
      <c r="AD1084" s="147"/>
      <c r="AE1084" s="147"/>
      <c r="AF1084" s="147"/>
      <c r="AG1084" s="147"/>
      <c r="AH1084" s="147"/>
      <c r="AI1084" s="147"/>
      <c r="AJ1084" s="147"/>
      <c r="AK1084" s="147"/>
      <c r="AL1084" s="147"/>
      <c r="AM1084" s="147"/>
      <c r="AN1084" s="147"/>
      <c r="AO1084" s="147"/>
      <c r="AP1084" s="147"/>
      <c r="AQ1084" s="147"/>
      <c r="AR1084" s="147"/>
      <c r="AS1084" s="147"/>
      <c r="AT1084" s="147"/>
      <c r="AU1084" s="147"/>
      <c r="AV1084" s="147"/>
      <c r="AW1084" s="147"/>
    </row>
    <row r="1085">
      <c r="A1085" s="631"/>
      <c r="B1085" s="631"/>
      <c r="C1085" s="632"/>
      <c r="D1085" s="633"/>
      <c r="E1085" s="634"/>
      <c r="F1085" s="635"/>
      <c r="G1085" s="636"/>
      <c r="H1085" s="637"/>
      <c r="I1085" s="643"/>
      <c r="J1085" s="644"/>
      <c r="K1085" s="147"/>
      <c r="L1085" s="632"/>
      <c r="M1085" s="147"/>
      <c r="N1085" s="640"/>
      <c r="O1085" s="640"/>
      <c r="P1085" s="641"/>
      <c r="Q1085" s="642"/>
      <c r="R1085" s="147"/>
      <c r="S1085" s="147"/>
      <c r="T1085" s="147"/>
      <c r="U1085" s="147"/>
      <c r="V1085" s="147"/>
      <c r="W1085" s="147"/>
      <c r="X1085" s="147"/>
      <c r="Y1085" s="147"/>
      <c r="Z1085" s="147"/>
      <c r="AA1085" s="147"/>
      <c r="AB1085" s="147"/>
      <c r="AC1085" s="147"/>
      <c r="AD1085" s="147"/>
      <c r="AE1085" s="147"/>
      <c r="AF1085" s="147"/>
      <c r="AG1085" s="147"/>
      <c r="AH1085" s="147"/>
      <c r="AI1085" s="147"/>
      <c r="AJ1085" s="147"/>
      <c r="AK1085" s="147"/>
      <c r="AL1085" s="147"/>
      <c r="AM1085" s="147"/>
      <c r="AN1085" s="147"/>
      <c r="AO1085" s="147"/>
      <c r="AP1085" s="147"/>
      <c r="AQ1085" s="147"/>
      <c r="AR1085" s="147"/>
      <c r="AS1085" s="147"/>
      <c r="AT1085" s="147"/>
      <c r="AU1085" s="147"/>
      <c r="AV1085" s="147"/>
      <c r="AW1085" s="147"/>
    </row>
    <row r="1086">
      <c r="A1086" s="631"/>
      <c r="B1086" s="631"/>
      <c r="C1086" s="632"/>
      <c r="D1086" s="633"/>
      <c r="E1086" s="634"/>
      <c r="F1086" s="635"/>
      <c r="G1086" s="636"/>
      <c r="H1086" s="637"/>
      <c r="I1086" s="643"/>
      <c r="J1086" s="644"/>
      <c r="K1086" s="147"/>
      <c r="L1086" s="632"/>
      <c r="M1086" s="147"/>
      <c r="N1086" s="640"/>
      <c r="O1086" s="640"/>
      <c r="P1086" s="641"/>
      <c r="Q1086" s="642"/>
      <c r="R1086" s="147"/>
      <c r="S1086" s="147"/>
      <c r="T1086" s="147"/>
      <c r="U1086" s="147"/>
      <c r="V1086" s="147"/>
      <c r="W1086" s="147"/>
      <c r="X1086" s="147"/>
      <c r="Y1086" s="147"/>
      <c r="Z1086" s="147"/>
      <c r="AA1086" s="147"/>
      <c r="AB1086" s="147"/>
      <c r="AC1086" s="147"/>
      <c r="AD1086" s="147"/>
      <c r="AE1086" s="147"/>
      <c r="AF1086" s="147"/>
      <c r="AG1086" s="147"/>
      <c r="AH1086" s="147"/>
      <c r="AI1086" s="147"/>
      <c r="AJ1086" s="147"/>
      <c r="AK1086" s="147"/>
      <c r="AL1086" s="147"/>
      <c r="AM1086" s="147"/>
      <c r="AN1086" s="147"/>
      <c r="AO1086" s="147"/>
      <c r="AP1086" s="147"/>
      <c r="AQ1086" s="147"/>
      <c r="AR1086" s="147"/>
      <c r="AS1086" s="147"/>
      <c r="AT1086" s="147"/>
      <c r="AU1086" s="147"/>
      <c r="AV1086" s="147"/>
      <c r="AW1086" s="147"/>
    </row>
    <row r="1087">
      <c r="A1087" s="631"/>
      <c r="B1087" s="631"/>
      <c r="C1087" s="632"/>
      <c r="D1087" s="633"/>
      <c r="E1087" s="634"/>
      <c r="F1087" s="635"/>
      <c r="G1087" s="636"/>
      <c r="H1087" s="637"/>
      <c r="I1087" s="643"/>
      <c r="J1087" s="644"/>
      <c r="K1087" s="147"/>
      <c r="L1087" s="632"/>
      <c r="M1087" s="147"/>
      <c r="N1087" s="640"/>
      <c r="O1087" s="640"/>
      <c r="P1087" s="641"/>
      <c r="Q1087" s="642"/>
      <c r="R1087" s="147"/>
      <c r="S1087" s="147"/>
      <c r="T1087" s="147"/>
      <c r="U1087" s="147"/>
      <c r="V1087" s="147"/>
      <c r="W1087" s="147"/>
      <c r="X1087" s="147"/>
      <c r="Y1087" s="147"/>
      <c r="Z1087" s="147"/>
      <c r="AA1087" s="147"/>
      <c r="AB1087" s="147"/>
      <c r="AC1087" s="147"/>
      <c r="AD1087" s="147"/>
      <c r="AE1087" s="147"/>
      <c r="AF1087" s="147"/>
      <c r="AG1087" s="147"/>
      <c r="AH1087" s="147"/>
      <c r="AI1087" s="147"/>
      <c r="AJ1087" s="147"/>
      <c r="AK1087" s="147"/>
      <c r="AL1087" s="147"/>
      <c r="AM1087" s="147"/>
      <c r="AN1087" s="147"/>
      <c r="AO1087" s="147"/>
      <c r="AP1087" s="147"/>
      <c r="AQ1087" s="147"/>
      <c r="AR1087" s="147"/>
      <c r="AS1087" s="147"/>
      <c r="AT1087" s="147"/>
      <c r="AU1087" s="147"/>
      <c r="AV1087" s="147"/>
      <c r="AW1087" s="147"/>
    </row>
    <row r="1088">
      <c r="A1088" s="631"/>
      <c r="B1088" s="631"/>
      <c r="C1088" s="632"/>
      <c r="D1088" s="633"/>
      <c r="E1088" s="634"/>
      <c r="F1088" s="635"/>
      <c r="G1088" s="636"/>
      <c r="H1088" s="637"/>
      <c r="I1088" s="643"/>
      <c r="J1088" s="644"/>
      <c r="K1088" s="147"/>
      <c r="L1088" s="632"/>
      <c r="M1088" s="147"/>
      <c r="N1088" s="640"/>
      <c r="O1088" s="640"/>
      <c r="P1088" s="641"/>
      <c r="Q1088" s="642"/>
      <c r="R1088" s="147"/>
      <c r="S1088" s="147"/>
      <c r="T1088" s="147"/>
      <c r="U1088" s="147"/>
      <c r="V1088" s="147"/>
      <c r="W1088" s="147"/>
      <c r="X1088" s="147"/>
      <c r="Y1088" s="147"/>
      <c r="Z1088" s="147"/>
      <c r="AA1088" s="147"/>
      <c r="AB1088" s="147"/>
      <c r="AC1088" s="147"/>
      <c r="AD1088" s="147"/>
      <c r="AE1088" s="147"/>
      <c r="AF1088" s="147"/>
      <c r="AG1088" s="147"/>
      <c r="AH1088" s="147"/>
      <c r="AI1088" s="147"/>
      <c r="AJ1088" s="147"/>
      <c r="AK1088" s="147"/>
      <c r="AL1088" s="147"/>
      <c r="AM1088" s="147"/>
      <c r="AN1088" s="147"/>
      <c r="AO1088" s="147"/>
      <c r="AP1088" s="147"/>
      <c r="AQ1088" s="147"/>
      <c r="AR1088" s="147"/>
      <c r="AS1088" s="147"/>
      <c r="AT1088" s="147"/>
      <c r="AU1088" s="147"/>
      <c r="AV1088" s="147"/>
      <c r="AW1088" s="147"/>
    </row>
    <row r="1089">
      <c r="A1089" s="631"/>
      <c r="B1089" s="631"/>
      <c r="C1089" s="632"/>
      <c r="D1089" s="633"/>
      <c r="E1089" s="634"/>
      <c r="F1089" s="635"/>
      <c r="G1089" s="636"/>
      <c r="H1089" s="637"/>
      <c r="I1089" s="643"/>
      <c r="J1089" s="644"/>
      <c r="K1089" s="147"/>
      <c r="L1089" s="632"/>
      <c r="M1089" s="147"/>
      <c r="N1089" s="640"/>
      <c r="O1089" s="640"/>
      <c r="P1089" s="641"/>
      <c r="Q1089" s="642"/>
      <c r="R1089" s="147"/>
      <c r="S1089" s="147"/>
      <c r="T1089" s="147"/>
      <c r="U1089" s="147"/>
      <c r="V1089" s="147"/>
      <c r="W1089" s="147"/>
      <c r="X1089" s="147"/>
      <c r="Y1089" s="147"/>
      <c r="Z1089" s="147"/>
      <c r="AA1089" s="147"/>
      <c r="AB1089" s="147"/>
      <c r="AC1089" s="147"/>
      <c r="AD1089" s="147"/>
      <c r="AE1089" s="147"/>
      <c r="AF1089" s="147"/>
      <c r="AG1089" s="147"/>
      <c r="AH1089" s="147"/>
      <c r="AI1089" s="147"/>
      <c r="AJ1089" s="147"/>
      <c r="AK1089" s="147"/>
      <c r="AL1089" s="147"/>
      <c r="AM1089" s="147"/>
      <c r="AN1089" s="147"/>
      <c r="AO1089" s="147"/>
      <c r="AP1089" s="147"/>
      <c r="AQ1089" s="147"/>
      <c r="AR1089" s="147"/>
      <c r="AS1089" s="147"/>
      <c r="AT1089" s="147"/>
      <c r="AU1089" s="147"/>
      <c r="AV1089" s="147"/>
      <c r="AW1089" s="147"/>
    </row>
    <row r="1090">
      <c r="A1090" s="631"/>
      <c r="B1090" s="631"/>
      <c r="C1090" s="632"/>
      <c r="D1090" s="633"/>
      <c r="E1090" s="634"/>
      <c r="F1090" s="635"/>
      <c r="G1090" s="636"/>
      <c r="H1090" s="637"/>
      <c r="I1090" s="643"/>
      <c r="J1090" s="644"/>
      <c r="K1090" s="147"/>
      <c r="L1090" s="632"/>
      <c r="M1090" s="147"/>
      <c r="N1090" s="640"/>
      <c r="O1090" s="640"/>
      <c r="P1090" s="641"/>
      <c r="Q1090" s="642"/>
      <c r="R1090" s="147"/>
      <c r="S1090" s="147"/>
      <c r="T1090" s="147"/>
      <c r="U1090" s="147"/>
      <c r="V1090" s="147"/>
      <c r="W1090" s="147"/>
      <c r="X1090" s="147"/>
      <c r="Y1090" s="147"/>
      <c r="Z1090" s="147"/>
      <c r="AA1090" s="147"/>
      <c r="AB1090" s="147"/>
      <c r="AC1090" s="147"/>
      <c r="AD1090" s="147"/>
      <c r="AE1090" s="147"/>
      <c r="AF1090" s="147"/>
      <c r="AG1090" s="147"/>
      <c r="AH1090" s="147"/>
      <c r="AI1090" s="147"/>
      <c r="AJ1090" s="147"/>
      <c r="AK1090" s="147"/>
      <c r="AL1090" s="147"/>
      <c r="AM1090" s="147"/>
      <c r="AN1090" s="147"/>
      <c r="AO1090" s="147"/>
      <c r="AP1090" s="147"/>
      <c r="AQ1090" s="147"/>
      <c r="AR1090" s="147"/>
      <c r="AS1090" s="147"/>
      <c r="AT1090" s="147"/>
      <c r="AU1090" s="147"/>
      <c r="AV1090" s="147"/>
      <c r="AW1090" s="147"/>
    </row>
    <row r="1091">
      <c r="A1091" s="631"/>
      <c r="B1091" s="631"/>
      <c r="C1091" s="632"/>
      <c r="D1091" s="633"/>
      <c r="E1091" s="634"/>
      <c r="F1091" s="635"/>
      <c r="G1091" s="636"/>
      <c r="H1091" s="637"/>
      <c r="I1091" s="643"/>
      <c r="J1091" s="644"/>
      <c r="K1091" s="147"/>
      <c r="L1091" s="632"/>
      <c r="M1091" s="147"/>
      <c r="N1091" s="640"/>
      <c r="O1091" s="640"/>
      <c r="P1091" s="641"/>
      <c r="Q1091" s="642"/>
      <c r="R1091" s="147"/>
      <c r="S1091" s="147"/>
      <c r="T1091" s="147"/>
      <c r="U1091" s="147"/>
      <c r="V1091" s="147"/>
      <c r="W1091" s="147"/>
      <c r="X1091" s="147"/>
      <c r="Y1091" s="147"/>
      <c r="Z1091" s="147"/>
      <c r="AA1091" s="147"/>
      <c r="AB1091" s="147"/>
      <c r="AC1091" s="147"/>
      <c r="AD1091" s="147"/>
      <c r="AE1091" s="147"/>
      <c r="AF1091" s="147"/>
      <c r="AG1091" s="147"/>
      <c r="AH1091" s="147"/>
      <c r="AI1091" s="147"/>
      <c r="AJ1091" s="147"/>
      <c r="AK1091" s="147"/>
      <c r="AL1091" s="147"/>
      <c r="AM1091" s="147"/>
      <c r="AN1091" s="147"/>
      <c r="AO1091" s="147"/>
      <c r="AP1091" s="147"/>
      <c r="AQ1091" s="147"/>
      <c r="AR1091" s="147"/>
      <c r="AS1091" s="147"/>
      <c r="AT1091" s="147"/>
      <c r="AU1091" s="147"/>
      <c r="AV1091" s="147"/>
      <c r="AW1091" s="147"/>
    </row>
    <row r="1092">
      <c r="A1092" s="631"/>
      <c r="B1092" s="631"/>
      <c r="C1092" s="632"/>
      <c r="D1092" s="633"/>
      <c r="E1092" s="634"/>
      <c r="F1092" s="635"/>
      <c r="G1092" s="636"/>
      <c r="H1092" s="637"/>
      <c r="I1092" s="643"/>
      <c r="J1092" s="644"/>
      <c r="K1092" s="147"/>
      <c r="L1092" s="632"/>
      <c r="M1092" s="147"/>
      <c r="N1092" s="640"/>
      <c r="O1092" s="640"/>
      <c r="P1092" s="641"/>
      <c r="Q1092" s="642"/>
      <c r="R1092" s="147"/>
      <c r="S1092" s="147"/>
      <c r="T1092" s="147"/>
      <c r="U1092" s="147"/>
      <c r="V1092" s="147"/>
      <c r="W1092" s="147"/>
      <c r="X1092" s="147"/>
      <c r="Y1092" s="147"/>
      <c r="Z1092" s="147"/>
      <c r="AA1092" s="147"/>
      <c r="AB1092" s="147"/>
      <c r="AC1092" s="147"/>
      <c r="AD1092" s="147"/>
      <c r="AE1092" s="147"/>
      <c r="AF1092" s="147"/>
      <c r="AG1092" s="147"/>
      <c r="AH1092" s="147"/>
      <c r="AI1092" s="147"/>
      <c r="AJ1092" s="147"/>
      <c r="AK1092" s="147"/>
      <c r="AL1092" s="147"/>
      <c r="AM1092" s="147"/>
      <c r="AN1092" s="147"/>
      <c r="AO1092" s="147"/>
      <c r="AP1092" s="147"/>
      <c r="AQ1092" s="147"/>
      <c r="AR1092" s="147"/>
      <c r="AS1092" s="147"/>
      <c r="AT1092" s="147"/>
      <c r="AU1092" s="147"/>
      <c r="AV1092" s="147"/>
      <c r="AW1092" s="147"/>
    </row>
    <row r="1093">
      <c r="A1093" s="631"/>
      <c r="B1093" s="631"/>
      <c r="C1093" s="632"/>
      <c r="D1093" s="633"/>
      <c r="E1093" s="634"/>
      <c r="F1093" s="635"/>
      <c r="G1093" s="636"/>
      <c r="H1093" s="637"/>
      <c r="I1093" s="643"/>
      <c r="J1093" s="644"/>
      <c r="K1093" s="147"/>
      <c r="L1093" s="632"/>
      <c r="M1093" s="147"/>
      <c r="N1093" s="640"/>
      <c r="O1093" s="640"/>
      <c r="P1093" s="641"/>
      <c r="Q1093" s="642"/>
      <c r="R1093" s="147"/>
      <c r="S1093" s="147"/>
      <c r="T1093" s="147"/>
      <c r="U1093" s="147"/>
      <c r="V1093" s="147"/>
      <c r="W1093" s="147"/>
      <c r="X1093" s="147"/>
      <c r="Y1093" s="147"/>
      <c r="Z1093" s="147"/>
      <c r="AA1093" s="147"/>
      <c r="AB1093" s="147"/>
      <c r="AC1093" s="147"/>
      <c r="AD1093" s="147"/>
      <c r="AE1093" s="147"/>
      <c r="AF1093" s="147"/>
      <c r="AG1093" s="147"/>
      <c r="AH1093" s="147"/>
      <c r="AI1093" s="147"/>
      <c r="AJ1093" s="147"/>
      <c r="AK1093" s="147"/>
      <c r="AL1093" s="147"/>
      <c r="AM1093" s="147"/>
      <c r="AN1093" s="147"/>
      <c r="AO1093" s="147"/>
      <c r="AP1093" s="147"/>
      <c r="AQ1093" s="147"/>
      <c r="AR1093" s="147"/>
      <c r="AS1093" s="147"/>
      <c r="AT1093" s="147"/>
      <c r="AU1093" s="147"/>
      <c r="AV1093" s="147"/>
      <c r="AW1093" s="147"/>
    </row>
    <row r="1094">
      <c r="A1094" s="631"/>
      <c r="B1094" s="631"/>
      <c r="C1094" s="632"/>
      <c r="D1094" s="633"/>
      <c r="E1094" s="634"/>
      <c r="F1094" s="635"/>
      <c r="G1094" s="636"/>
      <c r="H1094" s="637"/>
      <c r="I1094" s="643"/>
      <c r="J1094" s="644"/>
      <c r="K1094" s="147"/>
      <c r="L1094" s="632"/>
      <c r="M1094" s="147"/>
      <c r="N1094" s="640"/>
      <c r="O1094" s="640"/>
      <c r="P1094" s="641"/>
      <c r="Q1094" s="642"/>
      <c r="R1094" s="147"/>
      <c r="S1094" s="147"/>
      <c r="T1094" s="147"/>
      <c r="U1094" s="147"/>
      <c r="V1094" s="147"/>
      <c r="W1094" s="147"/>
      <c r="X1094" s="147"/>
      <c r="Y1094" s="147"/>
      <c r="Z1094" s="147"/>
      <c r="AA1094" s="147"/>
      <c r="AB1094" s="147"/>
      <c r="AC1094" s="147"/>
      <c r="AD1094" s="147"/>
      <c r="AE1094" s="147"/>
      <c r="AF1094" s="147"/>
      <c r="AG1094" s="147"/>
      <c r="AH1094" s="147"/>
      <c r="AI1094" s="147"/>
      <c r="AJ1094" s="147"/>
      <c r="AK1094" s="147"/>
      <c r="AL1094" s="147"/>
      <c r="AM1094" s="147"/>
      <c r="AN1094" s="147"/>
      <c r="AO1094" s="147"/>
      <c r="AP1094" s="147"/>
      <c r="AQ1094" s="147"/>
      <c r="AR1094" s="147"/>
      <c r="AS1094" s="147"/>
      <c r="AT1094" s="147"/>
      <c r="AU1094" s="147"/>
      <c r="AV1094" s="147"/>
      <c r="AW1094" s="147"/>
    </row>
    <row r="1095">
      <c r="A1095" s="631"/>
      <c r="B1095" s="631"/>
      <c r="C1095" s="632"/>
      <c r="D1095" s="633"/>
      <c r="E1095" s="634"/>
      <c r="F1095" s="635"/>
      <c r="G1095" s="636"/>
      <c r="H1095" s="637"/>
      <c r="I1095" s="643"/>
      <c r="J1095" s="644"/>
      <c r="K1095" s="147"/>
      <c r="L1095" s="632"/>
      <c r="M1095" s="147"/>
      <c r="N1095" s="640"/>
      <c r="O1095" s="640"/>
      <c r="P1095" s="641"/>
      <c r="Q1095" s="642"/>
      <c r="R1095" s="147"/>
      <c r="S1095" s="147"/>
      <c r="T1095" s="147"/>
      <c r="U1095" s="147"/>
      <c r="V1095" s="147"/>
      <c r="W1095" s="147"/>
      <c r="X1095" s="147"/>
      <c r="Y1095" s="147"/>
      <c r="Z1095" s="147"/>
      <c r="AA1095" s="147"/>
      <c r="AB1095" s="147"/>
      <c r="AC1095" s="147"/>
      <c r="AD1095" s="147"/>
      <c r="AE1095" s="147"/>
      <c r="AF1095" s="147"/>
      <c r="AG1095" s="147"/>
      <c r="AH1095" s="147"/>
      <c r="AI1095" s="147"/>
      <c r="AJ1095" s="147"/>
      <c r="AK1095" s="147"/>
      <c r="AL1095" s="147"/>
      <c r="AM1095" s="147"/>
      <c r="AN1095" s="147"/>
      <c r="AO1095" s="147"/>
      <c r="AP1095" s="147"/>
      <c r="AQ1095" s="147"/>
      <c r="AR1095" s="147"/>
      <c r="AS1095" s="147"/>
      <c r="AT1095" s="147"/>
      <c r="AU1095" s="147"/>
      <c r="AV1095" s="147"/>
      <c r="AW1095" s="147"/>
    </row>
    <row r="1096">
      <c r="A1096" s="631"/>
      <c r="B1096" s="631"/>
      <c r="C1096" s="632"/>
      <c r="D1096" s="633"/>
      <c r="E1096" s="634"/>
      <c r="F1096" s="635"/>
      <c r="G1096" s="636"/>
      <c r="H1096" s="637"/>
      <c r="I1096" s="643"/>
      <c r="J1096" s="644"/>
      <c r="K1096" s="147"/>
      <c r="L1096" s="632"/>
      <c r="M1096" s="147"/>
      <c r="N1096" s="640"/>
      <c r="O1096" s="640"/>
      <c r="P1096" s="641"/>
      <c r="Q1096" s="642"/>
      <c r="R1096" s="147"/>
      <c r="S1096" s="147"/>
      <c r="T1096" s="147"/>
      <c r="U1096" s="147"/>
      <c r="V1096" s="147"/>
      <c r="W1096" s="147"/>
      <c r="X1096" s="147"/>
      <c r="Y1096" s="147"/>
      <c r="Z1096" s="147"/>
      <c r="AA1096" s="147"/>
      <c r="AB1096" s="147"/>
      <c r="AC1096" s="147"/>
      <c r="AD1096" s="147"/>
      <c r="AE1096" s="147"/>
      <c r="AF1096" s="147"/>
      <c r="AG1096" s="147"/>
      <c r="AH1096" s="147"/>
      <c r="AI1096" s="147"/>
      <c r="AJ1096" s="147"/>
      <c r="AK1096" s="147"/>
      <c r="AL1096" s="147"/>
      <c r="AM1096" s="147"/>
      <c r="AN1096" s="147"/>
      <c r="AO1096" s="147"/>
      <c r="AP1096" s="147"/>
      <c r="AQ1096" s="147"/>
      <c r="AR1096" s="147"/>
      <c r="AS1096" s="147"/>
      <c r="AT1096" s="147"/>
      <c r="AU1096" s="147"/>
      <c r="AV1096" s="147"/>
      <c r="AW1096" s="147"/>
    </row>
    <row r="1097">
      <c r="A1097" s="631"/>
      <c r="B1097" s="631"/>
      <c r="C1097" s="632"/>
      <c r="D1097" s="633"/>
      <c r="E1097" s="634"/>
      <c r="F1097" s="635"/>
      <c r="G1097" s="636"/>
      <c r="H1097" s="637"/>
      <c r="I1097" s="643"/>
      <c r="J1097" s="644"/>
      <c r="K1097" s="147"/>
      <c r="L1097" s="632"/>
      <c r="M1097" s="147"/>
      <c r="N1097" s="640"/>
      <c r="O1097" s="640"/>
      <c r="P1097" s="641"/>
      <c r="Q1097" s="642"/>
      <c r="R1097" s="147"/>
      <c r="S1097" s="147"/>
      <c r="T1097" s="147"/>
      <c r="U1097" s="147"/>
      <c r="V1097" s="147"/>
      <c r="W1097" s="147"/>
      <c r="X1097" s="147"/>
      <c r="Y1097" s="147"/>
      <c r="Z1097" s="147"/>
      <c r="AA1097" s="147"/>
      <c r="AB1097" s="147"/>
      <c r="AC1097" s="147"/>
      <c r="AD1097" s="147"/>
      <c r="AE1097" s="147"/>
      <c r="AF1097" s="147"/>
      <c r="AG1097" s="147"/>
      <c r="AH1097" s="147"/>
      <c r="AI1097" s="147"/>
      <c r="AJ1097" s="147"/>
      <c r="AK1097" s="147"/>
      <c r="AL1097" s="147"/>
      <c r="AM1097" s="147"/>
      <c r="AN1097" s="147"/>
      <c r="AO1097" s="147"/>
      <c r="AP1097" s="147"/>
      <c r="AQ1097" s="147"/>
      <c r="AR1097" s="147"/>
      <c r="AS1097" s="147"/>
      <c r="AT1097" s="147"/>
      <c r="AU1097" s="147"/>
      <c r="AV1097" s="147"/>
      <c r="AW1097" s="147"/>
    </row>
    <row r="1098">
      <c r="A1098" s="631"/>
      <c r="B1098" s="631"/>
      <c r="C1098" s="632"/>
      <c r="D1098" s="633"/>
      <c r="E1098" s="634"/>
      <c r="F1098" s="635"/>
      <c r="G1098" s="636"/>
      <c r="H1098" s="637"/>
      <c r="I1098" s="643"/>
      <c r="J1098" s="644"/>
      <c r="K1098" s="147"/>
      <c r="L1098" s="632"/>
      <c r="M1098" s="147"/>
      <c r="N1098" s="640"/>
      <c r="O1098" s="640"/>
      <c r="P1098" s="641"/>
      <c r="Q1098" s="642"/>
      <c r="R1098" s="147"/>
      <c r="S1098" s="147"/>
      <c r="T1098" s="147"/>
      <c r="U1098" s="147"/>
      <c r="V1098" s="147"/>
      <c r="W1098" s="147"/>
      <c r="X1098" s="147"/>
      <c r="Y1098" s="147"/>
      <c r="Z1098" s="147"/>
      <c r="AA1098" s="147"/>
      <c r="AB1098" s="147"/>
      <c r="AC1098" s="147"/>
      <c r="AD1098" s="147"/>
      <c r="AE1098" s="147"/>
      <c r="AF1098" s="147"/>
      <c r="AG1098" s="147"/>
      <c r="AH1098" s="147"/>
      <c r="AI1098" s="147"/>
      <c r="AJ1098" s="147"/>
      <c r="AK1098" s="147"/>
      <c r="AL1098" s="147"/>
      <c r="AM1098" s="147"/>
      <c r="AN1098" s="147"/>
      <c r="AO1098" s="147"/>
      <c r="AP1098" s="147"/>
      <c r="AQ1098" s="147"/>
      <c r="AR1098" s="147"/>
      <c r="AS1098" s="147"/>
      <c r="AT1098" s="147"/>
      <c r="AU1098" s="147"/>
      <c r="AV1098" s="147"/>
      <c r="AW1098" s="147"/>
    </row>
    <row r="1099">
      <c r="A1099" s="631"/>
      <c r="B1099" s="631"/>
      <c r="C1099" s="632"/>
      <c r="D1099" s="633"/>
      <c r="E1099" s="634"/>
      <c r="F1099" s="635"/>
      <c r="G1099" s="636"/>
      <c r="H1099" s="637"/>
      <c r="I1099" s="643"/>
      <c r="J1099" s="644"/>
      <c r="K1099" s="147"/>
      <c r="L1099" s="632"/>
      <c r="M1099" s="147"/>
      <c r="N1099" s="640"/>
      <c r="O1099" s="640"/>
      <c r="P1099" s="641"/>
      <c r="Q1099" s="642"/>
      <c r="R1099" s="147"/>
      <c r="S1099" s="147"/>
      <c r="T1099" s="147"/>
      <c r="U1099" s="147"/>
      <c r="V1099" s="147"/>
      <c r="W1099" s="147"/>
      <c r="X1099" s="147"/>
      <c r="Y1099" s="147"/>
      <c r="Z1099" s="147"/>
      <c r="AA1099" s="147"/>
      <c r="AB1099" s="147"/>
      <c r="AC1099" s="147"/>
      <c r="AD1099" s="147"/>
      <c r="AE1099" s="147"/>
      <c r="AF1099" s="147"/>
      <c r="AG1099" s="147"/>
      <c r="AH1099" s="147"/>
      <c r="AI1099" s="147"/>
      <c r="AJ1099" s="147"/>
      <c r="AK1099" s="147"/>
      <c r="AL1099" s="147"/>
      <c r="AM1099" s="147"/>
      <c r="AN1099" s="147"/>
      <c r="AO1099" s="147"/>
      <c r="AP1099" s="147"/>
      <c r="AQ1099" s="147"/>
      <c r="AR1099" s="147"/>
      <c r="AS1099" s="147"/>
      <c r="AT1099" s="147"/>
      <c r="AU1099" s="147"/>
      <c r="AV1099" s="147"/>
      <c r="AW1099" s="147"/>
    </row>
    <row r="1100">
      <c r="A1100" s="631"/>
      <c r="B1100" s="631"/>
      <c r="C1100" s="632"/>
      <c r="D1100" s="633"/>
      <c r="E1100" s="634"/>
      <c r="F1100" s="635"/>
      <c r="G1100" s="636"/>
      <c r="H1100" s="637"/>
      <c r="I1100" s="643"/>
      <c r="J1100" s="644"/>
      <c r="K1100" s="147"/>
      <c r="L1100" s="632"/>
      <c r="M1100" s="147"/>
      <c r="N1100" s="640"/>
      <c r="O1100" s="640"/>
      <c r="P1100" s="641"/>
      <c r="Q1100" s="642"/>
      <c r="R1100" s="147"/>
      <c r="S1100" s="147"/>
      <c r="T1100" s="147"/>
      <c r="U1100" s="147"/>
      <c r="V1100" s="147"/>
      <c r="W1100" s="147"/>
      <c r="X1100" s="147"/>
      <c r="Y1100" s="147"/>
      <c r="Z1100" s="147"/>
      <c r="AA1100" s="147"/>
      <c r="AB1100" s="147"/>
      <c r="AC1100" s="147"/>
      <c r="AD1100" s="147"/>
      <c r="AE1100" s="147"/>
      <c r="AF1100" s="147"/>
      <c r="AG1100" s="147"/>
      <c r="AH1100" s="147"/>
      <c r="AI1100" s="147"/>
      <c r="AJ1100" s="147"/>
      <c r="AK1100" s="147"/>
      <c r="AL1100" s="147"/>
      <c r="AM1100" s="147"/>
      <c r="AN1100" s="147"/>
      <c r="AO1100" s="147"/>
      <c r="AP1100" s="147"/>
      <c r="AQ1100" s="147"/>
      <c r="AR1100" s="147"/>
      <c r="AS1100" s="147"/>
      <c r="AT1100" s="147"/>
      <c r="AU1100" s="147"/>
      <c r="AV1100" s="147"/>
      <c r="AW1100" s="147"/>
    </row>
    <row r="1101">
      <c r="A1101" s="631"/>
      <c r="B1101" s="631"/>
      <c r="C1101" s="632"/>
      <c r="D1101" s="633"/>
      <c r="E1101" s="634"/>
      <c r="F1101" s="635"/>
      <c r="G1101" s="636"/>
      <c r="H1101" s="637"/>
      <c r="I1101" s="643"/>
      <c r="J1101" s="644"/>
      <c r="K1101" s="147"/>
      <c r="L1101" s="632"/>
      <c r="M1101" s="147"/>
      <c r="N1101" s="640"/>
      <c r="O1101" s="640"/>
      <c r="P1101" s="641"/>
      <c r="Q1101" s="642"/>
      <c r="R1101" s="147"/>
      <c r="S1101" s="147"/>
      <c r="T1101" s="147"/>
      <c r="U1101" s="147"/>
      <c r="V1101" s="147"/>
      <c r="W1101" s="147"/>
      <c r="X1101" s="147"/>
      <c r="Y1101" s="147"/>
      <c r="Z1101" s="147"/>
      <c r="AA1101" s="147"/>
      <c r="AB1101" s="147"/>
      <c r="AC1101" s="147"/>
      <c r="AD1101" s="147"/>
      <c r="AE1101" s="147"/>
      <c r="AF1101" s="147"/>
      <c r="AG1101" s="147"/>
      <c r="AH1101" s="147"/>
      <c r="AI1101" s="147"/>
      <c r="AJ1101" s="147"/>
      <c r="AK1101" s="147"/>
      <c r="AL1101" s="147"/>
      <c r="AM1101" s="147"/>
      <c r="AN1101" s="147"/>
      <c r="AO1101" s="147"/>
      <c r="AP1101" s="147"/>
      <c r="AQ1101" s="147"/>
      <c r="AR1101" s="147"/>
      <c r="AS1101" s="147"/>
      <c r="AT1101" s="147"/>
      <c r="AU1101" s="147"/>
      <c r="AV1101" s="147"/>
      <c r="AW1101" s="147"/>
    </row>
    <row r="1102">
      <c r="A1102" s="631"/>
      <c r="B1102" s="631"/>
      <c r="C1102" s="632"/>
      <c r="D1102" s="633"/>
      <c r="E1102" s="634"/>
      <c r="F1102" s="635"/>
      <c r="G1102" s="636"/>
      <c r="H1102" s="637"/>
      <c r="I1102" s="643"/>
      <c r="J1102" s="644"/>
      <c r="K1102" s="147"/>
      <c r="L1102" s="632"/>
      <c r="M1102" s="147"/>
      <c r="N1102" s="640"/>
      <c r="O1102" s="640"/>
      <c r="P1102" s="641"/>
      <c r="Q1102" s="642"/>
      <c r="R1102" s="147"/>
      <c r="S1102" s="147"/>
      <c r="T1102" s="147"/>
      <c r="U1102" s="147"/>
      <c r="V1102" s="147"/>
      <c r="W1102" s="147"/>
      <c r="X1102" s="147"/>
      <c r="Y1102" s="147"/>
      <c r="Z1102" s="147"/>
      <c r="AA1102" s="147"/>
      <c r="AB1102" s="147"/>
      <c r="AC1102" s="147"/>
      <c r="AD1102" s="147"/>
      <c r="AE1102" s="147"/>
      <c r="AF1102" s="147"/>
      <c r="AG1102" s="147"/>
      <c r="AH1102" s="147"/>
      <c r="AI1102" s="147"/>
      <c r="AJ1102" s="147"/>
      <c r="AK1102" s="147"/>
      <c r="AL1102" s="147"/>
      <c r="AM1102" s="147"/>
      <c r="AN1102" s="147"/>
      <c r="AO1102" s="147"/>
      <c r="AP1102" s="147"/>
      <c r="AQ1102" s="147"/>
      <c r="AR1102" s="147"/>
      <c r="AS1102" s="147"/>
      <c r="AT1102" s="147"/>
      <c r="AU1102" s="147"/>
      <c r="AV1102" s="147"/>
      <c r="AW1102" s="147"/>
    </row>
    <row r="1103">
      <c r="A1103" s="631"/>
      <c r="B1103" s="631"/>
      <c r="C1103" s="632"/>
      <c r="D1103" s="633"/>
      <c r="E1103" s="634"/>
      <c r="F1103" s="635"/>
      <c r="G1103" s="636"/>
      <c r="H1103" s="637"/>
      <c r="I1103" s="643"/>
      <c r="J1103" s="644"/>
      <c r="K1103" s="147"/>
      <c r="L1103" s="632"/>
      <c r="M1103" s="147"/>
      <c r="N1103" s="640"/>
      <c r="O1103" s="640"/>
      <c r="P1103" s="641"/>
      <c r="Q1103" s="642"/>
      <c r="R1103" s="147"/>
      <c r="S1103" s="147"/>
      <c r="T1103" s="147"/>
      <c r="U1103" s="147"/>
      <c r="V1103" s="147"/>
      <c r="W1103" s="147"/>
      <c r="X1103" s="147"/>
      <c r="Y1103" s="147"/>
      <c r="Z1103" s="147"/>
      <c r="AA1103" s="147"/>
      <c r="AB1103" s="147"/>
      <c r="AC1103" s="147"/>
      <c r="AD1103" s="147"/>
      <c r="AE1103" s="147"/>
      <c r="AF1103" s="147"/>
      <c r="AG1103" s="147"/>
      <c r="AH1103" s="147"/>
      <c r="AI1103" s="147"/>
      <c r="AJ1103" s="147"/>
      <c r="AK1103" s="147"/>
      <c r="AL1103" s="147"/>
      <c r="AM1103" s="147"/>
      <c r="AN1103" s="147"/>
      <c r="AO1103" s="147"/>
      <c r="AP1103" s="147"/>
      <c r="AQ1103" s="147"/>
      <c r="AR1103" s="147"/>
      <c r="AS1103" s="147"/>
      <c r="AT1103" s="147"/>
      <c r="AU1103" s="147"/>
      <c r="AV1103" s="147"/>
      <c r="AW1103" s="147"/>
    </row>
    <row r="1104">
      <c r="A1104" s="631"/>
      <c r="B1104" s="631"/>
      <c r="C1104" s="632"/>
      <c r="D1104" s="633"/>
      <c r="E1104" s="634"/>
      <c r="F1104" s="635"/>
      <c r="G1104" s="636"/>
      <c r="H1104" s="637"/>
      <c r="I1104" s="643"/>
      <c r="J1104" s="644"/>
      <c r="K1104" s="147"/>
      <c r="L1104" s="632"/>
      <c r="M1104" s="147"/>
      <c r="N1104" s="640"/>
      <c r="O1104" s="640"/>
      <c r="P1104" s="641"/>
      <c r="Q1104" s="642"/>
      <c r="R1104" s="147"/>
      <c r="S1104" s="147"/>
      <c r="T1104" s="147"/>
      <c r="U1104" s="147"/>
      <c r="V1104" s="147"/>
      <c r="W1104" s="147"/>
      <c r="X1104" s="147"/>
      <c r="Y1104" s="147"/>
      <c r="Z1104" s="147"/>
      <c r="AA1104" s="147"/>
      <c r="AB1104" s="147"/>
      <c r="AC1104" s="147"/>
      <c r="AD1104" s="147"/>
      <c r="AE1104" s="147"/>
      <c r="AF1104" s="147"/>
      <c r="AG1104" s="147"/>
      <c r="AH1104" s="147"/>
      <c r="AI1104" s="147"/>
      <c r="AJ1104" s="147"/>
      <c r="AK1104" s="147"/>
      <c r="AL1104" s="147"/>
      <c r="AM1104" s="147"/>
      <c r="AN1104" s="147"/>
      <c r="AO1104" s="147"/>
      <c r="AP1104" s="147"/>
      <c r="AQ1104" s="147"/>
      <c r="AR1104" s="147"/>
      <c r="AS1104" s="147"/>
      <c r="AT1104" s="147"/>
      <c r="AU1104" s="147"/>
      <c r="AV1104" s="147"/>
      <c r="AW1104" s="147"/>
    </row>
    <row r="1105">
      <c r="A1105" s="631"/>
      <c r="B1105" s="631"/>
      <c r="C1105" s="632"/>
      <c r="D1105" s="633"/>
      <c r="E1105" s="634"/>
      <c r="F1105" s="635"/>
      <c r="G1105" s="636"/>
      <c r="H1105" s="637"/>
      <c r="I1105" s="643"/>
      <c r="J1105" s="644"/>
      <c r="K1105" s="147"/>
      <c r="L1105" s="632"/>
      <c r="M1105" s="147"/>
      <c r="N1105" s="640"/>
      <c r="O1105" s="640"/>
      <c r="P1105" s="641"/>
      <c r="Q1105" s="642"/>
      <c r="R1105" s="147"/>
      <c r="S1105" s="147"/>
      <c r="T1105" s="147"/>
      <c r="U1105" s="147"/>
      <c r="V1105" s="147"/>
      <c r="W1105" s="147"/>
      <c r="X1105" s="147"/>
      <c r="Y1105" s="147"/>
      <c r="Z1105" s="147"/>
      <c r="AA1105" s="147"/>
      <c r="AB1105" s="147"/>
      <c r="AC1105" s="147"/>
      <c r="AD1105" s="147"/>
      <c r="AE1105" s="147"/>
      <c r="AF1105" s="147"/>
      <c r="AG1105" s="147"/>
      <c r="AH1105" s="147"/>
      <c r="AI1105" s="147"/>
      <c r="AJ1105" s="147"/>
      <c r="AK1105" s="147"/>
      <c r="AL1105" s="147"/>
      <c r="AM1105" s="147"/>
      <c r="AN1105" s="147"/>
      <c r="AO1105" s="147"/>
      <c r="AP1105" s="147"/>
      <c r="AQ1105" s="147"/>
      <c r="AR1105" s="147"/>
      <c r="AS1105" s="147"/>
      <c r="AT1105" s="147"/>
      <c r="AU1105" s="147"/>
      <c r="AV1105" s="147"/>
      <c r="AW1105" s="147"/>
    </row>
    <row r="1106">
      <c r="A1106" s="631"/>
      <c r="B1106" s="631"/>
      <c r="C1106" s="632"/>
      <c r="D1106" s="633"/>
      <c r="E1106" s="634"/>
      <c r="F1106" s="635"/>
      <c r="G1106" s="636"/>
      <c r="H1106" s="637"/>
      <c r="I1106" s="643"/>
      <c r="J1106" s="644"/>
      <c r="K1106" s="147"/>
      <c r="L1106" s="632"/>
      <c r="M1106" s="147"/>
      <c r="N1106" s="640"/>
      <c r="O1106" s="640"/>
      <c r="P1106" s="641"/>
      <c r="Q1106" s="642"/>
      <c r="R1106" s="147"/>
      <c r="S1106" s="147"/>
      <c r="T1106" s="147"/>
      <c r="U1106" s="147"/>
      <c r="V1106" s="147"/>
      <c r="W1106" s="147"/>
      <c r="X1106" s="147"/>
      <c r="Y1106" s="147"/>
      <c r="Z1106" s="147"/>
      <c r="AA1106" s="147"/>
      <c r="AB1106" s="147"/>
      <c r="AC1106" s="147"/>
      <c r="AD1106" s="147"/>
      <c r="AE1106" s="147"/>
      <c r="AF1106" s="147"/>
      <c r="AG1106" s="147"/>
      <c r="AH1106" s="147"/>
      <c r="AI1106" s="147"/>
      <c r="AJ1106" s="147"/>
      <c r="AK1106" s="147"/>
      <c r="AL1106" s="147"/>
      <c r="AM1106" s="147"/>
      <c r="AN1106" s="147"/>
      <c r="AO1106" s="147"/>
      <c r="AP1106" s="147"/>
      <c r="AQ1106" s="147"/>
      <c r="AR1106" s="147"/>
      <c r="AS1106" s="147"/>
      <c r="AT1106" s="147"/>
      <c r="AU1106" s="147"/>
      <c r="AV1106" s="147"/>
      <c r="AW1106" s="147"/>
    </row>
    <row r="1107">
      <c r="A1107" s="631"/>
      <c r="B1107" s="631"/>
      <c r="C1107" s="632"/>
      <c r="D1107" s="633"/>
      <c r="E1107" s="634"/>
      <c r="F1107" s="635"/>
      <c r="G1107" s="636"/>
      <c r="H1107" s="637"/>
      <c r="I1107" s="643"/>
      <c r="J1107" s="644"/>
      <c r="K1107" s="147"/>
      <c r="L1107" s="632"/>
      <c r="M1107" s="147"/>
      <c r="N1107" s="640"/>
      <c r="O1107" s="640"/>
      <c r="P1107" s="641"/>
      <c r="Q1107" s="642"/>
      <c r="R1107" s="147"/>
      <c r="S1107" s="147"/>
      <c r="T1107" s="147"/>
      <c r="U1107" s="147"/>
      <c r="V1107" s="147"/>
      <c r="W1107" s="147"/>
      <c r="X1107" s="147"/>
      <c r="Y1107" s="147"/>
      <c r="Z1107" s="147"/>
      <c r="AA1107" s="147"/>
      <c r="AB1107" s="147"/>
      <c r="AC1107" s="147"/>
      <c r="AD1107" s="147"/>
      <c r="AE1107" s="147"/>
      <c r="AF1107" s="147"/>
      <c r="AG1107" s="147"/>
      <c r="AH1107" s="147"/>
      <c r="AI1107" s="147"/>
      <c r="AJ1107" s="147"/>
      <c r="AK1107" s="147"/>
      <c r="AL1107" s="147"/>
      <c r="AM1107" s="147"/>
      <c r="AN1107" s="147"/>
      <c r="AO1107" s="147"/>
      <c r="AP1107" s="147"/>
      <c r="AQ1107" s="147"/>
      <c r="AR1107" s="147"/>
      <c r="AS1107" s="147"/>
      <c r="AT1107" s="147"/>
      <c r="AU1107" s="147"/>
      <c r="AV1107" s="147"/>
      <c r="AW1107" s="147"/>
    </row>
    <row r="1108">
      <c r="A1108" s="631"/>
      <c r="B1108" s="631"/>
      <c r="C1108" s="632"/>
      <c r="D1108" s="633"/>
      <c r="E1108" s="634"/>
      <c r="F1108" s="635"/>
      <c r="G1108" s="636"/>
      <c r="H1108" s="637"/>
      <c r="I1108" s="643"/>
      <c r="J1108" s="644"/>
      <c r="K1108" s="147"/>
      <c r="L1108" s="632"/>
      <c r="M1108" s="147"/>
      <c r="N1108" s="640"/>
      <c r="O1108" s="640"/>
      <c r="P1108" s="641"/>
      <c r="Q1108" s="642"/>
      <c r="R1108" s="147"/>
      <c r="S1108" s="147"/>
      <c r="T1108" s="147"/>
      <c r="U1108" s="147"/>
      <c r="V1108" s="147"/>
      <c r="W1108" s="147"/>
      <c r="X1108" s="147"/>
      <c r="Y1108" s="147"/>
      <c r="Z1108" s="147"/>
      <c r="AA1108" s="147"/>
      <c r="AB1108" s="147"/>
      <c r="AC1108" s="147"/>
      <c r="AD1108" s="147"/>
      <c r="AE1108" s="147"/>
      <c r="AF1108" s="147"/>
      <c r="AG1108" s="147"/>
      <c r="AH1108" s="147"/>
      <c r="AI1108" s="147"/>
      <c r="AJ1108" s="147"/>
      <c r="AK1108" s="147"/>
      <c r="AL1108" s="147"/>
      <c r="AM1108" s="147"/>
      <c r="AN1108" s="147"/>
      <c r="AO1108" s="147"/>
      <c r="AP1108" s="147"/>
      <c r="AQ1108" s="147"/>
      <c r="AR1108" s="147"/>
      <c r="AS1108" s="147"/>
      <c r="AT1108" s="147"/>
      <c r="AU1108" s="147"/>
      <c r="AV1108" s="147"/>
      <c r="AW1108" s="147"/>
    </row>
    <row r="1109">
      <c r="A1109" s="631"/>
      <c r="B1109" s="631"/>
      <c r="C1109" s="632"/>
      <c r="D1109" s="633"/>
      <c r="E1109" s="634"/>
      <c r="F1109" s="635"/>
      <c r="G1109" s="636"/>
      <c r="H1109" s="637"/>
      <c r="I1109" s="643"/>
      <c r="J1109" s="644"/>
      <c r="K1109" s="147"/>
      <c r="L1109" s="632"/>
      <c r="M1109" s="147"/>
      <c r="N1109" s="640"/>
      <c r="O1109" s="640"/>
      <c r="P1109" s="641"/>
      <c r="Q1109" s="642"/>
      <c r="R1109" s="147"/>
      <c r="S1109" s="147"/>
      <c r="T1109" s="147"/>
      <c r="U1109" s="147"/>
      <c r="V1109" s="147"/>
      <c r="W1109" s="147"/>
      <c r="X1109" s="147"/>
      <c r="Y1109" s="147"/>
      <c r="Z1109" s="147"/>
      <c r="AA1109" s="147"/>
      <c r="AB1109" s="147"/>
      <c r="AC1109" s="147"/>
      <c r="AD1109" s="147"/>
      <c r="AE1109" s="147"/>
      <c r="AF1109" s="147"/>
      <c r="AG1109" s="147"/>
      <c r="AH1109" s="147"/>
      <c r="AI1109" s="147"/>
      <c r="AJ1109" s="147"/>
      <c r="AK1109" s="147"/>
      <c r="AL1109" s="147"/>
      <c r="AM1109" s="147"/>
      <c r="AN1109" s="147"/>
      <c r="AO1109" s="147"/>
      <c r="AP1109" s="147"/>
      <c r="AQ1109" s="147"/>
      <c r="AR1109" s="147"/>
      <c r="AS1109" s="147"/>
      <c r="AT1109" s="147"/>
      <c r="AU1109" s="147"/>
      <c r="AV1109" s="147"/>
      <c r="AW1109" s="147"/>
    </row>
    <row r="1110">
      <c r="A1110" s="631"/>
      <c r="B1110" s="631"/>
      <c r="C1110" s="632"/>
      <c r="D1110" s="633"/>
      <c r="E1110" s="634"/>
      <c r="F1110" s="635"/>
      <c r="G1110" s="636"/>
      <c r="H1110" s="637"/>
      <c r="I1110" s="643"/>
      <c r="J1110" s="644"/>
      <c r="K1110" s="147"/>
      <c r="L1110" s="632"/>
      <c r="M1110" s="147"/>
      <c r="N1110" s="640"/>
      <c r="O1110" s="640"/>
      <c r="P1110" s="641"/>
      <c r="Q1110" s="642"/>
      <c r="R1110" s="147"/>
      <c r="S1110" s="147"/>
      <c r="T1110" s="147"/>
      <c r="U1110" s="147"/>
      <c r="V1110" s="147"/>
      <c r="W1110" s="147"/>
      <c r="X1110" s="147"/>
      <c r="Y1110" s="147"/>
      <c r="Z1110" s="147"/>
      <c r="AA1110" s="147"/>
      <c r="AB1110" s="147"/>
      <c r="AC1110" s="147"/>
      <c r="AD1110" s="147"/>
      <c r="AE1110" s="147"/>
      <c r="AF1110" s="147"/>
      <c r="AG1110" s="147"/>
      <c r="AH1110" s="147"/>
      <c r="AI1110" s="147"/>
      <c r="AJ1110" s="147"/>
      <c r="AK1110" s="147"/>
      <c r="AL1110" s="147"/>
      <c r="AM1110" s="147"/>
      <c r="AN1110" s="147"/>
      <c r="AO1110" s="147"/>
      <c r="AP1110" s="147"/>
      <c r="AQ1110" s="147"/>
      <c r="AR1110" s="147"/>
      <c r="AS1110" s="147"/>
      <c r="AT1110" s="147"/>
      <c r="AU1110" s="147"/>
      <c r="AV1110" s="147"/>
      <c r="AW1110" s="147"/>
    </row>
    <row r="1111">
      <c r="A1111" s="631"/>
      <c r="B1111" s="631"/>
      <c r="C1111" s="632"/>
      <c r="D1111" s="633"/>
      <c r="E1111" s="634"/>
      <c r="F1111" s="635"/>
      <c r="G1111" s="636"/>
      <c r="H1111" s="637"/>
      <c r="I1111" s="643"/>
      <c r="J1111" s="644"/>
      <c r="K1111" s="147"/>
      <c r="L1111" s="632"/>
      <c r="M1111" s="147"/>
      <c r="N1111" s="640"/>
      <c r="O1111" s="640"/>
      <c r="P1111" s="641"/>
      <c r="Q1111" s="642"/>
      <c r="R1111" s="147"/>
      <c r="S1111" s="147"/>
      <c r="T1111" s="147"/>
      <c r="U1111" s="147"/>
      <c r="V1111" s="147"/>
      <c r="W1111" s="147"/>
      <c r="X1111" s="147"/>
      <c r="Y1111" s="147"/>
      <c r="Z1111" s="147"/>
      <c r="AA1111" s="147"/>
      <c r="AB1111" s="147"/>
      <c r="AC1111" s="147"/>
      <c r="AD1111" s="147"/>
      <c r="AE1111" s="147"/>
      <c r="AF1111" s="147"/>
      <c r="AG1111" s="147"/>
      <c r="AH1111" s="147"/>
      <c r="AI1111" s="147"/>
      <c r="AJ1111" s="147"/>
      <c r="AK1111" s="147"/>
      <c r="AL1111" s="147"/>
      <c r="AM1111" s="147"/>
      <c r="AN1111" s="147"/>
      <c r="AO1111" s="147"/>
      <c r="AP1111" s="147"/>
      <c r="AQ1111" s="147"/>
      <c r="AR1111" s="147"/>
      <c r="AS1111" s="147"/>
      <c r="AT1111" s="147"/>
      <c r="AU1111" s="147"/>
      <c r="AV1111" s="147"/>
      <c r="AW1111" s="147"/>
    </row>
    <row r="1112">
      <c r="A1112" s="631"/>
      <c r="B1112" s="631"/>
      <c r="C1112" s="632"/>
      <c r="D1112" s="633"/>
      <c r="E1112" s="634"/>
      <c r="F1112" s="635"/>
      <c r="G1112" s="636"/>
      <c r="H1112" s="637"/>
      <c r="I1112" s="643"/>
      <c r="J1112" s="644"/>
      <c r="K1112" s="147"/>
      <c r="L1112" s="632"/>
      <c r="M1112" s="147"/>
      <c r="N1112" s="640"/>
      <c r="O1112" s="640"/>
      <c r="P1112" s="641"/>
      <c r="Q1112" s="642"/>
      <c r="R1112" s="147"/>
      <c r="S1112" s="147"/>
      <c r="T1112" s="147"/>
      <c r="U1112" s="147"/>
      <c r="V1112" s="147"/>
      <c r="W1112" s="147"/>
      <c r="X1112" s="147"/>
      <c r="Y1112" s="147"/>
      <c r="Z1112" s="147"/>
      <c r="AA1112" s="147"/>
      <c r="AB1112" s="147"/>
      <c r="AC1112" s="147"/>
      <c r="AD1112" s="147"/>
      <c r="AE1112" s="147"/>
      <c r="AF1112" s="147"/>
      <c r="AG1112" s="147"/>
      <c r="AH1112" s="147"/>
      <c r="AI1112" s="147"/>
      <c r="AJ1112" s="147"/>
      <c r="AK1112" s="147"/>
      <c r="AL1112" s="147"/>
      <c r="AM1112" s="147"/>
      <c r="AN1112" s="147"/>
      <c r="AO1112" s="147"/>
      <c r="AP1112" s="147"/>
      <c r="AQ1112" s="147"/>
      <c r="AR1112" s="147"/>
      <c r="AS1112" s="147"/>
      <c r="AT1112" s="147"/>
      <c r="AU1112" s="147"/>
      <c r="AV1112" s="147"/>
      <c r="AW1112" s="147"/>
    </row>
    <row r="1113">
      <c r="A1113" s="631"/>
      <c r="B1113" s="631"/>
      <c r="C1113" s="632"/>
      <c r="D1113" s="633"/>
      <c r="E1113" s="634"/>
      <c r="F1113" s="635"/>
      <c r="G1113" s="636"/>
      <c r="H1113" s="637"/>
      <c r="I1113" s="643"/>
      <c r="J1113" s="644"/>
      <c r="K1113" s="147"/>
      <c r="L1113" s="632"/>
      <c r="M1113" s="147"/>
      <c r="N1113" s="640"/>
      <c r="O1113" s="640"/>
      <c r="P1113" s="641"/>
      <c r="Q1113" s="642"/>
      <c r="R1113" s="147"/>
      <c r="S1113" s="147"/>
      <c r="T1113" s="147"/>
      <c r="U1113" s="147"/>
      <c r="V1113" s="147"/>
      <c r="W1113" s="147"/>
      <c r="X1113" s="147"/>
      <c r="Y1113" s="147"/>
      <c r="Z1113" s="147"/>
      <c r="AA1113" s="147"/>
      <c r="AB1113" s="147"/>
      <c r="AC1113" s="147"/>
      <c r="AD1113" s="147"/>
      <c r="AE1113" s="147"/>
      <c r="AF1113" s="147"/>
      <c r="AG1113" s="147"/>
      <c r="AH1113" s="147"/>
      <c r="AI1113" s="147"/>
      <c r="AJ1113" s="147"/>
      <c r="AK1113" s="147"/>
      <c r="AL1113" s="147"/>
      <c r="AM1113" s="147"/>
      <c r="AN1113" s="147"/>
      <c r="AO1113" s="147"/>
      <c r="AP1113" s="147"/>
      <c r="AQ1113" s="147"/>
      <c r="AR1113" s="147"/>
      <c r="AS1113" s="147"/>
      <c r="AT1113" s="147"/>
      <c r="AU1113" s="147"/>
      <c r="AV1113" s="147"/>
      <c r="AW1113" s="147"/>
    </row>
    <row r="1114">
      <c r="A1114" s="631"/>
      <c r="B1114" s="631"/>
      <c r="C1114" s="632"/>
      <c r="D1114" s="633"/>
      <c r="E1114" s="634"/>
      <c r="F1114" s="635"/>
      <c r="G1114" s="636"/>
      <c r="H1114" s="637"/>
      <c r="I1114" s="643"/>
      <c r="J1114" s="644"/>
      <c r="K1114" s="147"/>
      <c r="L1114" s="632"/>
      <c r="M1114" s="147"/>
      <c r="N1114" s="640"/>
      <c r="O1114" s="640"/>
      <c r="P1114" s="641"/>
      <c r="Q1114" s="642"/>
      <c r="R1114" s="147"/>
      <c r="S1114" s="147"/>
      <c r="T1114" s="147"/>
      <c r="U1114" s="147"/>
      <c r="V1114" s="147"/>
      <c r="W1114" s="147"/>
      <c r="X1114" s="147"/>
      <c r="Y1114" s="147"/>
      <c r="Z1114" s="147"/>
      <c r="AA1114" s="147"/>
      <c r="AB1114" s="147"/>
      <c r="AC1114" s="147"/>
      <c r="AD1114" s="147"/>
      <c r="AE1114" s="147"/>
      <c r="AF1114" s="147"/>
      <c r="AG1114" s="147"/>
      <c r="AH1114" s="147"/>
      <c r="AI1114" s="147"/>
      <c r="AJ1114" s="147"/>
      <c r="AK1114" s="147"/>
      <c r="AL1114" s="147"/>
      <c r="AM1114" s="147"/>
      <c r="AN1114" s="147"/>
      <c r="AO1114" s="147"/>
      <c r="AP1114" s="147"/>
      <c r="AQ1114" s="147"/>
      <c r="AR1114" s="147"/>
      <c r="AS1114" s="147"/>
      <c r="AT1114" s="147"/>
      <c r="AU1114" s="147"/>
      <c r="AV1114" s="147"/>
      <c r="AW1114" s="147"/>
    </row>
    <row r="1115">
      <c r="A1115" s="631"/>
      <c r="B1115" s="631"/>
      <c r="C1115" s="632"/>
      <c r="D1115" s="633"/>
      <c r="E1115" s="634"/>
      <c r="F1115" s="635"/>
      <c r="G1115" s="636"/>
      <c r="H1115" s="637"/>
      <c r="I1115" s="643"/>
      <c r="J1115" s="644"/>
      <c r="K1115" s="147"/>
      <c r="L1115" s="632"/>
      <c r="M1115" s="147"/>
      <c r="N1115" s="640"/>
      <c r="O1115" s="640"/>
      <c r="P1115" s="641"/>
      <c r="Q1115" s="642"/>
      <c r="R1115" s="147"/>
      <c r="S1115" s="147"/>
      <c r="T1115" s="147"/>
      <c r="U1115" s="147"/>
      <c r="V1115" s="147"/>
      <c r="W1115" s="147"/>
      <c r="X1115" s="147"/>
      <c r="Y1115" s="147"/>
      <c r="Z1115" s="147"/>
      <c r="AA1115" s="147"/>
      <c r="AB1115" s="147"/>
      <c r="AC1115" s="147"/>
      <c r="AD1115" s="147"/>
      <c r="AE1115" s="147"/>
      <c r="AF1115" s="147"/>
      <c r="AG1115" s="147"/>
      <c r="AH1115" s="147"/>
      <c r="AI1115" s="147"/>
      <c r="AJ1115" s="147"/>
      <c r="AK1115" s="147"/>
      <c r="AL1115" s="147"/>
      <c r="AM1115" s="147"/>
      <c r="AN1115" s="147"/>
      <c r="AO1115" s="147"/>
      <c r="AP1115" s="147"/>
      <c r="AQ1115" s="147"/>
      <c r="AR1115" s="147"/>
      <c r="AS1115" s="147"/>
      <c r="AT1115" s="147"/>
      <c r="AU1115" s="147"/>
      <c r="AV1115" s="147"/>
      <c r="AW1115" s="147"/>
    </row>
    <row r="1116">
      <c r="A1116" s="631"/>
      <c r="B1116" s="631"/>
      <c r="C1116" s="632"/>
      <c r="D1116" s="633"/>
      <c r="E1116" s="634"/>
      <c r="F1116" s="635"/>
      <c r="G1116" s="636"/>
      <c r="H1116" s="637"/>
      <c r="I1116" s="643"/>
      <c r="J1116" s="644"/>
      <c r="K1116" s="147"/>
      <c r="L1116" s="632"/>
      <c r="M1116" s="147"/>
      <c r="N1116" s="640"/>
      <c r="O1116" s="640"/>
      <c r="P1116" s="641"/>
      <c r="Q1116" s="642"/>
      <c r="R1116" s="147"/>
      <c r="S1116" s="147"/>
      <c r="T1116" s="147"/>
      <c r="U1116" s="147"/>
      <c r="V1116" s="147"/>
      <c r="W1116" s="147"/>
      <c r="X1116" s="147"/>
      <c r="Y1116" s="147"/>
      <c r="Z1116" s="147"/>
      <c r="AA1116" s="147"/>
      <c r="AB1116" s="147"/>
      <c r="AC1116" s="147"/>
      <c r="AD1116" s="147"/>
      <c r="AE1116" s="147"/>
      <c r="AF1116" s="147"/>
      <c r="AG1116" s="147"/>
      <c r="AH1116" s="147"/>
      <c r="AI1116" s="147"/>
      <c r="AJ1116" s="147"/>
      <c r="AK1116" s="147"/>
      <c r="AL1116" s="147"/>
      <c r="AM1116" s="147"/>
      <c r="AN1116" s="147"/>
      <c r="AO1116" s="147"/>
      <c r="AP1116" s="147"/>
      <c r="AQ1116" s="147"/>
      <c r="AR1116" s="147"/>
      <c r="AS1116" s="147"/>
      <c r="AT1116" s="147"/>
      <c r="AU1116" s="147"/>
      <c r="AV1116" s="147"/>
      <c r="AW1116" s="147"/>
    </row>
    <row r="1117">
      <c r="A1117" s="631"/>
      <c r="B1117" s="631"/>
      <c r="C1117" s="632"/>
      <c r="D1117" s="633"/>
      <c r="E1117" s="634"/>
      <c r="F1117" s="635"/>
      <c r="G1117" s="636"/>
      <c r="H1117" s="637"/>
      <c r="I1117" s="643"/>
      <c r="J1117" s="644"/>
      <c r="K1117" s="147"/>
      <c r="L1117" s="632"/>
      <c r="M1117" s="147"/>
      <c r="N1117" s="640"/>
      <c r="O1117" s="640"/>
      <c r="P1117" s="641"/>
      <c r="Q1117" s="642"/>
      <c r="R1117" s="147"/>
      <c r="S1117" s="147"/>
      <c r="T1117" s="147"/>
      <c r="U1117" s="147"/>
      <c r="V1117" s="147"/>
      <c r="W1117" s="147"/>
      <c r="X1117" s="147"/>
      <c r="Y1117" s="147"/>
      <c r="Z1117" s="147"/>
      <c r="AA1117" s="147"/>
      <c r="AB1117" s="147"/>
      <c r="AC1117" s="147"/>
      <c r="AD1117" s="147"/>
      <c r="AE1117" s="147"/>
      <c r="AF1117" s="147"/>
      <c r="AG1117" s="147"/>
      <c r="AH1117" s="147"/>
      <c r="AI1117" s="147"/>
      <c r="AJ1117" s="147"/>
      <c r="AK1117" s="147"/>
      <c r="AL1117" s="147"/>
      <c r="AM1117" s="147"/>
      <c r="AN1117" s="147"/>
      <c r="AO1117" s="147"/>
      <c r="AP1117" s="147"/>
      <c r="AQ1117" s="147"/>
      <c r="AR1117" s="147"/>
      <c r="AS1117" s="147"/>
      <c r="AT1117" s="147"/>
      <c r="AU1117" s="147"/>
      <c r="AV1117" s="147"/>
      <c r="AW1117" s="147"/>
    </row>
    <row r="1118">
      <c r="A1118" s="631"/>
      <c r="B1118" s="631"/>
      <c r="C1118" s="632"/>
      <c r="D1118" s="633"/>
      <c r="E1118" s="634"/>
      <c r="F1118" s="635"/>
      <c r="G1118" s="636"/>
      <c r="H1118" s="637"/>
      <c r="I1118" s="643"/>
      <c r="J1118" s="644"/>
      <c r="K1118" s="147"/>
      <c r="L1118" s="632"/>
      <c r="M1118" s="147"/>
      <c r="N1118" s="640"/>
      <c r="O1118" s="640"/>
      <c r="P1118" s="641"/>
      <c r="Q1118" s="642"/>
      <c r="R1118" s="147"/>
      <c r="S1118" s="147"/>
      <c r="T1118" s="147"/>
      <c r="U1118" s="147"/>
      <c r="V1118" s="147"/>
      <c r="W1118" s="147"/>
      <c r="X1118" s="147"/>
      <c r="Y1118" s="147"/>
      <c r="Z1118" s="147"/>
      <c r="AA1118" s="147"/>
      <c r="AB1118" s="147"/>
      <c r="AC1118" s="147"/>
      <c r="AD1118" s="147"/>
      <c r="AE1118" s="147"/>
      <c r="AF1118" s="147"/>
      <c r="AG1118" s="147"/>
      <c r="AH1118" s="147"/>
      <c r="AI1118" s="147"/>
      <c r="AJ1118" s="147"/>
      <c r="AK1118" s="147"/>
      <c r="AL1118" s="147"/>
      <c r="AM1118" s="147"/>
      <c r="AN1118" s="147"/>
      <c r="AO1118" s="147"/>
      <c r="AP1118" s="147"/>
      <c r="AQ1118" s="147"/>
      <c r="AR1118" s="147"/>
      <c r="AS1118" s="147"/>
      <c r="AT1118" s="147"/>
      <c r="AU1118" s="147"/>
      <c r="AV1118" s="147"/>
      <c r="AW1118" s="147"/>
    </row>
    <row r="1119">
      <c r="A1119" s="631"/>
      <c r="B1119" s="631"/>
      <c r="C1119" s="632"/>
      <c r="D1119" s="633"/>
      <c r="E1119" s="634"/>
      <c r="F1119" s="635"/>
      <c r="G1119" s="636"/>
      <c r="H1119" s="637"/>
      <c r="I1119" s="643"/>
      <c r="J1119" s="644"/>
      <c r="K1119" s="147"/>
      <c r="L1119" s="632"/>
      <c r="M1119" s="147"/>
      <c r="N1119" s="640"/>
      <c r="O1119" s="640"/>
      <c r="P1119" s="641"/>
      <c r="Q1119" s="642"/>
      <c r="R1119" s="147"/>
      <c r="S1119" s="147"/>
      <c r="T1119" s="147"/>
      <c r="U1119" s="147"/>
      <c r="V1119" s="147"/>
      <c r="W1119" s="147"/>
      <c r="X1119" s="147"/>
      <c r="Y1119" s="147"/>
      <c r="Z1119" s="147"/>
      <c r="AA1119" s="147"/>
      <c r="AB1119" s="147"/>
      <c r="AC1119" s="147"/>
      <c r="AD1119" s="147"/>
      <c r="AE1119" s="147"/>
      <c r="AF1119" s="147"/>
      <c r="AG1119" s="147"/>
      <c r="AH1119" s="147"/>
      <c r="AI1119" s="147"/>
      <c r="AJ1119" s="147"/>
      <c r="AK1119" s="147"/>
      <c r="AL1119" s="147"/>
      <c r="AM1119" s="147"/>
      <c r="AN1119" s="147"/>
      <c r="AO1119" s="147"/>
      <c r="AP1119" s="147"/>
      <c r="AQ1119" s="147"/>
      <c r="AR1119" s="147"/>
      <c r="AS1119" s="147"/>
      <c r="AT1119" s="147"/>
      <c r="AU1119" s="147"/>
      <c r="AV1119" s="147"/>
      <c r="AW1119" s="147"/>
    </row>
    <row r="1120">
      <c r="A1120" s="631"/>
      <c r="B1120" s="631"/>
      <c r="C1120" s="632"/>
      <c r="D1120" s="633"/>
      <c r="E1120" s="634"/>
      <c r="F1120" s="635"/>
      <c r="G1120" s="636"/>
      <c r="H1120" s="637"/>
      <c r="I1120" s="643"/>
      <c r="J1120" s="644"/>
      <c r="K1120" s="147"/>
      <c r="L1120" s="632"/>
      <c r="M1120" s="147"/>
      <c r="N1120" s="640"/>
      <c r="O1120" s="640"/>
      <c r="P1120" s="641"/>
      <c r="Q1120" s="642"/>
      <c r="R1120" s="147"/>
      <c r="S1120" s="147"/>
      <c r="T1120" s="147"/>
      <c r="U1120" s="147"/>
      <c r="V1120" s="147"/>
      <c r="W1120" s="147"/>
      <c r="X1120" s="147"/>
      <c r="Y1120" s="147"/>
      <c r="Z1120" s="147"/>
      <c r="AA1120" s="147"/>
      <c r="AB1120" s="147"/>
      <c r="AC1120" s="147"/>
      <c r="AD1120" s="147"/>
      <c r="AE1120" s="147"/>
      <c r="AF1120" s="147"/>
      <c r="AG1120" s="147"/>
      <c r="AH1120" s="147"/>
      <c r="AI1120" s="147"/>
      <c r="AJ1120" s="147"/>
      <c r="AK1120" s="147"/>
      <c r="AL1120" s="147"/>
      <c r="AM1120" s="147"/>
      <c r="AN1120" s="147"/>
      <c r="AO1120" s="147"/>
      <c r="AP1120" s="147"/>
      <c r="AQ1120" s="147"/>
      <c r="AR1120" s="147"/>
      <c r="AS1120" s="147"/>
      <c r="AT1120" s="147"/>
      <c r="AU1120" s="147"/>
      <c r="AV1120" s="147"/>
      <c r="AW1120" s="147"/>
    </row>
    <row r="1121">
      <c r="A1121" s="631"/>
      <c r="B1121" s="631"/>
      <c r="C1121" s="632"/>
      <c r="D1121" s="633"/>
      <c r="E1121" s="634"/>
      <c r="F1121" s="635"/>
      <c r="G1121" s="636"/>
      <c r="H1121" s="637"/>
      <c r="I1121" s="643"/>
      <c r="J1121" s="644"/>
      <c r="K1121" s="147"/>
      <c r="L1121" s="632"/>
      <c r="M1121" s="147"/>
      <c r="N1121" s="640"/>
      <c r="O1121" s="640"/>
      <c r="P1121" s="641"/>
      <c r="Q1121" s="642"/>
      <c r="R1121" s="147"/>
      <c r="S1121" s="147"/>
      <c r="T1121" s="147"/>
      <c r="U1121" s="147"/>
      <c r="V1121" s="147"/>
      <c r="W1121" s="147"/>
      <c r="X1121" s="147"/>
      <c r="Y1121" s="147"/>
      <c r="Z1121" s="147"/>
      <c r="AA1121" s="147"/>
      <c r="AB1121" s="147"/>
      <c r="AC1121" s="147"/>
      <c r="AD1121" s="147"/>
      <c r="AE1121" s="147"/>
      <c r="AF1121" s="147"/>
      <c r="AG1121" s="147"/>
      <c r="AH1121" s="147"/>
      <c r="AI1121" s="147"/>
      <c r="AJ1121" s="147"/>
      <c r="AK1121" s="147"/>
      <c r="AL1121" s="147"/>
      <c r="AM1121" s="147"/>
      <c r="AN1121" s="147"/>
      <c r="AO1121" s="147"/>
      <c r="AP1121" s="147"/>
      <c r="AQ1121" s="147"/>
      <c r="AR1121" s="147"/>
      <c r="AS1121" s="147"/>
      <c r="AT1121" s="147"/>
      <c r="AU1121" s="147"/>
      <c r="AV1121" s="147"/>
      <c r="AW1121" s="147"/>
    </row>
    <row r="1122">
      <c r="A1122" s="631"/>
      <c r="B1122" s="631"/>
      <c r="C1122" s="632"/>
      <c r="D1122" s="633"/>
      <c r="E1122" s="634"/>
      <c r="F1122" s="635"/>
      <c r="G1122" s="636"/>
      <c r="H1122" s="637"/>
      <c r="I1122" s="643"/>
      <c r="J1122" s="644"/>
      <c r="K1122" s="147"/>
      <c r="L1122" s="632"/>
      <c r="M1122" s="147"/>
      <c r="N1122" s="640"/>
      <c r="O1122" s="640"/>
      <c r="P1122" s="641"/>
      <c r="Q1122" s="642"/>
      <c r="R1122" s="147"/>
      <c r="S1122" s="147"/>
      <c r="T1122" s="147"/>
      <c r="U1122" s="147"/>
      <c r="V1122" s="147"/>
      <c r="W1122" s="147"/>
      <c r="X1122" s="147"/>
      <c r="Y1122" s="147"/>
      <c r="Z1122" s="147"/>
      <c r="AA1122" s="147"/>
      <c r="AB1122" s="147"/>
      <c r="AC1122" s="147"/>
      <c r="AD1122" s="147"/>
      <c r="AE1122" s="147"/>
      <c r="AF1122" s="147"/>
      <c r="AG1122" s="147"/>
      <c r="AH1122" s="147"/>
      <c r="AI1122" s="147"/>
      <c r="AJ1122" s="147"/>
      <c r="AK1122" s="147"/>
      <c r="AL1122" s="147"/>
      <c r="AM1122" s="147"/>
      <c r="AN1122" s="147"/>
      <c r="AO1122" s="147"/>
      <c r="AP1122" s="147"/>
      <c r="AQ1122" s="147"/>
      <c r="AR1122" s="147"/>
      <c r="AS1122" s="147"/>
      <c r="AT1122" s="147"/>
      <c r="AU1122" s="147"/>
      <c r="AV1122" s="147"/>
      <c r="AW1122" s="147"/>
    </row>
    <row r="1123">
      <c r="A1123" s="631"/>
      <c r="B1123" s="631"/>
      <c r="C1123" s="632"/>
      <c r="D1123" s="633"/>
      <c r="E1123" s="634"/>
      <c r="F1123" s="635"/>
      <c r="G1123" s="636"/>
      <c r="H1123" s="637"/>
      <c r="I1123" s="643"/>
      <c r="J1123" s="644"/>
      <c r="K1123" s="147"/>
      <c r="L1123" s="632"/>
      <c r="M1123" s="147"/>
      <c r="N1123" s="640"/>
      <c r="O1123" s="640"/>
      <c r="P1123" s="641"/>
      <c r="Q1123" s="642"/>
      <c r="R1123" s="147"/>
      <c r="S1123" s="147"/>
      <c r="T1123" s="147"/>
      <c r="U1123" s="147"/>
      <c r="V1123" s="147"/>
      <c r="W1123" s="147"/>
      <c r="X1123" s="147"/>
      <c r="Y1123" s="147"/>
      <c r="Z1123" s="147"/>
      <c r="AA1123" s="147"/>
      <c r="AB1123" s="147"/>
      <c r="AC1123" s="147"/>
      <c r="AD1123" s="147"/>
      <c r="AE1123" s="147"/>
      <c r="AF1123" s="147"/>
      <c r="AG1123" s="147"/>
      <c r="AH1123" s="147"/>
      <c r="AI1123" s="147"/>
      <c r="AJ1123" s="147"/>
      <c r="AK1123" s="147"/>
      <c r="AL1123" s="147"/>
      <c r="AM1123" s="147"/>
      <c r="AN1123" s="147"/>
      <c r="AO1123" s="147"/>
      <c r="AP1123" s="147"/>
      <c r="AQ1123" s="147"/>
      <c r="AR1123" s="147"/>
      <c r="AS1123" s="147"/>
      <c r="AT1123" s="147"/>
      <c r="AU1123" s="147"/>
      <c r="AV1123" s="147"/>
      <c r="AW1123" s="147"/>
    </row>
    <row r="1124">
      <c r="A1124" s="631"/>
      <c r="B1124" s="631"/>
      <c r="C1124" s="632"/>
      <c r="D1124" s="633"/>
      <c r="E1124" s="634"/>
      <c r="F1124" s="635"/>
      <c r="G1124" s="636"/>
      <c r="H1124" s="637"/>
      <c r="I1124" s="645"/>
      <c r="J1124" s="147"/>
      <c r="K1124" s="147"/>
      <c r="L1124" s="632"/>
      <c r="M1124" s="147"/>
      <c r="N1124" s="640"/>
      <c r="O1124" s="640"/>
      <c r="P1124" s="641"/>
      <c r="Q1124" s="642"/>
      <c r="R1124" s="147"/>
      <c r="S1124" s="147"/>
      <c r="T1124" s="147"/>
      <c r="U1124" s="147"/>
      <c r="V1124" s="147"/>
      <c r="W1124" s="147"/>
      <c r="X1124" s="147"/>
      <c r="Y1124" s="147"/>
      <c r="Z1124" s="147"/>
      <c r="AA1124" s="147"/>
      <c r="AB1124" s="147"/>
      <c r="AC1124" s="147"/>
      <c r="AD1124" s="147"/>
      <c r="AE1124" s="147"/>
      <c r="AF1124" s="147"/>
      <c r="AG1124" s="147"/>
      <c r="AH1124" s="147"/>
      <c r="AI1124" s="147"/>
      <c r="AJ1124" s="147"/>
      <c r="AK1124" s="147"/>
      <c r="AL1124" s="147"/>
      <c r="AM1124" s="147"/>
      <c r="AN1124" s="147"/>
      <c r="AO1124" s="147"/>
      <c r="AP1124" s="147"/>
      <c r="AQ1124" s="147"/>
      <c r="AR1124" s="147"/>
      <c r="AS1124" s="147"/>
      <c r="AT1124" s="147"/>
      <c r="AU1124" s="147"/>
      <c r="AV1124" s="147"/>
      <c r="AW1124" s="147"/>
    </row>
    <row r="1125">
      <c r="A1125" s="631"/>
      <c r="B1125" s="631"/>
      <c r="C1125" s="632"/>
      <c r="D1125" s="633"/>
      <c r="E1125" s="634"/>
      <c r="F1125" s="635"/>
      <c r="G1125" s="636"/>
      <c r="H1125" s="637"/>
      <c r="I1125" s="645"/>
      <c r="J1125" s="147"/>
      <c r="K1125" s="147"/>
      <c r="L1125" s="632"/>
      <c r="M1125" s="147"/>
      <c r="N1125" s="640"/>
      <c r="O1125" s="640"/>
      <c r="P1125" s="641"/>
      <c r="Q1125" s="642"/>
      <c r="R1125" s="147"/>
      <c r="S1125" s="147"/>
      <c r="T1125" s="147"/>
      <c r="U1125" s="147"/>
      <c r="V1125" s="147"/>
      <c r="W1125" s="147"/>
      <c r="X1125" s="147"/>
      <c r="Y1125" s="147"/>
      <c r="Z1125" s="147"/>
      <c r="AA1125" s="147"/>
      <c r="AB1125" s="147"/>
      <c r="AC1125" s="147"/>
      <c r="AD1125" s="147"/>
      <c r="AE1125" s="147"/>
      <c r="AF1125" s="147"/>
      <c r="AG1125" s="147"/>
      <c r="AH1125" s="147"/>
      <c r="AI1125" s="147"/>
      <c r="AJ1125" s="147"/>
      <c r="AK1125" s="147"/>
      <c r="AL1125" s="147"/>
      <c r="AM1125" s="147"/>
      <c r="AN1125" s="147"/>
      <c r="AO1125" s="147"/>
      <c r="AP1125" s="147"/>
      <c r="AQ1125" s="147"/>
      <c r="AR1125" s="147"/>
      <c r="AS1125" s="147"/>
      <c r="AT1125" s="147"/>
      <c r="AU1125" s="147"/>
      <c r="AV1125" s="147"/>
      <c r="AW1125" s="147"/>
    </row>
    <row r="1126">
      <c r="A1126" s="631"/>
      <c r="B1126" s="631"/>
      <c r="C1126" s="632"/>
      <c r="D1126" s="633"/>
      <c r="E1126" s="634"/>
      <c r="F1126" s="635"/>
      <c r="G1126" s="636"/>
      <c r="H1126" s="637"/>
      <c r="I1126" s="645"/>
      <c r="J1126" s="147"/>
      <c r="K1126" s="147"/>
      <c r="L1126" s="632"/>
      <c r="M1126" s="147"/>
      <c r="N1126" s="640"/>
      <c r="O1126" s="640"/>
      <c r="P1126" s="641"/>
      <c r="Q1126" s="642"/>
      <c r="R1126" s="147"/>
      <c r="S1126" s="147"/>
      <c r="T1126" s="147"/>
      <c r="U1126" s="147"/>
      <c r="V1126" s="147"/>
      <c r="W1126" s="147"/>
      <c r="X1126" s="147"/>
      <c r="Y1126" s="147"/>
      <c r="Z1126" s="147"/>
      <c r="AA1126" s="147"/>
      <c r="AB1126" s="147"/>
      <c r="AC1126" s="147"/>
      <c r="AD1126" s="147"/>
      <c r="AE1126" s="147"/>
      <c r="AF1126" s="147"/>
      <c r="AG1126" s="147"/>
      <c r="AH1126" s="147"/>
      <c r="AI1126" s="147"/>
      <c r="AJ1126" s="147"/>
      <c r="AK1126" s="147"/>
      <c r="AL1126" s="147"/>
      <c r="AM1126" s="147"/>
      <c r="AN1126" s="147"/>
      <c r="AO1126" s="147"/>
      <c r="AP1126" s="147"/>
      <c r="AQ1126" s="147"/>
      <c r="AR1126" s="147"/>
      <c r="AS1126" s="147"/>
      <c r="AT1126" s="147"/>
      <c r="AU1126" s="147"/>
      <c r="AV1126" s="147"/>
      <c r="AW1126" s="147"/>
    </row>
    <row r="1127">
      <c r="A1127" s="631"/>
      <c r="B1127" s="631"/>
      <c r="C1127" s="632"/>
      <c r="D1127" s="633"/>
      <c r="E1127" s="634"/>
      <c r="F1127" s="635"/>
      <c r="G1127" s="636"/>
      <c r="H1127" s="637"/>
      <c r="I1127" s="645"/>
      <c r="J1127" s="147"/>
      <c r="K1127" s="147"/>
      <c r="L1127" s="632"/>
      <c r="M1127" s="147"/>
      <c r="N1127" s="640"/>
      <c r="O1127" s="640"/>
      <c r="P1127" s="641"/>
      <c r="Q1127" s="642"/>
      <c r="R1127" s="147"/>
      <c r="S1127" s="147"/>
      <c r="T1127" s="147"/>
      <c r="U1127" s="147"/>
      <c r="V1127" s="147"/>
      <c r="W1127" s="147"/>
      <c r="X1127" s="147"/>
      <c r="Y1127" s="147"/>
      <c r="Z1127" s="147"/>
      <c r="AA1127" s="147"/>
      <c r="AB1127" s="147"/>
      <c r="AC1127" s="147"/>
      <c r="AD1127" s="147"/>
      <c r="AE1127" s="147"/>
      <c r="AF1127" s="147"/>
      <c r="AG1127" s="147"/>
      <c r="AH1127" s="147"/>
      <c r="AI1127" s="147"/>
      <c r="AJ1127" s="147"/>
      <c r="AK1127" s="147"/>
      <c r="AL1127" s="147"/>
      <c r="AM1127" s="147"/>
      <c r="AN1127" s="147"/>
      <c r="AO1127" s="147"/>
      <c r="AP1127" s="147"/>
      <c r="AQ1127" s="147"/>
      <c r="AR1127" s="147"/>
      <c r="AS1127" s="147"/>
      <c r="AT1127" s="147"/>
      <c r="AU1127" s="147"/>
      <c r="AV1127" s="147"/>
      <c r="AW1127" s="147"/>
    </row>
    <row r="1128">
      <c r="A1128" s="631"/>
      <c r="B1128" s="631"/>
      <c r="C1128" s="632"/>
      <c r="D1128" s="633"/>
      <c r="E1128" s="634"/>
      <c r="F1128" s="635"/>
      <c r="G1128" s="636"/>
      <c r="H1128" s="637"/>
      <c r="I1128" s="645"/>
      <c r="J1128" s="147"/>
      <c r="K1128" s="147"/>
      <c r="L1128" s="632"/>
      <c r="M1128" s="147"/>
      <c r="N1128" s="640"/>
      <c r="O1128" s="640"/>
      <c r="P1128" s="641"/>
      <c r="Q1128" s="642"/>
      <c r="R1128" s="147"/>
      <c r="S1128" s="147"/>
      <c r="T1128" s="147"/>
      <c r="U1128" s="147"/>
      <c r="V1128" s="147"/>
      <c r="W1128" s="147"/>
      <c r="X1128" s="147"/>
      <c r="Y1128" s="147"/>
      <c r="Z1128" s="147"/>
      <c r="AA1128" s="147"/>
      <c r="AB1128" s="147"/>
      <c r="AC1128" s="147"/>
      <c r="AD1128" s="147"/>
      <c r="AE1128" s="147"/>
      <c r="AF1128" s="147"/>
      <c r="AG1128" s="147"/>
      <c r="AH1128" s="147"/>
      <c r="AI1128" s="147"/>
      <c r="AJ1128" s="147"/>
      <c r="AK1128" s="147"/>
      <c r="AL1128" s="147"/>
      <c r="AM1128" s="147"/>
      <c r="AN1128" s="147"/>
      <c r="AO1128" s="147"/>
      <c r="AP1128" s="147"/>
      <c r="AQ1128" s="147"/>
      <c r="AR1128" s="147"/>
      <c r="AS1128" s="147"/>
      <c r="AT1128" s="147"/>
      <c r="AU1128" s="147"/>
      <c r="AV1128" s="147"/>
      <c r="AW1128" s="147"/>
    </row>
    <row r="1129">
      <c r="A1129" s="631"/>
      <c r="B1129" s="631"/>
      <c r="C1129" s="632"/>
      <c r="D1129" s="633"/>
      <c r="E1129" s="634"/>
      <c r="F1129" s="635"/>
      <c r="G1129" s="636"/>
      <c r="H1129" s="637"/>
      <c r="I1129" s="645"/>
      <c r="J1129" s="147"/>
      <c r="K1129" s="147"/>
      <c r="L1129" s="632"/>
      <c r="M1129" s="147"/>
      <c r="N1129" s="640"/>
      <c r="O1129" s="640"/>
      <c r="P1129" s="641"/>
      <c r="Q1129" s="642"/>
      <c r="R1129" s="147"/>
      <c r="S1129" s="147"/>
      <c r="T1129" s="147"/>
      <c r="U1129" s="147"/>
      <c r="V1129" s="147"/>
      <c r="W1129" s="147"/>
      <c r="X1129" s="147"/>
      <c r="Y1129" s="147"/>
      <c r="Z1129" s="147"/>
      <c r="AA1129" s="147"/>
      <c r="AB1129" s="147"/>
      <c r="AC1129" s="147"/>
      <c r="AD1129" s="147"/>
      <c r="AE1129" s="147"/>
      <c r="AF1129" s="147"/>
      <c r="AG1129" s="147"/>
      <c r="AH1129" s="147"/>
      <c r="AI1129" s="147"/>
      <c r="AJ1129" s="147"/>
      <c r="AK1129" s="147"/>
      <c r="AL1129" s="147"/>
      <c r="AM1129" s="147"/>
      <c r="AN1129" s="147"/>
      <c r="AO1129" s="147"/>
      <c r="AP1129" s="147"/>
      <c r="AQ1129" s="147"/>
      <c r="AR1129" s="147"/>
      <c r="AS1129" s="147"/>
      <c r="AT1129" s="147"/>
      <c r="AU1129" s="147"/>
      <c r="AV1129" s="147"/>
      <c r="AW1129" s="147"/>
    </row>
    <row r="1130">
      <c r="A1130" s="631"/>
      <c r="B1130" s="631"/>
      <c r="C1130" s="632"/>
      <c r="D1130" s="633"/>
      <c r="E1130" s="634"/>
      <c r="F1130" s="635"/>
      <c r="G1130" s="636"/>
      <c r="H1130" s="637"/>
      <c r="I1130" s="645"/>
      <c r="J1130" s="147"/>
      <c r="K1130" s="147"/>
      <c r="L1130" s="632"/>
      <c r="M1130" s="147"/>
      <c r="N1130" s="640"/>
      <c r="O1130" s="640"/>
      <c r="P1130" s="641"/>
      <c r="Q1130" s="642"/>
      <c r="R1130" s="147"/>
      <c r="S1130" s="147"/>
      <c r="T1130" s="147"/>
      <c r="U1130" s="147"/>
      <c r="V1130" s="147"/>
      <c r="W1130" s="147"/>
      <c r="X1130" s="147"/>
      <c r="Y1130" s="147"/>
      <c r="Z1130" s="147"/>
      <c r="AA1130" s="147"/>
      <c r="AB1130" s="147"/>
      <c r="AC1130" s="147"/>
      <c r="AD1130" s="147"/>
      <c r="AE1130" s="147"/>
      <c r="AF1130" s="147"/>
      <c r="AG1130" s="147"/>
      <c r="AH1130" s="147"/>
      <c r="AI1130" s="147"/>
      <c r="AJ1130" s="147"/>
      <c r="AK1130" s="147"/>
      <c r="AL1130" s="147"/>
      <c r="AM1130" s="147"/>
      <c r="AN1130" s="147"/>
      <c r="AO1130" s="147"/>
      <c r="AP1130" s="147"/>
      <c r="AQ1130" s="147"/>
      <c r="AR1130" s="147"/>
      <c r="AS1130" s="147"/>
      <c r="AT1130" s="147"/>
      <c r="AU1130" s="147"/>
      <c r="AV1130" s="147"/>
      <c r="AW1130" s="147"/>
    </row>
    <row r="1131">
      <c r="A1131" s="631"/>
      <c r="B1131" s="631"/>
      <c r="C1131" s="632"/>
      <c r="D1131" s="633"/>
      <c r="E1131" s="634"/>
      <c r="F1131" s="635"/>
      <c r="G1131" s="636"/>
      <c r="H1131" s="637"/>
      <c r="I1131" s="645"/>
      <c r="J1131" s="147"/>
      <c r="K1131" s="147"/>
      <c r="L1131" s="632"/>
      <c r="M1131" s="147"/>
      <c r="N1131" s="640"/>
      <c r="O1131" s="640"/>
      <c r="P1131" s="641"/>
      <c r="Q1131" s="642"/>
      <c r="R1131" s="147"/>
      <c r="S1131" s="147"/>
      <c r="T1131" s="147"/>
      <c r="U1131" s="147"/>
      <c r="V1131" s="147"/>
      <c r="W1131" s="147"/>
      <c r="X1131" s="147"/>
      <c r="Y1131" s="147"/>
      <c r="Z1131" s="147"/>
      <c r="AA1131" s="147"/>
      <c r="AB1131" s="147"/>
      <c r="AC1131" s="147"/>
      <c r="AD1131" s="147"/>
      <c r="AE1131" s="147"/>
      <c r="AF1131" s="147"/>
      <c r="AG1131" s="147"/>
      <c r="AH1131" s="147"/>
      <c r="AI1131" s="147"/>
      <c r="AJ1131" s="147"/>
      <c r="AK1131" s="147"/>
      <c r="AL1131" s="147"/>
      <c r="AM1131" s="147"/>
      <c r="AN1131" s="147"/>
      <c r="AO1131" s="147"/>
      <c r="AP1131" s="147"/>
      <c r="AQ1131" s="147"/>
      <c r="AR1131" s="147"/>
      <c r="AS1131" s="147"/>
      <c r="AT1131" s="147"/>
      <c r="AU1131" s="147"/>
      <c r="AV1131" s="147"/>
      <c r="AW1131" s="147"/>
    </row>
    <row r="1132">
      <c r="A1132" s="631"/>
      <c r="B1132" s="631"/>
      <c r="C1132" s="632"/>
      <c r="D1132" s="633"/>
      <c r="E1132" s="634"/>
      <c r="F1132" s="635"/>
      <c r="G1132" s="636"/>
      <c r="H1132" s="637"/>
      <c r="I1132" s="645"/>
      <c r="J1132" s="147"/>
      <c r="K1132" s="147"/>
      <c r="L1132" s="632"/>
      <c r="M1132" s="147"/>
      <c r="N1132" s="640"/>
      <c r="O1132" s="640"/>
      <c r="P1132" s="641"/>
      <c r="Q1132" s="642"/>
      <c r="R1132" s="147"/>
      <c r="S1132" s="147"/>
      <c r="T1132" s="147"/>
      <c r="U1132" s="147"/>
      <c r="V1132" s="147"/>
      <c r="W1132" s="147"/>
      <c r="X1132" s="147"/>
      <c r="Y1132" s="147"/>
      <c r="Z1132" s="147"/>
      <c r="AA1132" s="147"/>
      <c r="AB1132" s="147"/>
      <c r="AC1132" s="147"/>
      <c r="AD1132" s="147"/>
      <c r="AE1132" s="147"/>
      <c r="AF1132" s="147"/>
      <c r="AG1132" s="147"/>
      <c r="AH1132" s="147"/>
      <c r="AI1132" s="147"/>
      <c r="AJ1132" s="147"/>
      <c r="AK1132" s="147"/>
      <c r="AL1132" s="147"/>
      <c r="AM1132" s="147"/>
      <c r="AN1132" s="147"/>
      <c r="AO1132" s="147"/>
      <c r="AP1132" s="147"/>
      <c r="AQ1132" s="147"/>
      <c r="AR1132" s="147"/>
      <c r="AS1132" s="147"/>
      <c r="AT1132" s="147"/>
      <c r="AU1132" s="147"/>
      <c r="AV1132" s="147"/>
      <c r="AW1132" s="147"/>
    </row>
    <row r="1133">
      <c r="A1133" s="631"/>
      <c r="B1133" s="631"/>
      <c r="C1133" s="632"/>
      <c r="D1133" s="633"/>
      <c r="E1133" s="634"/>
      <c r="F1133" s="635"/>
      <c r="G1133" s="636"/>
      <c r="H1133" s="637"/>
      <c r="I1133" s="645"/>
      <c r="J1133" s="147"/>
      <c r="K1133" s="147"/>
      <c r="L1133" s="632"/>
      <c r="M1133" s="147"/>
      <c r="N1133" s="640"/>
      <c r="O1133" s="640"/>
      <c r="P1133" s="641"/>
      <c r="Q1133" s="642"/>
      <c r="R1133" s="147"/>
      <c r="S1133" s="147"/>
      <c r="T1133" s="147"/>
      <c r="U1133" s="147"/>
      <c r="V1133" s="147"/>
      <c r="W1133" s="147"/>
      <c r="X1133" s="147"/>
      <c r="Y1133" s="147"/>
      <c r="Z1133" s="147"/>
      <c r="AA1133" s="147"/>
      <c r="AB1133" s="147"/>
      <c r="AC1133" s="147"/>
      <c r="AD1133" s="147"/>
      <c r="AE1133" s="147"/>
      <c r="AF1133" s="147"/>
      <c r="AG1133" s="147"/>
      <c r="AH1133" s="147"/>
      <c r="AI1133" s="147"/>
      <c r="AJ1133" s="147"/>
      <c r="AK1133" s="147"/>
      <c r="AL1133" s="147"/>
      <c r="AM1133" s="147"/>
      <c r="AN1133" s="147"/>
      <c r="AO1133" s="147"/>
      <c r="AP1133" s="147"/>
      <c r="AQ1133" s="147"/>
      <c r="AR1133" s="147"/>
      <c r="AS1133" s="147"/>
      <c r="AT1133" s="147"/>
      <c r="AU1133" s="147"/>
      <c r="AV1133" s="147"/>
      <c r="AW1133" s="147"/>
    </row>
    <row r="1134">
      <c r="A1134" s="631"/>
      <c r="B1134" s="631"/>
      <c r="C1134" s="632"/>
      <c r="D1134" s="633"/>
      <c r="E1134" s="634"/>
      <c r="F1134" s="635"/>
      <c r="G1134" s="636"/>
      <c r="H1134" s="637"/>
      <c r="I1134" s="645"/>
      <c r="J1134" s="147"/>
      <c r="K1134" s="147"/>
      <c r="L1134" s="632"/>
      <c r="M1134" s="147"/>
      <c r="N1134" s="640"/>
      <c r="O1134" s="640"/>
      <c r="P1134" s="641"/>
      <c r="Q1134" s="642"/>
      <c r="R1134" s="147"/>
      <c r="S1134" s="147"/>
      <c r="T1134" s="147"/>
      <c r="U1134" s="147"/>
      <c r="V1134" s="147"/>
      <c r="W1134" s="147"/>
      <c r="X1134" s="147"/>
      <c r="Y1134" s="147"/>
      <c r="Z1134" s="147"/>
      <c r="AA1134" s="147"/>
      <c r="AB1134" s="147"/>
      <c r="AC1134" s="147"/>
      <c r="AD1134" s="147"/>
      <c r="AE1134" s="147"/>
      <c r="AF1134" s="147"/>
      <c r="AG1134" s="147"/>
      <c r="AH1134" s="147"/>
      <c r="AI1134" s="147"/>
      <c r="AJ1134" s="147"/>
      <c r="AK1134" s="147"/>
      <c r="AL1134" s="147"/>
      <c r="AM1134" s="147"/>
      <c r="AN1134" s="147"/>
      <c r="AO1134" s="147"/>
      <c r="AP1134" s="147"/>
      <c r="AQ1134" s="147"/>
      <c r="AR1134" s="147"/>
      <c r="AS1134" s="147"/>
      <c r="AT1134" s="147"/>
      <c r="AU1134" s="147"/>
      <c r="AV1134" s="147"/>
      <c r="AW1134" s="147"/>
    </row>
    <row r="1135">
      <c r="A1135" s="631"/>
      <c r="B1135" s="631"/>
      <c r="C1135" s="632"/>
      <c r="D1135" s="633"/>
      <c r="E1135" s="634"/>
      <c r="F1135" s="635"/>
      <c r="G1135" s="636"/>
      <c r="H1135" s="637"/>
      <c r="I1135" s="645"/>
      <c r="J1135" s="147"/>
      <c r="K1135" s="147"/>
      <c r="L1135" s="632"/>
      <c r="M1135" s="147"/>
      <c r="N1135" s="640"/>
      <c r="O1135" s="640"/>
      <c r="P1135" s="641"/>
      <c r="Q1135" s="642"/>
      <c r="R1135" s="147"/>
      <c r="S1135" s="147"/>
      <c r="T1135" s="147"/>
      <c r="U1135" s="147"/>
      <c r="V1135" s="147"/>
      <c r="W1135" s="147"/>
      <c r="X1135" s="147"/>
      <c r="Y1135" s="147"/>
      <c r="Z1135" s="147"/>
      <c r="AA1135" s="147"/>
      <c r="AB1135" s="147"/>
      <c r="AC1135" s="147"/>
      <c r="AD1135" s="147"/>
      <c r="AE1135" s="147"/>
      <c r="AF1135" s="147"/>
      <c r="AG1135" s="147"/>
      <c r="AH1135" s="147"/>
      <c r="AI1135" s="147"/>
      <c r="AJ1135" s="147"/>
      <c r="AK1135" s="147"/>
      <c r="AL1135" s="147"/>
      <c r="AM1135" s="147"/>
      <c r="AN1135" s="147"/>
      <c r="AO1135" s="147"/>
      <c r="AP1135" s="147"/>
      <c r="AQ1135" s="147"/>
      <c r="AR1135" s="147"/>
      <c r="AS1135" s="147"/>
      <c r="AT1135" s="147"/>
      <c r="AU1135" s="147"/>
      <c r="AV1135" s="147"/>
      <c r="AW1135" s="147"/>
    </row>
  </sheetData>
  <mergeCells count="388">
    <mergeCell ref="A6:A7"/>
    <mergeCell ref="B6:B7"/>
    <mergeCell ref="D6:D7"/>
    <mergeCell ref="E6:E7"/>
    <mergeCell ref="I6:I7"/>
    <mergeCell ref="M6:M7"/>
    <mergeCell ref="N6:N7"/>
    <mergeCell ref="N18:N20"/>
    <mergeCell ref="O18:O20"/>
    <mergeCell ref="Q18:Q20"/>
    <mergeCell ref="R18:R20"/>
    <mergeCell ref="A18:A20"/>
    <mergeCell ref="B18:B20"/>
    <mergeCell ref="D18:D20"/>
    <mergeCell ref="E18:E20"/>
    <mergeCell ref="I18:I20"/>
    <mergeCell ref="K18:K20"/>
    <mergeCell ref="M18:M20"/>
    <mergeCell ref="R32:R41"/>
    <mergeCell ref="S32:S41"/>
    <mergeCell ref="T32:T41"/>
    <mergeCell ref="H40:H41"/>
    <mergeCell ref="M40:M41"/>
    <mergeCell ref="I32:I41"/>
    <mergeCell ref="J32:J41"/>
    <mergeCell ref="K32:K41"/>
    <mergeCell ref="L32:L41"/>
    <mergeCell ref="N32:N41"/>
    <mergeCell ref="O32:O41"/>
    <mergeCell ref="P32:P41"/>
    <mergeCell ref="A32:A41"/>
    <mergeCell ref="B32:B41"/>
    <mergeCell ref="C32:C41"/>
    <mergeCell ref="D32:D41"/>
    <mergeCell ref="E32:E41"/>
    <mergeCell ref="F32:F41"/>
    <mergeCell ref="G32:G41"/>
    <mergeCell ref="R74:R75"/>
    <mergeCell ref="S74:S75"/>
    <mergeCell ref="M71:M72"/>
    <mergeCell ref="N71:N72"/>
    <mergeCell ref="O71:O72"/>
    <mergeCell ref="Q71:Q72"/>
    <mergeCell ref="M74:M75"/>
    <mergeCell ref="N74:N75"/>
    <mergeCell ref="Q74:Q75"/>
    <mergeCell ref="M55:M56"/>
    <mergeCell ref="P55:P56"/>
    <mergeCell ref="Q55:Q56"/>
    <mergeCell ref="A55:A56"/>
    <mergeCell ref="B55:B56"/>
    <mergeCell ref="D55:D56"/>
    <mergeCell ref="E55:E56"/>
    <mergeCell ref="I55:I56"/>
    <mergeCell ref="J55:J56"/>
    <mergeCell ref="L55:L56"/>
    <mergeCell ref="K66:K67"/>
    <mergeCell ref="L66:L67"/>
    <mergeCell ref="M66:M67"/>
    <mergeCell ref="N66:N67"/>
    <mergeCell ref="O66:O67"/>
    <mergeCell ref="Q66:Q67"/>
    <mergeCell ref="U66:U67"/>
    <mergeCell ref="D66:D67"/>
    <mergeCell ref="D71:D72"/>
    <mergeCell ref="D74:D75"/>
    <mergeCell ref="I66:I67"/>
    <mergeCell ref="I71:I72"/>
    <mergeCell ref="I74:I75"/>
    <mergeCell ref="I78:I79"/>
    <mergeCell ref="A66:A67"/>
    <mergeCell ref="B66:B67"/>
    <mergeCell ref="E66:E67"/>
    <mergeCell ref="G66:G67"/>
    <mergeCell ref="J66:J67"/>
    <mergeCell ref="A71:A72"/>
    <mergeCell ref="E71:E72"/>
    <mergeCell ref="L78:L79"/>
    <mergeCell ref="M78:M79"/>
    <mergeCell ref="N78:N79"/>
    <mergeCell ref="P78:P79"/>
    <mergeCell ref="Q78:Q79"/>
    <mergeCell ref="R78:R79"/>
    <mergeCell ref="T78:T79"/>
    <mergeCell ref="S109:S111"/>
    <mergeCell ref="T109:T111"/>
    <mergeCell ref="U109:U111"/>
    <mergeCell ref="V109:V111"/>
    <mergeCell ref="H109:H111"/>
    <mergeCell ref="I109:I111"/>
    <mergeCell ref="K109:K111"/>
    <mergeCell ref="L109:L111"/>
    <mergeCell ref="M109:M111"/>
    <mergeCell ref="N109:N111"/>
    <mergeCell ref="P109:P111"/>
    <mergeCell ref="N84:N85"/>
    <mergeCell ref="P84:P85"/>
    <mergeCell ref="Q84:Q85"/>
    <mergeCell ref="A84:A85"/>
    <mergeCell ref="B84:B85"/>
    <mergeCell ref="D84:D85"/>
    <mergeCell ref="E84:E85"/>
    <mergeCell ref="I84:I85"/>
    <mergeCell ref="L84:L85"/>
    <mergeCell ref="M84:M85"/>
    <mergeCell ref="A74:A75"/>
    <mergeCell ref="B74:B75"/>
    <mergeCell ref="E74:E75"/>
    <mergeCell ref="A78:A79"/>
    <mergeCell ref="B78:B79"/>
    <mergeCell ref="D78:D79"/>
    <mergeCell ref="E78:E79"/>
    <mergeCell ref="O87:O93"/>
    <mergeCell ref="P87:P93"/>
    <mergeCell ref="R87:R93"/>
    <mergeCell ref="S87:S93"/>
    <mergeCell ref="T87:T93"/>
    <mergeCell ref="H87:H93"/>
    <mergeCell ref="I87:I93"/>
    <mergeCell ref="J87:J93"/>
    <mergeCell ref="K87:K93"/>
    <mergeCell ref="L87:L93"/>
    <mergeCell ref="M87:M93"/>
    <mergeCell ref="N87:N93"/>
    <mergeCell ref="B87:B93"/>
    <mergeCell ref="C87:C93"/>
    <mergeCell ref="D87:D89"/>
    <mergeCell ref="E87:E93"/>
    <mergeCell ref="F87:F93"/>
    <mergeCell ref="G87:G93"/>
    <mergeCell ref="D90:D93"/>
    <mergeCell ref="A87:A93"/>
    <mergeCell ref="A109:A111"/>
    <mergeCell ref="B109:B111"/>
    <mergeCell ref="C109:C111"/>
    <mergeCell ref="D109:D111"/>
    <mergeCell ref="E109:E111"/>
    <mergeCell ref="G109:G111"/>
    <mergeCell ref="K181:K183"/>
    <mergeCell ref="L181:L183"/>
    <mergeCell ref="M181:M183"/>
    <mergeCell ref="O181:O183"/>
    <mergeCell ref="A181:A183"/>
    <mergeCell ref="B181:B183"/>
    <mergeCell ref="C181:C183"/>
    <mergeCell ref="D181:D183"/>
    <mergeCell ref="E181:E183"/>
    <mergeCell ref="I181:I183"/>
    <mergeCell ref="J181:J183"/>
    <mergeCell ref="K187:K189"/>
    <mergeCell ref="L187:L189"/>
    <mergeCell ref="M187:M189"/>
    <mergeCell ref="O187:O189"/>
    <mergeCell ref="A187:A189"/>
    <mergeCell ref="B187:B189"/>
    <mergeCell ref="C187:C189"/>
    <mergeCell ref="D187:D189"/>
    <mergeCell ref="E187:E189"/>
    <mergeCell ref="I187:I189"/>
    <mergeCell ref="J187:J189"/>
    <mergeCell ref="L211:L213"/>
    <mergeCell ref="M211:M213"/>
    <mergeCell ref="O211:O213"/>
    <mergeCell ref="A211:A213"/>
    <mergeCell ref="B211:B213"/>
    <mergeCell ref="C211:C213"/>
    <mergeCell ref="D211:D213"/>
    <mergeCell ref="I211:I213"/>
    <mergeCell ref="J211:J213"/>
    <mergeCell ref="K211:K213"/>
    <mergeCell ref="L217:L241"/>
    <mergeCell ref="M217:M241"/>
    <mergeCell ref="O217:O241"/>
    <mergeCell ref="B217:B241"/>
    <mergeCell ref="B243:B246"/>
    <mergeCell ref="I217:I241"/>
    <mergeCell ref="I243:I246"/>
    <mergeCell ref="B247:B248"/>
    <mergeCell ref="C247:C248"/>
    <mergeCell ref="L243:L248"/>
    <mergeCell ref="L249:L250"/>
    <mergeCell ref="M249:M250"/>
    <mergeCell ref="N249:N250"/>
    <mergeCell ref="O249:O250"/>
    <mergeCell ref="O251:O253"/>
    <mergeCell ref="J243:J248"/>
    <mergeCell ref="K243:K248"/>
    <mergeCell ref="M243:M248"/>
    <mergeCell ref="N243:N246"/>
    <mergeCell ref="O243:O246"/>
    <mergeCell ref="N247:N248"/>
    <mergeCell ref="O247:O248"/>
    <mergeCell ref="L262:L264"/>
    <mergeCell ref="M262:M264"/>
    <mergeCell ref="O262:O264"/>
    <mergeCell ref="B262:B264"/>
    <mergeCell ref="C262:C264"/>
    <mergeCell ref="E262:E264"/>
    <mergeCell ref="I262:I264"/>
    <mergeCell ref="J262:J264"/>
    <mergeCell ref="K262:K264"/>
    <mergeCell ref="D263:D264"/>
    <mergeCell ref="K271:K274"/>
    <mergeCell ref="L271:L274"/>
    <mergeCell ref="M271:M274"/>
    <mergeCell ref="O271:O274"/>
    <mergeCell ref="A262:A264"/>
    <mergeCell ref="A271:A274"/>
    <mergeCell ref="B271:B274"/>
    <mergeCell ref="C271:C274"/>
    <mergeCell ref="D271:D274"/>
    <mergeCell ref="I271:I274"/>
    <mergeCell ref="J271:J274"/>
    <mergeCell ref="M291:M293"/>
    <mergeCell ref="O291:O293"/>
    <mergeCell ref="A291:A293"/>
    <mergeCell ref="B291:B293"/>
    <mergeCell ref="C291:C293"/>
    <mergeCell ref="I291:I293"/>
    <mergeCell ref="J291:J293"/>
    <mergeCell ref="K291:K293"/>
    <mergeCell ref="L291:L293"/>
    <mergeCell ref="L298:L310"/>
    <mergeCell ref="M298:M310"/>
    <mergeCell ref="O298:O310"/>
    <mergeCell ref="A298:A310"/>
    <mergeCell ref="B298:B310"/>
    <mergeCell ref="C298:C310"/>
    <mergeCell ref="D298:D310"/>
    <mergeCell ref="I298:I310"/>
    <mergeCell ref="J298:J310"/>
    <mergeCell ref="K298:K310"/>
    <mergeCell ref="J321:J332"/>
    <mergeCell ref="K321:K332"/>
    <mergeCell ref="L321:L332"/>
    <mergeCell ref="M321:M332"/>
    <mergeCell ref="O321:O332"/>
    <mergeCell ref="A315:A317"/>
    <mergeCell ref="A321:A332"/>
    <mergeCell ref="B321:B332"/>
    <mergeCell ref="C321:C332"/>
    <mergeCell ref="G321:G331"/>
    <mergeCell ref="H321:H331"/>
    <mergeCell ref="I321:I332"/>
    <mergeCell ref="D217:D241"/>
    <mergeCell ref="D243:D248"/>
    <mergeCell ref="E247:E248"/>
    <mergeCell ref="I247:I248"/>
    <mergeCell ref="A217:A241"/>
    <mergeCell ref="C217:C241"/>
    <mergeCell ref="J217:J241"/>
    <mergeCell ref="K217:K241"/>
    <mergeCell ref="A243:A248"/>
    <mergeCell ref="C243:C246"/>
    <mergeCell ref="E243:E246"/>
    <mergeCell ref="B249:B250"/>
    <mergeCell ref="C249:C250"/>
    <mergeCell ref="D249:D250"/>
    <mergeCell ref="E249:E250"/>
    <mergeCell ref="I249:I250"/>
    <mergeCell ref="J249:J250"/>
    <mergeCell ref="K249:K250"/>
    <mergeCell ref="K251:K253"/>
    <mergeCell ref="L251:L253"/>
    <mergeCell ref="M251:M253"/>
    <mergeCell ref="A249:A250"/>
    <mergeCell ref="A251:A253"/>
    <mergeCell ref="B251:B253"/>
    <mergeCell ref="C251:C253"/>
    <mergeCell ref="D251:D253"/>
    <mergeCell ref="I251:I253"/>
    <mergeCell ref="J251:J253"/>
    <mergeCell ref="B315:B317"/>
    <mergeCell ref="I315:I317"/>
    <mergeCell ref="J315:J317"/>
    <mergeCell ref="K315:K317"/>
    <mergeCell ref="L315:L317"/>
    <mergeCell ref="M315:M317"/>
    <mergeCell ref="N315:N317"/>
    <mergeCell ref="K190:K192"/>
    <mergeCell ref="L190:L192"/>
    <mergeCell ref="M190:M192"/>
    <mergeCell ref="O190:O192"/>
    <mergeCell ref="A190:A192"/>
    <mergeCell ref="B190:B192"/>
    <mergeCell ref="C190:C192"/>
    <mergeCell ref="D190:D192"/>
    <mergeCell ref="E190:E192"/>
    <mergeCell ref="I190:I192"/>
    <mergeCell ref="J190:J192"/>
    <mergeCell ref="K193:K196"/>
    <mergeCell ref="L193:L196"/>
    <mergeCell ref="M193:M196"/>
    <mergeCell ref="O193:O196"/>
    <mergeCell ref="A193:A196"/>
    <mergeCell ref="B193:B196"/>
    <mergeCell ref="C193:C196"/>
    <mergeCell ref="D193:D196"/>
    <mergeCell ref="E193:E196"/>
    <mergeCell ref="I193:I196"/>
    <mergeCell ref="J193:J196"/>
    <mergeCell ref="K197:K199"/>
    <mergeCell ref="L197:L199"/>
    <mergeCell ref="M197:M199"/>
    <mergeCell ref="A197:A199"/>
    <mergeCell ref="B197:B199"/>
    <mergeCell ref="C197:C199"/>
    <mergeCell ref="D197:D199"/>
    <mergeCell ref="E197:E199"/>
    <mergeCell ref="I197:I199"/>
    <mergeCell ref="J197:J199"/>
    <mergeCell ref="L201:L203"/>
    <mergeCell ref="M201:M203"/>
    <mergeCell ref="O201:O203"/>
    <mergeCell ref="A201:A203"/>
    <mergeCell ref="B201:B203"/>
    <mergeCell ref="C201:C203"/>
    <mergeCell ref="D201:D203"/>
    <mergeCell ref="I201:I203"/>
    <mergeCell ref="J201:J203"/>
    <mergeCell ref="K201:K203"/>
    <mergeCell ref="K208:K210"/>
    <mergeCell ref="L208:L210"/>
    <mergeCell ref="M208:M210"/>
    <mergeCell ref="O208:O210"/>
    <mergeCell ref="A208:A210"/>
    <mergeCell ref="B208:B210"/>
    <mergeCell ref="C208:C210"/>
    <mergeCell ref="D208:D210"/>
    <mergeCell ref="E208:E210"/>
    <mergeCell ref="I208:I210"/>
    <mergeCell ref="J208:J210"/>
    <mergeCell ref="K115:K117"/>
    <mergeCell ref="L115:L117"/>
    <mergeCell ref="M115:M117"/>
    <mergeCell ref="N115:N117"/>
    <mergeCell ref="Q115:Q117"/>
    <mergeCell ref="R115:R117"/>
    <mergeCell ref="S115:S117"/>
    <mergeCell ref="A115:A117"/>
    <mergeCell ref="B115:B117"/>
    <mergeCell ref="C115:C117"/>
    <mergeCell ref="D115:D117"/>
    <mergeCell ref="G115:G117"/>
    <mergeCell ref="H115:H117"/>
    <mergeCell ref="J115:J117"/>
    <mergeCell ref="L164:L166"/>
    <mergeCell ref="M164:M166"/>
    <mergeCell ref="O164:O166"/>
    <mergeCell ref="B164:B166"/>
    <mergeCell ref="C164:C166"/>
    <mergeCell ref="D164:D166"/>
    <mergeCell ref="I164:I166"/>
    <mergeCell ref="J164:J166"/>
    <mergeCell ref="K164:K166"/>
    <mergeCell ref="E165:E166"/>
    <mergeCell ref="K171:K173"/>
    <mergeCell ref="L171:L173"/>
    <mergeCell ref="M171:M173"/>
    <mergeCell ref="A164:A166"/>
    <mergeCell ref="A171:A173"/>
    <mergeCell ref="B171:B173"/>
    <mergeCell ref="C171:C173"/>
    <mergeCell ref="D171:D173"/>
    <mergeCell ref="I171:I173"/>
    <mergeCell ref="J171:J173"/>
    <mergeCell ref="K214:K216"/>
    <mergeCell ref="L214:L216"/>
    <mergeCell ref="M214:M216"/>
    <mergeCell ref="O214:O216"/>
    <mergeCell ref="A214:A216"/>
    <mergeCell ref="B214:B216"/>
    <mergeCell ref="C214:C216"/>
    <mergeCell ref="D214:D216"/>
    <mergeCell ref="E214:E216"/>
    <mergeCell ref="I214:I216"/>
    <mergeCell ref="J214:J216"/>
    <mergeCell ref="K255:K260"/>
    <mergeCell ref="L255:L260"/>
    <mergeCell ref="M255:M260"/>
    <mergeCell ref="O255:O260"/>
    <mergeCell ref="A255:A260"/>
    <mergeCell ref="B255:B260"/>
    <mergeCell ref="C255:C260"/>
    <mergeCell ref="D255:D260"/>
    <mergeCell ref="E255:E260"/>
    <mergeCell ref="I255:I260"/>
    <mergeCell ref="J255:J260"/>
  </mergeCells>
  <conditionalFormatting sqref="O3">
    <cfRule type="notContainsBlanks" dxfId="1" priority="1">
      <formula>LEN(TRIM(O3))&gt;0</formula>
    </cfRule>
  </conditionalFormatting>
  <conditionalFormatting sqref="O4">
    <cfRule type="notContainsBlanks" dxfId="1" priority="2">
      <formula>LEN(TRIM(O4))&gt;0</formula>
    </cfRule>
  </conditionalFormatting>
  <conditionalFormatting sqref="N5:Q5">
    <cfRule type="notContainsBlanks" dxfId="1" priority="3">
      <formula>LEN(TRIM(N5))&gt;0</formula>
    </cfRule>
  </conditionalFormatting>
  <conditionalFormatting sqref="O9">
    <cfRule type="notContainsBlanks" dxfId="1" priority="4">
      <formula>LEN(TRIM(O9))&gt;0</formula>
    </cfRule>
  </conditionalFormatting>
  <conditionalFormatting sqref="A10:B10 D10">
    <cfRule type="cellIs" dxfId="0" priority="5" operator="equal">
      <formula>"Vencendo"</formula>
    </cfRule>
  </conditionalFormatting>
  <conditionalFormatting sqref="L10:U10">
    <cfRule type="notContainsBlanks" dxfId="1" priority="6">
      <formula>LEN(TRIM(L10))&gt;0</formula>
    </cfRule>
  </conditionalFormatting>
  <conditionalFormatting sqref="N6:S7">
    <cfRule type="notContainsBlanks" dxfId="1" priority="7">
      <formula>LEN(TRIM(N6))&gt;0</formula>
    </cfRule>
  </conditionalFormatting>
  <conditionalFormatting sqref="N8:S8">
    <cfRule type="notContainsBlanks" dxfId="1" priority="8">
      <formula>LEN(TRIM(N8))&gt;0</formula>
    </cfRule>
  </conditionalFormatting>
  <conditionalFormatting sqref="O11">
    <cfRule type="notContainsBlanks" dxfId="1" priority="9">
      <formula>LEN(TRIM(O11))&gt;0</formula>
    </cfRule>
  </conditionalFormatting>
  <conditionalFormatting sqref="A11:B11 D11">
    <cfRule type="cellIs" dxfId="0" priority="10" operator="equal">
      <formula>"Vencendo"</formula>
    </cfRule>
  </conditionalFormatting>
  <conditionalFormatting sqref="L11:U11">
    <cfRule type="notContainsBlanks" dxfId="1" priority="11">
      <formula>LEN(TRIM(L11))&gt;0</formula>
    </cfRule>
  </conditionalFormatting>
  <conditionalFormatting sqref="O12">
    <cfRule type="notContainsBlanks" dxfId="1" priority="12">
      <formula>LEN(TRIM(O12))&gt;0</formula>
    </cfRule>
  </conditionalFormatting>
  <conditionalFormatting sqref="O13">
    <cfRule type="notContainsBlanks" dxfId="1" priority="13">
      <formula>LEN(TRIM(O13))&gt;0</formula>
    </cfRule>
  </conditionalFormatting>
  <conditionalFormatting sqref="M14:R14">
    <cfRule type="notContainsBlanks" dxfId="1" priority="14">
      <formula>LEN(TRIM(M14))&gt;0</formula>
    </cfRule>
  </conditionalFormatting>
  <conditionalFormatting sqref="C14">
    <cfRule type="cellIs" dxfId="0" priority="15" operator="equal">
      <formula>"Vencendo"</formula>
    </cfRule>
  </conditionalFormatting>
  <conditionalFormatting sqref="A14:D14">
    <cfRule type="cellIs" dxfId="0" priority="16" operator="equal">
      <formula>"Vencendo"</formula>
    </cfRule>
  </conditionalFormatting>
  <conditionalFormatting sqref="A14:D14">
    <cfRule type="cellIs" dxfId="0" priority="17" operator="equal">
      <formula>"Vencendo"</formula>
    </cfRule>
  </conditionalFormatting>
  <conditionalFormatting sqref="O14">
    <cfRule type="notContainsBlanks" dxfId="1" priority="18">
      <formula>LEN(TRIM(O14))&gt;0</formula>
    </cfRule>
  </conditionalFormatting>
  <conditionalFormatting sqref="N16:S16">
    <cfRule type="notContainsBlanks" dxfId="1" priority="19">
      <formula>LEN(TRIM(N16))&gt;0</formula>
    </cfRule>
  </conditionalFormatting>
  <conditionalFormatting sqref="O15:P15">
    <cfRule type="notContainsBlanks" dxfId="1" priority="20">
      <formula>LEN(TRIM(O15))&gt;0</formula>
    </cfRule>
  </conditionalFormatting>
  <conditionalFormatting sqref="O17">
    <cfRule type="notContainsBlanks" dxfId="1" priority="21">
      <formula>LEN(TRIM(O17))&gt;0</formula>
    </cfRule>
  </conditionalFormatting>
  <conditionalFormatting sqref="A18:B24 C18:C21 D22:D24">
    <cfRule type="cellIs" dxfId="0" priority="22" operator="equal">
      <formula>"Vencendo"</formula>
    </cfRule>
  </conditionalFormatting>
  <conditionalFormatting sqref="J18:K20 L18:M21 N18:S24 AF18:AG20 AH18:AJ21">
    <cfRule type="notContainsBlanks" dxfId="1" priority="23">
      <formula>LEN(TRIM(J18))&gt;0</formula>
    </cfRule>
  </conditionalFormatting>
  <conditionalFormatting sqref="N25:S25">
    <cfRule type="notContainsBlanks" dxfId="1" priority="24">
      <formula>LEN(TRIM(N25))&gt;0</formula>
    </cfRule>
  </conditionalFormatting>
  <conditionalFormatting sqref="A25:D25">
    <cfRule type="cellIs" dxfId="0" priority="25" operator="equal">
      <formula>"Vencendo"</formula>
    </cfRule>
  </conditionalFormatting>
  <conditionalFormatting sqref="A25:C25">
    <cfRule type="cellIs" dxfId="0" priority="26" operator="equal">
      <formula>"Vencendo"</formula>
    </cfRule>
  </conditionalFormatting>
  <conditionalFormatting sqref="N26:S26">
    <cfRule type="notContainsBlanks" dxfId="1" priority="27">
      <formula>LEN(TRIM(N26))&gt;0</formula>
    </cfRule>
  </conditionalFormatting>
  <conditionalFormatting sqref="A26:C26">
    <cfRule type="cellIs" dxfId="0" priority="28" operator="equal">
      <formula>"Vencendo"</formula>
    </cfRule>
  </conditionalFormatting>
  <conditionalFormatting sqref="A26:C26">
    <cfRule type="cellIs" dxfId="0" priority="29" operator="equal">
      <formula>"Vencendo"</formula>
    </cfRule>
  </conditionalFormatting>
  <conditionalFormatting sqref="N26">
    <cfRule type="notContainsBlanks" dxfId="1" priority="30">
      <formula>LEN(TRIM(N26))&gt;0</formula>
    </cfRule>
  </conditionalFormatting>
  <conditionalFormatting sqref="I26">
    <cfRule type="notContainsBlanks" dxfId="2" priority="31">
      <formula>LEN(TRIM(I26))&gt;0</formula>
    </cfRule>
  </conditionalFormatting>
  <conditionalFormatting sqref="O27">
    <cfRule type="notContainsBlanks" dxfId="1" priority="32">
      <formula>LEN(TRIM(O27))&gt;0</formula>
    </cfRule>
  </conditionalFormatting>
  <conditionalFormatting sqref="O28">
    <cfRule type="notContainsBlanks" dxfId="1" priority="33">
      <formula>LEN(TRIM(O28))&gt;0</formula>
    </cfRule>
  </conditionalFormatting>
  <conditionalFormatting sqref="N29:S29">
    <cfRule type="notContainsBlanks" dxfId="1" priority="34">
      <formula>LEN(TRIM(N29))&gt;0</formula>
    </cfRule>
  </conditionalFormatting>
  <conditionalFormatting sqref="O30">
    <cfRule type="notContainsBlanks" dxfId="1" priority="35">
      <formula>LEN(TRIM(O30))&gt;0</formula>
    </cfRule>
  </conditionalFormatting>
  <conditionalFormatting sqref="O31">
    <cfRule type="notContainsBlanks" dxfId="1" priority="36">
      <formula>LEN(TRIM(O31))&gt;0</formula>
    </cfRule>
  </conditionalFormatting>
  <conditionalFormatting sqref="N32:N41">
    <cfRule type="notContainsBlanks" dxfId="1" priority="37">
      <formula>LEN(TRIM(N32))&gt;0</formula>
    </cfRule>
  </conditionalFormatting>
  <conditionalFormatting sqref="N42:P49">
    <cfRule type="notContainsBlanks" dxfId="1" priority="38">
      <formula>LEN(TRIM(N42))&gt;0</formula>
    </cfRule>
  </conditionalFormatting>
  <conditionalFormatting sqref="N50">
    <cfRule type="notContainsBlanks" dxfId="1" priority="39">
      <formula>LEN(TRIM(N50))&gt;0</formula>
    </cfRule>
  </conditionalFormatting>
  <conditionalFormatting sqref="N51">
    <cfRule type="notContainsBlanks" dxfId="1" priority="40">
      <formula>LEN(TRIM(N51))&gt;0</formula>
    </cfRule>
  </conditionalFormatting>
  <conditionalFormatting sqref="N52">
    <cfRule type="notContainsBlanks" dxfId="1" priority="41">
      <formula>LEN(TRIM(N52))&gt;0</formula>
    </cfRule>
  </conditionalFormatting>
  <conditionalFormatting sqref="A52:B52">
    <cfRule type="cellIs" dxfId="0" priority="42" operator="equal">
      <formula>"Vencendo"</formula>
    </cfRule>
  </conditionalFormatting>
  <conditionalFormatting sqref="A52:B52">
    <cfRule type="cellIs" dxfId="0" priority="43" operator="equal">
      <formula>"Vencendo"</formula>
    </cfRule>
  </conditionalFormatting>
  <conditionalFormatting sqref="N53">
    <cfRule type="notContainsBlanks" dxfId="1" priority="44">
      <formula>LEN(TRIM(N53))&gt;0</formula>
    </cfRule>
  </conditionalFormatting>
  <conditionalFormatting sqref="B54">
    <cfRule type="cellIs" dxfId="0" priority="45" operator="equal">
      <formula>"Vencendo"</formula>
    </cfRule>
  </conditionalFormatting>
  <conditionalFormatting sqref="B54">
    <cfRule type="cellIs" dxfId="0" priority="46" operator="equal">
      <formula>"Vencendo"</formula>
    </cfRule>
  </conditionalFormatting>
  <conditionalFormatting sqref="N54">
    <cfRule type="notContainsBlanks" dxfId="1" priority="47">
      <formula>LEN(TRIM(N54))&gt;0</formula>
    </cfRule>
  </conditionalFormatting>
  <conditionalFormatting sqref="O60">
    <cfRule type="notContainsBlanks" dxfId="1" priority="48">
      <formula>LEN(TRIM(O60))&gt;0</formula>
    </cfRule>
  </conditionalFormatting>
  <conditionalFormatting sqref="L55:M56 N55:O57 P55:R56">
    <cfRule type="notContainsBlanks" dxfId="1" priority="49">
      <formula>LEN(TRIM(L55))&gt;0</formula>
    </cfRule>
  </conditionalFormatting>
  <conditionalFormatting sqref="A58:D58 E58:T59 H61:J61 K61:L62 M61:T63">
    <cfRule type="notContainsBlanks" dxfId="1" priority="50">
      <formula>LEN(TRIM(A58))&gt;0</formula>
    </cfRule>
  </conditionalFormatting>
  <conditionalFormatting sqref="A58:E59 A61:E63">
    <cfRule type="cellIs" dxfId="0" priority="51" operator="equal">
      <formula>"Vencendo"</formula>
    </cfRule>
  </conditionalFormatting>
  <conditionalFormatting sqref="O64">
    <cfRule type="notContainsBlanks" dxfId="1" priority="52">
      <formula>LEN(TRIM(O64))&gt;0</formula>
    </cfRule>
  </conditionalFormatting>
  <conditionalFormatting sqref="O65">
    <cfRule type="notContainsBlanks" dxfId="1" priority="53">
      <formula>LEN(TRIM(O65))&gt;0</formula>
    </cfRule>
  </conditionalFormatting>
  <conditionalFormatting sqref="O66:O67">
    <cfRule type="notContainsBlanks" dxfId="1" priority="54">
      <formula>LEN(TRIM(O66))&gt;0</formula>
    </cfRule>
  </conditionalFormatting>
  <conditionalFormatting sqref="O68">
    <cfRule type="notContainsBlanks" dxfId="1" priority="55">
      <formula>LEN(TRIM(O68))&gt;0</formula>
    </cfRule>
  </conditionalFormatting>
  <conditionalFormatting sqref="N69:T69">
    <cfRule type="notContainsBlanks" dxfId="1" priority="56">
      <formula>LEN(TRIM(N69))&gt;0</formula>
    </cfRule>
  </conditionalFormatting>
  <conditionalFormatting sqref="A69:C69">
    <cfRule type="cellIs" dxfId="0" priority="57" operator="equal">
      <formula>"Vencendo"</formula>
    </cfRule>
  </conditionalFormatting>
  <conditionalFormatting sqref="A69:C69">
    <cfRule type="cellIs" dxfId="0" priority="58" operator="equal">
      <formula>"Vencendo"</formula>
    </cfRule>
  </conditionalFormatting>
  <conditionalFormatting sqref="N69">
    <cfRule type="notContainsBlanks" dxfId="1" priority="59">
      <formula>LEN(TRIM(N69))&gt;0</formula>
    </cfRule>
  </conditionalFormatting>
  <conditionalFormatting sqref="O71:O72">
    <cfRule type="notContainsBlanks" dxfId="1" priority="60">
      <formula>LEN(TRIM(O71))&gt;0</formula>
    </cfRule>
  </conditionalFormatting>
  <conditionalFormatting sqref="N70:T70">
    <cfRule type="notContainsBlanks" dxfId="1" priority="61">
      <formula>LEN(TRIM(N70))&gt;0</formula>
    </cfRule>
  </conditionalFormatting>
  <conditionalFormatting sqref="O73">
    <cfRule type="notContainsBlanks" dxfId="1" priority="62">
      <formula>LEN(TRIM(O73))&gt;0</formula>
    </cfRule>
  </conditionalFormatting>
  <conditionalFormatting sqref="L74:L75 O74:O76">
    <cfRule type="notContainsBlanks" dxfId="1" priority="63">
      <formula>LEN(TRIM(L74))&gt;0</formula>
    </cfRule>
  </conditionalFormatting>
  <conditionalFormatting sqref="O77">
    <cfRule type="notContainsBlanks" dxfId="1" priority="64">
      <formula>LEN(TRIM(O77))&gt;0</formula>
    </cfRule>
  </conditionalFormatting>
  <conditionalFormatting sqref="K78:K79 N78:N80">
    <cfRule type="notContainsBlanks" dxfId="1" priority="65">
      <formula>LEN(TRIM(K78))&gt;0</formula>
    </cfRule>
  </conditionalFormatting>
  <conditionalFormatting sqref="N81">
    <cfRule type="notContainsBlanks" dxfId="1" priority="66">
      <formula>LEN(TRIM(N81))&gt;0</formula>
    </cfRule>
  </conditionalFormatting>
  <conditionalFormatting sqref="A74:A75 A81">
    <cfRule type="cellIs" dxfId="0" priority="67" operator="equal">
      <formula>"Vencendo"</formula>
    </cfRule>
  </conditionalFormatting>
  <conditionalFormatting sqref="A81">
    <cfRule type="cellIs" dxfId="0" priority="68" operator="equal">
      <formula>"Vencendo"</formula>
    </cfRule>
  </conditionalFormatting>
  <conditionalFormatting sqref="K82 N82">
    <cfRule type="notContainsBlanks" dxfId="1" priority="69">
      <formula>LEN(TRIM(K82))&gt;0</formula>
    </cfRule>
  </conditionalFormatting>
  <conditionalFormatting sqref="K84:K85 N84 N86">
    <cfRule type="notContainsBlanks" dxfId="1" priority="70">
      <formula>LEN(TRIM(K84))&gt;0</formula>
    </cfRule>
  </conditionalFormatting>
  <conditionalFormatting sqref="N87:N93">
    <cfRule type="notContainsBlanks" dxfId="1" priority="71">
      <formula>LEN(TRIM(N87))&gt;0</formula>
    </cfRule>
  </conditionalFormatting>
  <conditionalFormatting sqref="O94">
    <cfRule type="notContainsBlanks" dxfId="1" priority="72">
      <formula>LEN(TRIM(O94))&gt;0</formula>
    </cfRule>
  </conditionalFormatting>
  <conditionalFormatting sqref="O95">
    <cfRule type="notContainsBlanks" dxfId="1" priority="73">
      <formula>LEN(TRIM(O95))&gt;0</formula>
    </cfRule>
  </conditionalFormatting>
  <conditionalFormatting sqref="A96:A99 B96 C96:C97 B98:B99 D98:D99">
    <cfRule type="cellIs" dxfId="0" priority="74" operator="equal">
      <formula>"Vencendo"</formula>
    </cfRule>
  </conditionalFormatting>
  <conditionalFormatting sqref="G96:I96 J96:L97 M96:N98 O96:T99">
    <cfRule type="notContainsBlanks" dxfId="1" priority="75">
      <formula>LEN(TRIM(G96))&gt;0</formula>
    </cfRule>
  </conditionalFormatting>
  <conditionalFormatting sqref="A103 B103:B114">
    <cfRule type="cellIs" dxfId="0" priority="76" operator="equal">
      <formula>"Vencendo"</formula>
    </cfRule>
  </conditionalFormatting>
  <conditionalFormatting sqref="B103:B114">
    <cfRule type="cellIs" dxfId="0" priority="77" operator="equal">
      <formula>"Vencendo"</formula>
    </cfRule>
  </conditionalFormatting>
  <conditionalFormatting sqref="B103:B114">
    <cfRule type="cellIs" dxfId="0" priority="78" operator="equal">
      <formula>"Vencendo"</formula>
    </cfRule>
  </conditionalFormatting>
  <conditionalFormatting sqref="B103:B114">
    <cfRule type="cellIs" dxfId="0" priority="79" operator="equal">
      <formula>"Vencendo"</formula>
    </cfRule>
  </conditionalFormatting>
  <conditionalFormatting sqref="B103:B114">
    <cfRule type="cellIs" dxfId="0" priority="80" operator="equal">
      <formula>"Vencendo"</formula>
    </cfRule>
  </conditionalFormatting>
  <conditionalFormatting sqref="B103:B114">
    <cfRule type="cellIs" dxfId="0" priority="81" operator="equal">
      <formula>"Vencendo"</formula>
    </cfRule>
  </conditionalFormatting>
  <conditionalFormatting sqref="B103:B114">
    <cfRule type="cellIs" dxfId="0" priority="82" operator="equal">
      <formula>"Vencendo"</formula>
    </cfRule>
  </conditionalFormatting>
  <conditionalFormatting sqref="B103:B114">
    <cfRule type="cellIs" dxfId="0" priority="83" operator="equal">
      <formula>"Vencendo"</formula>
    </cfRule>
  </conditionalFormatting>
  <conditionalFormatting sqref="B103:B114">
    <cfRule type="cellIs" dxfId="0" priority="84" operator="equal">
      <formula>"Vencendo"</formula>
    </cfRule>
  </conditionalFormatting>
  <conditionalFormatting sqref="B103:B114">
    <cfRule type="cellIs" dxfId="0" priority="85" operator="equal">
      <formula>"Vencendo"</formula>
    </cfRule>
  </conditionalFormatting>
  <conditionalFormatting sqref="G100:H100 I100:J101 K100:L102 M100:M104 N100:P133 Q100:T100 K115:K131 L115:M133 Q115:Q131 J129 R129:T129 L135:P135">
    <cfRule type="notContainsBlanks" dxfId="1" priority="86">
      <formula>LEN(TRIM(G100))&gt;0</formula>
    </cfRule>
  </conditionalFormatting>
  <conditionalFormatting sqref="B103:B114">
    <cfRule type="cellIs" dxfId="0" priority="87" operator="equal">
      <formula>"Vencendo"</formula>
    </cfRule>
  </conditionalFormatting>
  <conditionalFormatting sqref="B103:B114">
    <cfRule type="cellIs" dxfId="0" priority="88" operator="equal">
      <formula>"Vencendo"</formula>
    </cfRule>
  </conditionalFormatting>
  <conditionalFormatting sqref="B103:B114">
    <cfRule type="cellIs" dxfId="0" priority="89" operator="equal">
      <formula>"Vencendo"</formula>
    </cfRule>
  </conditionalFormatting>
  <conditionalFormatting sqref="B103:B114">
    <cfRule type="cellIs" dxfId="0" priority="90" operator="equal">
      <formula>"Vencendo"</formula>
    </cfRule>
  </conditionalFormatting>
  <conditionalFormatting sqref="B103:B114">
    <cfRule type="cellIs" dxfId="0" priority="91" operator="equal">
      <formula>"Vencendo"</formula>
    </cfRule>
  </conditionalFormatting>
  <conditionalFormatting sqref="B103:B114">
    <cfRule type="cellIs" dxfId="0" priority="92" operator="equal">
      <formula>"Vencendo"</formula>
    </cfRule>
  </conditionalFormatting>
  <conditionalFormatting sqref="B103:B114">
    <cfRule type="cellIs" dxfId="0" priority="93" operator="equal">
      <formula>"Vencendo"</formula>
    </cfRule>
  </conditionalFormatting>
  <conditionalFormatting sqref="B103:B114">
    <cfRule type="cellIs" dxfId="0" priority="94" operator="equal">
      <formula>"Vencendo"</formula>
    </cfRule>
  </conditionalFormatting>
  <conditionalFormatting sqref="M136 M319:M320">
    <cfRule type="notContainsBlanks" dxfId="1" priority="95">
      <formula>LEN(TRIM(M136))&gt;0</formula>
    </cfRule>
  </conditionalFormatting>
  <conditionalFormatting sqref="B103:B114">
    <cfRule type="cellIs" dxfId="0" priority="96" operator="equal">
      <formula>"Vencendo"</formula>
    </cfRule>
  </conditionalFormatting>
  <conditionalFormatting sqref="A162:A163">
    <cfRule type="cellIs" dxfId="0" priority="97" operator="equal">
      <formula>"Vencendo"</formula>
    </cfRule>
  </conditionalFormatting>
  <printOptions horizontalCentered="1"/>
  <pageMargins bottom="0.75" footer="0.0" header="0.0" left="0.7" right="0.7" top="0.75"/>
  <pageSetup paperSize="9" orientation="landscape"/>
  <rowBreaks count="1" manualBreakCount="1">
    <brk id="173"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
    <col customWidth="1" min="2" max="3" width="10.29"/>
    <col customWidth="1" min="4" max="4" width="31.71"/>
    <col customWidth="1" min="5" max="5" width="20.86"/>
    <col customWidth="1" min="6" max="6" width="16.57"/>
    <col customWidth="1" min="7" max="7" width="18.57"/>
    <col customWidth="1" min="8" max="8" width="40.71"/>
    <col customWidth="1" min="9" max="9" width="12.57"/>
    <col customWidth="1" min="10" max="10" width="15.43"/>
    <col customWidth="1" min="11" max="11" width="10.86"/>
    <col customWidth="1" min="12" max="12" width="17.71"/>
    <col customWidth="1" min="13" max="13" width="15.71"/>
    <col customWidth="1" min="14" max="15" width="12.43"/>
    <col customWidth="1" min="16" max="16" width="14.29"/>
    <col customWidth="1" min="17" max="17" width="11.86"/>
    <col customWidth="1" min="18" max="18" width="15.43"/>
    <col customWidth="1" hidden="1" min="19" max="19" width="22.14"/>
    <col customWidth="1" min="20" max="20" width="27.43"/>
    <col customWidth="1" min="21" max="22" width="22.14"/>
  </cols>
  <sheetData>
    <row r="1" ht="12.75" customHeight="1">
      <c r="A1" s="646">
        <f>TODAY()</f>
        <v>46167</v>
      </c>
      <c r="B1" s="647"/>
      <c r="C1" s="648"/>
      <c r="D1" s="647"/>
      <c r="E1" s="647"/>
      <c r="F1" s="647"/>
      <c r="G1" s="647"/>
      <c r="H1" s="647"/>
      <c r="I1" s="647"/>
      <c r="J1" s="647"/>
      <c r="K1" s="647"/>
      <c r="L1" s="647"/>
      <c r="M1" s="647"/>
      <c r="N1" s="647"/>
      <c r="O1" s="647"/>
      <c r="P1" s="647"/>
      <c r="Q1" s="647"/>
      <c r="R1" s="649"/>
      <c r="S1" s="649"/>
      <c r="T1" s="650"/>
      <c r="U1" s="650"/>
      <c r="V1" s="650"/>
    </row>
    <row r="2" ht="41.25" customHeight="1">
      <c r="A2" s="651"/>
      <c r="B2" s="652"/>
      <c r="C2" s="652" t="s">
        <v>2598</v>
      </c>
      <c r="D2" s="652" t="s">
        <v>2599</v>
      </c>
      <c r="E2" s="653" t="s">
        <v>2600</v>
      </c>
      <c r="F2" s="653" t="s">
        <v>2601</v>
      </c>
      <c r="G2" s="653" t="s">
        <v>2602</v>
      </c>
      <c r="H2" s="652" t="s">
        <v>2603</v>
      </c>
      <c r="I2" s="652" t="s">
        <v>2604</v>
      </c>
      <c r="J2" s="653" t="s">
        <v>2605</v>
      </c>
      <c r="K2" s="652" t="s">
        <v>2606</v>
      </c>
      <c r="L2" s="653" t="s">
        <v>2607</v>
      </c>
      <c r="M2" s="654" t="s">
        <v>2608</v>
      </c>
      <c r="N2" s="655" t="s">
        <v>2609</v>
      </c>
      <c r="O2" s="655" t="s">
        <v>2610</v>
      </c>
      <c r="P2" s="656" t="s">
        <v>2611</v>
      </c>
      <c r="Q2" s="207"/>
      <c r="R2" s="657"/>
      <c r="S2" s="658" t="s">
        <v>20</v>
      </c>
      <c r="T2" s="659"/>
      <c r="U2" s="659"/>
      <c r="V2" s="659"/>
    </row>
    <row r="3" ht="66.0" customHeight="1">
      <c r="A3" s="660">
        <f t="shared" ref="A3:A31" si="1">Q3-$A$1</f>
        <v>-1</v>
      </c>
      <c r="B3" s="661" t="str">
        <f t="shared" ref="B3:B122" si="2">IF(A3&lt;60,"Vencendo","Em Vigência")</f>
        <v>Vencendo</v>
      </c>
      <c r="C3" s="662" t="s">
        <v>22</v>
      </c>
      <c r="D3" s="663" t="s">
        <v>2612</v>
      </c>
      <c r="E3" s="403" t="s">
        <v>987</v>
      </c>
      <c r="F3" s="403" t="s">
        <v>2613</v>
      </c>
      <c r="G3" s="403" t="s">
        <v>2614</v>
      </c>
      <c r="H3" s="664" t="s">
        <v>2615</v>
      </c>
      <c r="I3" s="403" t="s">
        <v>2616</v>
      </c>
      <c r="J3" s="665" t="s">
        <v>2617</v>
      </c>
      <c r="K3" s="665" t="s">
        <v>2618</v>
      </c>
      <c r="L3" s="666" t="s">
        <v>2619</v>
      </c>
      <c r="M3" s="667">
        <v>866000.0</v>
      </c>
      <c r="N3" s="668">
        <v>45800.0</v>
      </c>
      <c r="O3" s="669">
        <v>45821.0</v>
      </c>
      <c r="P3" s="403" t="s">
        <v>2620</v>
      </c>
      <c r="Q3" s="670">
        <v>46166.0</v>
      </c>
      <c r="R3" s="671" t="s">
        <v>2</v>
      </c>
      <c r="S3" s="672"/>
      <c r="T3" s="673"/>
      <c r="U3" s="673"/>
      <c r="V3" s="673"/>
    </row>
    <row r="4" ht="85.5" customHeight="1">
      <c r="A4" s="660">
        <f t="shared" si="1"/>
        <v>-1</v>
      </c>
      <c r="B4" s="661" t="str">
        <f t="shared" si="2"/>
        <v>Vencendo</v>
      </c>
      <c r="C4" s="662" t="s">
        <v>761</v>
      </c>
      <c r="D4" s="663" t="s">
        <v>2621</v>
      </c>
      <c r="E4" s="403" t="s">
        <v>987</v>
      </c>
      <c r="F4" s="403" t="s">
        <v>2613</v>
      </c>
      <c r="G4" s="403" t="s">
        <v>2614</v>
      </c>
      <c r="H4" s="664" t="s">
        <v>2615</v>
      </c>
      <c r="I4" s="403" t="s">
        <v>2616</v>
      </c>
      <c r="J4" s="665" t="s">
        <v>2617</v>
      </c>
      <c r="K4" s="665" t="s">
        <v>2622</v>
      </c>
      <c r="L4" s="666" t="s">
        <v>2619</v>
      </c>
      <c r="M4" s="667">
        <v>4190000.0</v>
      </c>
      <c r="N4" s="668">
        <v>45800.0</v>
      </c>
      <c r="O4" s="669">
        <v>45821.0</v>
      </c>
      <c r="P4" s="403" t="s">
        <v>2620</v>
      </c>
      <c r="Q4" s="670">
        <v>46166.0</v>
      </c>
      <c r="R4" s="671" t="s">
        <v>2</v>
      </c>
      <c r="S4" s="672"/>
      <c r="T4" s="673"/>
      <c r="U4" s="673"/>
      <c r="V4" s="673"/>
    </row>
    <row r="5" ht="15.75" customHeight="1">
      <c r="A5" s="660">
        <f t="shared" si="1"/>
        <v>1</v>
      </c>
      <c r="B5" s="661" t="str">
        <f t="shared" si="2"/>
        <v>Vencendo</v>
      </c>
      <c r="C5" s="662" t="s">
        <v>1283</v>
      </c>
      <c r="D5" s="663" t="s">
        <v>2623</v>
      </c>
      <c r="E5" s="403" t="s">
        <v>40</v>
      </c>
      <c r="F5" s="403" t="s">
        <v>2624</v>
      </c>
      <c r="G5" s="403" t="s">
        <v>2625</v>
      </c>
      <c r="H5" s="664" t="s">
        <v>2626</v>
      </c>
      <c r="I5" s="403" t="s">
        <v>2627</v>
      </c>
      <c r="J5" s="403" t="s">
        <v>2627</v>
      </c>
      <c r="K5" s="665" t="s">
        <v>2628</v>
      </c>
      <c r="L5" s="666" t="s">
        <v>2629</v>
      </c>
      <c r="M5" s="674">
        <v>41090.0</v>
      </c>
      <c r="N5" s="668">
        <v>45798.0</v>
      </c>
      <c r="O5" s="675">
        <v>45803.0</v>
      </c>
      <c r="P5" s="676" t="s">
        <v>2630</v>
      </c>
      <c r="Q5" s="670">
        <v>46168.0</v>
      </c>
      <c r="R5" s="672"/>
      <c r="S5" s="673"/>
      <c r="T5" s="673"/>
      <c r="U5" s="673"/>
      <c r="V5" s="673"/>
    </row>
    <row r="6" ht="15.75" customHeight="1">
      <c r="A6" s="660">
        <f t="shared" si="1"/>
        <v>1</v>
      </c>
      <c r="B6" s="661" t="str">
        <f t="shared" si="2"/>
        <v>Vencendo</v>
      </c>
      <c r="C6" s="662" t="s">
        <v>1285</v>
      </c>
      <c r="D6" s="663" t="s">
        <v>2631</v>
      </c>
      <c r="E6" s="403" t="s">
        <v>40</v>
      </c>
      <c r="F6" s="403" t="s">
        <v>2624</v>
      </c>
      <c r="G6" s="403" t="s">
        <v>2625</v>
      </c>
      <c r="H6" s="664" t="s">
        <v>2626</v>
      </c>
      <c r="I6" s="403" t="s">
        <v>2627</v>
      </c>
      <c r="J6" s="403" t="s">
        <v>2627</v>
      </c>
      <c r="K6" s="665" t="s">
        <v>2632</v>
      </c>
      <c r="L6" s="666" t="s">
        <v>2629</v>
      </c>
      <c r="M6" s="674">
        <v>2670.0</v>
      </c>
      <c r="N6" s="668">
        <v>45799.0</v>
      </c>
      <c r="O6" s="675">
        <v>45803.0</v>
      </c>
      <c r="P6" s="676" t="s">
        <v>2630</v>
      </c>
      <c r="Q6" s="670">
        <v>46168.0</v>
      </c>
      <c r="R6" s="672"/>
      <c r="S6" s="673"/>
      <c r="T6" s="673"/>
      <c r="U6" s="673"/>
      <c r="V6" s="673"/>
    </row>
    <row r="7" ht="15.75" customHeight="1">
      <c r="A7" s="660">
        <f t="shared" si="1"/>
        <v>24</v>
      </c>
      <c r="B7" s="661" t="str">
        <f t="shared" si="2"/>
        <v>Vencendo</v>
      </c>
      <c r="C7" s="662" t="s">
        <v>805</v>
      </c>
      <c r="D7" s="663" t="s">
        <v>2633</v>
      </c>
      <c r="E7" s="403" t="s">
        <v>40</v>
      </c>
      <c r="F7" s="403" t="s">
        <v>2634</v>
      </c>
      <c r="G7" s="403" t="s">
        <v>2635</v>
      </c>
      <c r="H7" s="664" t="s">
        <v>2636</v>
      </c>
      <c r="I7" s="403" t="s">
        <v>2637</v>
      </c>
      <c r="J7" s="665" t="s">
        <v>2638</v>
      </c>
      <c r="K7" s="677" t="s">
        <v>2639</v>
      </c>
      <c r="L7" s="666" t="s">
        <v>2640</v>
      </c>
      <c r="M7" s="678" t="s">
        <v>2641</v>
      </c>
      <c r="N7" s="668">
        <v>45820.0</v>
      </c>
      <c r="O7" s="675">
        <v>45826.0</v>
      </c>
      <c r="P7" s="676" t="s">
        <v>2642</v>
      </c>
      <c r="Q7" s="670">
        <v>46191.0</v>
      </c>
      <c r="R7" s="672"/>
      <c r="S7" s="673"/>
      <c r="T7" s="673"/>
      <c r="U7" s="673"/>
      <c r="V7" s="673"/>
    </row>
    <row r="8" ht="15.75" customHeight="1">
      <c r="A8" s="660">
        <f t="shared" si="1"/>
        <v>40</v>
      </c>
      <c r="B8" s="661" t="str">
        <f t="shared" si="2"/>
        <v>Vencendo</v>
      </c>
      <c r="C8" s="662" t="s">
        <v>2643</v>
      </c>
      <c r="D8" s="663" t="s">
        <v>2644</v>
      </c>
      <c r="E8" s="403" t="s">
        <v>25</v>
      </c>
      <c r="F8" s="403" t="s">
        <v>2645</v>
      </c>
      <c r="G8" s="403" t="s">
        <v>2646</v>
      </c>
      <c r="H8" s="664" t="s">
        <v>2647</v>
      </c>
      <c r="I8" s="403" t="s">
        <v>2648</v>
      </c>
      <c r="J8" s="665" t="s">
        <v>2649</v>
      </c>
      <c r="K8" s="665" t="s">
        <v>2650</v>
      </c>
      <c r="L8" s="666" t="s">
        <v>2651</v>
      </c>
      <c r="M8" s="678">
        <v>13802.4</v>
      </c>
      <c r="N8" s="668">
        <v>45834.0</v>
      </c>
      <c r="O8" s="675">
        <v>45842.0</v>
      </c>
      <c r="P8" s="676" t="s">
        <v>2652</v>
      </c>
      <c r="Q8" s="670">
        <v>46207.0</v>
      </c>
      <c r="R8" s="672"/>
      <c r="S8" s="673"/>
      <c r="T8" s="673"/>
      <c r="U8" s="673"/>
      <c r="V8" s="673"/>
    </row>
    <row r="9" ht="15.75" customHeight="1">
      <c r="A9" s="660">
        <f t="shared" si="1"/>
        <v>40</v>
      </c>
      <c r="B9" s="661" t="str">
        <f t="shared" si="2"/>
        <v>Vencendo</v>
      </c>
      <c r="C9" s="662" t="s">
        <v>303</v>
      </c>
      <c r="D9" s="663" t="s">
        <v>2653</v>
      </c>
      <c r="E9" s="403" t="s">
        <v>25</v>
      </c>
      <c r="F9" s="403" t="s">
        <v>2645</v>
      </c>
      <c r="G9" s="403" t="s">
        <v>2646</v>
      </c>
      <c r="H9" s="664" t="s">
        <v>2647</v>
      </c>
      <c r="I9" s="403" t="s">
        <v>2648</v>
      </c>
      <c r="J9" s="665" t="s">
        <v>2649</v>
      </c>
      <c r="K9" s="665" t="s">
        <v>2654</v>
      </c>
      <c r="L9" s="666" t="s">
        <v>2651</v>
      </c>
      <c r="M9" s="678">
        <v>4273.2</v>
      </c>
      <c r="N9" s="668">
        <v>45826.0</v>
      </c>
      <c r="O9" s="675">
        <v>45842.0</v>
      </c>
      <c r="P9" s="676" t="s">
        <v>2652</v>
      </c>
      <c r="Q9" s="670">
        <v>46207.0</v>
      </c>
      <c r="R9" s="672"/>
      <c r="S9" s="673"/>
      <c r="T9" s="673"/>
      <c r="U9" s="673"/>
      <c r="V9" s="673"/>
    </row>
    <row r="10" ht="15.75" customHeight="1">
      <c r="A10" s="660">
        <f t="shared" si="1"/>
        <v>40</v>
      </c>
      <c r="B10" s="661" t="str">
        <f t="shared" si="2"/>
        <v>Vencendo</v>
      </c>
      <c r="C10" s="662" t="s">
        <v>270</v>
      </c>
      <c r="D10" s="663" t="s">
        <v>2655</v>
      </c>
      <c r="E10" s="403" t="s">
        <v>25</v>
      </c>
      <c r="F10" s="403" t="s">
        <v>2645</v>
      </c>
      <c r="G10" s="403" t="s">
        <v>2646</v>
      </c>
      <c r="H10" s="664" t="s">
        <v>2647</v>
      </c>
      <c r="I10" s="403" t="s">
        <v>2648</v>
      </c>
      <c r="J10" s="665" t="s">
        <v>2649</v>
      </c>
      <c r="K10" s="665" t="s">
        <v>2656</v>
      </c>
      <c r="L10" s="666" t="s">
        <v>2651</v>
      </c>
      <c r="M10" s="678">
        <v>12163.2</v>
      </c>
      <c r="N10" s="668">
        <v>45825.0</v>
      </c>
      <c r="O10" s="675">
        <v>45842.0</v>
      </c>
      <c r="P10" s="676" t="s">
        <v>2652</v>
      </c>
      <c r="Q10" s="670">
        <v>46207.0</v>
      </c>
      <c r="R10" s="672"/>
      <c r="S10" s="673"/>
      <c r="T10" s="673"/>
      <c r="U10" s="673"/>
      <c r="V10" s="673"/>
    </row>
    <row r="11" ht="15.75" customHeight="1">
      <c r="A11" s="660">
        <f t="shared" si="1"/>
        <v>40</v>
      </c>
      <c r="B11" s="661" t="str">
        <f t="shared" si="2"/>
        <v>Vencendo</v>
      </c>
      <c r="C11" s="662" t="s">
        <v>2657</v>
      </c>
      <c r="D11" s="679" t="s">
        <v>2658</v>
      </c>
      <c r="E11" s="403" t="s">
        <v>25</v>
      </c>
      <c r="F11" s="403" t="s">
        <v>2645</v>
      </c>
      <c r="G11" s="403" t="s">
        <v>2646</v>
      </c>
      <c r="H11" s="664" t="s">
        <v>2647</v>
      </c>
      <c r="I11" s="403" t="s">
        <v>2648</v>
      </c>
      <c r="J11" s="665" t="s">
        <v>2649</v>
      </c>
      <c r="K11" s="665" t="s">
        <v>2659</v>
      </c>
      <c r="L11" s="666" t="s">
        <v>2651</v>
      </c>
      <c r="M11" s="678">
        <v>4315.2</v>
      </c>
      <c r="N11" s="668">
        <v>45826.0</v>
      </c>
      <c r="O11" s="675">
        <v>45842.0</v>
      </c>
      <c r="P11" s="676" t="s">
        <v>2652</v>
      </c>
      <c r="Q11" s="670">
        <v>46207.0</v>
      </c>
      <c r="R11" s="672"/>
      <c r="S11" s="673"/>
      <c r="T11" s="673"/>
      <c r="U11" s="673"/>
      <c r="V11" s="673"/>
    </row>
    <row r="12" ht="15.75" customHeight="1">
      <c r="A12" s="660">
        <f t="shared" si="1"/>
        <v>59</v>
      </c>
      <c r="B12" s="661" t="str">
        <f t="shared" si="2"/>
        <v>Vencendo</v>
      </c>
      <c r="C12" s="662" t="s">
        <v>2660</v>
      </c>
      <c r="D12" s="679" t="s">
        <v>2661</v>
      </c>
      <c r="E12" s="403" t="s">
        <v>188</v>
      </c>
      <c r="F12" s="403" t="s">
        <v>2662</v>
      </c>
      <c r="G12" s="403" t="s">
        <v>2663</v>
      </c>
      <c r="H12" s="664" t="s">
        <v>2664</v>
      </c>
      <c r="I12" s="403" t="s">
        <v>2665</v>
      </c>
      <c r="J12" s="665" t="s">
        <v>2666</v>
      </c>
      <c r="K12" s="665" t="s">
        <v>2667</v>
      </c>
      <c r="L12" s="666" t="s">
        <v>2668</v>
      </c>
      <c r="M12" s="678">
        <v>95400.0</v>
      </c>
      <c r="N12" s="668">
        <v>45860.0</v>
      </c>
      <c r="O12" s="675">
        <v>45861.0</v>
      </c>
      <c r="P12" s="676" t="s">
        <v>2669</v>
      </c>
      <c r="Q12" s="670">
        <v>46226.0</v>
      </c>
      <c r="R12" s="672"/>
      <c r="S12" s="673"/>
      <c r="T12" s="673"/>
      <c r="U12" s="673"/>
      <c r="V12" s="673"/>
    </row>
    <row r="13" ht="15.75" customHeight="1">
      <c r="A13" s="660">
        <f t="shared" si="1"/>
        <v>68</v>
      </c>
      <c r="B13" s="661" t="str">
        <f t="shared" si="2"/>
        <v>Em Vigência</v>
      </c>
      <c r="C13" s="662" t="s">
        <v>2670</v>
      </c>
      <c r="D13" s="679" t="s">
        <v>2671</v>
      </c>
      <c r="E13" s="403" t="s">
        <v>114</v>
      </c>
      <c r="F13" s="403" t="s">
        <v>2672</v>
      </c>
      <c r="G13" s="403" t="s">
        <v>763</v>
      </c>
      <c r="H13" s="664" t="s">
        <v>2673</v>
      </c>
      <c r="I13" s="403" t="s">
        <v>2674</v>
      </c>
      <c r="J13" s="665" t="s">
        <v>2675</v>
      </c>
      <c r="K13" s="665" t="s">
        <v>2676</v>
      </c>
      <c r="L13" s="666" t="s">
        <v>2677</v>
      </c>
      <c r="M13" s="678">
        <v>105117.4</v>
      </c>
      <c r="N13" s="668">
        <v>45867.0</v>
      </c>
      <c r="O13" s="675">
        <v>45870.0</v>
      </c>
      <c r="P13" s="676" t="s">
        <v>2678</v>
      </c>
      <c r="Q13" s="670">
        <v>46235.0</v>
      </c>
      <c r="R13" s="672"/>
      <c r="S13" s="673"/>
      <c r="T13" s="673"/>
      <c r="U13" s="673"/>
      <c r="V13" s="673"/>
    </row>
    <row r="14" ht="15.75" customHeight="1">
      <c r="A14" s="660">
        <f t="shared" si="1"/>
        <v>59</v>
      </c>
      <c r="B14" s="661" t="str">
        <f t="shared" si="2"/>
        <v>Vencendo</v>
      </c>
      <c r="C14" s="662" t="s">
        <v>1071</v>
      </c>
      <c r="D14" s="679" t="s">
        <v>2679</v>
      </c>
      <c r="E14" s="403" t="s">
        <v>114</v>
      </c>
      <c r="F14" s="403" t="s">
        <v>2672</v>
      </c>
      <c r="G14" s="403" t="s">
        <v>763</v>
      </c>
      <c r="H14" s="664" t="s">
        <v>2673</v>
      </c>
      <c r="I14" s="403" t="s">
        <v>2674</v>
      </c>
      <c r="J14" s="665" t="s">
        <v>2675</v>
      </c>
      <c r="K14" s="665" t="s">
        <v>2680</v>
      </c>
      <c r="L14" s="666" t="s">
        <v>2677</v>
      </c>
      <c r="M14" s="678">
        <v>1243407.25</v>
      </c>
      <c r="N14" s="668">
        <v>45856.0</v>
      </c>
      <c r="O14" s="675">
        <v>45861.0</v>
      </c>
      <c r="P14" s="676" t="s">
        <v>2669</v>
      </c>
      <c r="Q14" s="670">
        <v>46226.0</v>
      </c>
      <c r="R14" s="672"/>
      <c r="S14" s="673"/>
      <c r="T14" s="673"/>
      <c r="U14" s="673"/>
      <c r="V14" s="673"/>
    </row>
    <row r="15" ht="15.75" customHeight="1">
      <c r="A15" s="660">
        <f t="shared" si="1"/>
        <v>59</v>
      </c>
      <c r="B15" s="661" t="str">
        <f t="shared" si="2"/>
        <v>Vencendo</v>
      </c>
      <c r="C15" s="662" t="s">
        <v>394</v>
      </c>
      <c r="D15" s="679" t="s">
        <v>2681</v>
      </c>
      <c r="E15" s="403" t="s">
        <v>114</v>
      </c>
      <c r="F15" s="403" t="s">
        <v>2672</v>
      </c>
      <c r="G15" s="403" t="s">
        <v>763</v>
      </c>
      <c r="H15" s="664" t="s">
        <v>2673</v>
      </c>
      <c r="I15" s="403" t="s">
        <v>2674</v>
      </c>
      <c r="J15" s="665" t="s">
        <v>2675</v>
      </c>
      <c r="K15" s="665" t="s">
        <v>2682</v>
      </c>
      <c r="L15" s="666" t="s">
        <v>2677</v>
      </c>
      <c r="M15" s="678">
        <v>285474.43</v>
      </c>
      <c r="N15" s="668">
        <v>45855.0</v>
      </c>
      <c r="O15" s="675">
        <v>45861.0</v>
      </c>
      <c r="P15" s="676" t="s">
        <v>2669</v>
      </c>
      <c r="Q15" s="670">
        <v>46226.0</v>
      </c>
      <c r="R15" s="672"/>
      <c r="S15" s="673"/>
      <c r="T15" s="673"/>
      <c r="U15" s="673"/>
      <c r="V15" s="673"/>
    </row>
    <row r="16" ht="15.75" customHeight="1">
      <c r="A16" s="660">
        <f t="shared" si="1"/>
        <v>64</v>
      </c>
      <c r="B16" s="661" t="str">
        <f t="shared" si="2"/>
        <v>Em Vigência</v>
      </c>
      <c r="C16" s="662" t="s">
        <v>406</v>
      </c>
      <c r="D16" s="679" t="s">
        <v>2683</v>
      </c>
      <c r="E16" s="403" t="s">
        <v>114</v>
      </c>
      <c r="F16" s="403" t="s">
        <v>2672</v>
      </c>
      <c r="G16" s="403" t="s">
        <v>763</v>
      </c>
      <c r="H16" s="664" t="s">
        <v>2673</v>
      </c>
      <c r="I16" s="403" t="s">
        <v>2674</v>
      </c>
      <c r="J16" s="665" t="s">
        <v>2675</v>
      </c>
      <c r="K16" s="665" t="s">
        <v>2684</v>
      </c>
      <c r="L16" s="666" t="s">
        <v>2677</v>
      </c>
      <c r="M16" s="678">
        <v>649690.0</v>
      </c>
      <c r="N16" s="668">
        <v>45861.0</v>
      </c>
      <c r="O16" s="675">
        <v>45866.0</v>
      </c>
      <c r="P16" s="676" t="s">
        <v>2685</v>
      </c>
      <c r="Q16" s="670">
        <v>46231.0</v>
      </c>
      <c r="R16" s="672"/>
      <c r="S16" s="673"/>
      <c r="T16" s="673"/>
      <c r="U16" s="673"/>
      <c r="V16" s="673"/>
    </row>
    <row r="17" ht="15.75" customHeight="1">
      <c r="A17" s="660">
        <f t="shared" si="1"/>
        <v>74</v>
      </c>
      <c r="B17" s="661" t="str">
        <f t="shared" si="2"/>
        <v>Em Vigência</v>
      </c>
      <c r="C17" s="662" t="s">
        <v>2686</v>
      </c>
      <c r="D17" s="679" t="s">
        <v>2687</v>
      </c>
      <c r="E17" s="403" t="s">
        <v>188</v>
      </c>
      <c r="F17" s="403" t="s">
        <v>2688</v>
      </c>
      <c r="G17" s="403" t="s">
        <v>2689</v>
      </c>
      <c r="H17" s="664" t="s">
        <v>2690</v>
      </c>
      <c r="I17" s="403" t="s">
        <v>2691</v>
      </c>
      <c r="J17" s="665" t="s">
        <v>2692</v>
      </c>
      <c r="K17" s="665" t="s">
        <v>2693</v>
      </c>
      <c r="L17" s="666" t="s">
        <v>2694</v>
      </c>
      <c r="M17" s="678">
        <v>38334.0</v>
      </c>
      <c r="N17" s="668">
        <v>45873.0</v>
      </c>
      <c r="O17" s="675">
        <v>45876.0</v>
      </c>
      <c r="P17" s="676" t="s">
        <v>2695</v>
      </c>
      <c r="Q17" s="670">
        <v>46241.0</v>
      </c>
      <c r="R17" s="672"/>
      <c r="S17" s="680"/>
      <c r="T17" s="680"/>
      <c r="U17" s="680"/>
      <c r="V17" s="680"/>
    </row>
    <row r="18" ht="15.75" customHeight="1">
      <c r="A18" s="660">
        <f t="shared" si="1"/>
        <v>74</v>
      </c>
      <c r="B18" s="661" t="str">
        <f t="shared" si="2"/>
        <v>Em Vigência</v>
      </c>
      <c r="C18" s="662" t="s">
        <v>2696</v>
      </c>
      <c r="D18" s="679" t="s">
        <v>2697</v>
      </c>
      <c r="E18" s="403" t="s">
        <v>188</v>
      </c>
      <c r="F18" s="403" t="s">
        <v>2698</v>
      </c>
      <c r="G18" s="403" t="s">
        <v>2699</v>
      </c>
      <c r="H18" s="664" t="s">
        <v>2700</v>
      </c>
      <c r="I18" s="403" t="s">
        <v>2701</v>
      </c>
      <c r="J18" s="665" t="s">
        <v>2702</v>
      </c>
      <c r="K18" s="665" t="s">
        <v>2703</v>
      </c>
      <c r="L18" s="666" t="s">
        <v>2694</v>
      </c>
      <c r="M18" s="678">
        <v>7948.41</v>
      </c>
      <c r="N18" s="668">
        <v>45873.0</v>
      </c>
      <c r="O18" s="675">
        <v>45876.0</v>
      </c>
      <c r="P18" s="676" t="s">
        <v>2695</v>
      </c>
      <c r="Q18" s="670">
        <v>46241.0</v>
      </c>
      <c r="R18" s="672"/>
      <c r="S18" s="680"/>
      <c r="T18" s="680"/>
      <c r="U18" s="680"/>
      <c r="V18" s="680"/>
    </row>
    <row r="19" ht="15.75" customHeight="1">
      <c r="A19" s="660">
        <f t="shared" si="1"/>
        <v>74</v>
      </c>
      <c r="B19" s="661" t="str">
        <f t="shared" si="2"/>
        <v>Em Vigência</v>
      </c>
      <c r="C19" s="662" t="s">
        <v>869</v>
      </c>
      <c r="D19" s="679" t="s">
        <v>2704</v>
      </c>
      <c r="E19" s="403" t="s">
        <v>25</v>
      </c>
      <c r="F19" s="403" t="s">
        <v>2698</v>
      </c>
      <c r="G19" s="403" t="s">
        <v>2699</v>
      </c>
      <c r="H19" s="664" t="s">
        <v>2700</v>
      </c>
      <c r="I19" s="403" t="s">
        <v>2701</v>
      </c>
      <c r="J19" s="665" t="s">
        <v>2702</v>
      </c>
      <c r="K19" s="665" t="s">
        <v>2705</v>
      </c>
      <c r="L19" s="666" t="s">
        <v>2694</v>
      </c>
      <c r="M19" s="678">
        <v>27807.3</v>
      </c>
      <c r="N19" s="668">
        <v>45867.0</v>
      </c>
      <c r="O19" s="675">
        <v>45876.0</v>
      </c>
      <c r="P19" s="676" t="s">
        <v>2695</v>
      </c>
      <c r="Q19" s="670">
        <v>46241.0</v>
      </c>
      <c r="R19" s="672"/>
      <c r="S19" s="680"/>
      <c r="T19" s="680"/>
      <c r="U19" s="680"/>
      <c r="V19" s="680"/>
    </row>
    <row r="20" ht="15.75" customHeight="1">
      <c r="A20" s="660">
        <f t="shared" si="1"/>
        <v>74</v>
      </c>
      <c r="B20" s="661" t="str">
        <f t="shared" si="2"/>
        <v>Em Vigência</v>
      </c>
      <c r="C20" s="662" t="s">
        <v>2706</v>
      </c>
      <c r="D20" s="679" t="s">
        <v>2707</v>
      </c>
      <c r="E20" s="403" t="s">
        <v>25</v>
      </c>
      <c r="F20" s="403" t="s">
        <v>2698</v>
      </c>
      <c r="G20" s="403" t="s">
        <v>2699</v>
      </c>
      <c r="H20" s="664" t="s">
        <v>2700</v>
      </c>
      <c r="I20" s="403" t="s">
        <v>2701</v>
      </c>
      <c r="J20" s="665" t="s">
        <v>2702</v>
      </c>
      <c r="K20" s="665" t="s">
        <v>2708</v>
      </c>
      <c r="L20" s="666" t="s">
        <v>2694</v>
      </c>
      <c r="M20" s="678">
        <v>603.6</v>
      </c>
      <c r="N20" s="668">
        <v>45868.0</v>
      </c>
      <c r="O20" s="675">
        <v>45876.0</v>
      </c>
      <c r="P20" s="676" t="s">
        <v>2695</v>
      </c>
      <c r="Q20" s="670">
        <v>46241.0</v>
      </c>
      <c r="R20" s="672"/>
      <c r="S20" s="680"/>
      <c r="T20" s="680"/>
      <c r="U20" s="680"/>
      <c r="V20" s="680"/>
    </row>
    <row r="21" ht="15.75" customHeight="1">
      <c r="A21" s="660">
        <f t="shared" si="1"/>
        <v>74</v>
      </c>
      <c r="B21" s="661" t="str">
        <f t="shared" si="2"/>
        <v>Em Vigência</v>
      </c>
      <c r="C21" s="662" t="s">
        <v>536</v>
      </c>
      <c r="D21" s="679" t="s">
        <v>2709</v>
      </c>
      <c r="E21" s="403" t="s">
        <v>25</v>
      </c>
      <c r="F21" s="403" t="s">
        <v>2698</v>
      </c>
      <c r="G21" s="403" t="s">
        <v>2699</v>
      </c>
      <c r="H21" s="664" t="s">
        <v>2700</v>
      </c>
      <c r="I21" s="403" t="s">
        <v>2701</v>
      </c>
      <c r="J21" s="665" t="s">
        <v>2702</v>
      </c>
      <c r="K21" s="665" t="s">
        <v>2710</v>
      </c>
      <c r="L21" s="666" t="s">
        <v>2694</v>
      </c>
      <c r="M21" s="678">
        <v>3447.64</v>
      </c>
      <c r="N21" s="668">
        <v>45869.0</v>
      </c>
      <c r="O21" s="675">
        <v>45876.0</v>
      </c>
      <c r="P21" s="676" t="s">
        <v>2695</v>
      </c>
      <c r="Q21" s="670">
        <v>46241.0</v>
      </c>
      <c r="R21" s="672"/>
      <c r="S21" s="680"/>
      <c r="T21" s="680"/>
      <c r="U21" s="680"/>
      <c r="V21" s="680"/>
    </row>
    <row r="22" ht="15.75" customHeight="1">
      <c r="A22" s="660">
        <f t="shared" si="1"/>
        <v>75</v>
      </c>
      <c r="B22" s="661" t="str">
        <f t="shared" si="2"/>
        <v>Em Vigência</v>
      </c>
      <c r="C22" s="662" t="s">
        <v>460</v>
      </c>
      <c r="D22" s="679" t="s">
        <v>2711</v>
      </c>
      <c r="E22" s="403" t="s">
        <v>25</v>
      </c>
      <c r="F22" s="403" t="s">
        <v>2712</v>
      </c>
      <c r="G22" s="403" t="s">
        <v>2713</v>
      </c>
      <c r="H22" s="664" t="s">
        <v>2714</v>
      </c>
      <c r="I22" s="403" t="s">
        <v>2715</v>
      </c>
      <c r="J22" s="665" t="s">
        <v>2716</v>
      </c>
      <c r="K22" s="665" t="s">
        <v>2717</v>
      </c>
      <c r="L22" s="666" t="s">
        <v>2718</v>
      </c>
      <c r="M22" s="678">
        <v>43228.8</v>
      </c>
      <c r="N22" s="668">
        <v>45875.0</v>
      </c>
      <c r="O22" s="675">
        <v>45877.0</v>
      </c>
      <c r="P22" s="676" t="s">
        <v>2719</v>
      </c>
      <c r="Q22" s="670">
        <v>46242.0</v>
      </c>
      <c r="R22" s="672"/>
      <c r="S22" s="680"/>
      <c r="T22" s="680"/>
      <c r="U22" s="680"/>
      <c r="V22" s="680"/>
    </row>
    <row r="23" ht="15.75" customHeight="1">
      <c r="A23" s="660">
        <f t="shared" si="1"/>
        <v>75</v>
      </c>
      <c r="B23" s="661" t="str">
        <f t="shared" si="2"/>
        <v>Em Vigência</v>
      </c>
      <c r="C23" s="662" t="s">
        <v>1012</v>
      </c>
      <c r="D23" s="679" t="s">
        <v>2720</v>
      </c>
      <c r="E23" s="403" t="s">
        <v>25</v>
      </c>
      <c r="F23" s="403" t="s">
        <v>2712</v>
      </c>
      <c r="G23" s="403" t="s">
        <v>2713</v>
      </c>
      <c r="H23" s="664" t="s">
        <v>2714</v>
      </c>
      <c r="I23" s="403" t="s">
        <v>2715</v>
      </c>
      <c r="J23" s="665" t="s">
        <v>2716</v>
      </c>
      <c r="K23" s="665" t="s">
        <v>2721</v>
      </c>
      <c r="L23" s="666" t="s">
        <v>2718</v>
      </c>
      <c r="M23" s="678">
        <v>2376.0</v>
      </c>
      <c r="N23" s="668">
        <v>45874.0</v>
      </c>
      <c r="O23" s="675">
        <v>45877.0</v>
      </c>
      <c r="P23" s="676" t="s">
        <v>2719</v>
      </c>
      <c r="Q23" s="670">
        <v>46242.0</v>
      </c>
      <c r="R23" s="672"/>
      <c r="S23" s="680"/>
      <c r="T23" s="680"/>
      <c r="U23" s="680"/>
      <c r="V23" s="680"/>
    </row>
    <row r="24" ht="15.75" customHeight="1">
      <c r="A24" s="660">
        <f t="shared" si="1"/>
        <v>81</v>
      </c>
      <c r="B24" s="661" t="str">
        <f t="shared" si="2"/>
        <v>Em Vigência</v>
      </c>
      <c r="C24" s="662" t="s">
        <v>2722</v>
      </c>
      <c r="D24" s="679" t="s">
        <v>2723</v>
      </c>
      <c r="E24" s="403" t="s">
        <v>25</v>
      </c>
      <c r="F24" s="403" t="s">
        <v>2712</v>
      </c>
      <c r="G24" s="403" t="s">
        <v>2713</v>
      </c>
      <c r="H24" s="664" t="s">
        <v>2714</v>
      </c>
      <c r="I24" s="403" t="s">
        <v>2715</v>
      </c>
      <c r="J24" s="665" t="s">
        <v>2716</v>
      </c>
      <c r="K24" s="665" t="s">
        <v>2724</v>
      </c>
      <c r="L24" s="666" t="s">
        <v>2718</v>
      </c>
      <c r="M24" s="678">
        <v>6084.0</v>
      </c>
      <c r="N24" s="668">
        <v>45876.0</v>
      </c>
      <c r="O24" s="675">
        <v>45883.0</v>
      </c>
      <c r="P24" s="676" t="s">
        <v>2725</v>
      </c>
      <c r="Q24" s="670">
        <v>46248.0</v>
      </c>
      <c r="R24" s="672"/>
      <c r="S24" s="680"/>
      <c r="T24" s="680"/>
      <c r="U24" s="680"/>
      <c r="V24" s="680"/>
    </row>
    <row r="25" ht="15.75" customHeight="1">
      <c r="A25" s="660">
        <f t="shared" si="1"/>
        <v>74</v>
      </c>
      <c r="B25" s="661" t="str">
        <f t="shared" si="2"/>
        <v>Em Vigência</v>
      </c>
      <c r="C25" s="662" t="s">
        <v>2726</v>
      </c>
      <c r="D25" s="679" t="s">
        <v>2727</v>
      </c>
      <c r="E25" s="403" t="s">
        <v>25</v>
      </c>
      <c r="F25" s="403" t="s">
        <v>2712</v>
      </c>
      <c r="G25" s="403" t="s">
        <v>2713</v>
      </c>
      <c r="H25" s="664" t="s">
        <v>2714</v>
      </c>
      <c r="I25" s="403" t="s">
        <v>2715</v>
      </c>
      <c r="J25" s="665" t="s">
        <v>2716</v>
      </c>
      <c r="K25" s="665" t="s">
        <v>2728</v>
      </c>
      <c r="L25" s="666" t="s">
        <v>2718</v>
      </c>
      <c r="M25" s="678">
        <v>1252.8</v>
      </c>
      <c r="N25" s="668">
        <v>45873.0</v>
      </c>
      <c r="O25" s="675">
        <v>45876.0</v>
      </c>
      <c r="P25" s="676" t="s">
        <v>2695</v>
      </c>
      <c r="Q25" s="670">
        <v>46241.0</v>
      </c>
      <c r="R25" s="672"/>
      <c r="S25" s="680"/>
      <c r="T25" s="680"/>
      <c r="U25" s="680"/>
      <c r="V25" s="680"/>
    </row>
    <row r="26" ht="15.75" customHeight="1">
      <c r="A26" s="660">
        <f t="shared" si="1"/>
        <v>75</v>
      </c>
      <c r="B26" s="661" t="str">
        <f t="shared" si="2"/>
        <v>Em Vigência</v>
      </c>
      <c r="C26" s="662" t="s">
        <v>2729</v>
      </c>
      <c r="D26" s="679" t="s">
        <v>2730</v>
      </c>
      <c r="E26" s="403" t="s">
        <v>25</v>
      </c>
      <c r="F26" s="403" t="s">
        <v>2712</v>
      </c>
      <c r="G26" s="403" t="s">
        <v>2713</v>
      </c>
      <c r="H26" s="664" t="s">
        <v>2714</v>
      </c>
      <c r="I26" s="403" t="s">
        <v>2715</v>
      </c>
      <c r="J26" s="665" t="s">
        <v>2716</v>
      </c>
      <c r="K26" s="665" t="s">
        <v>2731</v>
      </c>
      <c r="L26" s="666" t="s">
        <v>2718</v>
      </c>
      <c r="M26" s="678">
        <v>4219.2</v>
      </c>
      <c r="N26" s="668">
        <v>45874.0</v>
      </c>
      <c r="O26" s="675">
        <v>45877.0</v>
      </c>
      <c r="P26" s="676" t="s">
        <v>2719</v>
      </c>
      <c r="Q26" s="670">
        <v>46242.0</v>
      </c>
      <c r="R26" s="672"/>
      <c r="S26" s="680"/>
      <c r="T26" s="680"/>
      <c r="U26" s="680"/>
      <c r="V26" s="680"/>
    </row>
    <row r="27" ht="15.75" customHeight="1">
      <c r="A27" s="660">
        <f t="shared" si="1"/>
        <v>86</v>
      </c>
      <c r="B27" s="661" t="str">
        <f t="shared" si="2"/>
        <v>Em Vigência</v>
      </c>
      <c r="C27" s="662" t="s">
        <v>2732</v>
      </c>
      <c r="D27" s="679" t="s">
        <v>2733</v>
      </c>
      <c r="E27" s="403" t="s">
        <v>40</v>
      </c>
      <c r="F27" s="403" t="s">
        <v>2734</v>
      </c>
      <c r="G27" s="403" t="s">
        <v>2735</v>
      </c>
      <c r="H27" s="664" t="s">
        <v>2736</v>
      </c>
      <c r="I27" s="403" t="s">
        <v>2737</v>
      </c>
      <c r="J27" s="665" t="s">
        <v>2738</v>
      </c>
      <c r="K27" s="665" t="s">
        <v>2739</v>
      </c>
      <c r="L27" s="666" t="s">
        <v>2740</v>
      </c>
      <c r="M27" s="678">
        <v>129000.0</v>
      </c>
      <c r="N27" s="675">
        <v>45888.0</v>
      </c>
      <c r="O27" s="675">
        <v>45902.0</v>
      </c>
      <c r="P27" s="676" t="s">
        <v>2741</v>
      </c>
      <c r="Q27" s="670">
        <v>46253.0</v>
      </c>
      <c r="R27" s="672"/>
      <c r="S27" s="680"/>
      <c r="T27" s="680"/>
      <c r="U27" s="680"/>
      <c r="V27" s="680"/>
    </row>
    <row r="28" ht="15.75" customHeight="1">
      <c r="A28" s="660">
        <f t="shared" si="1"/>
        <v>86</v>
      </c>
      <c r="B28" s="661" t="str">
        <f t="shared" si="2"/>
        <v>Em Vigência</v>
      </c>
      <c r="C28" s="662" t="s">
        <v>2742</v>
      </c>
      <c r="D28" s="679" t="s">
        <v>2743</v>
      </c>
      <c r="E28" s="403" t="s">
        <v>40</v>
      </c>
      <c r="F28" s="403" t="s">
        <v>2734</v>
      </c>
      <c r="G28" s="403" t="s">
        <v>2735</v>
      </c>
      <c r="H28" s="664" t="s">
        <v>2736</v>
      </c>
      <c r="I28" s="403" t="s">
        <v>2737</v>
      </c>
      <c r="J28" s="665" t="s">
        <v>2738</v>
      </c>
      <c r="K28" s="665" t="s">
        <v>2744</v>
      </c>
      <c r="L28" s="666" t="s">
        <v>2740</v>
      </c>
      <c r="M28" s="678">
        <v>18618.0</v>
      </c>
      <c r="N28" s="675">
        <v>45888.0</v>
      </c>
      <c r="O28" s="675">
        <v>45902.0</v>
      </c>
      <c r="P28" s="676" t="s">
        <v>2741</v>
      </c>
      <c r="Q28" s="670">
        <v>46253.0</v>
      </c>
      <c r="R28" s="672"/>
      <c r="S28" s="680"/>
      <c r="T28" s="680"/>
      <c r="U28" s="680"/>
      <c r="V28" s="680"/>
    </row>
    <row r="29" ht="15.75" customHeight="1">
      <c r="A29" s="660">
        <f t="shared" si="1"/>
        <v>95</v>
      </c>
      <c r="B29" s="661" t="str">
        <f t="shared" si="2"/>
        <v>Em Vigência</v>
      </c>
      <c r="C29" s="662" t="s">
        <v>2745</v>
      </c>
      <c r="D29" s="679" t="s">
        <v>2746</v>
      </c>
      <c r="E29" s="403" t="s">
        <v>40</v>
      </c>
      <c r="F29" s="403" t="s">
        <v>2734</v>
      </c>
      <c r="G29" s="403" t="s">
        <v>2735</v>
      </c>
      <c r="H29" s="664" t="s">
        <v>2736</v>
      </c>
      <c r="I29" s="403" t="s">
        <v>2737</v>
      </c>
      <c r="J29" s="665" t="s">
        <v>2738</v>
      </c>
      <c r="K29" s="665" t="s">
        <v>2747</v>
      </c>
      <c r="L29" s="666" t="s">
        <v>2740</v>
      </c>
      <c r="M29" s="678">
        <v>34706.72</v>
      </c>
      <c r="N29" s="675">
        <v>45897.0</v>
      </c>
      <c r="O29" s="675">
        <v>45902.0</v>
      </c>
      <c r="P29" s="676" t="s">
        <v>2748</v>
      </c>
      <c r="Q29" s="670">
        <v>46262.0</v>
      </c>
      <c r="R29" s="672"/>
      <c r="S29" s="680"/>
      <c r="T29" s="680"/>
      <c r="U29" s="680"/>
      <c r="V29" s="680"/>
    </row>
    <row r="30" ht="15.75" customHeight="1">
      <c r="A30" s="660">
        <f t="shared" si="1"/>
        <v>89</v>
      </c>
      <c r="B30" s="661" t="str">
        <f t="shared" si="2"/>
        <v>Em Vigência</v>
      </c>
      <c r="C30" s="662" t="s">
        <v>2749</v>
      </c>
      <c r="D30" s="679" t="s">
        <v>2750</v>
      </c>
      <c r="E30" s="403" t="s">
        <v>25</v>
      </c>
      <c r="F30" s="403" t="s">
        <v>2751</v>
      </c>
      <c r="G30" s="403" t="s">
        <v>2752</v>
      </c>
      <c r="H30" s="664" t="s">
        <v>2753</v>
      </c>
      <c r="I30" s="403" t="s">
        <v>2754</v>
      </c>
      <c r="J30" s="665" t="s">
        <v>2755</v>
      </c>
      <c r="K30" s="665" t="s">
        <v>2756</v>
      </c>
      <c r="L30" s="666" t="s">
        <v>2757</v>
      </c>
      <c r="M30" s="678">
        <v>158388.0</v>
      </c>
      <c r="N30" s="668">
        <v>45888.0</v>
      </c>
      <c r="O30" s="675">
        <v>45891.0</v>
      </c>
      <c r="P30" s="676" t="s">
        <v>2758</v>
      </c>
      <c r="Q30" s="670">
        <v>46256.0</v>
      </c>
      <c r="R30" s="672"/>
      <c r="S30" s="680"/>
      <c r="T30" s="680"/>
      <c r="U30" s="680"/>
      <c r="V30" s="680"/>
    </row>
    <row r="31" ht="58.5" customHeight="1">
      <c r="A31" s="681">
        <f t="shared" si="1"/>
        <v>93</v>
      </c>
      <c r="B31" s="661" t="str">
        <f t="shared" si="2"/>
        <v>Em Vigência</v>
      </c>
      <c r="C31" s="662" t="s">
        <v>1457</v>
      </c>
      <c r="D31" s="682" t="s">
        <v>2759</v>
      </c>
      <c r="E31" s="683" t="s">
        <v>25</v>
      </c>
      <c r="F31" s="403" t="s">
        <v>177</v>
      </c>
      <c r="G31" s="403" t="s">
        <v>2760</v>
      </c>
      <c r="H31" s="684" t="s">
        <v>2761</v>
      </c>
      <c r="I31" s="683" t="s">
        <v>2762</v>
      </c>
      <c r="J31" s="685">
        <v>45444.0</v>
      </c>
      <c r="K31" s="686" t="s">
        <v>2763</v>
      </c>
      <c r="L31" s="687" t="s">
        <v>2764</v>
      </c>
      <c r="M31" s="667">
        <v>2025000.0</v>
      </c>
      <c r="N31" s="668">
        <v>45530.0</v>
      </c>
      <c r="O31" s="669">
        <v>45530.0</v>
      </c>
      <c r="P31" s="403" t="s">
        <v>2765</v>
      </c>
      <c r="Q31" s="688">
        <v>46260.0</v>
      </c>
      <c r="R31" s="672"/>
      <c r="S31" s="672"/>
      <c r="T31" s="673"/>
      <c r="U31" s="673"/>
      <c r="V31" s="673"/>
    </row>
    <row r="32" ht="59.25" customHeight="1">
      <c r="A32" s="79"/>
      <c r="B32" s="661" t="str">
        <f t="shared" si="2"/>
        <v>Vencendo</v>
      </c>
      <c r="C32" s="662" t="s">
        <v>2</v>
      </c>
      <c r="D32" s="79"/>
      <c r="E32" s="350"/>
      <c r="F32" s="403" t="s">
        <v>2766</v>
      </c>
      <c r="G32" s="403" t="s">
        <v>2760</v>
      </c>
      <c r="H32" s="79"/>
      <c r="I32" s="79"/>
      <c r="J32" s="79"/>
      <c r="K32" s="79"/>
      <c r="L32" s="79"/>
      <c r="M32" s="667">
        <v>2025000.0</v>
      </c>
      <c r="N32" s="668">
        <v>45895.0</v>
      </c>
      <c r="O32" s="669">
        <v>45910.0</v>
      </c>
      <c r="P32" s="403" t="s">
        <v>2767</v>
      </c>
      <c r="Q32" s="79"/>
      <c r="R32" s="672"/>
      <c r="S32" s="672"/>
      <c r="T32" s="673"/>
      <c r="U32" s="673"/>
      <c r="V32" s="673"/>
    </row>
    <row r="33" ht="15.75" customHeight="1">
      <c r="A33" s="660">
        <f t="shared" ref="A33:A108" si="3">Q33-$A$1</f>
        <v>94</v>
      </c>
      <c r="B33" s="661" t="str">
        <f t="shared" si="2"/>
        <v>Em Vigência</v>
      </c>
      <c r="C33" s="662" t="s">
        <v>2768</v>
      </c>
      <c r="D33" s="679" t="s">
        <v>2769</v>
      </c>
      <c r="E33" s="403" t="s">
        <v>25</v>
      </c>
      <c r="F33" s="403" t="s">
        <v>2751</v>
      </c>
      <c r="G33" s="403" t="s">
        <v>2752</v>
      </c>
      <c r="H33" s="664" t="s">
        <v>2753</v>
      </c>
      <c r="I33" s="403" t="s">
        <v>2754</v>
      </c>
      <c r="J33" s="665" t="s">
        <v>2755</v>
      </c>
      <c r="K33" s="665" t="s">
        <v>2770</v>
      </c>
      <c r="L33" s="666" t="s">
        <v>2757</v>
      </c>
      <c r="M33" s="678">
        <v>64632.0</v>
      </c>
      <c r="N33" s="668">
        <v>45894.0</v>
      </c>
      <c r="O33" s="675">
        <v>45896.0</v>
      </c>
      <c r="P33" s="676" t="s">
        <v>2771</v>
      </c>
      <c r="Q33" s="670">
        <v>46261.0</v>
      </c>
      <c r="R33" s="672"/>
      <c r="S33" s="680"/>
      <c r="T33" s="680"/>
      <c r="U33" s="680"/>
      <c r="V33" s="680"/>
    </row>
    <row r="34" ht="15.75" customHeight="1">
      <c r="A34" s="660">
        <f t="shared" si="3"/>
        <v>114</v>
      </c>
      <c r="B34" s="661" t="str">
        <f t="shared" si="2"/>
        <v>Em Vigência</v>
      </c>
      <c r="C34" s="662" t="s">
        <v>2772</v>
      </c>
      <c r="D34" s="679" t="s">
        <v>2773</v>
      </c>
      <c r="E34" s="403" t="s">
        <v>25</v>
      </c>
      <c r="F34" s="403" t="s">
        <v>2751</v>
      </c>
      <c r="G34" s="403" t="s">
        <v>2752</v>
      </c>
      <c r="H34" s="664" t="s">
        <v>2753</v>
      </c>
      <c r="I34" s="403" t="s">
        <v>2754</v>
      </c>
      <c r="J34" s="665" t="s">
        <v>2755</v>
      </c>
      <c r="K34" s="665" t="s">
        <v>2774</v>
      </c>
      <c r="L34" s="666" t="s">
        <v>2757</v>
      </c>
      <c r="M34" s="678">
        <v>39636.0</v>
      </c>
      <c r="N34" s="668">
        <v>45910.0</v>
      </c>
      <c r="O34" s="675">
        <v>45916.0</v>
      </c>
      <c r="P34" s="676" t="s">
        <v>2775</v>
      </c>
      <c r="Q34" s="670">
        <v>46281.0</v>
      </c>
      <c r="R34" s="672"/>
      <c r="S34" s="680"/>
      <c r="T34" s="680"/>
      <c r="U34" s="680"/>
      <c r="V34" s="680"/>
    </row>
    <row r="35" ht="15.75" customHeight="1">
      <c r="A35" s="660">
        <f t="shared" si="3"/>
        <v>102</v>
      </c>
      <c r="B35" s="661" t="str">
        <f t="shared" si="2"/>
        <v>Em Vigência</v>
      </c>
      <c r="C35" s="662" t="s">
        <v>2776</v>
      </c>
      <c r="D35" s="679" t="s">
        <v>2777</v>
      </c>
      <c r="E35" s="403" t="s">
        <v>25</v>
      </c>
      <c r="F35" s="403" t="s">
        <v>2751</v>
      </c>
      <c r="G35" s="403" t="s">
        <v>2752</v>
      </c>
      <c r="H35" s="664" t="s">
        <v>2753</v>
      </c>
      <c r="I35" s="403" t="s">
        <v>2754</v>
      </c>
      <c r="J35" s="665" t="s">
        <v>2755</v>
      </c>
      <c r="K35" s="665" t="s">
        <v>2778</v>
      </c>
      <c r="L35" s="666" t="s">
        <v>2757</v>
      </c>
      <c r="M35" s="678">
        <v>27600.0</v>
      </c>
      <c r="N35" s="668">
        <v>45887.0</v>
      </c>
      <c r="O35" s="675">
        <v>45904.0</v>
      </c>
      <c r="P35" s="676" t="s">
        <v>2779</v>
      </c>
      <c r="Q35" s="670">
        <v>46269.0</v>
      </c>
      <c r="R35" s="672"/>
      <c r="S35" s="680"/>
      <c r="T35" s="680"/>
      <c r="U35" s="680"/>
      <c r="V35" s="680"/>
    </row>
    <row r="36" ht="15.75" customHeight="1">
      <c r="A36" s="660">
        <f t="shared" si="3"/>
        <v>107</v>
      </c>
      <c r="B36" s="661" t="str">
        <f t="shared" si="2"/>
        <v>Em Vigência</v>
      </c>
      <c r="C36" s="662" t="s">
        <v>2780</v>
      </c>
      <c r="D36" s="679" t="s">
        <v>2781</v>
      </c>
      <c r="E36" s="403" t="s">
        <v>25</v>
      </c>
      <c r="F36" s="403" t="s">
        <v>2751</v>
      </c>
      <c r="G36" s="403" t="s">
        <v>2752</v>
      </c>
      <c r="H36" s="664" t="s">
        <v>2753</v>
      </c>
      <c r="I36" s="403" t="s">
        <v>2754</v>
      </c>
      <c r="J36" s="665" t="s">
        <v>2755</v>
      </c>
      <c r="K36" s="665" t="s">
        <v>2782</v>
      </c>
      <c r="L36" s="666" t="s">
        <v>2757</v>
      </c>
      <c r="M36" s="678">
        <v>5976.0</v>
      </c>
      <c r="N36" s="668">
        <v>45902.0</v>
      </c>
      <c r="O36" s="675">
        <v>45909.0</v>
      </c>
      <c r="P36" s="676" t="s">
        <v>2783</v>
      </c>
      <c r="Q36" s="670">
        <v>46274.0</v>
      </c>
      <c r="R36" s="672"/>
      <c r="S36" s="680"/>
      <c r="T36" s="680"/>
      <c r="U36" s="680"/>
      <c r="V36" s="680"/>
    </row>
    <row r="37" ht="15.75" customHeight="1">
      <c r="A37" s="660">
        <f t="shared" si="3"/>
        <v>94</v>
      </c>
      <c r="B37" s="661" t="str">
        <f t="shared" si="2"/>
        <v>Em Vigência</v>
      </c>
      <c r="C37" s="662" t="s">
        <v>2784</v>
      </c>
      <c r="D37" s="679" t="s">
        <v>2785</v>
      </c>
      <c r="E37" s="403" t="s">
        <v>25</v>
      </c>
      <c r="F37" s="403" t="s">
        <v>2751</v>
      </c>
      <c r="G37" s="403" t="s">
        <v>2752</v>
      </c>
      <c r="H37" s="664" t="s">
        <v>2753</v>
      </c>
      <c r="I37" s="403" t="s">
        <v>2754</v>
      </c>
      <c r="J37" s="665" t="s">
        <v>2755</v>
      </c>
      <c r="K37" s="665" t="s">
        <v>2786</v>
      </c>
      <c r="L37" s="666" t="s">
        <v>2757</v>
      </c>
      <c r="M37" s="678">
        <v>19557.0</v>
      </c>
      <c r="N37" s="668">
        <v>45889.0</v>
      </c>
      <c r="O37" s="689">
        <v>45896.0</v>
      </c>
      <c r="P37" s="676" t="s">
        <v>2771</v>
      </c>
      <c r="Q37" s="670">
        <v>46261.0</v>
      </c>
      <c r="R37" s="672"/>
      <c r="S37" s="680"/>
      <c r="T37" s="680"/>
      <c r="U37" s="680"/>
      <c r="V37" s="680"/>
    </row>
    <row r="38" ht="15.75" customHeight="1">
      <c r="A38" s="660">
        <f t="shared" si="3"/>
        <v>89</v>
      </c>
      <c r="B38" s="661" t="str">
        <f t="shared" si="2"/>
        <v>Em Vigência</v>
      </c>
      <c r="C38" s="662" t="s">
        <v>2787</v>
      </c>
      <c r="D38" s="679" t="s">
        <v>2788</v>
      </c>
      <c r="E38" s="403" t="s">
        <v>25</v>
      </c>
      <c r="F38" s="403" t="s">
        <v>2751</v>
      </c>
      <c r="G38" s="403" t="s">
        <v>2752</v>
      </c>
      <c r="H38" s="664" t="s">
        <v>2753</v>
      </c>
      <c r="I38" s="403" t="s">
        <v>2754</v>
      </c>
      <c r="J38" s="665" t="s">
        <v>2755</v>
      </c>
      <c r="K38" s="665" t="s">
        <v>2789</v>
      </c>
      <c r="L38" s="666" t="s">
        <v>2757</v>
      </c>
      <c r="M38" s="678">
        <v>156426.0</v>
      </c>
      <c r="N38" s="668">
        <v>45888.0</v>
      </c>
      <c r="O38" s="675">
        <v>45891.0</v>
      </c>
      <c r="P38" s="676" t="s">
        <v>2758</v>
      </c>
      <c r="Q38" s="670">
        <v>46256.0</v>
      </c>
      <c r="R38" s="672"/>
      <c r="S38" s="680"/>
      <c r="T38" s="680"/>
      <c r="U38" s="680"/>
      <c r="V38" s="680"/>
    </row>
    <row r="39" ht="15.75" customHeight="1">
      <c r="A39" s="660">
        <f t="shared" si="3"/>
        <v>94</v>
      </c>
      <c r="B39" s="661" t="str">
        <f t="shared" si="2"/>
        <v>Em Vigência</v>
      </c>
      <c r="C39" s="662" t="s">
        <v>2790</v>
      </c>
      <c r="D39" s="679" t="s">
        <v>2791</v>
      </c>
      <c r="E39" s="403" t="s">
        <v>25</v>
      </c>
      <c r="F39" s="403" t="s">
        <v>2751</v>
      </c>
      <c r="G39" s="403" t="s">
        <v>2752</v>
      </c>
      <c r="H39" s="664" t="s">
        <v>2753</v>
      </c>
      <c r="I39" s="403" t="s">
        <v>2754</v>
      </c>
      <c r="J39" s="665" t="s">
        <v>2755</v>
      </c>
      <c r="K39" s="665" t="s">
        <v>2792</v>
      </c>
      <c r="L39" s="666" t="s">
        <v>2757</v>
      </c>
      <c r="M39" s="678">
        <v>108360.0</v>
      </c>
      <c r="N39" s="668">
        <v>45888.0</v>
      </c>
      <c r="O39" s="689">
        <v>45896.0</v>
      </c>
      <c r="P39" s="676" t="s">
        <v>2771</v>
      </c>
      <c r="Q39" s="670">
        <v>46261.0</v>
      </c>
      <c r="R39" s="672"/>
      <c r="S39" s="680"/>
      <c r="T39" s="680"/>
      <c r="U39" s="680"/>
      <c r="V39" s="680"/>
    </row>
    <row r="40" ht="15.75" customHeight="1">
      <c r="A40" s="660">
        <f t="shared" si="3"/>
        <v>94</v>
      </c>
      <c r="B40" s="661" t="str">
        <f t="shared" si="2"/>
        <v>Em Vigência</v>
      </c>
      <c r="C40" s="662" t="s">
        <v>2793</v>
      </c>
      <c r="D40" s="679" t="s">
        <v>2794</v>
      </c>
      <c r="E40" s="403" t="s">
        <v>25</v>
      </c>
      <c r="F40" s="403" t="s">
        <v>2751</v>
      </c>
      <c r="G40" s="403" t="s">
        <v>2752</v>
      </c>
      <c r="H40" s="664" t="s">
        <v>2753</v>
      </c>
      <c r="I40" s="403" t="s">
        <v>2754</v>
      </c>
      <c r="J40" s="665" t="s">
        <v>2755</v>
      </c>
      <c r="K40" s="665" t="s">
        <v>2795</v>
      </c>
      <c r="L40" s="666" t="s">
        <v>2757</v>
      </c>
      <c r="M40" s="678">
        <v>29508.42</v>
      </c>
      <c r="N40" s="668">
        <v>45891.0</v>
      </c>
      <c r="O40" s="689">
        <v>45896.0</v>
      </c>
      <c r="P40" s="676" t="s">
        <v>2771</v>
      </c>
      <c r="Q40" s="670">
        <v>46261.0</v>
      </c>
      <c r="R40" s="672"/>
      <c r="S40" s="680"/>
      <c r="T40" s="680"/>
      <c r="U40" s="680"/>
      <c r="V40" s="680"/>
    </row>
    <row r="41" ht="15.75" customHeight="1">
      <c r="A41" s="660">
        <f t="shared" si="3"/>
        <v>89</v>
      </c>
      <c r="B41" s="661" t="str">
        <f t="shared" si="2"/>
        <v>Em Vigência</v>
      </c>
      <c r="C41" s="662" t="s">
        <v>2796</v>
      </c>
      <c r="D41" s="679" t="s">
        <v>2797</v>
      </c>
      <c r="E41" s="403" t="s">
        <v>25</v>
      </c>
      <c r="F41" s="403" t="s">
        <v>2751</v>
      </c>
      <c r="G41" s="403" t="s">
        <v>2752</v>
      </c>
      <c r="H41" s="664" t="s">
        <v>2753</v>
      </c>
      <c r="I41" s="403" t="s">
        <v>2754</v>
      </c>
      <c r="J41" s="665" t="s">
        <v>2755</v>
      </c>
      <c r="K41" s="665" t="s">
        <v>2798</v>
      </c>
      <c r="L41" s="666" t="s">
        <v>2757</v>
      </c>
      <c r="M41" s="678">
        <v>249124.56</v>
      </c>
      <c r="N41" s="668">
        <v>45888.0</v>
      </c>
      <c r="O41" s="675">
        <v>45891.0</v>
      </c>
      <c r="P41" s="676" t="s">
        <v>2758</v>
      </c>
      <c r="Q41" s="670">
        <v>46256.0</v>
      </c>
      <c r="R41" s="672"/>
      <c r="S41" s="680"/>
      <c r="T41" s="680"/>
      <c r="U41" s="680"/>
      <c r="V41" s="680"/>
    </row>
    <row r="42" ht="15.75" customHeight="1">
      <c r="A42" s="660">
        <f t="shared" si="3"/>
        <v>94</v>
      </c>
      <c r="B42" s="661" t="str">
        <f t="shared" si="2"/>
        <v>Em Vigência</v>
      </c>
      <c r="C42" s="662" t="s">
        <v>2799</v>
      </c>
      <c r="D42" s="679" t="s">
        <v>2800</v>
      </c>
      <c r="E42" s="403" t="s">
        <v>25</v>
      </c>
      <c r="F42" s="403" t="s">
        <v>2751</v>
      </c>
      <c r="G42" s="403" t="s">
        <v>2752</v>
      </c>
      <c r="H42" s="664" t="s">
        <v>2753</v>
      </c>
      <c r="I42" s="403" t="s">
        <v>2754</v>
      </c>
      <c r="J42" s="665" t="s">
        <v>2755</v>
      </c>
      <c r="K42" s="665" t="s">
        <v>2801</v>
      </c>
      <c r="L42" s="666" t="s">
        <v>2757</v>
      </c>
      <c r="M42" s="678">
        <v>18120.0</v>
      </c>
      <c r="N42" s="668">
        <v>45889.0</v>
      </c>
      <c r="O42" s="675">
        <v>45896.0</v>
      </c>
      <c r="P42" s="676" t="s">
        <v>2771</v>
      </c>
      <c r="Q42" s="670">
        <v>46261.0</v>
      </c>
      <c r="R42" s="672"/>
      <c r="S42" s="680"/>
      <c r="T42" s="680"/>
      <c r="U42" s="680"/>
      <c r="V42" s="680"/>
    </row>
    <row r="43" ht="15.75" customHeight="1">
      <c r="A43" s="660">
        <f t="shared" si="3"/>
        <v>103</v>
      </c>
      <c r="B43" s="661" t="str">
        <f t="shared" si="2"/>
        <v>Em Vigência</v>
      </c>
      <c r="C43" s="662" t="s">
        <v>2802</v>
      </c>
      <c r="D43" s="679" t="s">
        <v>2803</v>
      </c>
      <c r="E43" s="403" t="s">
        <v>25</v>
      </c>
      <c r="F43" s="403" t="s">
        <v>2751</v>
      </c>
      <c r="G43" s="403" t="s">
        <v>2752</v>
      </c>
      <c r="H43" s="664" t="s">
        <v>2804</v>
      </c>
      <c r="I43" s="403" t="s">
        <v>2754</v>
      </c>
      <c r="J43" s="665" t="s">
        <v>2755</v>
      </c>
      <c r="K43" s="665" t="s">
        <v>2805</v>
      </c>
      <c r="L43" s="666" t="s">
        <v>2757</v>
      </c>
      <c r="M43" s="678">
        <v>8592.0</v>
      </c>
      <c r="N43" s="668">
        <v>45898.0</v>
      </c>
      <c r="O43" s="675">
        <v>45905.0</v>
      </c>
      <c r="P43" s="676" t="s">
        <v>2806</v>
      </c>
      <c r="Q43" s="670">
        <v>46270.0</v>
      </c>
      <c r="R43" s="672"/>
      <c r="S43" s="680"/>
      <c r="T43" s="680"/>
      <c r="U43" s="680"/>
      <c r="V43" s="680"/>
    </row>
    <row r="44" ht="15.75" customHeight="1">
      <c r="A44" s="660">
        <f t="shared" si="3"/>
        <v>89</v>
      </c>
      <c r="B44" s="661" t="str">
        <f t="shared" si="2"/>
        <v>Em Vigência</v>
      </c>
      <c r="C44" s="662" t="s">
        <v>2807</v>
      </c>
      <c r="D44" s="679" t="s">
        <v>2808</v>
      </c>
      <c r="E44" s="403" t="s">
        <v>25</v>
      </c>
      <c r="F44" s="403" t="s">
        <v>2751</v>
      </c>
      <c r="G44" s="403" t="s">
        <v>2752</v>
      </c>
      <c r="H44" s="664" t="s">
        <v>2753</v>
      </c>
      <c r="I44" s="403" t="s">
        <v>2754</v>
      </c>
      <c r="J44" s="665" t="s">
        <v>2755</v>
      </c>
      <c r="K44" s="665" t="s">
        <v>2809</v>
      </c>
      <c r="L44" s="666" t="s">
        <v>2757</v>
      </c>
      <c r="M44" s="678">
        <v>51120.0</v>
      </c>
      <c r="N44" s="668">
        <v>45887.0</v>
      </c>
      <c r="O44" s="675">
        <v>45891.0</v>
      </c>
      <c r="P44" s="676" t="s">
        <v>2758</v>
      </c>
      <c r="Q44" s="670">
        <v>46256.0</v>
      </c>
      <c r="R44" s="672"/>
      <c r="S44" s="680"/>
      <c r="T44" s="680"/>
      <c r="U44" s="680"/>
      <c r="V44" s="680"/>
    </row>
    <row r="45" ht="15.75" customHeight="1">
      <c r="A45" s="660">
        <f t="shared" si="3"/>
        <v>94</v>
      </c>
      <c r="B45" s="661" t="str">
        <f t="shared" si="2"/>
        <v>Em Vigência</v>
      </c>
      <c r="C45" s="662" t="s">
        <v>2810</v>
      </c>
      <c r="D45" s="679" t="s">
        <v>2811</v>
      </c>
      <c r="E45" s="403" t="s">
        <v>25</v>
      </c>
      <c r="F45" s="403" t="s">
        <v>2751</v>
      </c>
      <c r="G45" s="403" t="s">
        <v>2752</v>
      </c>
      <c r="H45" s="664" t="s">
        <v>2753</v>
      </c>
      <c r="I45" s="403" t="s">
        <v>2754</v>
      </c>
      <c r="J45" s="665" t="s">
        <v>2755</v>
      </c>
      <c r="K45" s="665" t="s">
        <v>2812</v>
      </c>
      <c r="L45" s="666" t="s">
        <v>2757</v>
      </c>
      <c r="M45" s="678">
        <v>59299.86</v>
      </c>
      <c r="N45" s="668">
        <v>45894.0</v>
      </c>
      <c r="O45" s="675">
        <v>45896.0</v>
      </c>
      <c r="P45" s="676" t="s">
        <v>2771</v>
      </c>
      <c r="Q45" s="670">
        <v>46261.0</v>
      </c>
      <c r="R45" s="672"/>
      <c r="S45" s="680"/>
      <c r="T45" s="680"/>
      <c r="U45" s="680"/>
      <c r="V45" s="680"/>
    </row>
    <row r="46" ht="15.75" customHeight="1">
      <c r="A46" s="660">
        <f t="shared" si="3"/>
        <v>94</v>
      </c>
      <c r="B46" s="661" t="str">
        <f t="shared" si="2"/>
        <v>Em Vigência</v>
      </c>
      <c r="C46" s="662" t="s">
        <v>2813</v>
      </c>
      <c r="D46" s="679" t="s">
        <v>2814</v>
      </c>
      <c r="E46" s="403" t="s">
        <v>25</v>
      </c>
      <c r="F46" s="403" t="s">
        <v>2751</v>
      </c>
      <c r="G46" s="403" t="s">
        <v>2752</v>
      </c>
      <c r="H46" s="664" t="s">
        <v>2753</v>
      </c>
      <c r="I46" s="403" t="s">
        <v>2754</v>
      </c>
      <c r="J46" s="665" t="s">
        <v>2755</v>
      </c>
      <c r="K46" s="690">
        <v>45886.0</v>
      </c>
      <c r="L46" s="666" t="s">
        <v>2757</v>
      </c>
      <c r="M46" s="678">
        <v>27552.0</v>
      </c>
      <c r="N46" s="668">
        <v>45889.0</v>
      </c>
      <c r="O46" s="675">
        <v>45896.0</v>
      </c>
      <c r="P46" s="676" t="s">
        <v>2771</v>
      </c>
      <c r="Q46" s="670">
        <v>46261.0</v>
      </c>
      <c r="R46" s="672"/>
      <c r="S46" s="680"/>
      <c r="T46" s="680"/>
      <c r="U46" s="680"/>
      <c r="V46" s="680"/>
    </row>
    <row r="47" ht="15.75" customHeight="1">
      <c r="A47" s="660">
        <f t="shared" si="3"/>
        <v>89</v>
      </c>
      <c r="B47" s="661" t="str">
        <f t="shared" si="2"/>
        <v>Em Vigência</v>
      </c>
      <c r="C47" s="662" t="s">
        <v>2815</v>
      </c>
      <c r="D47" s="679" t="s">
        <v>2816</v>
      </c>
      <c r="E47" s="403" t="s">
        <v>25</v>
      </c>
      <c r="F47" s="403" t="s">
        <v>2751</v>
      </c>
      <c r="G47" s="403" t="s">
        <v>2752</v>
      </c>
      <c r="H47" s="664" t="s">
        <v>2753</v>
      </c>
      <c r="I47" s="403" t="s">
        <v>2754</v>
      </c>
      <c r="J47" s="665" t="s">
        <v>2755</v>
      </c>
      <c r="K47" s="665" t="s">
        <v>2817</v>
      </c>
      <c r="L47" s="666" t="s">
        <v>2757</v>
      </c>
      <c r="M47" s="678">
        <v>64776.0</v>
      </c>
      <c r="N47" s="668">
        <v>45888.0</v>
      </c>
      <c r="O47" s="675">
        <v>45891.0</v>
      </c>
      <c r="P47" s="676" t="s">
        <v>2758</v>
      </c>
      <c r="Q47" s="670">
        <v>46256.0</v>
      </c>
      <c r="R47" s="672"/>
      <c r="S47" s="680"/>
      <c r="T47" s="680"/>
      <c r="U47" s="680"/>
      <c r="V47" s="680"/>
    </row>
    <row r="48" ht="15.75" customHeight="1">
      <c r="A48" s="660">
        <f t="shared" si="3"/>
        <v>89</v>
      </c>
      <c r="B48" s="661" t="str">
        <f t="shared" si="2"/>
        <v>Em Vigência</v>
      </c>
      <c r="C48" s="662" t="s">
        <v>2818</v>
      </c>
      <c r="D48" s="679" t="s">
        <v>2819</v>
      </c>
      <c r="E48" s="403" t="s">
        <v>25</v>
      </c>
      <c r="F48" s="403" t="s">
        <v>2751</v>
      </c>
      <c r="G48" s="403" t="s">
        <v>2752</v>
      </c>
      <c r="H48" s="664" t="s">
        <v>2753</v>
      </c>
      <c r="I48" s="403" t="s">
        <v>2754</v>
      </c>
      <c r="J48" s="665" t="s">
        <v>2755</v>
      </c>
      <c r="K48" s="665" t="s">
        <v>2820</v>
      </c>
      <c r="L48" s="666" t="s">
        <v>2757</v>
      </c>
      <c r="M48" s="678">
        <v>16340.4</v>
      </c>
      <c r="N48" s="668">
        <v>45888.0</v>
      </c>
      <c r="O48" s="675">
        <v>45891.0</v>
      </c>
      <c r="P48" s="676" t="s">
        <v>2758</v>
      </c>
      <c r="Q48" s="670">
        <v>46256.0</v>
      </c>
      <c r="R48" s="672"/>
      <c r="S48" s="680"/>
      <c r="T48" s="680"/>
      <c r="U48" s="680"/>
      <c r="V48" s="680"/>
    </row>
    <row r="49" ht="15.75" customHeight="1">
      <c r="A49" s="660">
        <f t="shared" si="3"/>
        <v>89</v>
      </c>
      <c r="B49" s="661" t="str">
        <f t="shared" si="2"/>
        <v>Em Vigência</v>
      </c>
      <c r="C49" s="662" t="s">
        <v>2821</v>
      </c>
      <c r="D49" s="679" t="s">
        <v>2822</v>
      </c>
      <c r="E49" s="403" t="s">
        <v>25</v>
      </c>
      <c r="F49" s="403" t="s">
        <v>2751</v>
      </c>
      <c r="G49" s="403" t="s">
        <v>2752</v>
      </c>
      <c r="H49" s="664" t="s">
        <v>2753</v>
      </c>
      <c r="I49" s="403" t="s">
        <v>2754</v>
      </c>
      <c r="J49" s="665" t="s">
        <v>2755</v>
      </c>
      <c r="K49" s="665" t="s">
        <v>2823</v>
      </c>
      <c r="L49" s="666" t="s">
        <v>2757</v>
      </c>
      <c r="M49" s="678">
        <v>98380.8</v>
      </c>
      <c r="N49" s="668">
        <v>45888.0</v>
      </c>
      <c r="O49" s="675">
        <v>45891.0</v>
      </c>
      <c r="P49" s="676" t="s">
        <v>2758</v>
      </c>
      <c r="Q49" s="670">
        <v>46256.0</v>
      </c>
      <c r="R49" s="672"/>
      <c r="S49" s="680"/>
      <c r="T49" s="680"/>
      <c r="U49" s="680"/>
      <c r="V49" s="680"/>
    </row>
    <row r="50" ht="15.75" customHeight="1">
      <c r="A50" s="660">
        <f t="shared" si="3"/>
        <v>89</v>
      </c>
      <c r="B50" s="661" t="str">
        <f t="shared" si="2"/>
        <v>Em Vigência</v>
      </c>
      <c r="C50" s="662" t="s">
        <v>2824</v>
      </c>
      <c r="D50" s="679" t="s">
        <v>2825</v>
      </c>
      <c r="E50" s="403" t="s">
        <v>25</v>
      </c>
      <c r="F50" s="403" t="s">
        <v>2751</v>
      </c>
      <c r="G50" s="403" t="s">
        <v>2752</v>
      </c>
      <c r="H50" s="664" t="s">
        <v>2753</v>
      </c>
      <c r="I50" s="403" t="s">
        <v>2754</v>
      </c>
      <c r="J50" s="665" t="s">
        <v>2755</v>
      </c>
      <c r="K50" s="665" t="s">
        <v>2826</v>
      </c>
      <c r="L50" s="666" t="s">
        <v>2757</v>
      </c>
      <c r="M50" s="678">
        <v>99000.0</v>
      </c>
      <c r="N50" s="668">
        <v>45889.0</v>
      </c>
      <c r="O50" s="675">
        <v>45896.0</v>
      </c>
      <c r="P50" s="676" t="s">
        <v>2771</v>
      </c>
      <c r="Q50" s="670">
        <v>46256.0</v>
      </c>
      <c r="R50" s="672"/>
      <c r="S50" s="680"/>
      <c r="T50" s="680"/>
      <c r="U50" s="680"/>
      <c r="V50" s="680"/>
    </row>
    <row r="51" ht="15.75" customHeight="1">
      <c r="A51" s="660">
        <f t="shared" si="3"/>
        <v>87</v>
      </c>
      <c r="B51" s="661" t="str">
        <f t="shared" si="2"/>
        <v>Em Vigência</v>
      </c>
      <c r="C51" s="662" t="s">
        <v>2827</v>
      </c>
      <c r="D51" s="679" t="s">
        <v>2828</v>
      </c>
      <c r="E51" s="403" t="s">
        <v>25</v>
      </c>
      <c r="F51" s="403" t="s">
        <v>273</v>
      </c>
      <c r="G51" s="403" t="s">
        <v>2829</v>
      </c>
      <c r="H51" s="664" t="s">
        <v>2830</v>
      </c>
      <c r="I51" s="403" t="s">
        <v>2831</v>
      </c>
      <c r="J51" s="665" t="s">
        <v>2832</v>
      </c>
      <c r="K51" s="665" t="s">
        <v>2833</v>
      </c>
      <c r="L51" s="666" t="s">
        <v>2834</v>
      </c>
      <c r="M51" s="678">
        <v>90000.0</v>
      </c>
      <c r="N51" s="668">
        <v>45889.0</v>
      </c>
      <c r="O51" s="675">
        <v>45891.0</v>
      </c>
      <c r="P51" s="676" t="s">
        <v>2835</v>
      </c>
      <c r="Q51" s="670">
        <v>46254.0</v>
      </c>
      <c r="R51" s="672"/>
      <c r="S51" s="680"/>
      <c r="T51" s="680"/>
      <c r="U51" s="680"/>
      <c r="V51" s="680"/>
    </row>
    <row r="52" ht="15.75" customHeight="1">
      <c r="A52" s="660">
        <f t="shared" si="3"/>
        <v>81</v>
      </c>
      <c r="B52" s="661" t="str">
        <f t="shared" si="2"/>
        <v>Em Vigência</v>
      </c>
      <c r="C52" s="662" t="s">
        <v>2836</v>
      </c>
      <c r="D52" s="679" t="s">
        <v>2837</v>
      </c>
      <c r="E52" s="403" t="s">
        <v>25</v>
      </c>
      <c r="F52" s="403" t="s">
        <v>273</v>
      </c>
      <c r="G52" s="403" t="s">
        <v>2829</v>
      </c>
      <c r="H52" s="664" t="s">
        <v>2830</v>
      </c>
      <c r="I52" s="403" t="s">
        <v>2831</v>
      </c>
      <c r="J52" s="665" t="s">
        <v>2832</v>
      </c>
      <c r="K52" s="665" t="s">
        <v>2838</v>
      </c>
      <c r="L52" s="666" t="s">
        <v>2834</v>
      </c>
      <c r="M52" s="678">
        <v>200000.0</v>
      </c>
      <c r="N52" s="668">
        <v>45883.0</v>
      </c>
      <c r="O52" s="675">
        <v>45891.0</v>
      </c>
      <c r="P52" s="676" t="s">
        <v>2725</v>
      </c>
      <c r="Q52" s="670">
        <v>46248.0</v>
      </c>
      <c r="R52" s="403" t="s">
        <v>2839</v>
      </c>
      <c r="S52" s="680"/>
      <c r="T52" s="680"/>
      <c r="U52" s="680"/>
      <c r="V52" s="680"/>
    </row>
    <row r="53" ht="15.75" customHeight="1">
      <c r="A53" s="660">
        <f t="shared" si="3"/>
        <v>115</v>
      </c>
      <c r="B53" s="661" t="str">
        <f t="shared" si="2"/>
        <v>Em Vigência</v>
      </c>
      <c r="C53" s="662" t="s">
        <v>2840</v>
      </c>
      <c r="D53" s="679" t="s">
        <v>2841</v>
      </c>
      <c r="E53" s="403" t="s">
        <v>25</v>
      </c>
      <c r="F53" s="403" t="s">
        <v>273</v>
      </c>
      <c r="G53" s="403" t="s">
        <v>2712</v>
      </c>
      <c r="H53" s="664" t="s">
        <v>2842</v>
      </c>
      <c r="I53" s="403" t="s">
        <v>2843</v>
      </c>
      <c r="J53" s="665" t="s">
        <v>2844</v>
      </c>
      <c r="K53" s="665" t="s">
        <v>2845</v>
      </c>
      <c r="L53" s="666" t="s">
        <v>2846</v>
      </c>
      <c r="M53" s="678">
        <v>28015.2</v>
      </c>
      <c r="N53" s="668">
        <v>45894.0</v>
      </c>
      <c r="O53" s="675">
        <v>45917.0</v>
      </c>
      <c r="P53" s="676" t="s">
        <v>2847</v>
      </c>
      <c r="Q53" s="690">
        <v>46282.0</v>
      </c>
      <c r="R53" s="672"/>
      <c r="S53" s="680"/>
      <c r="T53" s="680"/>
      <c r="U53" s="680"/>
      <c r="V53" s="680"/>
    </row>
    <row r="54" ht="15.75" customHeight="1">
      <c r="A54" s="660">
        <f t="shared" si="3"/>
        <v>86</v>
      </c>
      <c r="B54" s="661" t="str">
        <f t="shared" si="2"/>
        <v>Em Vigência</v>
      </c>
      <c r="C54" s="662" t="s">
        <v>2848</v>
      </c>
      <c r="D54" s="679" t="s">
        <v>2849</v>
      </c>
      <c r="E54" s="403" t="s">
        <v>25</v>
      </c>
      <c r="F54" s="403" t="s">
        <v>273</v>
      </c>
      <c r="G54" s="403" t="s">
        <v>2712</v>
      </c>
      <c r="H54" s="664" t="s">
        <v>2842</v>
      </c>
      <c r="I54" s="403" t="s">
        <v>2843</v>
      </c>
      <c r="J54" s="665" t="s">
        <v>2844</v>
      </c>
      <c r="K54" s="665" t="s">
        <v>2850</v>
      </c>
      <c r="L54" s="666" t="s">
        <v>2846</v>
      </c>
      <c r="M54" s="678">
        <v>960.0</v>
      </c>
      <c r="N54" s="668">
        <v>45891.0</v>
      </c>
      <c r="O54" s="675">
        <v>45898.0</v>
      </c>
      <c r="P54" s="676" t="s">
        <v>2851</v>
      </c>
      <c r="Q54" s="670">
        <v>46253.0</v>
      </c>
      <c r="R54" s="672"/>
      <c r="S54" s="680"/>
      <c r="T54" s="680"/>
      <c r="U54" s="680"/>
      <c r="V54" s="680"/>
    </row>
    <row r="55" ht="15.75" customHeight="1">
      <c r="A55" s="660">
        <f t="shared" si="3"/>
        <v>86</v>
      </c>
      <c r="B55" s="661" t="str">
        <f t="shared" si="2"/>
        <v>Em Vigência</v>
      </c>
      <c r="C55" s="662" t="s">
        <v>2852</v>
      </c>
      <c r="D55" s="679" t="s">
        <v>2853</v>
      </c>
      <c r="E55" s="403" t="s">
        <v>25</v>
      </c>
      <c r="F55" s="403" t="s">
        <v>273</v>
      </c>
      <c r="G55" s="403" t="s">
        <v>2712</v>
      </c>
      <c r="H55" s="664" t="s">
        <v>2842</v>
      </c>
      <c r="I55" s="403" t="s">
        <v>2843</v>
      </c>
      <c r="J55" s="665" t="s">
        <v>2844</v>
      </c>
      <c r="K55" s="665" t="s">
        <v>2854</v>
      </c>
      <c r="L55" s="666" t="s">
        <v>2846</v>
      </c>
      <c r="M55" s="678">
        <v>13086.32</v>
      </c>
      <c r="N55" s="668">
        <v>45891.0</v>
      </c>
      <c r="O55" s="675">
        <v>45898.0</v>
      </c>
      <c r="P55" s="676" t="s">
        <v>2851</v>
      </c>
      <c r="Q55" s="670">
        <v>46253.0</v>
      </c>
      <c r="R55" s="672"/>
      <c r="S55" s="680"/>
      <c r="T55" s="680"/>
      <c r="U55" s="680"/>
      <c r="V55" s="680"/>
    </row>
    <row r="56" ht="15.75" customHeight="1">
      <c r="A56" s="660">
        <f t="shared" si="3"/>
        <v>107</v>
      </c>
      <c r="B56" s="661" t="str">
        <f t="shared" si="2"/>
        <v>Em Vigência</v>
      </c>
      <c r="C56" s="662" t="s">
        <v>2855</v>
      </c>
      <c r="D56" s="679" t="s">
        <v>2856</v>
      </c>
      <c r="E56" s="403" t="s">
        <v>25</v>
      </c>
      <c r="F56" s="403" t="s">
        <v>273</v>
      </c>
      <c r="G56" s="403" t="s">
        <v>2712</v>
      </c>
      <c r="H56" s="664" t="s">
        <v>2857</v>
      </c>
      <c r="I56" s="403" t="s">
        <v>2858</v>
      </c>
      <c r="J56" s="665" t="s">
        <v>2859</v>
      </c>
      <c r="K56" s="665" t="s">
        <v>2860</v>
      </c>
      <c r="L56" s="666" t="s">
        <v>2861</v>
      </c>
      <c r="M56" s="678">
        <v>112000.0</v>
      </c>
      <c r="N56" s="668">
        <v>45902.0</v>
      </c>
      <c r="O56" s="675">
        <v>45909.0</v>
      </c>
      <c r="P56" s="676" t="s">
        <v>2862</v>
      </c>
      <c r="Q56" s="670">
        <v>46274.0</v>
      </c>
      <c r="R56" s="672"/>
      <c r="S56" s="680"/>
      <c r="T56" s="680"/>
      <c r="U56" s="680"/>
      <c r="V56" s="680"/>
    </row>
    <row r="57" ht="15.75" customHeight="1">
      <c r="A57" s="660">
        <f t="shared" si="3"/>
        <v>120</v>
      </c>
      <c r="B57" s="661" t="str">
        <f t="shared" si="2"/>
        <v>Em Vigência</v>
      </c>
      <c r="C57" s="662" t="s">
        <v>2863</v>
      </c>
      <c r="D57" s="679" t="s">
        <v>2864</v>
      </c>
      <c r="E57" s="403" t="s">
        <v>40</v>
      </c>
      <c r="F57" s="403" t="s">
        <v>2865</v>
      </c>
      <c r="G57" s="403" t="s">
        <v>2866</v>
      </c>
      <c r="H57" s="664" t="s">
        <v>2867</v>
      </c>
      <c r="I57" s="403" t="s">
        <v>2868</v>
      </c>
      <c r="J57" s="665" t="s">
        <v>2869</v>
      </c>
      <c r="K57" s="665" t="s">
        <v>2870</v>
      </c>
      <c r="L57" s="666" t="s">
        <v>2871</v>
      </c>
      <c r="M57" s="678">
        <v>938802.79</v>
      </c>
      <c r="N57" s="668">
        <v>45918.0</v>
      </c>
      <c r="O57" s="675">
        <v>45922.0</v>
      </c>
      <c r="P57" s="676" t="s">
        <v>2872</v>
      </c>
      <c r="Q57" s="670">
        <v>46287.0</v>
      </c>
      <c r="R57" s="672"/>
      <c r="S57" s="680"/>
      <c r="T57" s="680"/>
      <c r="U57" s="680"/>
      <c r="V57" s="680"/>
    </row>
    <row r="58" ht="15.75" customHeight="1">
      <c r="A58" s="660">
        <f t="shared" si="3"/>
        <v>116</v>
      </c>
      <c r="B58" s="661" t="str">
        <f t="shared" si="2"/>
        <v>Em Vigência</v>
      </c>
      <c r="C58" s="662" t="s">
        <v>2873</v>
      </c>
      <c r="D58" s="679" t="s">
        <v>2874</v>
      </c>
      <c r="E58" s="403" t="s">
        <v>40</v>
      </c>
      <c r="F58" s="403" t="s">
        <v>2865</v>
      </c>
      <c r="G58" s="403" t="s">
        <v>2866</v>
      </c>
      <c r="H58" s="664" t="s">
        <v>2867</v>
      </c>
      <c r="I58" s="403" t="s">
        <v>2868</v>
      </c>
      <c r="J58" s="665" t="s">
        <v>2869</v>
      </c>
      <c r="K58" s="665" t="s">
        <v>2875</v>
      </c>
      <c r="L58" s="666" t="s">
        <v>2871</v>
      </c>
      <c r="M58" s="678">
        <v>126978.48</v>
      </c>
      <c r="N58" s="668">
        <v>45912.0</v>
      </c>
      <c r="O58" s="675">
        <v>45918.0</v>
      </c>
      <c r="P58" s="676" t="s">
        <v>2876</v>
      </c>
      <c r="Q58" s="670">
        <v>46283.0</v>
      </c>
      <c r="R58" s="672"/>
      <c r="S58" s="680"/>
      <c r="T58" s="680"/>
      <c r="U58" s="680"/>
      <c r="V58" s="680"/>
    </row>
    <row r="59" ht="15.75" customHeight="1">
      <c r="A59" s="660">
        <f t="shared" si="3"/>
        <v>129</v>
      </c>
      <c r="B59" s="661" t="str">
        <f t="shared" si="2"/>
        <v>Em Vigência</v>
      </c>
      <c r="C59" s="662" t="s">
        <v>2877</v>
      </c>
      <c r="D59" s="679" t="s">
        <v>2878</v>
      </c>
      <c r="E59" s="403" t="s">
        <v>188</v>
      </c>
      <c r="F59" s="403" t="s">
        <v>360</v>
      </c>
      <c r="G59" s="403" t="s">
        <v>190</v>
      </c>
      <c r="H59" s="664" t="s">
        <v>2879</v>
      </c>
      <c r="I59" s="403" t="s">
        <v>2880</v>
      </c>
      <c r="J59" s="665" t="s">
        <v>2881</v>
      </c>
      <c r="K59" s="665" t="s">
        <v>2882</v>
      </c>
      <c r="L59" s="666" t="s">
        <v>2883</v>
      </c>
      <c r="M59" s="678">
        <v>99761.7</v>
      </c>
      <c r="N59" s="668">
        <v>45918.0</v>
      </c>
      <c r="O59" s="675">
        <v>46296.0</v>
      </c>
      <c r="P59" s="676" t="s">
        <v>2884</v>
      </c>
      <c r="Q59" s="670">
        <v>46296.0</v>
      </c>
      <c r="R59" s="672"/>
      <c r="S59" s="691"/>
      <c r="T59" s="680"/>
      <c r="U59" s="680"/>
      <c r="V59" s="680"/>
    </row>
    <row r="60" ht="15.75" customHeight="1">
      <c r="A60" s="660">
        <f t="shared" si="3"/>
        <v>129</v>
      </c>
      <c r="B60" s="661" t="str">
        <f t="shared" si="2"/>
        <v>Em Vigência</v>
      </c>
      <c r="C60" s="662" t="s">
        <v>2885</v>
      </c>
      <c r="D60" s="679" t="s">
        <v>2886</v>
      </c>
      <c r="E60" s="403" t="s">
        <v>188</v>
      </c>
      <c r="F60" s="403" t="s">
        <v>360</v>
      </c>
      <c r="G60" s="403" t="s">
        <v>190</v>
      </c>
      <c r="H60" s="664" t="s">
        <v>2879</v>
      </c>
      <c r="I60" s="403" t="s">
        <v>2880</v>
      </c>
      <c r="J60" s="665" t="s">
        <v>2881</v>
      </c>
      <c r="K60" s="665" t="s">
        <v>2887</v>
      </c>
      <c r="L60" s="666" t="s">
        <v>2883</v>
      </c>
      <c r="M60" s="678">
        <v>14470.0</v>
      </c>
      <c r="N60" s="668">
        <v>45930.0</v>
      </c>
      <c r="O60" s="675">
        <v>46296.0</v>
      </c>
      <c r="P60" s="676" t="s">
        <v>2884</v>
      </c>
      <c r="Q60" s="670">
        <v>46296.0</v>
      </c>
      <c r="R60" s="672"/>
      <c r="S60" s="691"/>
      <c r="T60" s="680"/>
      <c r="U60" s="680"/>
      <c r="V60" s="680"/>
    </row>
    <row r="61" ht="15.75" customHeight="1">
      <c r="A61" s="660">
        <f t="shared" si="3"/>
        <v>129</v>
      </c>
      <c r="B61" s="661" t="str">
        <f t="shared" si="2"/>
        <v>Em Vigência</v>
      </c>
      <c r="C61" s="662" t="s">
        <v>2888</v>
      </c>
      <c r="D61" s="679" t="s">
        <v>282</v>
      </c>
      <c r="E61" s="403" t="s">
        <v>188</v>
      </c>
      <c r="F61" s="403" t="s">
        <v>360</v>
      </c>
      <c r="G61" s="403" t="s">
        <v>190</v>
      </c>
      <c r="H61" s="664" t="s">
        <v>2879</v>
      </c>
      <c r="I61" s="403" t="s">
        <v>2880</v>
      </c>
      <c r="J61" s="665" t="s">
        <v>2881</v>
      </c>
      <c r="K61" s="665" t="s">
        <v>2889</v>
      </c>
      <c r="L61" s="666" t="s">
        <v>2883</v>
      </c>
      <c r="M61" s="678">
        <v>115072.8</v>
      </c>
      <c r="N61" s="668">
        <v>45923.0</v>
      </c>
      <c r="O61" s="675">
        <v>46296.0</v>
      </c>
      <c r="P61" s="676" t="s">
        <v>2884</v>
      </c>
      <c r="Q61" s="670">
        <v>46296.0</v>
      </c>
      <c r="R61" s="672"/>
      <c r="S61" s="691"/>
      <c r="T61" s="680"/>
      <c r="U61" s="680"/>
      <c r="V61" s="680"/>
    </row>
    <row r="62" ht="15.75" customHeight="1">
      <c r="A62" s="660">
        <f t="shared" si="3"/>
        <v>129</v>
      </c>
      <c r="B62" s="661" t="str">
        <f t="shared" si="2"/>
        <v>Em Vigência</v>
      </c>
      <c r="C62" s="662" t="s">
        <v>2890</v>
      </c>
      <c r="D62" s="679" t="s">
        <v>2891</v>
      </c>
      <c r="E62" s="403" t="s">
        <v>188</v>
      </c>
      <c r="F62" s="403" t="s">
        <v>360</v>
      </c>
      <c r="G62" s="403" t="s">
        <v>190</v>
      </c>
      <c r="H62" s="664" t="s">
        <v>2879</v>
      </c>
      <c r="I62" s="403" t="s">
        <v>2880</v>
      </c>
      <c r="J62" s="665" t="s">
        <v>2881</v>
      </c>
      <c r="K62" s="665" t="s">
        <v>2892</v>
      </c>
      <c r="L62" s="666" t="s">
        <v>2883</v>
      </c>
      <c r="M62" s="678">
        <v>11380.0</v>
      </c>
      <c r="N62" s="668">
        <v>45918.0</v>
      </c>
      <c r="O62" s="675">
        <v>46296.0</v>
      </c>
      <c r="P62" s="676" t="s">
        <v>2884</v>
      </c>
      <c r="Q62" s="670">
        <v>46296.0</v>
      </c>
      <c r="R62" s="672"/>
      <c r="S62" s="691"/>
      <c r="T62" s="680"/>
      <c r="U62" s="680"/>
      <c r="V62" s="680"/>
    </row>
    <row r="63" ht="15.75" customHeight="1">
      <c r="A63" s="660">
        <f t="shared" si="3"/>
        <v>127</v>
      </c>
      <c r="B63" s="661" t="str">
        <f t="shared" si="2"/>
        <v>Em Vigência</v>
      </c>
      <c r="C63" s="662" t="s">
        <v>2893</v>
      </c>
      <c r="D63" s="679" t="s">
        <v>2894</v>
      </c>
      <c r="E63" s="403" t="s">
        <v>40</v>
      </c>
      <c r="F63" s="403" t="s">
        <v>2865</v>
      </c>
      <c r="G63" s="403" t="s">
        <v>2866</v>
      </c>
      <c r="H63" s="664" t="s">
        <v>2895</v>
      </c>
      <c r="I63" s="403" t="s">
        <v>2896</v>
      </c>
      <c r="J63" s="665" t="s">
        <v>2897</v>
      </c>
      <c r="K63" s="665" t="s">
        <v>2898</v>
      </c>
      <c r="L63" s="666" t="s">
        <v>2899</v>
      </c>
      <c r="M63" s="678">
        <v>4074.0</v>
      </c>
      <c r="N63" s="668">
        <v>45923.0</v>
      </c>
      <c r="O63" s="675">
        <v>45929.0</v>
      </c>
      <c r="P63" s="676" t="s">
        <v>2900</v>
      </c>
      <c r="Q63" s="670">
        <v>46294.0</v>
      </c>
      <c r="R63" s="672"/>
      <c r="S63" s="691"/>
      <c r="T63" s="680"/>
      <c r="U63" s="680"/>
      <c r="V63" s="680"/>
    </row>
    <row r="64" ht="15.75" customHeight="1">
      <c r="A64" s="660">
        <f t="shared" si="3"/>
        <v>137</v>
      </c>
      <c r="B64" s="661" t="str">
        <f t="shared" si="2"/>
        <v>Em Vigência</v>
      </c>
      <c r="C64" s="662" t="s">
        <v>2901</v>
      </c>
      <c r="D64" s="679" t="s">
        <v>2902</v>
      </c>
      <c r="E64" s="403" t="s">
        <v>40</v>
      </c>
      <c r="F64" s="403" t="s">
        <v>2865</v>
      </c>
      <c r="G64" s="403" t="s">
        <v>2866</v>
      </c>
      <c r="H64" s="664" t="s">
        <v>2895</v>
      </c>
      <c r="I64" s="403" t="s">
        <v>2896</v>
      </c>
      <c r="J64" s="665" t="s">
        <v>2897</v>
      </c>
      <c r="K64" s="665" t="s">
        <v>2903</v>
      </c>
      <c r="L64" s="666" t="s">
        <v>2899</v>
      </c>
      <c r="M64" s="678">
        <v>8325.0</v>
      </c>
      <c r="N64" s="668">
        <v>45936.0</v>
      </c>
      <c r="O64" s="675">
        <v>45939.0</v>
      </c>
      <c r="P64" s="676" t="s">
        <v>1149</v>
      </c>
      <c r="Q64" s="670">
        <v>46304.0</v>
      </c>
      <c r="R64" s="672"/>
      <c r="S64" s="691"/>
      <c r="T64" s="680"/>
      <c r="U64" s="680"/>
      <c r="V64" s="680"/>
    </row>
    <row r="65" ht="15.75" customHeight="1">
      <c r="A65" s="660">
        <f t="shared" si="3"/>
        <v>127</v>
      </c>
      <c r="B65" s="661" t="str">
        <f t="shared" si="2"/>
        <v>Em Vigência</v>
      </c>
      <c r="C65" s="662" t="s">
        <v>2904</v>
      </c>
      <c r="D65" s="679" t="s">
        <v>2905</v>
      </c>
      <c r="E65" s="403" t="s">
        <v>40</v>
      </c>
      <c r="F65" s="403" t="s">
        <v>2865</v>
      </c>
      <c r="G65" s="403" t="s">
        <v>2866</v>
      </c>
      <c r="H65" s="664" t="s">
        <v>2895</v>
      </c>
      <c r="I65" s="403" t="s">
        <v>2896</v>
      </c>
      <c r="J65" s="665" t="s">
        <v>2897</v>
      </c>
      <c r="K65" s="665" t="s">
        <v>2906</v>
      </c>
      <c r="L65" s="666" t="s">
        <v>2899</v>
      </c>
      <c r="M65" s="678">
        <v>47344.0</v>
      </c>
      <c r="N65" s="668">
        <v>45923.0</v>
      </c>
      <c r="O65" s="675">
        <v>45929.0</v>
      </c>
      <c r="P65" s="676" t="s">
        <v>2900</v>
      </c>
      <c r="Q65" s="670">
        <v>46294.0</v>
      </c>
      <c r="R65" s="672"/>
      <c r="S65" s="691"/>
      <c r="T65" s="680"/>
      <c r="U65" s="680"/>
      <c r="V65" s="680"/>
    </row>
    <row r="66" ht="15.75" customHeight="1">
      <c r="A66" s="660">
        <f t="shared" si="3"/>
        <v>121</v>
      </c>
      <c r="B66" s="661" t="str">
        <f t="shared" si="2"/>
        <v>Em Vigência</v>
      </c>
      <c r="C66" s="662" t="s">
        <v>2907</v>
      </c>
      <c r="D66" s="679" t="s">
        <v>2864</v>
      </c>
      <c r="E66" s="403" t="s">
        <v>40</v>
      </c>
      <c r="F66" s="403" t="s">
        <v>2865</v>
      </c>
      <c r="G66" s="403" t="s">
        <v>2866</v>
      </c>
      <c r="H66" s="664" t="s">
        <v>2895</v>
      </c>
      <c r="I66" s="403" t="s">
        <v>2896</v>
      </c>
      <c r="J66" s="665" t="s">
        <v>2897</v>
      </c>
      <c r="K66" s="665" t="s">
        <v>2908</v>
      </c>
      <c r="L66" s="666" t="s">
        <v>2899</v>
      </c>
      <c r="M66" s="678">
        <v>4210.0</v>
      </c>
      <c r="N66" s="668">
        <v>45922.0</v>
      </c>
      <c r="O66" s="675">
        <v>45923.0</v>
      </c>
      <c r="P66" s="676" t="s">
        <v>2909</v>
      </c>
      <c r="Q66" s="670">
        <v>46288.0</v>
      </c>
      <c r="R66" s="672"/>
      <c r="S66" s="680"/>
      <c r="T66" s="680"/>
      <c r="U66" s="680"/>
      <c r="V66" s="680"/>
    </row>
    <row r="67" ht="15.75" customHeight="1">
      <c r="A67" s="660">
        <f t="shared" si="3"/>
        <v>138</v>
      </c>
      <c r="B67" s="661" t="str">
        <f t="shared" si="2"/>
        <v>Em Vigência</v>
      </c>
      <c r="C67" s="662" t="s">
        <v>1363</v>
      </c>
      <c r="D67" s="663" t="s">
        <v>2910</v>
      </c>
      <c r="E67" s="403" t="s">
        <v>25</v>
      </c>
      <c r="F67" s="403" t="s">
        <v>2911</v>
      </c>
      <c r="G67" s="403" t="s">
        <v>2912</v>
      </c>
      <c r="H67" s="664" t="s">
        <v>2913</v>
      </c>
      <c r="I67" s="403" t="s">
        <v>2914</v>
      </c>
      <c r="J67" s="665" t="s">
        <v>2915</v>
      </c>
      <c r="K67" s="665" t="s">
        <v>2916</v>
      </c>
      <c r="L67" s="666" t="s">
        <v>2917</v>
      </c>
      <c r="M67" s="674">
        <v>90600.0</v>
      </c>
      <c r="N67" s="671" t="s">
        <v>2918</v>
      </c>
      <c r="O67" s="692" t="s">
        <v>2919</v>
      </c>
      <c r="P67" s="403" t="s">
        <v>2920</v>
      </c>
      <c r="Q67" s="670">
        <v>46305.0</v>
      </c>
      <c r="R67" s="671" t="s">
        <v>2</v>
      </c>
      <c r="S67" s="672"/>
      <c r="T67" s="673"/>
      <c r="U67" s="673"/>
      <c r="V67" s="673"/>
    </row>
    <row r="68" ht="15.75" customHeight="1">
      <c r="A68" s="660">
        <f t="shared" si="3"/>
        <v>138</v>
      </c>
      <c r="B68" s="661" t="str">
        <f t="shared" si="2"/>
        <v>Em Vigência</v>
      </c>
      <c r="C68" s="662" t="s">
        <v>2921</v>
      </c>
      <c r="D68" s="663" t="s">
        <v>2720</v>
      </c>
      <c r="E68" s="403" t="s">
        <v>25</v>
      </c>
      <c r="F68" s="403" t="s">
        <v>2911</v>
      </c>
      <c r="G68" s="403" t="s">
        <v>2912</v>
      </c>
      <c r="H68" s="664" t="s">
        <v>2913</v>
      </c>
      <c r="I68" s="403" t="s">
        <v>2914</v>
      </c>
      <c r="J68" s="665" t="s">
        <v>2915</v>
      </c>
      <c r="K68" s="665" t="s">
        <v>2922</v>
      </c>
      <c r="L68" s="666" t="s">
        <v>2917</v>
      </c>
      <c r="M68" s="674">
        <v>59256.0</v>
      </c>
      <c r="N68" s="671" t="s">
        <v>2923</v>
      </c>
      <c r="O68" s="692" t="s">
        <v>2924</v>
      </c>
      <c r="P68" s="403" t="s">
        <v>2920</v>
      </c>
      <c r="Q68" s="670">
        <v>46305.0</v>
      </c>
      <c r="R68" s="671" t="s">
        <v>2</v>
      </c>
      <c r="S68" s="672"/>
      <c r="T68" s="673"/>
      <c r="U68" s="673"/>
      <c r="V68" s="673"/>
    </row>
    <row r="69" ht="15.75" customHeight="1">
      <c r="A69" s="660">
        <f t="shared" si="3"/>
        <v>138</v>
      </c>
      <c r="B69" s="661" t="str">
        <f t="shared" si="2"/>
        <v>Em Vigência</v>
      </c>
      <c r="C69" s="662" t="s">
        <v>2925</v>
      </c>
      <c r="D69" s="663" t="s">
        <v>2926</v>
      </c>
      <c r="E69" s="403" t="s">
        <v>25</v>
      </c>
      <c r="F69" s="403" t="s">
        <v>2911</v>
      </c>
      <c r="G69" s="403" t="s">
        <v>2912</v>
      </c>
      <c r="H69" s="664" t="s">
        <v>2913</v>
      </c>
      <c r="I69" s="403" t="s">
        <v>2914</v>
      </c>
      <c r="J69" s="665" t="s">
        <v>2915</v>
      </c>
      <c r="K69" s="665" t="s">
        <v>2927</v>
      </c>
      <c r="L69" s="666" t="s">
        <v>2917</v>
      </c>
      <c r="M69" s="674">
        <v>66720.12</v>
      </c>
      <c r="N69" s="671" t="s">
        <v>2918</v>
      </c>
      <c r="O69" s="692" t="s">
        <v>2924</v>
      </c>
      <c r="P69" s="403" t="s">
        <v>2920</v>
      </c>
      <c r="Q69" s="670">
        <v>46305.0</v>
      </c>
      <c r="R69" s="671" t="s">
        <v>2</v>
      </c>
      <c r="S69" s="672"/>
      <c r="T69" s="673"/>
      <c r="U69" s="673"/>
      <c r="V69" s="673"/>
    </row>
    <row r="70" ht="15.75" customHeight="1">
      <c r="A70" s="660">
        <f t="shared" si="3"/>
        <v>139</v>
      </c>
      <c r="B70" s="661" t="str">
        <f t="shared" si="2"/>
        <v>Em Vigência</v>
      </c>
      <c r="C70" s="662" t="s">
        <v>2928</v>
      </c>
      <c r="D70" s="663" t="s">
        <v>2929</v>
      </c>
      <c r="E70" s="403" t="s">
        <v>188</v>
      </c>
      <c r="F70" s="403" t="s">
        <v>2930</v>
      </c>
      <c r="G70" s="403" t="s">
        <v>360</v>
      </c>
      <c r="H70" s="664" t="s">
        <v>2931</v>
      </c>
      <c r="I70" s="403" t="s">
        <v>2932</v>
      </c>
      <c r="J70" s="665" t="s">
        <v>2933</v>
      </c>
      <c r="K70" s="665" t="s">
        <v>2934</v>
      </c>
      <c r="L70" s="666" t="s">
        <v>2935</v>
      </c>
      <c r="M70" s="674">
        <v>139998.0</v>
      </c>
      <c r="N70" s="668">
        <v>45939.0</v>
      </c>
      <c r="O70" s="669">
        <v>45945.0</v>
      </c>
      <c r="P70" s="403" t="s">
        <v>2936</v>
      </c>
      <c r="Q70" s="670">
        <v>46306.0</v>
      </c>
      <c r="R70" s="671" t="s">
        <v>2</v>
      </c>
      <c r="S70" s="672"/>
      <c r="T70" s="673"/>
      <c r="U70" s="673"/>
      <c r="V70" s="673"/>
    </row>
    <row r="71" ht="15.75" customHeight="1">
      <c r="A71" s="660">
        <f t="shared" si="3"/>
        <v>139</v>
      </c>
      <c r="B71" s="661" t="str">
        <f t="shared" si="2"/>
        <v>Em Vigência</v>
      </c>
      <c r="C71" s="662" t="s">
        <v>836</v>
      </c>
      <c r="D71" s="663" t="s">
        <v>2937</v>
      </c>
      <c r="E71" s="403" t="s">
        <v>25</v>
      </c>
      <c r="F71" s="403" t="s">
        <v>2911</v>
      </c>
      <c r="G71" s="403" t="s">
        <v>2912</v>
      </c>
      <c r="H71" s="664" t="s">
        <v>2913</v>
      </c>
      <c r="I71" s="403" t="s">
        <v>2914</v>
      </c>
      <c r="J71" s="665" t="s">
        <v>2915</v>
      </c>
      <c r="K71" s="665" t="s">
        <v>2938</v>
      </c>
      <c r="L71" s="666" t="s">
        <v>2917</v>
      </c>
      <c r="M71" s="674">
        <v>4608.0</v>
      </c>
      <c r="N71" s="671" t="s">
        <v>2939</v>
      </c>
      <c r="O71" s="692" t="s">
        <v>2940</v>
      </c>
      <c r="P71" s="403" t="s">
        <v>2941</v>
      </c>
      <c r="Q71" s="670">
        <v>46306.0</v>
      </c>
      <c r="R71" s="671" t="s">
        <v>2</v>
      </c>
      <c r="S71" s="672"/>
      <c r="T71" s="673"/>
      <c r="U71" s="673"/>
      <c r="V71" s="673"/>
    </row>
    <row r="72" ht="15.75" customHeight="1">
      <c r="A72" s="660">
        <f t="shared" si="3"/>
        <v>139</v>
      </c>
      <c r="B72" s="661" t="str">
        <f t="shared" si="2"/>
        <v>Em Vigência</v>
      </c>
      <c r="C72" s="662" t="s">
        <v>1135</v>
      </c>
      <c r="D72" s="663" t="s">
        <v>2942</v>
      </c>
      <c r="E72" s="403" t="s">
        <v>25</v>
      </c>
      <c r="F72" s="403" t="s">
        <v>2911</v>
      </c>
      <c r="G72" s="403" t="s">
        <v>2912</v>
      </c>
      <c r="H72" s="664" t="s">
        <v>2913</v>
      </c>
      <c r="I72" s="403" t="s">
        <v>2914</v>
      </c>
      <c r="J72" s="665" t="s">
        <v>2915</v>
      </c>
      <c r="K72" s="665" t="s">
        <v>2943</v>
      </c>
      <c r="L72" s="666" t="s">
        <v>2917</v>
      </c>
      <c r="M72" s="674">
        <v>9935.76</v>
      </c>
      <c r="N72" s="671" t="s">
        <v>2939</v>
      </c>
      <c r="O72" s="692" t="s">
        <v>2940</v>
      </c>
      <c r="P72" s="403" t="s">
        <v>2941</v>
      </c>
      <c r="Q72" s="670">
        <v>46306.0</v>
      </c>
      <c r="R72" s="671" t="s">
        <v>2</v>
      </c>
      <c r="S72" s="672"/>
      <c r="T72" s="673"/>
      <c r="U72" s="673"/>
      <c r="V72" s="673"/>
    </row>
    <row r="73" ht="15.75" customHeight="1">
      <c r="A73" s="660">
        <f t="shared" si="3"/>
        <v>139</v>
      </c>
      <c r="B73" s="661" t="str">
        <f t="shared" si="2"/>
        <v>Em Vigência</v>
      </c>
      <c r="C73" s="662" t="s">
        <v>1163</v>
      </c>
      <c r="D73" s="663" t="s">
        <v>2944</v>
      </c>
      <c r="E73" s="403" t="s">
        <v>25</v>
      </c>
      <c r="F73" s="403" t="s">
        <v>2911</v>
      </c>
      <c r="G73" s="403" t="s">
        <v>2912</v>
      </c>
      <c r="H73" s="664" t="s">
        <v>2913</v>
      </c>
      <c r="I73" s="403" t="s">
        <v>2914</v>
      </c>
      <c r="J73" s="665" t="s">
        <v>2915</v>
      </c>
      <c r="K73" s="665" t="s">
        <v>2945</v>
      </c>
      <c r="L73" s="666" t="s">
        <v>2917</v>
      </c>
      <c r="M73" s="674">
        <v>43176.0</v>
      </c>
      <c r="N73" s="671" t="s">
        <v>2946</v>
      </c>
      <c r="O73" s="692" t="s">
        <v>2940</v>
      </c>
      <c r="P73" s="403" t="s">
        <v>2947</v>
      </c>
      <c r="Q73" s="670">
        <v>46306.0</v>
      </c>
      <c r="R73" s="671" t="s">
        <v>2</v>
      </c>
      <c r="S73" s="672"/>
      <c r="T73" s="673"/>
      <c r="U73" s="673"/>
      <c r="V73" s="673"/>
    </row>
    <row r="74" ht="15.75" customHeight="1">
      <c r="A74" s="660">
        <f t="shared" si="3"/>
        <v>139</v>
      </c>
      <c r="B74" s="661" t="str">
        <f t="shared" si="2"/>
        <v>Em Vigência</v>
      </c>
      <c r="C74" s="662" t="s">
        <v>1104</v>
      </c>
      <c r="D74" s="663" t="s">
        <v>2948</v>
      </c>
      <c r="E74" s="403" t="s">
        <v>25</v>
      </c>
      <c r="F74" s="403" t="s">
        <v>2911</v>
      </c>
      <c r="G74" s="403" t="s">
        <v>2912</v>
      </c>
      <c r="H74" s="664" t="s">
        <v>2913</v>
      </c>
      <c r="I74" s="403" t="s">
        <v>2914</v>
      </c>
      <c r="J74" s="665" t="s">
        <v>2915</v>
      </c>
      <c r="K74" s="665" t="s">
        <v>2949</v>
      </c>
      <c r="L74" s="666" t="s">
        <v>2917</v>
      </c>
      <c r="M74" s="674">
        <v>231624.0</v>
      </c>
      <c r="N74" s="671" t="s">
        <v>2939</v>
      </c>
      <c r="O74" s="692" t="s">
        <v>2950</v>
      </c>
      <c r="P74" s="403" t="s">
        <v>2941</v>
      </c>
      <c r="Q74" s="670">
        <v>46306.0</v>
      </c>
      <c r="R74" s="671" t="s">
        <v>2</v>
      </c>
      <c r="S74" s="672"/>
      <c r="T74" s="673"/>
      <c r="U74" s="673"/>
      <c r="V74" s="673"/>
    </row>
    <row r="75" ht="15.75" customHeight="1">
      <c r="A75" s="660">
        <f t="shared" si="3"/>
        <v>139</v>
      </c>
      <c r="B75" s="661" t="str">
        <f t="shared" si="2"/>
        <v>Em Vigência</v>
      </c>
      <c r="C75" s="662" t="s">
        <v>473</v>
      </c>
      <c r="D75" s="663" t="s">
        <v>2951</v>
      </c>
      <c r="E75" s="403" t="s">
        <v>25</v>
      </c>
      <c r="F75" s="403" t="s">
        <v>2911</v>
      </c>
      <c r="G75" s="403" t="s">
        <v>2912</v>
      </c>
      <c r="H75" s="664" t="s">
        <v>2913</v>
      </c>
      <c r="I75" s="403" t="s">
        <v>2914</v>
      </c>
      <c r="J75" s="665" t="s">
        <v>2915</v>
      </c>
      <c r="K75" s="665" t="s">
        <v>2952</v>
      </c>
      <c r="L75" s="666" t="s">
        <v>2917</v>
      </c>
      <c r="M75" s="674">
        <v>11481.0</v>
      </c>
      <c r="N75" s="671" t="s">
        <v>2939</v>
      </c>
      <c r="O75" s="692" t="s">
        <v>2940</v>
      </c>
      <c r="P75" s="403" t="s">
        <v>2941</v>
      </c>
      <c r="Q75" s="670">
        <v>46306.0</v>
      </c>
      <c r="R75" s="671" t="s">
        <v>2</v>
      </c>
      <c r="S75" s="672"/>
      <c r="T75" s="673"/>
      <c r="U75" s="673"/>
      <c r="V75" s="673"/>
    </row>
    <row r="76" ht="15.75" customHeight="1">
      <c r="A76" s="660">
        <f t="shared" si="3"/>
        <v>146</v>
      </c>
      <c r="B76" s="661" t="str">
        <f t="shared" si="2"/>
        <v>Em Vigência</v>
      </c>
      <c r="C76" s="662" t="s">
        <v>63</v>
      </c>
      <c r="D76" s="663" t="s">
        <v>2953</v>
      </c>
      <c r="E76" s="403" t="s">
        <v>25</v>
      </c>
      <c r="F76" s="403" t="s">
        <v>2912</v>
      </c>
      <c r="G76" s="403" t="s">
        <v>2954</v>
      </c>
      <c r="H76" s="664" t="s">
        <v>2913</v>
      </c>
      <c r="I76" s="403" t="s">
        <v>2914</v>
      </c>
      <c r="J76" s="665" t="s">
        <v>2915</v>
      </c>
      <c r="K76" s="665" t="s">
        <v>2955</v>
      </c>
      <c r="L76" s="666" t="s">
        <v>2917</v>
      </c>
      <c r="M76" s="674" t="s">
        <v>2956</v>
      </c>
      <c r="N76" s="671" t="s">
        <v>2957</v>
      </c>
      <c r="O76" s="669">
        <v>45583.0</v>
      </c>
      <c r="P76" s="403" t="s">
        <v>2958</v>
      </c>
      <c r="Q76" s="670">
        <v>46313.0</v>
      </c>
      <c r="R76" s="671" t="s">
        <v>2</v>
      </c>
      <c r="S76" s="672"/>
      <c r="T76" s="673"/>
      <c r="U76" s="673"/>
      <c r="V76" s="673"/>
    </row>
    <row r="77" ht="15.75" customHeight="1">
      <c r="A77" s="660">
        <f t="shared" si="3"/>
        <v>146</v>
      </c>
      <c r="B77" s="661" t="str">
        <f t="shared" si="2"/>
        <v>Em Vigência</v>
      </c>
      <c r="C77" s="662" t="s">
        <v>1380</v>
      </c>
      <c r="D77" s="663" t="s">
        <v>2959</v>
      </c>
      <c r="E77" s="403" t="s">
        <v>25</v>
      </c>
      <c r="F77" s="403" t="s">
        <v>2911</v>
      </c>
      <c r="G77" s="403" t="s">
        <v>2912</v>
      </c>
      <c r="H77" s="664" t="s">
        <v>2913</v>
      </c>
      <c r="I77" s="403" t="s">
        <v>2914</v>
      </c>
      <c r="J77" s="665" t="s">
        <v>2915</v>
      </c>
      <c r="K77" s="665" t="s">
        <v>2960</v>
      </c>
      <c r="L77" s="666" t="s">
        <v>2961</v>
      </c>
      <c r="M77" s="674">
        <v>9648.0</v>
      </c>
      <c r="N77" s="668">
        <v>45948.0</v>
      </c>
      <c r="O77" s="669">
        <v>45959.0</v>
      </c>
      <c r="P77" s="403" t="s">
        <v>2962</v>
      </c>
      <c r="Q77" s="670">
        <v>46313.0</v>
      </c>
      <c r="R77" s="671" t="s">
        <v>2</v>
      </c>
      <c r="S77" s="672"/>
      <c r="T77" s="673"/>
      <c r="U77" s="673"/>
      <c r="V77" s="673"/>
    </row>
    <row r="78" ht="15.75" customHeight="1">
      <c r="A78" s="660">
        <f t="shared" si="3"/>
        <v>136</v>
      </c>
      <c r="B78" s="661" t="str">
        <f t="shared" si="2"/>
        <v>Em Vigência</v>
      </c>
      <c r="C78" s="662" t="s">
        <v>86</v>
      </c>
      <c r="D78" s="663" t="s">
        <v>2963</v>
      </c>
      <c r="E78" s="403" t="s">
        <v>25</v>
      </c>
      <c r="F78" s="403" t="s">
        <v>2911</v>
      </c>
      <c r="G78" s="403" t="s">
        <v>2912</v>
      </c>
      <c r="H78" s="664" t="s">
        <v>2964</v>
      </c>
      <c r="I78" s="403" t="s">
        <v>2965</v>
      </c>
      <c r="J78" s="665" t="s">
        <v>2966</v>
      </c>
      <c r="K78" s="665" t="s">
        <v>2967</v>
      </c>
      <c r="L78" s="666" t="s">
        <v>2968</v>
      </c>
      <c r="M78" s="674">
        <v>9001.2</v>
      </c>
      <c r="N78" s="668">
        <v>45938.0</v>
      </c>
      <c r="O78" s="669">
        <v>45964.0</v>
      </c>
      <c r="P78" s="403" t="s">
        <v>2969</v>
      </c>
      <c r="Q78" s="670">
        <v>46303.0</v>
      </c>
      <c r="R78" s="672"/>
      <c r="S78" s="672"/>
      <c r="T78" s="673"/>
      <c r="U78" s="673"/>
      <c r="V78" s="673"/>
    </row>
    <row r="79" ht="15.75" customHeight="1">
      <c r="A79" s="660">
        <f t="shared" si="3"/>
        <v>136</v>
      </c>
      <c r="B79" s="661" t="str">
        <f t="shared" si="2"/>
        <v>Em Vigência</v>
      </c>
      <c r="C79" s="662" t="s">
        <v>505</v>
      </c>
      <c r="D79" s="663" t="s">
        <v>2910</v>
      </c>
      <c r="E79" s="403" t="s">
        <v>25</v>
      </c>
      <c r="F79" s="403" t="s">
        <v>2911</v>
      </c>
      <c r="G79" s="403" t="s">
        <v>2912</v>
      </c>
      <c r="H79" s="664" t="s">
        <v>2964</v>
      </c>
      <c r="I79" s="403" t="s">
        <v>2965</v>
      </c>
      <c r="J79" s="665" t="s">
        <v>2966</v>
      </c>
      <c r="K79" s="665" t="s">
        <v>2970</v>
      </c>
      <c r="L79" s="666" t="s">
        <v>2968</v>
      </c>
      <c r="M79" s="674">
        <v>81801.6</v>
      </c>
      <c r="N79" s="668">
        <v>45938.0</v>
      </c>
      <c r="O79" s="669">
        <v>45980.0</v>
      </c>
      <c r="P79" s="403" t="s">
        <v>2969</v>
      </c>
      <c r="Q79" s="670">
        <v>46303.0</v>
      </c>
      <c r="R79" s="672"/>
      <c r="S79" s="672"/>
      <c r="T79" s="673"/>
      <c r="U79" s="673"/>
      <c r="V79" s="673"/>
    </row>
    <row r="80" ht="15.75" customHeight="1">
      <c r="A80" s="660">
        <f t="shared" si="3"/>
        <v>138</v>
      </c>
      <c r="B80" s="661" t="str">
        <f t="shared" si="2"/>
        <v>Em Vigência</v>
      </c>
      <c r="C80" s="662" t="s">
        <v>161</v>
      </c>
      <c r="D80" s="663" t="s">
        <v>2971</v>
      </c>
      <c r="E80" s="403" t="s">
        <v>25</v>
      </c>
      <c r="F80" s="403" t="s">
        <v>2911</v>
      </c>
      <c r="G80" s="403" t="s">
        <v>2912</v>
      </c>
      <c r="H80" s="664" t="s">
        <v>2964</v>
      </c>
      <c r="I80" s="403" t="s">
        <v>2965</v>
      </c>
      <c r="J80" s="665" t="s">
        <v>2966</v>
      </c>
      <c r="K80" s="665" t="s">
        <v>2972</v>
      </c>
      <c r="L80" s="666" t="s">
        <v>2968</v>
      </c>
      <c r="M80" s="674">
        <v>27096.0</v>
      </c>
      <c r="N80" s="668">
        <v>45939.0</v>
      </c>
      <c r="O80" s="669">
        <v>45964.0</v>
      </c>
      <c r="P80" s="403" t="s">
        <v>2973</v>
      </c>
      <c r="Q80" s="670">
        <v>46305.0</v>
      </c>
      <c r="R80" s="672"/>
      <c r="S80" s="672"/>
      <c r="T80" s="673"/>
      <c r="U80" s="673"/>
      <c r="V80" s="673"/>
    </row>
    <row r="81" ht="15.75" customHeight="1">
      <c r="A81" s="660">
        <f t="shared" si="3"/>
        <v>136</v>
      </c>
      <c r="B81" s="661" t="str">
        <f t="shared" si="2"/>
        <v>Em Vigência</v>
      </c>
      <c r="C81" s="662" t="s">
        <v>487</v>
      </c>
      <c r="D81" s="663" t="s">
        <v>2974</v>
      </c>
      <c r="E81" s="403" t="s">
        <v>25</v>
      </c>
      <c r="F81" s="403" t="s">
        <v>2911</v>
      </c>
      <c r="G81" s="403" t="s">
        <v>2912</v>
      </c>
      <c r="H81" s="664" t="s">
        <v>2964</v>
      </c>
      <c r="I81" s="403" t="s">
        <v>2965</v>
      </c>
      <c r="J81" s="665" t="s">
        <v>2966</v>
      </c>
      <c r="K81" s="665" t="s">
        <v>2975</v>
      </c>
      <c r="L81" s="666" t="s">
        <v>2968</v>
      </c>
      <c r="M81" s="674">
        <v>94068.0</v>
      </c>
      <c r="N81" s="668">
        <v>45938.0</v>
      </c>
      <c r="O81" s="669">
        <v>45964.0</v>
      </c>
      <c r="P81" s="403" t="s">
        <v>2969</v>
      </c>
      <c r="Q81" s="670">
        <v>46303.0</v>
      </c>
      <c r="R81" s="672"/>
      <c r="S81" s="672"/>
      <c r="T81" s="673"/>
      <c r="U81" s="673"/>
      <c r="V81" s="673"/>
    </row>
    <row r="82" ht="15.75" customHeight="1">
      <c r="A82" s="660">
        <f t="shared" si="3"/>
        <v>138</v>
      </c>
      <c r="B82" s="661" t="str">
        <f t="shared" si="2"/>
        <v>Em Vigência</v>
      </c>
      <c r="C82" s="662" t="s">
        <v>2976</v>
      </c>
      <c r="D82" s="663" t="s">
        <v>2951</v>
      </c>
      <c r="E82" s="403" t="s">
        <v>25</v>
      </c>
      <c r="F82" s="403" t="s">
        <v>2911</v>
      </c>
      <c r="G82" s="403" t="s">
        <v>2912</v>
      </c>
      <c r="H82" s="664" t="s">
        <v>2964</v>
      </c>
      <c r="I82" s="403" t="s">
        <v>2965</v>
      </c>
      <c r="J82" s="665" t="s">
        <v>2966</v>
      </c>
      <c r="K82" s="665" t="s">
        <v>2977</v>
      </c>
      <c r="L82" s="666" t="s">
        <v>2968</v>
      </c>
      <c r="M82" s="674">
        <v>63375.0</v>
      </c>
      <c r="N82" s="668">
        <v>45940.0</v>
      </c>
      <c r="O82" s="669">
        <v>45964.0</v>
      </c>
      <c r="P82" s="403" t="s">
        <v>2973</v>
      </c>
      <c r="Q82" s="670">
        <v>46305.0</v>
      </c>
      <c r="R82" s="672"/>
      <c r="S82" s="672"/>
      <c r="T82" s="673"/>
      <c r="U82" s="673"/>
      <c r="V82" s="673"/>
    </row>
    <row r="83" ht="15.75" customHeight="1">
      <c r="A83" s="660">
        <f t="shared" si="3"/>
        <v>136</v>
      </c>
      <c r="B83" s="661" t="str">
        <f t="shared" si="2"/>
        <v>Em Vigência</v>
      </c>
      <c r="C83" s="662" t="s">
        <v>2978</v>
      </c>
      <c r="D83" s="663" t="s">
        <v>2979</v>
      </c>
      <c r="E83" s="403" t="s">
        <v>25</v>
      </c>
      <c r="F83" s="403" t="s">
        <v>2911</v>
      </c>
      <c r="G83" s="403" t="s">
        <v>2912</v>
      </c>
      <c r="H83" s="664" t="s">
        <v>2964</v>
      </c>
      <c r="I83" s="403" t="s">
        <v>2965</v>
      </c>
      <c r="J83" s="665" t="s">
        <v>2966</v>
      </c>
      <c r="K83" s="665" t="s">
        <v>2980</v>
      </c>
      <c r="L83" s="666" t="s">
        <v>2968</v>
      </c>
      <c r="M83" s="674">
        <v>63375.0</v>
      </c>
      <c r="N83" s="668">
        <v>45938.0</v>
      </c>
      <c r="O83" s="669">
        <v>45964.0</v>
      </c>
      <c r="P83" s="403" t="s">
        <v>2969</v>
      </c>
      <c r="Q83" s="670">
        <v>46303.0</v>
      </c>
      <c r="R83" s="672"/>
      <c r="S83" s="672"/>
      <c r="T83" s="673"/>
      <c r="U83" s="673"/>
      <c r="V83" s="673"/>
    </row>
    <row r="84" ht="15.75" customHeight="1">
      <c r="A84" s="660">
        <f t="shared" si="3"/>
        <v>139</v>
      </c>
      <c r="B84" s="661" t="str">
        <f t="shared" si="2"/>
        <v>Em Vigência</v>
      </c>
      <c r="C84" s="662" t="s">
        <v>2981</v>
      </c>
      <c r="D84" s="663" t="s">
        <v>2982</v>
      </c>
      <c r="E84" s="403" t="s">
        <v>25</v>
      </c>
      <c r="F84" s="403" t="s">
        <v>2911</v>
      </c>
      <c r="G84" s="403" t="s">
        <v>2912</v>
      </c>
      <c r="H84" s="664" t="s">
        <v>2964</v>
      </c>
      <c r="I84" s="403" t="s">
        <v>2965</v>
      </c>
      <c r="J84" s="665" t="s">
        <v>2966</v>
      </c>
      <c r="K84" s="665" t="s">
        <v>2983</v>
      </c>
      <c r="L84" s="666" t="s">
        <v>2968</v>
      </c>
      <c r="M84" s="674">
        <v>60750.48</v>
      </c>
      <c r="N84" s="668">
        <v>45940.0</v>
      </c>
      <c r="O84" s="669">
        <v>45964.0</v>
      </c>
      <c r="P84" s="403" t="s">
        <v>2936</v>
      </c>
      <c r="Q84" s="670">
        <v>46306.0</v>
      </c>
      <c r="R84" s="672"/>
      <c r="S84" s="672"/>
      <c r="T84" s="673"/>
      <c r="U84" s="673"/>
      <c r="V84" s="673"/>
    </row>
    <row r="85" ht="15.75" customHeight="1">
      <c r="A85" s="660">
        <f t="shared" si="3"/>
        <v>142</v>
      </c>
      <c r="B85" s="661" t="str">
        <f t="shared" si="2"/>
        <v>Em Vigência</v>
      </c>
      <c r="C85" s="662" t="s">
        <v>2984</v>
      </c>
      <c r="D85" s="663" t="s">
        <v>2985</v>
      </c>
      <c r="E85" s="403" t="s">
        <v>25</v>
      </c>
      <c r="F85" s="403" t="s">
        <v>2911</v>
      </c>
      <c r="G85" s="403" t="s">
        <v>2912</v>
      </c>
      <c r="H85" s="664" t="s">
        <v>2964</v>
      </c>
      <c r="I85" s="403" t="s">
        <v>2965</v>
      </c>
      <c r="J85" s="665" t="s">
        <v>2966</v>
      </c>
      <c r="K85" s="665" t="s">
        <v>2986</v>
      </c>
      <c r="L85" s="666" t="s">
        <v>2968</v>
      </c>
      <c r="M85" s="674">
        <v>29760.0</v>
      </c>
      <c r="N85" s="668">
        <v>45944.0</v>
      </c>
      <c r="O85" s="669">
        <v>45964.0</v>
      </c>
      <c r="P85" s="403" t="s">
        <v>2987</v>
      </c>
      <c r="Q85" s="670">
        <v>46309.0</v>
      </c>
      <c r="R85" s="672"/>
      <c r="S85" s="672"/>
      <c r="T85" s="673"/>
      <c r="U85" s="673"/>
      <c r="V85" s="673"/>
    </row>
    <row r="86" ht="15.75" customHeight="1">
      <c r="A86" s="660">
        <f t="shared" si="3"/>
        <v>138</v>
      </c>
      <c r="B86" s="661" t="str">
        <f t="shared" si="2"/>
        <v>Em Vigência</v>
      </c>
      <c r="C86" s="662" t="s">
        <v>2988</v>
      </c>
      <c r="D86" s="663" t="s">
        <v>2989</v>
      </c>
      <c r="E86" s="403" t="s">
        <v>25</v>
      </c>
      <c r="F86" s="403" t="s">
        <v>2911</v>
      </c>
      <c r="G86" s="403" t="s">
        <v>2912</v>
      </c>
      <c r="H86" s="664" t="s">
        <v>2964</v>
      </c>
      <c r="I86" s="403" t="s">
        <v>2965</v>
      </c>
      <c r="J86" s="665" t="s">
        <v>2966</v>
      </c>
      <c r="K86" s="665" t="s">
        <v>2990</v>
      </c>
      <c r="L86" s="666" t="s">
        <v>2968</v>
      </c>
      <c r="M86" s="674">
        <v>67193.16</v>
      </c>
      <c r="N86" s="668">
        <v>45940.0</v>
      </c>
      <c r="O86" s="669">
        <v>45964.0</v>
      </c>
      <c r="P86" s="403" t="s">
        <v>2973</v>
      </c>
      <c r="Q86" s="670">
        <v>46305.0</v>
      </c>
      <c r="R86" s="672"/>
      <c r="S86" s="672"/>
      <c r="T86" s="673"/>
      <c r="U86" s="673"/>
      <c r="V86" s="673"/>
    </row>
    <row r="87" ht="15.75" customHeight="1">
      <c r="A87" s="660">
        <f t="shared" si="3"/>
        <v>157</v>
      </c>
      <c r="B87" s="661" t="str">
        <f t="shared" si="2"/>
        <v>Em Vigência</v>
      </c>
      <c r="C87" s="662" t="s">
        <v>2991</v>
      </c>
      <c r="D87" s="663" t="s">
        <v>2992</v>
      </c>
      <c r="E87" s="403" t="s">
        <v>25</v>
      </c>
      <c r="F87" s="403" t="s">
        <v>2993</v>
      </c>
      <c r="G87" s="403" t="s">
        <v>2994</v>
      </c>
      <c r="H87" s="664" t="s">
        <v>2995</v>
      </c>
      <c r="I87" s="403" t="s">
        <v>2715</v>
      </c>
      <c r="J87" s="665" t="s">
        <v>2996</v>
      </c>
      <c r="K87" s="665" t="s">
        <v>2997</v>
      </c>
      <c r="L87" s="666" t="s">
        <v>2998</v>
      </c>
      <c r="M87" s="674">
        <v>7188.0</v>
      </c>
      <c r="N87" s="671" t="s">
        <v>2999</v>
      </c>
      <c r="O87" s="692" t="s">
        <v>3000</v>
      </c>
      <c r="P87" s="403" t="s">
        <v>3001</v>
      </c>
      <c r="Q87" s="670">
        <v>46324.0</v>
      </c>
      <c r="R87" s="671" t="s">
        <v>2</v>
      </c>
      <c r="S87" s="672"/>
      <c r="T87" s="673"/>
      <c r="U87" s="673"/>
      <c r="V87" s="673"/>
    </row>
    <row r="88" ht="15.75" customHeight="1">
      <c r="A88" s="660">
        <f t="shared" si="3"/>
        <v>157</v>
      </c>
      <c r="B88" s="661" t="str">
        <f t="shared" si="2"/>
        <v>Em Vigência</v>
      </c>
      <c r="C88" s="662" t="s">
        <v>3002</v>
      </c>
      <c r="D88" s="663" t="s">
        <v>2963</v>
      </c>
      <c r="E88" s="403" t="s">
        <v>25</v>
      </c>
      <c r="F88" s="403" t="s">
        <v>2993</v>
      </c>
      <c r="G88" s="403" t="s">
        <v>2994</v>
      </c>
      <c r="H88" s="664" t="s">
        <v>2995</v>
      </c>
      <c r="I88" s="403" t="s">
        <v>2715</v>
      </c>
      <c r="J88" s="665" t="s">
        <v>3003</v>
      </c>
      <c r="K88" s="665" t="s">
        <v>3004</v>
      </c>
      <c r="L88" s="666" t="s">
        <v>3005</v>
      </c>
      <c r="M88" s="674">
        <v>5040.0</v>
      </c>
      <c r="N88" s="671" t="s">
        <v>2999</v>
      </c>
      <c r="O88" s="692" t="s">
        <v>3006</v>
      </c>
      <c r="P88" s="403" t="s">
        <v>3007</v>
      </c>
      <c r="Q88" s="670">
        <v>46324.0</v>
      </c>
      <c r="R88" s="671" t="s">
        <v>2</v>
      </c>
      <c r="S88" s="672"/>
      <c r="T88" s="673"/>
      <c r="U88" s="673"/>
      <c r="V88" s="673"/>
    </row>
    <row r="89" ht="15.75" customHeight="1">
      <c r="A89" s="660">
        <f t="shared" si="3"/>
        <v>157</v>
      </c>
      <c r="B89" s="661" t="str">
        <f t="shared" si="2"/>
        <v>Em Vigência</v>
      </c>
      <c r="C89" s="662" t="s">
        <v>3008</v>
      </c>
      <c r="D89" s="663" t="s">
        <v>3009</v>
      </c>
      <c r="E89" s="403" t="s">
        <v>25</v>
      </c>
      <c r="F89" s="403" t="s">
        <v>2993</v>
      </c>
      <c r="G89" s="403" t="s">
        <v>2994</v>
      </c>
      <c r="H89" s="664" t="s">
        <v>2995</v>
      </c>
      <c r="I89" s="403" t="s">
        <v>2715</v>
      </c>
      <c r="J89" s="665" t="s">
        <v>3010</v>
      </c>
      <c r="K89" s="665" t="s">
        <v>3011</v>
      </c>
      <c r="L89" s="666" t="s">
        <v>3012</v>
      </c>
      <c r="M89" s="674">
        <v>24300.0</v>
      </c>
      <c r="N89" s="668">
        <v>45588.0</v>
      </c>
      <c r="O89" s="692" t="s">
        <v>3013</v>
      </c>
      <c r="P89" s="403" t="s">
        <v>3007</v>
      </c>
      <c r="Q89" s="670">
        <v>46324.0</v>
      </c>
      <c r="R89" s="671" t="s">
        <v>2</v>
      </c>
      <c r="S89" s="672"/>
      <c r="T89" s="673"/>
      <c r="U89" s="673"/>
      <c r="V89" s="673"/>
    </row>
    <row r="90" ht="15.75" customHeight="1">
      <c r="A90" s="660">
        <f t="shared" si="3"/>
        <v>157</v>
      </c>
      <c r="B90" s="661" t="str">
        <f t="shared" si="2"/>
        <v>Em Vigência</v>
      </c>
      <c r="C90" s="693" t="s">
        <v>3014</v>
      </c>
      <c r="D90" s="663" t="s">
        <v>3015</v>
      </c>
      <c r="E90" s="403" t="s">
        <v>25</v>
      </c>
      <c r="F90" s="403" t="s">
        <v>3016</v>
      </c>
      <c r="G90" s="403" t="s">
        <v>2911</v>
      </c>
      <c r="H90" s="664" t="s">
        <v>2995</v>
      </c>
      <c r="I90" s="403" t="s">
        <v>2715</v>
      </c>
      <c r="J90" s="665" t="s">
        <v>3017</v>
      </c>
      <c r="K90" s="665" t="s">
        <v>3018</v>
      </c>
      <c r="L90" s="666" t="s">
        <v>3019</v>
      </c>
      <c r="M90" s="674">
        <v>4620.0</v>
      </c>
      <c r="N90" s="671" t="s">
        <v>2999</v>
      </c>
      <c r="O90" s="692" t="s">
        <v>3020</v>
      </c>
      <c r="P90" s="403" t="s">
        <v>3007</v>
      </c>
      <c r="Q90" s="670">
        <v>46324.0</v>
      </c>
      <c r="R90" s="671" t="s">
        <v>2</v>
      </c>
      <c r="S90" s="672"/>
      <c r="T90" s="673"/>
      <c r="U90" s="673"/>
      <c r="V90" s="673"/>
    </row>
    <row r="91" ht="15.75" customHeight="1">
      <c r="A91" s="660">
        <f t="shared" si="3"/>
        <v>158</v>
      </c>
      <c r="B91" s="661" t="str">
        <f t="shared" si="2"/>
        <v>Em Vigência</v>
      </c>
      <c r="C91" s="662" t="s">
        <v>3021</v>
      </c>
      <c r="D91" s="663" t="s">
        <v>2937</v>
      </c>
      <c r="E91" s="403" t="s">
        <v>25</v>
      </c>
      <c r="F91" s="403" t="s">
        <v>2993</v>
      </c>
      <c r="G91" s="403" t="s">
        <v>2994</v>
      </c>
      <c r="H91" s="664" t="s">
        <v>2995</v>
      </c>
      <c r="I91" s="403" t="s">
        <v>2715</v>
      </c>
      <c r="J91" s="665" t="s">
        <v>3022</v>
      </c>
      <c r="K91" s="665" t="s">
        <v>3023</v>
      </c>
      <c r="L91" s="666" t="s">
        <v>3024</v>
      </c>
      <c r="M91" s="674">
        <v>23280.0</v>
      </c>
      <c r="N91" s="671" t="s">
        <v>3025</v>
      </c>
      <c r="O91" s="692" t="s">
        <v>3026</v>
      </c>
      <c r="P91" s="403" t="s">
        <v>3027</v>
      </c>
      <c r="Q91" s="670">
        <v>46325.0</v>
      </c>
      <c r="R91" s="671" t="s">
        <v>2</v>
      </c>
      <c r="S91" s="672"/>
      <c r="T91" s="673"/>
      <c r="U91" s="673"/>
      <c r="V91" s="673"/>
    </row>
    <row r="92" ht="15.75" customHeight="1">
      <c r="A92" s="660">
        <f t="shared" si="3"/>
        <v>158</v>
      </c>
      <c r="B92" s="661" t="str">
        <f t="shared" si="2"/>
        <v>Em Vigência</v>
      </c>
      <c r="C92" s="662" t="s">
        <v>3028</v>
      </c>
      <c r="D92" s="663" t="s">
        <v>2953</v>
      </c>
      <c r="E92" s="403" t="s">
        <v>25</v>
      </c>
      <c r="F92" s="403" t="s">
        <v>2994</v>
      </c>
      <c r="G92" s="403" t="s">
        <v>3029</v>
      </c>
      <c r="H92" s="664" t="s">
        <v>2995</v>
      </c>
      <c r="I92" s="403" t="s">
        <v>2715</v>
      </c>
      <c r="J92" s="665" t="s">
        <v>3030</v>
      </c>
      <c r="K92" s="665" t="s">
        <v>3031</v>
      </c>
      <c r="L92" s="666" t="s">
        <v>3032</v>
      </c>
      <c r="M92" s="674">
        <v>54420.0</v>
      </c>
      <c r="N92" s="671" t="s">
        <v>3025</v>
      </c>
      <c r="O92" s="692" t="s">
        <v>3026</v>
      </c>
      <c r="P92" s="403" t="s">
        <v>3027</v>
      </c>
      <c r="Q92" s="670">
        <v>46325.0</v>
      </c>
      <c r="R92" s="671" t="s">
        <v>2</v>
      </c>
      <c r="S92" s="672"/>
      <c r="T92" s="673"/>
      <c r="U92" s="673"/>
      <c r="V92" s="673"/>
    </row>
    <row r="93">
      <c r="A93" s="660">
        <f t="shared" si="3"/>
        <v>158</v>
      </c>
      <c r="B93" s="661" t="str">
        <f t="shared" si="2"/>
        <v>Em Vigência</v>
      </c>
      <c r="C93" s="662" t="s">
        <v>3033</v>
      </c>
      <c r="D93" s="663" t="s">
        <v>3034</v>
      </c>
      <c r="E93" s="403" t="s">
        <v>25</v>
      </c>
      <c r="F93" s="403" t="s">
        <v>2993</v>
      </c>
      <c r="G93" s="403" t="s">
        <v>2994</v>
      </c>
      <c r="H93" s="664" t="s">
        <v>3035</v>
      </c>
      <c r="I93" s="403" t="s">
        <v>3036</v>
      </c>
      <c r="J93" s="665" t="s">
        <v>3037</v>
      </c>
      <c r="K93" s="665" t="s">
        <v>3038</v>
      </c>
      <c r="L93" s="666" t="s">
        <v>3005</v>
      </c>
      <c r="M93" s="674">
        <v>19000.0</v>
      </c>
      <c r="N93" s="671" t="s">
        <v>3025</v>
      </c>
      <c r="O93" s="671" t="s">
        <v>3026</v>
      </c>
      <c r="P93" s="403" t="s">
        <v>3027</v>
      </c>
      <c r="Q93" s="670">
        <v>46325.0</v>
      </c>
      <c r="R93" s="671" t="s">
        <v>2</v>
      </c>
      <c r="S93" s="672"/>
      <c r="T93" s="673"/>
      <c r="U93" s="673"/>
      <c r="V93" s="673"/>
    </row>
    <row r="94" ht="15.75" customHeight="1">
      <c r="A94" s="660">
        <f t="shared" si="3"/>
        <v>170</v>
      </c>
      <c r="B94" s="661" t="str">
        <f t="shared" si="2"/>
        <v>Em Vigência</v>
      </c>
      <c r="C94" s="662" t="s">
        <v>3039</v>
      </c>
      <c r="D94" s="663" t="s">
        <v>3040</v>
      </c>
      <c r="E94" s="403" t="s">
        <v>25</v>
      </c>
      <c r="F94" s="403" t="s">
        <v>3016</v>
      </c>
      <c r="G94" s="403" t="s">
        <v>2911</v>
      </c>
      <c r="H94" s="664" t="s">
        <v>3041</v>
      </c>
      <c r="I94" s="403" t="s">
        <v>3042</v>
      </c>
      <c r="J94" s="665" t="s">
        <v>3043</v>
      </c>
      <c r="K94" s="665" t="s">
        <v>3044</v>
      </c>
      <c r="L94" s="666" t="s">
        <v>2998</v>
      </c>
      <c r="M94" s="674">
        <v>16974.0</v>
      </c>
      <c r="N94" s="668">
        <v>45972.0</v>
      </c>
      <c r="O94" s="669">
        <v>45979.0</v>
      </c>
      <c r="P94" s="403" t="s">
        <v>3045</v>
      </c>
      <c r="Q94" s="670">
        <v>46337.0</v>
      </c>
      <c r="R94" s="671" t="s">
        <v>2</v>
      </c>
      <c r="S94" s="672"/>
      <c r="T94" s="673"/>
      <c r="U94" s="673"/>
      <c r="V94" s="673"/>
    </row>
    <row r="95" ht="15.75" customHeight="1">
      <c r="A95" s="660">
        <f t="shared" si="3"/>
        <v>170</v>
      </c>
      <c r="B95" s="661" t="str">
        <f t="shared" si="2"/>
        <v>Em Vigência</v>
      </c>
      <c r="C95" s="662" t="s">
        <v>3046</v>
      </c>
      <c r="D95" s="663" t="s">
        <v>3047</v>
      </c>
      <c r="E95" s="403" t="s">
        <v>25</v>
      </c>
      <c r="F95" s="403" t="s">
        <v>2993</v>
      </c>
      <c r="G95" s="403" t="s">
        <v>2994</v>
      </c>
      <c r="H95" s="664" t="s">
        <v>3041</v>
      </c>
      <c r="I95" s="403" t="s">
        <v>3042</v>
      </c>
      <c r="J95" s="665" t="s">
        <v>3043</v>
      </c>
      <c r="K95" s="665" t="s">
        <v>3048</v>
      </c>
      <c r="L95" s="666" t="s">
        <v>2998</v>
      </c>
      <c r="M95" s="674">
        <v>7080.0</v>
      </c>
      <c r="N95" s="668">
        <v>45968.0</v>
      </c>
      <c r="O95" s="669">
        <v>45979.0</v>
      </c>
      <c r="P95" s="403" t="s">
        <v>3045</v>
      </c>
      <c r="Q95" s="670">
        <v>46337.0</v>
      </c>
      <c r="R95" s="671" t="s">
        <v>2</v>
      </c>
      <c r="S95" s="672"/>
      <c r="T95" s="673"/>
      <c r="U95" s="673"/>
      <c r="V95" s="673"/>
    </row>
    <row r="96" ht="15.75" customHeight="1">
      <c r="A96" s="660">
        <f t="shared" si="3"/>
        <v>177</v>
      </c>
      <c r="B96" s="661" t="str">
        <f t="shared" si="2"/>
        <v>Em Vigência</v>
      </c>
      <c r="C96" s="662" t="s">
        <v>3049</v>
      </c>
      <c r="D96" s="663" t="s">
        <v>3050</v>
      </c>
      <c r="E96" s="403" t="s">
        <v>3051</v>
      </c>
      <c r="F96" s="403" t="s">
        <v>2993</v>
      </c>
      <c r="G96" s="403" t="s">
        <v>2994</v>
      </c>
      <c r="H96" s="664" t="s">
        <v>3041</v>
      </c>
      <c r="I96" s="403" t="s">
        <v>3042</v>
      </c>
      <c r="J96" s="665" t="s">
        <v>3043</v>
      </c>
      <c r="K96" s="665" t="s">
        <v>3052</v>
      </c>
      <c r="L96" s="666" t="s">
        <v>2998</v>
      </c>
      <c r="M96" s="674">
        <v>63748.56</v>
      </c>
      <c r="N96" s="668">
        <v>45979.0</v>
      </c>
      <c r="O96" s="669">
        <v>46003.0</v>
      </c>
      <c r="P96" s="403" t="s">
        <v>3053</v>
      </c>
      <c r="Q96" s="670">
        <v>46344.0</v>
      </c>
      <c r="R96" s="671" t="s">
        <v>2</v>
      </c>
      <c r="S96" s="672"/>
      <c r="T96" s="673"/>
      <c r="U96" s="673"/>
      <c r="V96" s="673"/>
    </row>
    <row r="97" ht="15.75" customHeight="1">
      <c r="A97" s="660">
        <f t="shared" si="3"/>
        <v>170</v>
      </c>
      <c r="B97" s="661" t="str">
        <f t="shared" si="2"/>
        <v>Em Vigência</v>
      </c>
      <c r="C97" s="662" t="s">
        <v>3054</v>
      </c>
      <c r="D97" s="663" t="s">
        <v>3055</v>
      </c>
      <c r="E97" s="403" t="s">
        <v>3051</v>
      </c>
      <c r="F97" s="403" t="s">
        <v>2912</v>
      </c>
      <c r="G97" s="403" t="s">
        <v>2954</v>
      </c>
      <c r="H97" s="664" t="s">
        <v>3041</v>
      </c>
      <c r="I97" s="403" t="s">
        <v>3042</v>
      </c>
      <c r="J97" s="665" t="s">
        <v>3043</v>
      </c>
      <c r="K97" s="665" t="s">
        <v>3056</v>
      </c>
      <c r="L97" s="666" t="s">
        <v>2998</v>
      </c>
      <c r="M97" s="674">
        <v>111033.9</v>
      </c>
      <c r="N97" s="668">
        <v>45586.0</v>
      </c>
      <c r="O97" s="669">
        <v>45964.0</v>
      </c>
      <c r="P97" s="403" t="s">
        <v>3045</v>
      </c>
      <c r="Q97" s="670">
        <v>46337.0</v>
      </c>
      <c r="R97" s="671" t="s">
        <v>2</v>
      </c>
      <c r="S97" s="672"/>
      <c r="T97" s="673"/>
      <c r="U97" s="673"/>
      <c r="V97" s="673"/>
    </row>
    <row r="98" ht="15.75" customHeight="1">
      <c r="A98" s="660">
        <f t="shared" si="3"/>
        <v>170</v>
      </c>
      <c r="B98" s="661" t="str">
        <f t="shared" si="2"/>
        <v>Em Vigência</v>
      </c>
      <c r="C98" s="662" t="s">
        <v>3057</v>
      </c>
      <c r="D98" s="663" t="s">
        <v>3058</v>
      </c>
      <c r="E98" s="403" t="s">
        <v>3051</v>
      </c>
      <c r="F98" s="403" t="s">
        <v>3016</v>
      </c>
      <c r="G98" s="403" t="s">
        <v>2911</v>
      </c>
      <c r="H98" s="664" t="s">
        <v>3041</v>
      </c>
      <c r="I98" s="403" t="s">
        <v>3042</v>
      </c>
      <c r="J98" s="665" t="s">
        <v>3043</v>
      </c>
      <c r="K98" s="665" t="s">
        <v>3059</v>
      </c>
      <c r="L98" s="666" t="s">
        <v>2998</v>
      </c>
      <c r="M98" s="674">
        <v>35400.0</v>
      </c>
      <c r="N98" s="668">
        <v>45971.0</v>
      </c>
      <c r="O98" s="669">
        <v>45979.0</v>
      </c>
      <c r="P98" s="403" t="s">
        <v>3045</v>
      </c>
      <c r="Q98" s="670">
        <v>46337.0</v>
      </c>
      <c r="R98" s="671" t="s">
        <v>2</v>
      </c>
      <c r="S98" s="672"/>
      <c r="T98" s="673"/>
      <c r="U98" s="673"/>
      <c r="V98" s="673"/>
    </row>
    <row r="99" ht="15.75" customHeight="1">
      <c r="A99" s="660">
        <f t="shared" si="3"/>
        <v>170</v>
      </c>
      <c r="B99" s="661" t="str">
        <f t="shared" si="2"/>
        <v>Em Vigência</v>
      </c>
      <c r="C99" s="662" t="s">
        <v>3060</v>
      </c>
      <c r="D99" s="663" t="s">
        <v>3061</v>
      </c>
      <c r="E99" s="403" t="s">
        <v>3051</v>
      </c>
      <c r="F99" s="403" t="s">
        <v>2993</v>
      </c>
      <c r="G99" s="403" t="s">
        <v>2994</v>
      </c>
      <c r="H99" s="664" t="s">
        <v>3041</v>
      </c>
      <c r="I99" s="403" t="s">
        <v>3042</v>
      </c>
      <c r="J99" s="665" t="s">
        <v>3043</v>
      </c>
      <c r="K99" s="665" t="s">
        <v>3062</v>
      </c>
      <c r="L99" s="666" t="s">
        <v>2998</v>
      </c>
      <c r="M99" s="674">
        <v>14825.94</v>
      </c>
      <c r="N99" s="668">
        <v>45964.0</v>
      </c>
      <c r="O99" s="669">
        <v>45978.0</v>
      </c>
      <c r="P99" s="403" t="s">
        <v>3045</v>
      </c>
      <c r="Q99" s="670">
        <v>46337.0</v>
      </c>
      <c r="R99" s="671" t="s">
        <v>2</v>
      </c>
      <c r="S99" s="672"/>
      <c r="T99" s="673"/>
      <c r="U99" s="673"/>
      <c r="V99" s="673"/>
    </row>
    <row r="100" ht="15.75" customHeight="1">
      <c r="A100" s="660">
        <f t="shared" si="3"/>
        <v>170</v>
      </c>
      <c r="B100" s="661" t="str">
        <f t="shared" si="2"/>
        <v>Em Vigência</v>
      </c>
      <c r="C100" s="662" t="s">
        <v>3063</v>
      </c>
      <c r="D100" s="663" t="s">
        <v>2803</v>
      </c>
      <c r="E100" s="403" t="s">
        <v>3051</v>
      </c>
      <c r="F100" s="403" t="s">
        <v>2993</v>
      </c>
      <c r="G100" s="403" t="s">
        <v>2994</v>
      </c>
      <c r="H100" s="664" t="s">
        <v>3041</v>
      </c>
      <c r="I100" s="403" t="s">
        <v>3042</v>
      </c>
      <c r="J100" s="665" t="s">
        <v>3043</v>
      </c>
      <c r="K100" s="665" t="s">
        <v>3064</v>
      </c>
      <c r="L100" s="666" t="s">
        <v>2998</v>
      </c>
      <c r="M100" s="674">
        <v>14255.82</v>
      </c>
      <c r="N100" s="668">
        <v>45968.0</v>
      </c>
      <c r="O100" s="669">
        <v>45979.0</v>
      </c>
      <c r="P100" s="403" t="s">
        <v>3045</v>
      </c>
      <c r="Q100" s="670">
        <v>46337.0</v>
      </c>
      <c r="R100" s="671" t="s">
        <v>2</v>
      </c>
      <c r="S100" s="672"/>
      <c r="T100" s="673"/>
      <c r="U100" s="673"/>
      <c r="V100" s="673"/>
    </row>
    <row r="101" ht="15.75" customHeight="1">
      <c r="A101" s="660">
        <f t="shared" si="3"/>
        <v>170</v>
      </c>
      <c r="B101" s="661" t="str">
        <f t="shared" si="2"/>
        <v>Em Vigência</v>
      </c>
      <c r="C101" s="662" t="s">
        <v>3065</v>
      </c>
      <c r="D101" s="663" t="s">
        <v>3066</v>
      </c>
      <c r="E101" s="403" t="s">
        <v>188</v>
      </c>
      <c r="F101" s="403" t="s">
        <v>3067</v>
      </c>
      <c r="G101" s="676" t="s">
        <v>518</v>
      </c>
      <c r="H101" s="664" t="s">
        <v>3068</v>
      </c>
      <c r="I101" s="403" t="s">
        <v>3069</v>
      </c>
      <c r="J101" s="665" t="s">
        <v>3070</v>
      </c>
      <c r="K101" s="665" t="s">
        <v>3071</v>
      </c>
      <c r="L101" s="666" t="s">
        <v>3032</v>
      </c>
      <c r="M101" s="674">
        <v>11994.0</v>
      </c>
      <c r="N101" s="668">
        <v>45972.0</v>
      </c>
      <c r="O101" s="675">
        <v>45986.0</v>
      </c>
      <c r="P101" s="676" t="s">
        <v>3072</v>
      </c>
      <c r="Q101" s="670">
        <v>46337.0</v>
      </c>
      <c r="R101" s="671" t="s">
        <v>2</v>
      </c>
      <c r="S101" s="672"/>
      <c r="T101" s="673"/>
      <c r="U101" s="673"/>
      <c r="V101" s="673"/>
    </row>
    <row r="102" ht="15.75" customHeight="1">
      <c r="A102" s="660">
        <f t="shared" si="3"/>
        <v>186</v>
      </c>
      <c r="B102" s="661" t="str">
        <f t="shared" si="2"/>
        <v>Em Vigência</v>
      </c>
      <c r="C102" s="662" t="s">
        <v>3073</v>
      </c>
      <c r="D102" s="663" t="s">
        <v>3074</v>
      </c>
      <c r="E102" s="403" t="s">
        <v>40</v>
      </c>
      <c r="F102" s="403" t="s">
        <v>3075</v>
      </c>
      <c r="G102" s="403" t="s">
        <v>3076</v>
      </c>
      <c r="H102" s="664" t="s">
        <v>3077</v>
      </c>
      <c r="I102" s="403" t="s">
        <v>3078</v>
      </c>
      <c r="J102" s="665" t="s">
        <v>3079</v>
      </c>
      <c r="K102" s="665" t="s">
        <v>3080</v>
      </c>
      <c r="L102" s="666" t="s">
        <v>3081</v>
      </c>
      <c r="M102" s="674">
        <v>78678.11</v>
      </c>
      <c r="N102" s="668">
        <v>45986.0</v>
      </c>
      <c r="O102" s="675">
        <v>45988.0</v>
      </c>
      <c r="P102" s="676" t="s">
        <v>467</v>
      </c>
      <c r="Q102" s="670">
        <v>46353.0</v>
      </c>
      <c r="R102" s="672"/>
      <c r="S102" s="672"/>
      <c r="T102" s="673"/>
      <c r="U102" s="673"/>
      <c r="V102" s="673"/>
    </row>
    <row r="103" ht="15.75" customHeight="1">
      <c r="A103" s="660">
        <f t="shared" si="3"/>
        <v>192</v>
      </c>
      <c r="B103" s="661" t="str">
        <f t="shared" si="2"/>
        <v>Em Vigência</v>
      </c>
      <c r="C103" s="662" t="s">
        <v>3082</v>
      </c>
      <c r="D103" s="663" t="s">
        <v>3083</v>
      </c>
      <c r="E103" s="403" t="s">
        <v>40</v>
      </c>
      <c r="F103" s="403" t="s">
        <v>2865</v>
      </c>
      <c r="G103" s="403" t="s">
        <v>2624</v>
      </c>
      <c r="H103" s="664" t="s">
        <v>3084</v>
      </c>
      <c r="I103" s="403" t="s">
        <v>3085</v>
      </c>
      <c r="J103" s="665" t="s">
        <v>3086</v>
      </c>
      <c r="K103" s="665" t="s">
        <v>3087</v>
      </c>
      <c r="L103" s="666" t="s">
        <v>3088</v>
      </c>
      <c r="M103" s="674">
        <v>702000.0</v>
      </c>
      <c r="N103" s="668">
        <v>45994.0</v>
      </c>
      <c r="O103" s="675">
        <v>46044.0</v>
      </c>
      <c r="P103" s="676" t="s">
        <v>3089</v>
      </c>
      <c r="Q103" s="670">
        <v>46359.0</v>
      </c>
      <c r="R103" s="671" t="s">
        <v>2</v>
      </c>
      <c r="S103" s="672"/>
      <c r="T103" s="673"/>
      <c r="U103" s="673"/>
      <c r="V103" s="673"/>
    </row>
    <row r="104" ht="15.75" customHeight="1">
      <c r="A104" s="660">
        <f t="shared" si="3"/>
        <v>197</v>
      </c>
      <c r="B104" s="661" t="str">
        <f t="shared" si="2"/>
        <v>Em Vigência</v>
      </c>
      <c r="C104" s="662" t="s">
        <v>3090</v>
      </c>
      <c r="D104" s="663" t="s">
        <v>3091</v>
      </c>
      <c r="E104" s="403" t="s">
        <v>40</v>
      </c>
      <c r="F104" s="403" t="s">
        <v>3075</v>
      </c>
      <c r="G104" s="403" t="s">
        <v>3076</v>
      </c>
      <c r="H104" s="664" t="s">
        <v>3077</v>
      </c>
      <c r="I104" s="403" t="s">
        <v>3078</v>
      </c>
      <c r="J104" s="665" t="s">
        <v>3079</v>
      </c>
      <c r="K104" s="665" t="s">
        <v>3092</v>
      </c>
      <c r="L104" s="666" t="s">
        <v>3081</v>
      </c>
      <c r="M104" s="674">
        <v>588460.38</v>
      </c>
      <c r="N104" s="668">
        <v>45988.0</v>
      </c>
      <c r="O104" s="675">
        <v>45999.0</v>
      </c>
      <c r="P104" s="676" t="s">
        <v>3093</v>
      </c>
      <c r="Q104" s="670">
        <v>46364.0</v>
      </c>
      <c r="R104" s="672"/>
      <c r="S104" s="672"/>
      <c r="T104" s="673"/>
      <c r="U104" s="673"/>
      <c r="V104" s="673"/>
    </row>
    <row r="105" ht="15.75" customHeight="1">
      <c r="A105" s="660">
        <f t="shared" si="3"/>
        <v>201</v>
      </c>
      <c r="B105" s="661" t="str">
        <f t="shared" si="2"/>
        <v>Em Vigência</v>
      </c>
      <c r="C105" s="662" t="s">
        <v>3094</v>
      </c>
      <c r="D105" s="663" t="s">
        <v>3095</v>
      </c>
      <c r="E105" s="403" t="s">
        <v>25</v>
      </c>
      <c r="F105" s="403" t="s">
        <v>2911</v>
      </c>
      <c r="G105" s="403" t="s">
        <v>2912</v>
      </c>
      <c r="H105" s="664" t="s">
        <v>3096</v>
      </c>
      <c r="I105" s="403" t="s">
        <v>3097</v>
      </c>
      <c r="J105" s="665" t="s">
        <v>3098</v>
      </c>
      <c r="K105" s="665" t="s">
        <v>3099</v>
      </c>
      <c r="L105" s="666" t="s">
        <v>3100</v>
      </c>
      <c r="M105" s="674">
        <v>4737.25</v>
      </c>
      <c r="N105" s="668">
        <v>45995.0</v>
      </c>
      <c r="O105" s="669">
        <v>46003.0</v>
      </c>
      <c r="P105" s="403" t="s">
        <v>3101</v>
      </c>
      <c r="Q105" s="670">
        <v>46368.0</v>
      </c>
      <c r="R105" s="672"/>
      <c r="S105" s="672"/>
      <c r="T105" s="673"/>
      <c r="U105" s="673"/>
      <c r="V105" s="673"/>
    </row>
    <row r="106" ht="15.75" customHeight="1">
      <c r="A106" s="660">
        <f t="shared" si="3"/>
        <v>223</v>
      </c>
      <c r="B106" s="661" t="str">
        <f t="shared" si="2"/>
        <v>Em Vigência</v>
      </c>
      <c r="C106" s="662" t="s">
        <v>3102</v>
      </c>
      <c r="D106" s="663" t="s">
        <v>3103</v>
      </c>
      <c r="E106" s="403" t="s">
        <v>25</v>
      </c>
      <c r="F106" s="403" t="s">
        <v>230</v>
      </c>
      <c r="G106" s="403" t="s">
        <v>104</v>
      </c>
      <c r="H106" s="664" t="s">
        <v>3104</v>
      </c>
      <c r="I106" s="403" t="s">
        <v>3105</v>
      </c>
      <c r="J106" s="665" t="s">
        <v>3106</v>
      </c>
      <c r="K106" s="665" t="s">
        <v>3107</v>
      </c>
      <c r="L106" s="666" t="s">
        <v>3108</v>
      </c>
      <c r="M106" s="674">
        <v>150000.0</v>
      </c>
      <c r="N106" s="668">
        <v>46009.0</v>
      </c>
      <c r="O106" s="669">
        <v>46028.0</v>
      </c>
      <c r="P106" s="403" t="s">
        <v>3109</v>
      </c>
      <c r="Q106" s="670">
        <v>46390.0</v>
      </c>
      <c r="R106" s="672"/>
      <c r="S106" s="672"/>
      <c r="T106" s="673"/>
      <c r="U106" s="673"/>
      <c r="V106" s="673"/>
    </row>
    <row r="107" ht="15.75" customHeight="1">
      <c r="A107" s="660">
        <f t="shared" si="3"/>
        <v>232</v>
      </c>
      <c r="B107" s="661" t="str">
        <f t="shared" si="2"/>
        <v>Em Vigência</v>
      </c>
      <c r="C107" s="662" t="s">
        <v>3110</v>
      </c>
      <c r="D107" s="663" t="s">
        <v>3111</v>
      </c>
      <c r="E107" s="403" t="s">
        <v>25</v>
      </c>
      <c r="F107" s="403" t="s">
        <v>2911</v>
      </c>
      <c r="G107" s="403" t="s">
        <v>2912</v>
      </c>
      <c r="H107" s="664" t="s">
        <v>3112</v>
      </c>
      <c r="I107" s="403" t="s">
        <v>3113</v>
      </c>
      <c r="J107" s="665" t="s">
        <v>3114</v>
      </c>
      <c r="K107" s="665" t="s">
        <v>3115</v>
      </c>
      <c r="L107" s="666" t="s">
        <v>3116</v>
      </c>
      <c r="M107" s="674">
        <v>1388628.56</v>
      </c>
      <c r="N107" s="668">
        <v>46031.0</v>
      </c>
      <c r="O107" s="668">
        <v>46034.0</v>
      </c>
      <c r="P107" s="676" t="s">
        <v>3117</v>
      </c>
      <c r="Q107" s="670">
        <v>46399.0</v>
      </c>
      <c r="R107" s="672"/>
      <c r="S107" s="672"/>
      <c r="T107" s="673"/>
      <c r="U107" s="673"/>
      <c r="V107" s="673"/>
    </row>
    <row r="108" ht="15.75" customHeight="1">
      <c r="A108" s="660">
        <f t="shared" si="3"/>
        <v>250</v>
      </c>
      <c r="B108" s="661" t="str">
        <f t="shared" si="2"/>
        <v>Em Vigência</v>
      </c>
      <c r="C108" s="662" t="s">
        <v>3118</v>
      </c>
      <c r="D108" s="663" t="s">
        <v>3119</v>
      </c>
      <c r="E108" s="403" t="s">
        <v>40</v>
      </c>
      <c r="F108" s="403" t="s">
        <v>2865</v>
      </c>
      <c r="G108" s="403" t="s">
        <v>2624</v>
      </c>
      <c r="H108" s="664" t="s">
        <v>3120</v>
      </c>
      <c r="I108" s="403" t="s">
        <v>3121</v>
      </c>
      <c r="J108" s="665" t="s">
        <v>3122</v>
      </c>
      <c r="K108" s="665" t="s">
        <v>3123</v>
      </c>
      <c r="L108" s="666" t="s">
        <v>3124</v>
      </c>
      <c r="M108" s="674">
        <v>407012.95</v>
      </c>
      <c r="N108" s="668">
        <v>46052.0</v>
      </c>
      <c r="O108" s="668">
        <v>46052.0</v>
      </c>
      <c r="P108" s="676" t="s">
        <v>3125</v>
      </c>
      <c r="Q108" s="670">
        <v>46417.0</v>
      </c>
      <c r="R108" s="672"/>
      <c r="S108" s="672"/>
      <c r="T108" s="673"/>
      <c r="U108" s="673"/>
      <c r="V108" s="673"/>
    </row>
    <row r="109" ht="15.75" customHeight="1">
      <c r="A109" s="660">
        <f>Q109-'ATAS VIGENTES'!$A$1</f>
        <v>272</v>
      </c>
      <c r="B109" s="661" t="str">
        <f t="shared" si="2"/>
        <v>Em Vigência</v>
      </c>
      <c r="C109" s="662" t="s">
        <v>1173</v>
      </c>
      <c r="D109" s="663" t="s">
        <v>3126</v>
      </c>
      <c r="E109" s="403" t="s">
        <v>40</v>
      </c>
      <c r="F109" s="403" t="s">
        <v>2625</v>
      </c>
      <c r="G109" s="403" t="s">
        <v>2624</v>
      </c>
      <c r="H109" s="664" t="s">
        <v>3127</v>
      </c>
      <c r="I109" s="403" t="s">
        <v>3128</v>
      </c>
      <c r="J109" s="665" t="s">
        <v>3129</v>
      </c>
      <c r="K109" s="665" t="s">
        <v>3130</v>
      </c>
      <c r="L109" s="666" t="s">
        <v>3131</v>
      </c>
      <c r="M109" s="674">
        <v>9078.84</v>
      </c>
      <c r="N109" s="668">
        <v>46073.0</v>
      </c>
      <c r="O109" s="675">
        <v>46148.0</v>
      </c>
      <c r="P109" s="676" t="s">
        <v>3132</v>
      </c>
      <c r="Q109" s="670">
        <v>46439.0</v>
      </c>
      <c r="R109" s="671" t="s">
        <v>2</v>
      </c>
      <c r="S109" s="672"/>
      <c r="T109" s="673"/>
      <c r="U109" s="673"/>
      <c r="V109" s="673"/>
    </row>
    <row r="110" ht="15.75" customHeight="1">
      <c r="A110" s="660">
        <f t="shared" ref="A110:A135" si="4">Q110-$A$1</f>
        <v>276</v>
      </c>
      <c r="B110" s="661" t="str">
        <f t="shared" si="2"/>
        <v>Em Vigência</v>
      </c>
      <c r="C110" s="662" t="s">
        <v>592</v>
      </c>
      <c r="D110" s="663" t="s">
        <v>3133</v>
      </c>
      <c r="E110" s="403" t="s">
        <v>25</v>
      </c>
      <c r="F110" s="403" t="s">
        <v>2911</v>
      </c>
      <c r="G110" s="403" t="s">
        <v>2912</v>
      </c>
      <c r="H110" s="664" t="s">
        <v>3112</v>
      </c>
      <c r="I110" s="403" t="s">
        <v>3113</v>
      </c>
      <c r="J110" s="665" t="s">
        <v>3114</v>
      </c>
      <c r="K110" s="665" t="s">
        <v>3134</v>
      </c>
      <c r="L110" s="666" t="s">
        <v>3116</v>
      </c>
      <c r="M110" s="674">
        <v>1002717.0</v>
      </c>
      <c r="N110" s="668">
        <v>46038.0</v>
      </c>
      <c r="O110" s="668">
        <v>46078.0</v>
      </c>
      <c r="P110" s="676" t="s">
        <v>3135</v>
      </c>
      <c r="Q110" s="670">
        <v>46443.0</v>
      </c>
      <c r="R110" s="672"/>
      <c r="S110" s="672"/>
      <c r="T110" s="673"/>
      <c r="U110" s="673"/>
      <c r="V110" s="673"/>
    </row>
    <row r="111" ht="15.75" customHeight="1">
      <c r="A111" s="660">
        <f t="shared" si="4"/>
        <v>276</v>
      </c>
      <c r="B111" s="661" t="str">
        <f t="shared" si="2"/>
        <v>Em Vigência</v>
      </c>
      <c r="C111" s="662" t="s">
        <v>3136</v>
      </c>
      <c r="D111" s="663" t="s">
        <v>3137</v>
      </c>
      <c r="E111" s="403" t="s">
        <v>25</v>
      </c>
      <c r="F111" s="403" t="s">
        <v>2911</v>
      </c>
      <c r="G111" s="403" t="s">
        <v>2912</v>
      </c>
      <c r="H111" s="664" t="s">
        <v>3112</v>
      </c>
      <c r="I111" s="403" t="s">
        <v>3113</v>
      </c>
      <c r="J111" s="665" t="s">
        <v>3114</v>
      </c>
      <c r="K111" s="665" t="s">
        <v>3138</v>
      </c>
      <c r="L111" s="666" t="s">
        <v>3116</v>
      </c>
      <c r="M111" s="674">
        <v>770000.0</v>
      </c>
      <c r="N111" s="668">
        <v>46038.0</v>
      </c>
      <c r="O111" s="668">
        <v>46078.0</v>
      </c>
      <c r="P111" s="676" t="s">
        <v>3135</v>
      </c>
      <c r="Q111" s="670">
        <v>46443.0</v>
      </c>
      <c r="R111" s="672"/>
      <c r="S111" s="672"/>
      <c r="T111" s="673"/>
      <c r="U111" s="673"/>
      <c r="V111" s="673"/>
    </row>
    <row r="112" ht="15.75" customHeight="1">
      <c r="A112" s="660">
        <f t="shared" si="4"/>
        <v>276</v>
      </c>
      <c r="B112" s="661" t="str">
        <f t="shared" si="2"/>
        <v>Em Vigência</v>
      </c>
      <c r="C112" s="662" t="s">
        <v>3139</v>
      </c>
      <c r="D112" s="663" t="s">
        <v>3140</v>
      </c>
      <c r="E112" s="403" t="s">
        <v>25</v>
      </c>
      <c r="F112" s="403" t="s">
        <v>2911</v>
      </c>
      <c r="G112" s="403" t="s">
        <v>2912</v>
      </c>
      <c r="H112" s="664" t="s">
        <v>3112</v>
      </c>
      <c r="I112" s="403" t="s">
        <v>3113</v>
      </c>
      <c r="J112" s="665" t="s">
        <v>3114</v>
      </c>
      <c r="K112" s="665" t="s">
        <v>3141</v>
      </c>
      <c r="L112" s="666" t="s">
        <v>3116</v>
      </c>
      <c r="M112" s="674">
        <v>461280.0</v>
      </c>
      <c r="N112" s="668">
        <v>46077.0</v>
      </c>
      <c r="O112" s="668">
        <v>46078.0</v>
      </c>
      <c r="P112" s="676" t="s">
        <v>3135</v>
      </c>
      <c r="Q112" s="670">
        <v>46443.0</v>
      </c>
      <c r="R112" s="672"/>
      <c r="S112" s="672"/>
      <c r="T112" s="673"/>
      <c r="U112" s="673"/>
      <c r="V112" s="673"/>
    </row>
    <row r="113" ht="15.75" customHeight="1">
      <c r="A113" s="660">
        <f t="shared" si="4"/>
        <v>276</v>
      </c>
      <c r="B113" s="661" t="str">
        <f t="shared" si="2"/>
        <v>Em Vigência</v>
      </c>
      <c r="C113" s="662" t="s">
        <v>740</v>
      </c>
      <c r="D113" s="663" t="s">
        <v>3142</v>
      </c>
      <c r="E113" s="403" t="s">
        <v>25</v>
      </c>
      <c r="F113" s="403" t="s">
        <v>2911</v>
      </c>
      <c r="G113" s="403" t="s">
        <v>2912</v>
      </c>
      <c r="H113" s="664" t="s">
        <v>3112</v>
      </c>
      <c r="I113" s="403" t="s">
        <v>3113</v>
      </c>
      <c r="J113" s="665" t="s">
        <v>3114</v>
      </c>
      <c r="K113" s="665" t="s">
        <v>3143</v>
      </c>
      <c r="L113" s="666" t="s">
        <v>3116</v>
      </c>
      <c r="M113" s="674">
        <v>20383.2</v>
      </c>
      <c r="N113" s="668">
        <v>46043.0</v>
      </c>
      <c r="O113" s="668">
        <v>46078.0</v>
      </c>
      <c r="P113" s="676" t="s">
        <v>3135</v>
      </c>
      <c r="Q113" s="670">
        <v>46443.0</v>
      </c>
      <c r="R113" s="672"/>
      <c r="S113" s="672"/>
      <c r="T113" s="673"/>
      <c r="U113" s="673"/>
      <c r="V113" s="673"/>
    </row>
    <row r="114" ht="15.75" customHeight="1">
      <c r="A114" s="660">
        <f t="shared" si="4"/>
        <v>276</v>
      </c>
      <c r="B114" s="661" t="str">
        <f t="shared" si="2"/>
        <v>Em Vigência</v>
      </c>
      <c r="C114" s="662" t="s">
        <v>3144</v>
      </c>
      <c r="D114" s="663" t="s">
        <v>3145</v>
      </c>
      <c r="E114" s="403" t="s">
        <v>25</v>
      </c>
      <c r="F114" s="403" t="s">
        <v>2911</v>
      </c>
      <c r="G114" s="403" t="s">
        <v>2912</v>
      </c>
      <c r="H114" s="664" t="s">
        <v>3112</v>
      </c>
      <c r="I114" s="403" t="s">
        <v>3113</v>
      </c>
      <c r="J114" s="665" t="s">
        <v>3114</v>
      </c>
      <c r="K114" s="665" t="s">
        <v>3146</v>
      </c>
      <c r="L114" s="666" t="s">
        <v>3116</v>
      </c>
      <c r="M114" s="674">
        <v>195890.4</v>
      </c>
      <c r="N114" s="668">
        <v>46038.0</v>
      </c>
      <c r="O114" s="668">
        <v>46078.0</v>
      </c>
      <c r="P114" s="676" t="s">
        <v>3135</v>
      </c>
      <c r="Q114" s="670">
        <v>46443.0</v>
      </c>
      <c r="R114" s="672"/>
      <c r="S114" s="672"/>
      <c r="T114" s="673"/>
      <c r="U114" s="673"/>
      <c r="V114" s="673"/>
    </row>
    <row r="115" ht="15.75" customHeight="1">
      <c r="A115" s="660">
        <f t="shared" si="4"/>
        <v>276</v>
      </c>
      <c r="B115" s="661" t="str">
        <f t="shared" si="2"/>
        <v>Em Vigência</v>
      </c>
      <c r="C115" s="662" t="s">
        <v>3147</v>
      </c>
      <c r="D115" s="663" t="s">
        <v>3148</v>
      </c>
      <c r="E115" s="403" t="s">
        <v>25</v>
      </c>
      <c r="F115" s="403" t="s">
        <v>2911</v>
      </c>
      <c r="G115" s="403" t="s">
        <v>2912</v>
      </c>
      <c r="H115" s="664" t="s">
        <v>3112</v>
      </c>
      <c r="I115" s="403" t="s">
        <v>3113</v>
      </c>
      <c r="J115" s="665" t="s">
        <v>3114</v>
      </c>
      <c r="K115" s="665" t="s">
        <v>3149</v>
      </c>
      <c r="L115" s="666" t="s">
        <v>3116</v>
      </c>
      <c r="M115" s="674">
        <v>73135.2</v>
      </c>
      <c r="N115" s="668">
        <v>46044.0</v>
      </c>
      <c r="O115" s="668">
        <v>46078.0</v>
      </c>
      <c r="P115" s="676" t="s">
        <v>3135</v>
      </c>
      <c r="Q115" s="670">
        <v>46443.0</v>
      </c>
      <c r="R115" s="672"/>
      <c r="S115" s="672"/>
      <c r="T115" s="673"/>
      <c r="U115" s="673"/>
      <c r="V115" s="673"/>
    </row>
    <row r="116" ht="15.75" customHeight="1">
      <c r="A116" s="660">
        <f t="shared" si="4"/>
        <v>276</v>
      </c>
      <c r="B116" s="661" t="str">
        <f t="shared" si="2"/>
        <v>Em Vigência</v>
      </c>
      <c r="C116" s="662" t="s">
        <v>112</v>
      </c>
      <c r="D116" s="663" t="s">
        <v>3150</v>
      </c>
      <c r="E116" s="403" t="s">
        <v>25</v>
      </c>
      <c r="F116" s="403" t="s">
        <v>2911</v>
      </c>
      <c r="G116" s="403" t="s">
        <v>2912</v>
      </c>
      <c r="H116" s="664" t="s">
        <v>3112</v>
      </c>
      <c r="I116" s="403" t="s">
        <v>3113</v>
      </c>
      <c r="J116" s="665" t="s">
        <v>3114</v>
      </c>
      <c r="K116" s="665" t="s">
        <v>3151</v>
      </c>
      <c r="L116" s="666" t="s">
        <v>3116</v>
      </c>
      <c r="M116" s="674">
        <v>437200.0</v>
      </c>
      <c r="N116" s="668">
        <v>46044.0</v>
      </c>
      <c r="O116" s="668">
        <v>46078.0</v>
      </c>
      <c r="P116" s="676" t="s">
        <v>3135</v>
      </c>
      <c r="Q116" s="670">
        <v>46443.0</v>
      </c>
      <c r="R116" s="672"/>
      <c r="S116" s="672"/>
      <c r="T116" s="673"/>
      <c r="U116" s="673"/>
      <c r="V116" s="673"/>
    </row>
    <row r="117" ht="15.75" customHeight="1">
      <c r="A117" s="660">
        <f t="shared" si="4"/>
        <v>276</v>
      </c>
      <c r="B117" s="661" t="str">
        <f t="shared" si="2"/>
        <v>Em Vigência</v>
      </c>
      <c r="C117" s="662" t="s">
        <v>3152</v>
      </c>
      <c r="D117" s="663" t="s">
        <v>3153</v>
      </c>
      <c r="E117" s="403" t="s">
        <v>25</v>
      </c>
      <c r="F117" s="403" t="s">
        <v>2911</v>
      </c>
      <c r="G117" s="403" t="s">
        <v>2912</v>
      </c>
      <c r="H117" s="664" t="s">
        <v>3112</v>
      </c>
      <c r="I117" s="403" t="s">
        <v>3113</v>
      </c>
      <c r="J117" s="665" t="s">
        <v>3114</v>
      </c>
      <c r="K117" s="665" t="s">
        <v>3154</v>
      </c>
      <c r="L117" s="666" t="s">
        <v>3116</v>
      </c>
      <c r="M117" s="674">
        <v>483635.2</v>
      </c>
      <c r="N117" s="668">
        <v>46049.0</v>
      </c>
      <c r="O117" s="668">
        <v>46078.0</v>
      </c>
      <c r="P117" s="676" t="s">
        <v>3135</v>
      </c>
      <c r="Q117" s="670">
        <v>46443.0</v>
      </c>
      <c r="R117" s="672"/>
      <c r="S117" s="672"/>
      <c r="T117" s="673"/>
      <c r="U117" s="673"/>
      <c r="V117" s="673"/>
    </row>
    <row r="118" ht="15.75" customHeight="1">
      <c r="A118" s="660">
        <f t="shared" si="4"/>
        <v>276</v>
      </c>
      <c r="B118" s="661" t="str">
        <f t="shared" si="2"/>
        <v>Em Vigência</v>
      </c>
      <c r="C118" s="662" t="s">
        <v>709</v>
      </c>
      <c r="D118" s="663" t="s">
        <v>3155</v>
      </c>
      <c r="E118" s="403" t="s">
        <v>25</v>
      </c>
      <c r="F118" s="403" t="s">
        <v>2911</v>
      </c>
      <c r="G118" s="403" t="s">
        <v>2912</v>
      </c>
      <c r="H118" s="664" t="s">
        <v>3112</v>
      </c>
      <c r="I118" s="403" t="s">
        <v>3113</v>
      </c>
      <c r="J118" s="665" t="s">
        <v>3114</v>
      </c>
      <c r="K118" s="665" t="s">
        <v>3156</v>
      </c>
      <c r="L118" s="666" t="s">
        <v>3116</v>
      </c>
      <c r="M118" s="674">
        <v>387999.0</v>
      </c>
      <c r="N118" s="668">
        <v>46043.0</v>
      </c>
      <c r="O118" s="668">
        <v>46078.0</v>
      </c>
      <c r="P118" s="676" t="s">
        <v>3135</v>
      </c>
      <c r="Q118" s="670">
        <v>46443.0</v>
      </c>
      <c r="R118" s="672"/>
      <c r="S118" s="672"/>
      <c r="T118" s="673"/>
      <c r="U118" s="673"/>
      <c r="V118" s="673"/>
    </row>
    <row r="119" ht="15.75" customHeight="1">
      <c r="A119" s="660">
        <f t="shared" si="4"/>
        <v>276</v>
      </c>
      <c r="B119" s="661" t="str">
        <f t="shared" si="2"/>
        <v>Em Vigência</v>
      </c>
      <c r="C119" s="662" t="s">
        <v>3157</v>
      </c>
      <c r="D119" s="663" t="s">
        <v>3158</v>
      </c>
      <c r="E119" s="403" t="s">
        <v>25</v>
      </c>
      <c r="F119" s="403" t="s">
        <v>2911</v>
      </c>
      <c r="G119" s="403" t="s">
        <v>2912</v>
      </c>
      <c r="H119" s="664" t="s">
        <v>3112</v>
      </c>
      <c r="I119" s="403" t="s">
        <v>3113</v>
      </c>
      <c r="J119" s="665" t="s">
        <v>3114</v>
      </c>
      <c r="K119" s="665" t="s">
        <v>3159</v>
      </c>
      <c r="L119" s="666" t="s">
        <v>3116</v>
      </c>
      <c r="M119" s="674">
        <v>668000.0</v>
      </c>
      <c r="N119" s="668">
        <v>46043.0</v>
      </c>
      <c r="O119" s="668">
        <v>46078.0</v>
      </c>
      <c r="P119" s="676" t="s">
        <v>3135</v>
      </c>
      <c r="Q119" s="670">
        <v>46443.0</v>
      </c>
      <c r="R119" s="672"/>
      <c r="S119" s="672"/>
      <c r="T119" s="673"/>
      <c r="U119" s="673"/>
      <c r="V119" s="673"/>
    </row>
    <row r="120" ht="15.75" customHeight="1">
      <c r="A120" s="660">
        <f t="shared" si="4"/>
        <v>276</v>
      </c>
      <c r="B120" s="661" t="str">
        <f t="shared" si="2"/>
        <v>Em Vigência</v>
      </c>
      <c r="C120" s="662" t="s">
        <v>3160</v>
      </c>
      <c r="D120" s="663" t="s">
        <v>3161</v>
      </c>
      <c r="E120" s="403" t="s">
        <v>25</v>
      </c>
      <c r="F120" s="403" t="s">
        <v>2911</v>
      </c>
      <c r="G120" s="403" t="s">
        <v>2912</v>
      </c>
      <c r="H120" s="664" t="s">
        <v>3112</v>
      </c>
      <c r="I120" s="403" t="s">
        <v>3113</v>
      </c>
      <c r="J120" s="665" t="s">
        <v>3114</v>
      </c>
      <c r="K120" s="665" t="s">
        <v>3162</v>
      </c>
      <c r="L120" s="666" t="s">
        <v>3116</v>
      </c>
      <c r="M120" s="674">
        <v>121999.2</v>
      </c>
      <c r="N120" s="668">
        <v>46044.0</v>
      </c>
      <c r="O120" s="668">
        <v>46078.0</v>
      </c>
      <c r="P120" s="676" t="s">
        <v>3135</v>
      </c>
      <c r="Q120" s="670">
        <v>46443.0</v>
      </c>
      <c r="R120" s="672"/>
      <c r="S120" s="672"/>
      <c r="T120" s="673"/>
      <c r="U120" s="673"/>
      <c r="V120" s="673"/>
    </row>
    <row r="121" ht="15.75" customHeight="1">
      <c r="A121" s="660">
        <f t="shared" si="4"/>
        <v>276</v>
      </c>
      <c r="B121" s="661" t="str">
        <f t="shared" si="2"/>
        <v>Em Vigência</v>
      </c>
      <c r="C121" s="662" t="s">
        <v>3163</v>
      </c>
      <c r="D121" s="663" t="s">
        <v>3164</v>
      </c>
      <c r="E121" s="403" t="s">
        <v>25</v>
      </c>
      <c r="F121" s="403" t="s">
        <v>2911</v>
      </c>
      <c r="G121" s="403" t="s">
        <v>2912</v>
      </c>
      <c r="H121" s="664" t="s">
        <v>3112</v>
      </c>
      <c r="I121" s="403" t="s">
        <v>3113</v>
      </c>
      <c r="J121" s="665" t="s">
        <v>3114</v>
      </c>
      <c r="K121" s="665" t="s">
        <v>3165</v>
      </c>
      <c r="L121" s="666" t="s">
        <v>3116</v>
      </c>
      <c r="M121" s="674">
        <v>399000.0</v>
      </c>
      <c r="N121" s="668">
        <v>46044.0</v>
      </c>
      <c r="O121" s="668">
        <v>46078.0</v>
      </c>
      <c r="P121" s="676" t="s">
        <v>3135</v>
      </c>
      <c r="Q121" s="670">
        <v>46443.0</v>
      </c>
      <c r="R121" s="672"/>
      <c r="S121" s="672"/>
      <c r="T121" s="673"/>
      <c r="U121" s="673"/>
      <c r="V121" s="673"/>
    </row>
    <row r="122" ht="15.75" customHeight="1">
      <c r="A122" s="660">
        <f t="shared" si="4"/>
        <v>232</v>
      </c>
      <c r="B122" s="661" t="str">
        <f t="shared" si="2"/>
        <v>Em Vigência</v>
      </c>
      <c r="C122" s="662" t="s">
        <v>3110</v>
      </c>
      <c r="D122" s="663" t="s">
        <v>3166</v>
      </c>
      <c r="E122" s="403" t="s">
        <v>25</v>
      </c>
      <c r="F122" s="403" t="s">
        <v>2911</v>
      </c>
      <c r="G122" s="403" t="s">
        <v>2912</v>
      </c>
      <c r="H122" s="664" t="s">
        <v>3112</v>
      </c>
      <c r="I122" s="403" t="s">
        <v>3113</v>
      </c>
      <c r="J122" s="665" t="s">
        <v>3114</v>
      </c>
      <c r="K122" s="665" t="s">
        <v>3115</v>
      </c>
      <c r="L122" s="666" t="s">
        <v>3116</v>
      </c>
      <c r="M122" s="674">
        <v>1388628.56</v>
      </c>
      <c r="N122" s="668">
        <v>46031.0</v>
      </c>
      <c r="O122" s="668">
        <v>46034.0</v>
      </c>
      <c r="P122" s="676" t="s">
        <v>3117</v>
      </c>
      <c r="Q122" s="670">
        <v>46399.0</v>
      </c>
      <c r="R122" s="672"/>
      <c r="S122" s="672"/>
      <c r="T122" s="673"/>
      <c r="U122" s="673"/>
      <c r="V122" s="673"/>
    </row>
    <row r="123" ht="15.75" customHeight="1">
      <c r="A123" s="660">
        <f t="shared" si="4"/>
        <v>323</v>
      </c>
      <c r="B123" s="677" t="s">
        <v>302</v>
      </c>
      <c r="C123" s="662" t="s">
        <v>794</v>
      </c>
      <c r="D123" s="663" t="s">
        <v>3167</v>
      </c>
      <c r="E123" s="403" t="s">
        <v>3168</v>
      </c>
      <c r="F123" s="403" t="s">
        <v>3169</v>
      </c>
      <c r="G123" s="403" t="s">
        <v>3170</v>
      </c>
      <c r="H123" s="664" t="s">
        <v>3171</v>
      </c>
      <c r="I123" s="403" t="s">
        <v>3172</v>
      </c>
      <c r="J123" s="665" t="s">
        <v>3173</v>
      </c>
      <c r="K123" s="665" t="s">
        <v>3174</v>
      </c>
      <c r="L123" s="666" t="s">
        <v>3175</v>
      </c>
      <c r="M123" s="674" t="s">
        <v>3176</v>
      </c>
      <c r="N123" s="668">
        <v>46119.0</v>
      </c>
      <c r="O123" s="675">
        <v>46126.0</v>
      </c>
      <c r="P123" s="676" t="s">
        <v>3177</v>
      </c>
      <c r="Q123" s="670">
        <v>46490.0</v>
      </c>
      <c r="R123" s="671" t="s">
        <v>3178</v>
      </c>
      <c r="S123" s="673"/>
      <c r="T123" s="694" t="s">
        <v>3179</v>
      </c>
      <c r="U123" s="673"/>
      <c r="V123" s="673"/>
    </row>
    <row r="124" ht="15.75" customHeight="1">
      <c r="A124" s="660">
        <f t="shared" si="4"/>
        <v>281</v>
      </c>
      <c r="B124" s="661" t="str">
        <f t="shared" ref="B124:B135" si="5">IF(A124&lt;60,"Vencendo","Em Vigência")</f>
        <v>Em Vigência</v>
      </c>
      <c r="C124" s="662" t="s">
        <v>885</v>
      </c>
      <c r="D124" s="663" t="s">
        <v>3180</v>
      </c>
      <c r="E124" s="403" t="s">
        <v>25</v>
      </c>
      <c r="F124" s="403" t="s">
        <v>2911</v>
      </c>
      <c r="G124" s="403" t="s">
        <v>2912</v>
      </c>
      <c r="H124" s="664" t="s">
        <v>3181</v>
      </c>
      <c r="I124" s="403" t="s">
        <v>3182</v>
      </c>
      <c r="J124" s="665" t="s">
        <v>3183</v>
      </c>
      <c r="K124" s="665" t="s">
        <v>3184</v>
      </c>
      <c r="L124" s="666" t="s">
        <v>3185</v>
      </c>
      <c r="M124" s="674">
        <v>30360.0</v>
      </c>
      <c r="N124" s="668">
        <v>46084.0</v>
      </c>
      <c r="O124" s="668">
        <v>46093.0</v>
      </c>
      <c r="P124" s="676" t="s">
        <v>3186</v>
      </c>
      <c r="Q124" s="670">
        <v>46448.0</v>
      </c>
      <c r="R124" s="403" t="s">
        <v>3187</v>
      </c>
      <c r="S124" s="672"/>
      <c r="T124" s="673"/>
      <c r="U124" s="673"/>
      <c r="V124" s="673"/>
    </row>
    <row r="125" ht="15.75" customHeight="1">
      <c r="A125" s="660">
        <f t="shared" si="4"/>
        <v>280</v>
      </c>
      <c r="B125" s="661" t="str">
        <f t="shared" si="5"/>
        <v>Em Vigência</v>
      </c>
      <c r="C125" s="662" t="s">
        <v>3188</v>
      </c>
      <c r="D125" s="663" t="s">
        <v>3189</v>
      </c>
      <c r="E125" s="403" t="s">
        <v>25</v>
      </c>
      <c r="F125" s="403" t="s">
        <v>2911</v>
      </c>
      <c r="G125" s="403" t="s">
        <v>2912</v>
      </c>
      <c r="H125" s="664" t="s">
        <v>3181</v>
      </c>
      <c r="I125" s="403" t="s">
        <v>3182</v>
      </c>
      <c r="J125" s="665" t="s">
        <v>3183</v>
      </c>
      <c r="K125" s="665" t="s">
        <v>3190</v>
      </c>
      <c r="L125" s="666" t="s">
        <v>3185</v>
      </c>
      <c r="M125" s="674">
        <v>657560.0</v>
      </c>
      <c r="N125" s="668">
        <v>46083.0</v>
      </c>
      <c r="O125" s="668">
        <v>46083.0</v>
      </c>
      <c r="P125" s="676" t="s">
        <v>3191</v>
      </c>
      <c r="Q125" s="670">
        <v>46447.0</v>
      </c>
      <c r="R125" s="403" t="s">
        <v>3187</v>
      </c>
      <c r="S125" s="672"/>
      <c r="T125" s="673"/>
      <c r="U125" s="673"/>
      <c r="V125" s="673"/>
    </row>
    <row r="126" ht="15.75" customHeight="1">
      <c r="A126" s="660" t="str">
        <f t="shared" si="4"/>
        <v>#VALUE!</v>
      </c>
      <c r="B126" s="661" t="str">
        <f t="shared" si="5"/>
        <v>#VALUE!</v>
      </c>
      <c r="C126" s="662" t="s">
        <v>3192</v>
      </c>
      <c r="D126" s="663" t="s">
        <v>3193</v>
      </c>
      <c r="E126" s="403" t="s">
        <v>114</v>
      </c>
      <c r="F126" s="403" t="s">
        <v>31</v>
      </c>
      <c r="G126" s="403" t="s">
        <v>31</v>
      </c>
      <c r="H126" s="664" t="s">
        <v>31</v>
      </c>
      <c r="I126" s="403" t="s">
        <v>31</v>
      </c>
      <c r="J126" s="665" t="s">
        <v>31</v>
      </c>
      <c r="K126" s="665" t="s">
        <v>31</v>
      </c>
      <c r="L126" s="666" t="s">
        <v>31</v>
      </c>
      <c r="M126" s="674" t="s">
        <v>31</v>
      </c>
      <c r="N126" s="671" t="s">
        <v>31</v>
      </c>
      <c r="O126" s="671" t="s">
        <v>31</v>
      </c>
      <c r="P126" s="676" t="s">
        <v>31</v>
      </c>
      <c r="Q126" s="665" t="s">
        <v>31</v>
      </c>
      <c r="R126" s="403"/>
      <c r="S126" s="672"/>
      <c r="T126" s="673"/>
      <c r="U126" s="673"/>
      <c r="V126" s="673"/>
    </row>
    <row r="127" ht="15.75" customHeight="1">
      <c r="A127" s="660">
        <f t="shared" si="4"/>
        <v>310</v>
      </c>
      <c r="B127" s="661" t="str">
        <f t="shared" si="5"/>
        <v>Em Vigência</v>
      </c>
      <c r="C127" s="662" t="s">
        <v>800</v>
      </c>
      <c r="D127" s="663" t="s">
        <v>3194</v>
      </c>
      <c r="E127" s="403" t="s">
        <v>188</v>
      </c>
      <c r="F127" s="403" t="s">
        <v>3195</v>
      </c>
      <c r="G127" s="403" t="s">
        <v>3196</v>
      </c>
      <c r="H127" s="664" t="s">
        <v>3197</v>
      </c>
      <c r="I127" s="403" t="s">
        <v>3198</v>
      </c>
      <c r="J127" s="665" t="s">
        <v>3199</v>
      </c>
      <c r="K127" s="665" t="s">
        <v>3200</v>
      </c>
      <c r="L127" s="666" t="s">
        <v>3201</v>
      </c>
      <c r="M127" s="674">
        <v>6380.0</v>
      </c>
      <c r="N127" s="668">
        <v>46106.0</v>
      </c>
      <c r="O127" s="668">
        <v>46112.0</v>
      </c>
      <c r="P127" s="676" t="s">
        <v>3202</v>
      </c>
      <c r="Q127" s="670">
        <v>46477.0</v>
      </c>
      <c r="R127" s="403" t="s">
        <v>3203</v>
      </c>
      <c r="S127" s="672"/>
      <c r="T127" s="673"/>
      <c r="U127" s="673"/>
      <c r="V127" s="673"/>
    </row>
    <row r="128" ht="15.75" customHeight="1">
      <c r="A128" s="660">
        <f t="shared" si="4"/>
        <v>318</v>
      </c>
      <c r="B128" s="661" t="str">
        <f t="shared" si="5"/>
        <v>Em Vigência</v>
      </c>
      <c r="C128" s="662" t="s">
        <v>413</v>
      </c>
      <c r="D128" s="663" t="s">
        <v>3204</v>
      </c>
      <c r="E128" s="403" t="s">
        <v>65</v>
      </c>
      <c r="F128" s="403" t="s">
        <v>67</v>
      </c>
      <c r="G128" s="403" t="s">
        <v>3205</v>
      </c>
      <c r="H128" s="664" t="s">
        <v>3206</v>
      </c>
      <c r="I128" s="403" t="s">
        <v>3207</v>
      </c>
      <c r="J128" s="665" t="s">
        <v>3208</v>
      </c>
      <c r="K128" s="665" t="s">
        <v>3209</v>
      </c>
      <c r="L128" s="666" t="s">
        <v>3210</v>
      </c>
      <c r="M128" s="674">
        <v>9045000.0</v>
      </c>
      <c r="N128" s="668">
        <v>46121.0</v>
      </c>
      <c r="O128" s="675">
        <v>46127.0</v>
      </c>
      <c r="P128" s="676" t="s">
        <v>3211</v>
      </c>
      <c r="Q128" s="670">
        <v>46485.0</v>
      </c>
      <c r="R128" s="671" t="s">
        <v>2</v>
      </c>
      <c r="S128" s="673"/>
      <c r="T128" s="673"/>
      <c r="U128" s="673"/>
      <c r="V128" s="673"/>
    </row>
    <row r="129" ht="15.75" customHeight="1">
      <c r="A129" s="660">
        <f t="shared" si="4"/>
        <v>333</v>
      </c>
      <c r="B129" s="661" t="str">
        <f t="shared" si="5"/>
        <v>Em Vigência</v>
      </c>
      <c r="C129" s="662" t="s">
        <v>3212</v>
      </c>
      <c r="D129" s="679" t="s">
        <v>3213</v>
      </c>
      <c r="E129" s="403" t="s">
        <v>25</v>
      </c>
      <c r="F129" s="403" t="s">
        <v>2712</v>
      </c>
      <c r="G129" s="403" t="s">
        <v>273</v>
      </c>
      <c r="H129" s="664" t="s">
        <v>2842</v>
      </c>
      <c r="I129" s="403" t="s">
        <v>2843</v>
      </c>
      <c r="J129" s="665" t="s">
        <v>2844</v>
      </c>
      <c r="K129" s="665" t="s">
        <v>3214</v>
      </c>
      <c r="L129" s="666" t="s">
        <v>2846</v>
      </c>
      <c r="M129" s="678">
        <v>8088.0</v>
      </c>
      <c r="N129" s="671" t="s">
        <v>3215</v>
      </c>
      <c r="O129" s="676" t="s">
        <v>3216</v>
      </c>
      <c r="P129" s="676" t="s">
        <v>3217</v>
      </c>
      <c r="Q129" s="670">
        <v>46500.0</v>
      </c>
      <c r="R129" s="403" t="s">
        <v>3218</v>
      </c>
      <c r="S129" s="680"/>
      <c r="T129" s="680"/>
      <c r="U129" s="680"/>
      <c r="V129" s="680"/>
    </row>
    <row r="130" ht="15.75" customHeight="1">
      <c r="A130" s="660">
        <f t="shared" si="4"/>
        <v>339</v>
      </c>
      <c r="B130" s="661" t="str">
        <f t="shared" si="5"/>
        <v>Em Vigência</v>
      </c>
      <c r="C130" s="662" t="s">
        <v>3219</v>
      </c>
      <c r="D130" s="663" t="s">
        <v>3220</v>
      </c>
      <c r="E130" s="403" t="s">
        <v>561</v>
      </c>
      <c r="F130" s="403" t="s">
        <v>3221</v>
      </c>
      <c r="G130" s="403" t="s">
        <v>244</v>
      </c>
      <c r="H130" s="664" t="s">
        <v>3222</v>
      </c>
      <c r="I130" s="403" t="s">
        <v>3223</v>
      </c>
      <c r="J130" s="665" t="s">
        <v>3224</v>
      </c>
      <c r="K130" s="665" t="s">
        <v>3225</v>
      </c>
      <c r="L130" s="666" t="s">
        <v>3226</v>
      </c>
      <c r="M130" s="674">
        <v>1855848.54</v>
      </c>
      <c r="N130" s="668">
        <v>46139.0</v>
      </c>
      <c r="O130" s="668">
        <v>46141.0</v>
      </c>
      <c r="P130" s="676" t="s">
        <v>3227</v>
      </c>
      <c r="Q130" s="670">
        <v>46506.0</v>
      </c>
      <c r="R130" s="403" t="s">
        <v>3203</v>
      </c>
      <c r="S130" s="672"/>
      <c r="T130" s="673"/>
      <c r="U130" s="673"/>
      <c r="V130" s="673"/>
    </row>
    <row r="131" ht="15.75" customHeight="1">
      <c r="A131" s="660">
        <f t="shared" si="4"/>
        <v>338</v>
      </c>
      <c r="B131" s="661" t="str">
        <f t="shared" si="5"/>
        <v>Em Vigência</v>
      </c>
      <c r="C131" s="662" t="s">
        <v>3228</v>
      </c>
      <c r="D131" s="663" t="s">
        <v>3229</v>
      </c>
      <c r="E131" s="403" t="s">
        <v>561</v>
      </c>
      <c r="F131" s="403" t="s">
        <v>3221</v>
      </c>
      <c r="G131" s="403" t="s">
        <v>244</v>
      </c>
      <c r="H131" s="664" t="s">
        <v>3230</v>
      </c>
      <c r="I131" s="403" t="s">
        <v>3231</v>
      </c>
      <c r="J131" s="665" t="s">
        <v>3232</v>
      </c>
      <c r="K131" s="665" t="s">
        <v>3233</v>
      </c>
      <c r="L131" s="666" t="s">
        <v>3234</v>
      </c>
      <c r="M131" s="674">
        <v>1546630.0</v>
      </c>
      <c r="N131" s="668">
        <v>46139.0</v>
      </c>
      <c r="O131" s="668">
        <v>46140.0</v>
      </c>
      <c r="P131" s="676" t="s">
        <v>3235</v>
      </c>
      <c r="Q131" s="670">
        <v>46505.0</v>
      </c>
      <c r="R131" s="403" t="s">
        <v>3203</v>
      </c>
      <c r="S131" s="672"/>
      <c r="T131" s="673"/>
      <c r="U131" s="673"/>
      <c r="V131" s="673"/>
    </row>
    <row r="132" ht="15.75" customHeight="1">
      <c r="A132" s="660">
        <f t="shared" si="4"/>
        <v>351</v>
      </c>
      <c r="B132" s="661" t="str">
        <f t="shared" si="5"/>
        <v>Em Vigência</v>
      </c>
      <c r="C132" s="662" t="s">
        <v>3236</v>
      </c>
      <c r="D132" s="663" t="s">
        <v>3237</v>
      </c>
      <c r="E132" s="403" t="s">
        <v>561</v>
      </c>
      <c r="F132" s="403" t="s">
        <v>3221</v>
      </c>
      <c r="G132" s="403" t="s">
        <v>244</v>
      </c>
      <c r="H132" s="664" t="s">
        <v>3230</v>
      </c>
      <c r="I132" s="403" t="s">
        <v>3231</v>
      </c>
      <c r="J132" s="665" t="s">
        <v>3232</v>
      </c>
      <c r="K132" s="665" t="s">
        <v>3238</v>
      </c>
      <c r="L132" s="666" t="s">
        <v>3234</v>
      </c>
      <c r="M132" s="674">
        <v>184500.0</v>
      </c>
      <c r="N132" s="668">
        <v>46147.0</v>
      </c>
      <c r="O132" s="668">
        <v>46154.0</v>
      </c>
      <c r="P132" s="676" t="s">
        <v>3239</v>
      </c>
      <c r="Q132" s="670">
        <v>46518.0</v>
      </c>
      <c r="R132" s="403" t="s">
        <v>3203</v>
      </c>
      <c r="S132" s="672"/>
      <c r="T132" s="673"/>
      <c r="U132" s="673"/>
      <c r="V132" s="673"/>
    </row>
    <row r="133" ht="15.75" customHeight="1">
      <c r="A133" s="660">
        <f t="shared" si="4"/>
        <v>347</v>
      </c>
      <c r="B133" s="661" t="str">
        <f t="shared" si="5"/>
        <v>Em Vigência</v>
      </c>
      <c r="C133" s="662" t="s">
        <v>3240</v>
      </c>
      <c r="D133" s="663" t="s">
        <v>3241</v>
      </c>
      <c r="E133" s="403" t="s">
        <v>40</v>
      </c>
      <c r="F133" s="403" t="s">
        <v>3242</v>
      </c>
      <c r="G133" s="403" t="s">
        <v>3243</v>
      </c>
      <c r="H133" s="664" t="s">
        <v>3244</v>
      </c>
      <c r="I133" s="403" t="s">
        <v>3245</v>
      </c>
      <c r="J133" s="665" t="s">
        <v>3246</v>
      </c>
      <c r="K133" s="665" t="s">
        <v>3247</v>
      </c>
      <c r="L133" s="666" t="s">
        <v>3248</v>
      </c>
      <c r="M133" s="674">
        <v>25699.99</v>
      </c>
      <c r="N133" s="668">
        <v>46149.0</v>
      </c>
      <c r="O133" s="668">
        <v>46150.0</v>
      </c>
      <c r="P133" s="676" t="s">
        <v>3249</v>
      </c>
      <c r="Q133" s="670">
        <v>46514.0</v>
      </c>
      <c r="R133" s="403" t="s">
        <v>3203</v>
      </c>
      <c r="S133" s="672"/>
      <c r="T133" s="673"/>
      <c r="U133" s="673"/>
      <c r="V133" s="673"/>
    </row>
    <row r="134" ht="15.75" customHeight="1">
      <c r="A134" s="660">
        <f t="shared" si="4"/>
        <v>346</v>
      </c>
      <c r="B134" s="661" t="str">
        <f t="shared" si="5"/>
        <v>Em Vigência</v>
      </c>
      <c r="C134" s="662" t="s">
        <v>3250</v>
      </c>
      <c r="D134" s="663" t="s">
        <v>3251</v>
      </c>
      <c r="E134" s="403" t="s">
        <v>40</v>
      </c>
      <c r="F134" s="403" t="s">
        <v>3242</v>
      </c>
      <c r="G134" s="403" t="s">
        <v>3243</v>
      </c>
      <c r="H134" s="664" t="s">
        <v>3244</v>
      </c>
      <c r="I134" s="403" t="s">
        <v>3245</v>
      </c>
      <c r="J134" s="665" t="s">
        <v>3246</v>
      </c>
      <c r="K134" s="665" t="s">
        <v>3252</v>
      </c>
      <c r="L134" s="666" t="s">
        <v>3248</v>
      </c>
      <c r="M134" s="674">
        <v>911999.93</v>
      </c>
      <c r="N134" s="668">
        <v>46149.0</v>
      </c>
      <c r="O134" s="668">
        <v>46149.0</v>
      </c>
      <c r="P134" s="676" t="s">
        <v>3253</v>
      </c>
      <c r="Q134" s="670">
        <v>46513.0</v>
      </c>
      <c r="R134" s="403" t="s">
        <v>3203</v>
      </c>
      <c r="S134" s="672"/>
      <c r="T134" s="673"/>
      <c r="U134" s="673"/>
      <c r="V134" s="673"/>
    </row>
    <row r="135" ht="15.75" customHeight="1">
      <c r="A135" s="660">
        <f t="shared" si="4"/>
        <v>373</v>
      </c>
      <c r="B135" s="661" t="str">
        <f t="shared" si="5"/>
        <v>Em Vigência</v>
      </c>
      <c r="C135" s="662" t="s">
        <v>1287</v>
      </c>
      <c r="D135" s="663" t="s">
        <v>3254</v>
      </c>
      <c r="E135" s="403" t="s">
        <v>40</v>
      </c>
      <c r="F135" s="403" t="s">
        <v>3255</v>
      </c>
      <c r="G135" s="403" t="s">
        <v>3256</v>
      </c>
      <c r="H135" s="664" t="s">
        <v>3257</v>
      </c>
      <c r="I135" s="403" t="s">
        <v>3258</v>
      </c>
      <c r="J135" s="665" t="s">
        <v>3259</v>
      </c>
      <c r="K135" s="665" t="s">
        <v>3260</v>
      </c>
      <c r="L135" s="666" t="s">
        <v>3261</v>
      </c>
      <c r="M135" s="674">
        <v>23465.0</v>
      </c>
      <c r="N135" s="668">
        <v>46107.0</v>
      </c>
      <c r="O135" s="668">
        <v>46118.0</v>
      </c>
      <c r="P135" s="676" t="s">
        <v>3262</v>
      </c>
      <c r="Q135" s="670">
        <v>46540.0</v>
      </c>
      <c r="R135" s="403" t="s">
        <v>2</v>
      </c>
      <c r="S135" s="672"/>
      <c r="T135" s="673"/>
      <c r="U135" s="673"/>
      <c r="V135" s="673"/>
    </row>
    <row r="136" ht="15.75" customHeight="1">
      <c r="A136" s="695"/>
      <c r="B136" s="696"/>
      <c r="C136" s="696"/>
      <c r="D136" s="696"/>
      <c r="E136" s="697"/>
      <c r="F136" s="698"/>
      <c r="G136" s="698"/>
      <c r="H136" s="698"/>
      <c r="I136" s="697"/>
      <c r="J136" s="699"/>
      <c r="K136" s="695"/>
      <c r="L136" s="699"/>
      <c r="M136" s="700"/>
      <c r="N136" s="701"/>
      <c r="O136" s="701"/>
      <c r="P136" s="697"/>
      <c r="Q136" s="701"/>
      <c r="R136" s="701"/>
      <c r="S136" s="680"/>
      <c r="T136" s="680"/>
      <c r="U136" s="680"/>
      <c r="V136" s="680"/>
    </row>
    <row r="137" ht="15.75" customHeight="1">
      <c r="A137" s="695"/>
      <c r="B137" s="696"/>
      <c r="C137" s="696"/>
      <c r="D137" s="696"/>
      <c r="E137" s="697"/>
      <c r="F137" s="698"/>
      <c r="G137" s="698"/>
      <c r="H137" s="698"/>
      <c r="I137" s="697"/>
      <c r="J137" s="699"/>
      <c r="K137" s="695"/>
      <c r="L137" s="699"/>
      <c r="M137" s="700"/>
      <c r="N137" s="701"/>
      <c r="O137" s="701"/>
      <c r="P137" s="697"/>
      <c r="Q137" s="701"/>
      <c r="R137" s="701"/>
      <c r="S137" s="680"/>
      <c r="T137" s="680"/>
      <c r="U137" s="680"/>
      <c r="V137" s="680"/>
    </row>
    <row r="138" ht="15.75" customHeight="1">
      <c r="A138" s="695"/>
      <c r="B138" s="696"/>
      <c r="C138" s="696"/>
      <c r="D138" s="696"/>
      <c r="E138" s="697"/>
      <c r="F138" s="698"/>
      <c r="G138" s="698"/>
      <c r="H138" s="698"/>
      <c r="I138" s="697"/>
      <c r="J138" s="699"/>
      <c r="K138" s="695"/>
      <c r="L138" s="699"/>
      <c r="M138" s="700"/>
      <c r="N138" s="701"/>
      <c r="O138" s="701"/>
      <c r="P138" s="697"/>
      <c r="Q138" s="701"/>
      <c r="R138" s="701"/>
      <c r="S138" s="680"/>
      <c r="T138" s="680"/>
      <c r="U138" s="680"/>
      <c r="V138" s="680"/>
    </row>
    <row r="139" ht="15.75" customHeight="1">
      <c r="A139" s="695"/>
      <c r="B139" s="696"/>
      <c r="C139" s="696"/>
      <c r="D139" s="696"/>
      <c r="E139" s="697"/>
      <c r="F139" s="698"/>
      <c r="G139" s="698"/>
      <c r="H139" s="698"/>
      <c r="I139" s="697"/>
      <c r="J139" s="699"/>
      <c r="K139" s="695"/>
      <c r="L139" s="699"/>
      <c r="M139" s="700"/>
      <c r="N139" s="701"/>
      <c r="O139" s="701"/>
      <c r="P139" s="697"/>
      <c r="Q139" s="701"/>
      <c r="R139" s="701"/>
      <c r="S139" s="680"/>
      <c r="T139" s="680"/>
      <c r="U139" s="680"/>
      <c r="V139" s="680"/>
    </row>
    <row r="140" ht="15.75" customHeight="1">
      <c r="A140" s="695"/>
      <c r="B140" s="696"/>
      <c r="C140" s="696"/>
      <c r="D140" s="696"/>
      <c r="E140" s="697"/>
      <c r="F140" s="698"/>
      <c r="G140" s="698"/>
      <c r="H140" s="698"/>
      <c r="I140" s="697"/>
      <c r="J140" s="699"/>
      <c r="K140" s="695"/>
      <c r="L140" s="699"/>
      <c r="M140" s="700"/>
      <c r="N140" s="701"/>
      <c r="O140" s="701"/>
      <c r="P140" s="697"/>
      <c r="Q140" s="701"/>
      <c r="R140" s="701"/>
      <c r="S140" s="680"/>
      <c r="T140" s="680"/>
      <c r="U140" s="680"/>
      <c r="V140" s="680"/>
    </row>
    <row r="141" ht="15.75" customHeight="1">
      <c r="A141" s="695"/>
      <c r="B141" s="696"/>
      <c r="C141" s="696"/>
      <c r="D141" s="696"/>
      <c r="E141" s="697"/>
      <c r="F141" s="698"/>
      <c r="G141" s="698"/>
      <c r="H141" s="698"/>
      <c r="I141" s="697"/>
      <c r="J141" s="699"/>
      <c r="K141" s="695"/>
      <c r="L141" s="699"/>
      <c r="M141" s="700"/>
      <c r="N141" s="701"/>
      <c r="O141" s="701"/>
      <c r="P141" s="697"/>
      <c r="Q141" s="701"/>
      <c r="R141" s="701"/>
      <c r="S141" s="680"/>
      <c r="T141" s="680"/>
      <c r="U141" s="680"/>
      <c r="V141" s="680"/>
    </row>
    <row r="142" ht="15.75" customHeight="1">
      <c r="A142" s="695"/>
      <c r="B142" s="696"/>
      <c r="C142" s="696"/>
      <c r="D142" s="696"/>
      <c r="E142" s="697"/>
      <c r="F142" s="698"/>
      <c r="G142" s="698"/>
      <c r="H142" s="698"/>
      <c r="I142" s="697"/>
      <c r="J142" s="699"/>
      <c r="K142" s="695"/>
      <c r="L142" s="699"/>
      <c r="M142" s="700"/>
      <c r="N142" s="701"/>
      <c r="O142" s="701"/>
      <c r="P142" s="697"/>
      <c r="Q142" s="701"/>
      <c r="R142" s="701"/>
      <c r="S142" s="680"/>
      <c r="T142" s="680"/>
      <c r="U142" s="680"/>
      <c r="V142" s="680"/>
    </row>
    <row r="143" ht="15.75" customHeight="1">
      <c r="A143" s="695"/>
      <c r="B143" s="696"/>
      <c r="C143" s="696"/>
      <c r="D143" s="696"/>
      <c r="E143" s="697"/>
      <c r="F143" s="698"/>
      <c r="G143" s="698"/>
      <c r="H143" s="698"/>
      <c r="I143" s="697"/>
      <c r="J143" s="699"/>
      <c r="K143" s="695"/>
      <c r="L143" s="699"/>
      <c r="M143" s="700"/>
      <c r="N143" s="701"/>
      <c r="O143" s="701"/>
      <c r="P143" s="697"/>
      <c r="Q143" s="701"/>
      <c r="R143" s="701"/>
      <c r="S143" s="680"/>
      <c r="T143" s="680"/>
      <c r="U143" s="680"/>
      <c r="V143" s="680"/>
    </row>
    <row r="144" ht="15.75" customHeight="1">
      <c r="A144" s="695"/>
      <c r="B144" s="696"/>
      <c r="C144" s="696"/>
      <c r="D144" s="696"/>
      <c r="E144" s="697"/>
      <c r="F144" s="698"/>
      <c r="G144" s="698"/>
      <c r="H144" s="698"/>
      <c r="I144" s="697"/>
      <c r="J144" s="699"/>
      <c r="K144" s="695"/>
      <c r="L144" s="699"/>
      <c r="M144" s="700"/>
      <c r="N144" s="701"/>
      <c r="O144" s="701"/>
      <c r="P144" s="697"/>
      <c r="Q144" s="701"/>
      <c r="R144" s="701"/>
      <c r="S144" s="680"/>
      <c r="T144" s="680"/>
      <c r="U144" s="680"/>
      <c r="V144" s="680"/>
    </row>
    <row r="145" ht="15.75" customHeight="1">
      <c r="A145" s="695"/>
      <c r="B145" s="696"/>
      <c r="C145" s="696"/>
      <c r="D145" s="696"/>
      <c r="E145" s="697"/>
      <c r="F145" s="698"/>
      <c r="G145" s="698"/>
      <c r="H145" s="698"/>
      <c r="I145" s="697"/>
      <c r="J145" s="699"/>
      <c r="K145" s="695"/>
      <c r="L145" s="699"/>
      <c r="M145" s="700"/>
      <c r="N145" s="701"/>
      <c r="O145" s="701"/>
      <c r="P145" s="697"/>
      <c r="Q145" s="701"/>
      <c r="R145" s="701"/>
      <c r="S145" s="680"/>
      <c r="T145" s="680"/>
      <c r="U145" s="680"/>
      <c r="V145" s="680"/>
    </row>
    <row r="146" ht="15.75" customHeight="1">
      <c r="A146" s="695"/>
      <c r="B146" s="696"/>
      <c r="C146" s="696"/>
      <c r="D146" s="696"/>
      <c r="E146" s="697"/>
      <c r="F146" s="698"/>
      <c r="G146" s="698"/>
      <c r="H146" s="698"/>
      <c r="I146" s="697"/>
      <c r="J146" s="699"/>
      <c r="K146" s="695"/>
      <c r="L146" s="699"/>
      <c r="M146" s="700"/>
      <c r="N146" s="701"/>
      <c r="O146" s="701"/>
      <c r="P146" s="697"/>
      <c r="Q146" s="701"/>
      <c r="R146" s="701"/>
      <c r="S146" s="680"/>
      <c r="T146" s="680"/>
      <c r="U146" s="680"/>
      <c r="V146" s="680"/>
    </row>
    <row r="147" ht="15.75" customHeight="1">
      <c r="A147" s="695"/>
      <c r="B147" s="696"/>
      <c r="C147" s="696"/>
      <c r="D147" s="696"/>
      <c r="E147" s="697"/>
      <c r="F147" s="698"/>
      <c r="G147" s="698"/>
      <c r="H147" s="698"/>
      <c r="I147" s="697"/>
      <c r="J147" s="699"/>
      <c r="K147" s="695"/>
      <c r="L147" s="699"/>
      <c r="M147" s="700"/>
      <c r="N147" s="701"/>
      <c r="O147" s="701"/>
      <c r="P147" s="697"/>
      <c r="Q147" s="701"/>
      <c r="R147" s="701"/>
      <c r="S147" s="680"/>
      <c r="T147" s="680"/>
      <c r="U147" s="680"/>
      <c r="V147" s="680"/>
    </row>
    <row r="148" ht="15.75" customHeight="1">
      <c r="A148" s="695"/>
      <c r="B148" s="696"/>
      <c r="C148" s="696"/>
      <c r="D148" s="696"/>
      <c r="E148" s="697"/>
      <c r="F148" s="698"/>
      <c r="G148" s="698"/>
      <c r="H148" s="698"/>
      <c r="I148" s="697"/>
      <c r="J148" s="699"/>
      <c r="K148" s="695"/>
      <c r="L148" s="699"/>
      <c r="M148" s="700"/>
      <c r="N148" s="701"/>
      <c r="O148" s="701"/>
      <c r="P148" s="697"/>
      <c r="Q148" s="701"/>
      <c r="R148" s="701"/>
      <c r="S148" s="680"/>
      <c r="T148" s="680"/>
      <c r="U148" s="680"/>
      <c r="V148" s="680"/>
    </row>
    <row r="149" ht="15.75" customHeight="1">
      <c r="A149" s="695"/>
      <c r="B149" s="696"/>
      <c r="C149" s="696"/>
      <c r="D149" s="696"/>
      <c r="E149" s="697"/>
      <c r="F149" s="698"/>
      <c r="G149" s="698"/>
      <c r="H149" s="698"/>
      <c r="I149" s="697"/>
      <c r="J149" s="699"/>
      <c r="K149" s="695"/>
      <c r="L149" s="699"/>
      <c r="M149" s="700"/>
      <c r="N149" s="701"/>
      <c r="O149" s="701"/>
      <c r="P149" s="697"/>
      <c r="Q149" s="701"/>
      <c r="R149" s="701"/>
      <c r="S149" s="680"/>
      <c r="T149" s="680"/>
      <c r="U149" s="680"/>
      <c r="V149" s="680"/>
    </row>
    <row r="150" ht="15.75" customHeight="1">
      <c r="A150" s="695"/>
      <c r="B150" s="696"/>
      <c r="C150" s="696"/>
      <c r="D150" s="696"/>
      <c r="E150" s="697"/>
      <c r="F150" s="698"/>
      <c r="G150" s="698"/>
      <c r="H150" s="698"/>
      <c r="I150" s="697"/>
      <c r="J150" s="699"/>
      <c r="K150" s="695"/>
      <c r="L150" s="699"/>
      <c r="M150" s="700"/>
      <c r="N150" s="701"/>
      <c r="O150" s="701"/>
      <c r="P150" s="697"/>
      <c r="Q150" s="701"/>
      <c r="R150" s="701"/>
      <c r="S150" s="680"/>
      <c r="T150" s="680"/>
      <c r="U150" s="680"/>
      <c r="V150" s="680"/>
    </row>
    <row r="151" ht="15.75" customHeight="1">
      <c r="A151" s="695"/>
      <c r="B151" s="696"/>
      <c r="C151" s="696"/>
      <c r="D151" s="696"/>
      <c r="E151" s="697"/>
      <c r="F151" s="698"/>
      <c r="G151" s="698"/>
      <c r="H151" s="698"/>
      <c r="I151" s="697"/>
      <c r="J151" s="699"/>
      <c r="K151" s="695"/>
      <c r="L151" s="699"/>
      <c r="M151" s="700"/>
      <c r="N151" s="701"/>
      <c r="O151" s="701"/>
      <c r="P151" s="697"/>
      <c r="Q151" s="701"/>
      <c r="R151" s="701"/>
      <c r="S151" s="680"/>
      <c r="T151" s="680"/>
      <c r="U151" s="680"/>
      <c r="V151" s="680"/>
    </row>
    <row r="152" ht="15.75" customHeight="1">
      <c r="A152" s="695"/>
      <c r="B152" s="696"/>
      <c r="C152" s="696"/>
      <c r="D152" s="696"/>
      <c r="E152" s="697"/>
      <c r="F152" s="698"/>
      <c r="G152" s="698"/>
      <c r="H152" s="698"/>
      <c r="I152" s="697"/>
      <c r="J152" s="699"/>
      <c r="K152" s="695"/>
      <c r="L152" s="699"/>
      <c r="M152" s="700"/>
      <c r="N152" s="701"/>
      <c r="O152" s="701"/>
      <c r="P152" s="697"/>
      <c r="Q152" s="701"/>
      <c r="R152" s="701"/>
      <c r="S152" s="680"/>
      <c r="T152" s="680"/>
      <c r="U152" s="680"/>
      <c r="V152" s="680"/>
    </row>
    <row r="153" ht="15.75" customHeight="1">
      <c r="A153" s="695"/>
      <c r="B153" s="696"/>
      <c r="C153" s="696"/>
      <c r="D153" s="696"/>
      <c r="E153" s="697"/>
      <c r="F153" s="698"/>
      <c r="G153" s="698"/>
      <c r="H153" s="698"/>
      <c r="I153" s="697"/>
      <c r="J153" s="699"/>
      <c r="K153" s="695"/>
      <c r="L153" s="699"/>
      <c r="M153" s="700"/>
      <c r="N153" s="701"/>
      <c r="O153" s="701"/>
      <c r="P153" s="697"/>
      <c r="Q153" s="701"/>
      <c r="R153" s="701"/>
      <c r="S153" s="680"/>
      <c r="T153" s="680"/>
      <c r="U153" s="680"/>
      <c r="V153" s="680"/>
    </row>
    <row r="154" ht="15.75" customHeight="1">
      <c r="A154" s="695"/>
      <c r="B154" s="696"/>
      <c r="C154" s="696"/>
      <c r="D154" s="696"/>
      <c r="E154" s="697"/>
      <c r="F154" s="698"/>
      <c r="G154" s="698"/>
      <c r="H154" s="698"/>
      <c r="I154" s="697"/>
      <c r="J154" s="699"/>
      <c r="K154" s="695"/>
      <c r="L154" s="699"/>
      <c r="M154" s="700"/>
      <c r="N154" s="701"/>
      <c r="O154" s="701"/>
      <c r="P154" s="697"/>
      <c r="Q154" s="701"/>
      <c r="R154" s="701"/>
      <c r="S154" s="680"/>
      <c r="T154" s="680"/>
      <c r="U154" s="680"/>
      <c r="V154" s="680"/>
    </row>
    <row r="155" ht="15.75" customHeight="1">
      <c r="A155" s="695"/>
      <c r="B155" s="696"/>
      <c r="C155" s="696"/>
      <c r="D155" s="696"/>
      <c r="E155" s="697"/>
      <c r="F155" s="698"/>
      <c r="G155" s="698"/>
      <c r="H155" s="698"/>
      <c r="I155" s="697"/>
      <c r="J155" s="699"/>
      <c r="K155" s="695"/>
      <c r="L155" s="699"/>
      <c r="M155" s="700"/>
      <c r="N155" s="701"/>
      <c r="O155" s="701"/>
      <c r="P155" s="697"/>
      <c r="Q155" s="701"/>
      <c r="R155" s="701"/>
      <c r="S155" s="680"/>
      <c r="T155" s="680"/>
      <c r="U155" s="680"/>
      <c r="V155" s="680"/>
    </row>
    <row r="156" ht="15.75" customHeight="1">
      <c r="A156" s="695"/>
      <c r="B156" s="696"/>
      <c r="C156" s="696"/>
      <c r="D156" s="696"/>
      <c r="E156" s="697"/>
      <c r="F156" s="698"/>
      <c r="G156" s="698"/>
      <c r="H156" s="698"/>
      <c r="I156" s="697"/>
      <c r="J156" s="699"/>
      <c r="K156" s="695"/>
      <c r="L156" s="699"/>
      <c r="M156" s="700"/>
      <c r="N156" s="701"/>
      <c r="O156" s="701"/>
      <c r="P156" s="697"/>
      <c r="Q156" s="701"/>
      <c r="R156" s="701"/>
      <c r="S156" s="680"/>
      <c r="T156" s="680"/>
      <c r="U156" s="680"/>
      <c r="V156" s="680"/>
    </row>
    <row r="157" ht="15.75" customHeight="1">
      <c r="A157" s="695"/>
      <c r="B157" s="696"/>
      <c r="C157" s="696"/>
      <c r="D157" s="696"/>
      <c r="E157" s="697"/>
      <c r="F157" s="698"/>
      <c r="G157" s="698"/>
      <c r="H157" s="698"/>
      <c r="I157" s="697"/>
      <c r="J157" s="699"/>
      <c r="K157" s="695"/>
      <c r="L157" s="699"/>
      <c r="M157" s="700"/>
      <c r="N157" s="701"/>
      <c r="O157" s="701"/>
      <c r="P157" s="697"/>
      <c r="Q157" s="701"/>
      <c r="R157" s="701"/>
      <c r="S157" s="680"/>
      <c r="T157" s="680"/>
      <c r="U157" s="680"/>
      <c r="V157" s="680"/>
    </row>
    <row r="158" ht="15.75" customHeight="1">
      <c r="A158" s="695"/>
      <c r="B158" s="696"/>
      <c r="C158" s="696"/>
      <c r="D158" s="696"/>
      <c r="E158" s="697"/>
      <c r="F158" s="698"/>
      <c r="G158" s="698"/>
      <c r="H158" s="698"/>
      <c r="I158" s="697"/>
      <c r="J158" s="699"/>
      <c r="K158" s="695"/>
      <c r="L158" s="699"/>
      <c r="M158" s="700"/>
      <c r="N158" s="701"/>
      <c r="O158" s="701"/>
      <c r="P158" s="697"/>
      <c r="Q158" s="701"/>
      <c r="R158" s="701"/>
      <c r="S158" s="680"/>
      <c r="T158" s="680"/>
      <c r="U158" s="680"/>
      <c r="V158" s="680"/>
    </row>
    <row r="159" ht="15.75" customHeight="1">
      <c r="A159" s="695"/>
      <c r="B159" s="696"/>
      <c r="C159" s="696"/>
      <c r="D159" s="696"/>
      <c r="E159" s="697"/>
      <c r="F159" s="698"/>
      <c r="G159" s="698"/>
      <c r="H159" s="698"/>
      <c r="I159" s="697"/>
      <c r="J159" s="699"/>
      <c r="K159" s="695"/>
      <c r="L159" s="699"/>
      <c r="M159" s="700"/>
      <c r="N159" s="701"/>
      <c r="O159" s="701"/>
      <c r="P159" s="697"/>
      <c r="Q159" s="701"/>
      <c r="R159" s="701"/>
      <c r="S159" s="680"/>
      <c r="T159" s="680"/>
      <c r="U159" s="680"/>
      <c r="V159" s="680"/>
    </row>
    <row r="160" ht="15.75" customHeight="1">
      <c r="A160" s="695"/>
      <c r="B160" s="696"/>
      <c r="C160" s="696"/>
      <c r="D160" s="696"/>
      <c r="E160" s="697"/>
      <c r="F160" s="698"/>
      <c r="G160" s="698"/>
      <c r="H160" s="698"/>
      <c r="I160" s="697"/>
      <c r="J160" s="699"/>
      <c r="K160" s="695"/>
      <c r="L160" s="699"/>
      <c r="M160" s="700"/>
      <c r="N160" s="701"/>
      <c r="O160" s="701"/>
      <c r="P160" s="697"/>
      <c r="Q160" s="701"/>
      <c r="R160" s="701"/>
      <c r="S160" s="680"/>
      <c r="T160" s="680"/>
      <c r="U160" s="680"/>
      <c r="V160" s="680"/>
    </row>
    <row r="161" ht="15.75" customHeight="1">
      <c r="A161" s="695"/>
      <c r="B161" s="696"/>
      <c r="C161" s="696"/>
      <c r="D161" s="696"/>
      <c r="E161" s="697"/>
      <c r="F161" s="698"/>
      <c r="G161" s="698"/>
      <c r="H161" s="698"/>
      <c r="I161" s="697"/>
      <c r="J161" s="699"/>
      <c r="K161" s="695"/>
      <c r="L161" s="699"/>
      <c r="M161" s="700"/>
      <c r="N161" s="701"/>
      <c r="O161" s="701"/>
      <c r="P161" s="697"/>
      <c r="Q161" s="701"/>
      <c r="R161" s="701"/>
      <c r="S161" s="680"/>
      <c r="T161" s="680"/>
      <c r="U161" s="680"/>
      <c r="V161" s="680"/>
    </row>
    <row r="162" ht="15.75" customHeight="1">
      <c r="A162" s="695"/>
      <c r="B162" s="696"/>
      <c r="C162" s="696"/>
      <c r="D162" s="696"/>
      <c r="E162" s="697"/>
      <c r="F162" s="698"/>
      <c r="G162" s="698"/>
      <c r="H162" s="698"/>
      <c r="I162" s="697"/>
      <c r="J162" s="699"/>
      <c r="K162" s="695"/>
      <c r="L162" s="699"/>
      <c r="M162" s="700"/>
      <c r="N162" s="701"/>
      <c r="O162" s="701"/>
      <c r="P162" s="697"/>
      <c r="Q162" s="701"/>
      <c r="R162" s="701"/>
      <c r="S162" s="680"/>
      <c r="T162" s="680"/>
      <c r="U162" s="680"/>
      <c r="V162" s="680"/>
    </row>
    <row r="163" ht="15.75" customHeight="1">
      <c r="A163" s="695"/>
      <c r="B163" s="696"/>
      <c r="C163" s="696"/>
      <c r="D163" s="696"/>
      <c r="E163" s="697"/>
      <c r="F163" s="698"/>
      <c r="G163" s="698"/>
      <c r="H163" s="698"/>
      <c r="I163" s="697"/>
      <c r="J163" s="699"/>
      <c r="K163" s="695"/>
      <c r="L163" s="699"/>
      <c r="M163" s="700"/>
      <c r="N163" s="701"/>
      <c r="O163" s="701"/>
      <c r="P163" s="697"/>
      <c r="Q163" s="701"/>
      <c r="R163" s="701"/>
      <c r="S163" s="680"/>
      <c r="T163" s="680"/>
      <c r="U163" s="680"/>
      <c r="V163" s="680"/>
    </row>
    <row r="164" ht="15.75" customHeight="1">
      <c r="A164" s="695"/>
      <c r="B164" s="696"/>
      <c r="C164" s="696"/>
      <c r="D164" s="696"/>
      <c r="E164" s="697"/>
      <c r="F164" s="698"/>
      <c r="G164" s="698"/>
      <c r="H164" s="698"/>
      <c r="I164" s="697"/>
      <c r="J164" s="699"/>
      <c r="K164" s="695"/>
      <c r="L164" s="699"/>
      <c r="M164" s="700"/>
      <c r="N164" s="701"/>
      <c r="O164" s="701"/>
      <c r="P164" s="697"/>
      <c r="Q164" s="701"/>
      <c r="R164" s="701"/>
      <c r="S164" s="680"/>
      <c r="T164" s="680"/>
      <c r="U164" s="680"/>
      <c r="V164" s="680"/>
    </row>
    <row r="165" ht="15.75" customHeight="1">
      <c r="A165" s="695"/>
      <c r="B165" s="696"/>
      <c r="C165" s="696"/>
      <c r="D165" s="696"/>
      <c r="E165" s="697"/>
      <c r="F165" s="698"/>
      <c r="G165" s="698"/>
      <c r="H165" s="698"/>
      <c r="I165" s="697"/>
      <c r="J165" s="699"/>
      <c r="K165" s="695"/>
      <c r="L165" s="699"/>
      <c r="M165" s="700"/>
      <c r="N165" s="701"/>
      <c r="O165" s="701"/>
      <c r="P165" s="697"/>
      <c r="Q165" s="701"/>
      <c r="R165" s="701"/>
      <c r="S165" s="680"/>
      <c r="T165" s="680"/>
      <c r="U165" s="680"/>
      <c r="V165" s="680"/>
    </row>
    <row r="166" ht="15.75" customHeight="1">
      <c r="A166" s="695"/>
      <c r="B166" s="696"/>
      <c r="C166" s="696"/>
      <c r="D166" s="696"/>
      <c r="E166" s="697"/>
      <c r="F166" s="698"/>
      <c r="G166" s="698"/>
      <c r="H166" s="698"/>
      <c r="I166" s="697"/>
      <c r="J166" s="699"/>
      <c r="K166" s="695"/>
      <c r="L166" s="699"/>
      <c r="M166" s="700"/>
      <c r="N166" s="701"/>
      <c r="O166" s="701"/>
      <c r="P166" s="697"/>
      <c r="Q166" s="701"/>
      <c r="R166" s="701"/>
      <c r="S166" s="680"/>
      <c r="T166" s="680"/>
      <c r="U166" s="680"/>
      <c r="V166" s="680"/>
    </row>
    <row r="167" ht="15.75" customHeight="1">
      <c r="A167" s="695"/>
      <c r="B167" s="696"/>
      <c r="C167" s="696"/>
      <c r="D167" s="696"/>
      <c r="E167" s="697"/>
      <c r="F167" s="698"/>
      <c r="G167" s="698"/>
      <c r="H167" s="698"/>
      <c r="I167" s="697"/>
      <c r="J167" s="699"/>
      <c r="K167" s="695"/>
      <c r="L167" s="699"/>
      <c r="M167" s="700"/>
      <c r="N167" s="701"/>
      <c r="O167" s="701"/>
      <c r="P167" s="697"/>
      <c r="Q167" s="701"/>
      <c r="R167" s="701"/>
      <c r="S167" s="680"/>
      <c r="T167" s="680"/>
      <c r="U167" s="680"/>
      <c r="V167" s="680"/>
    </row>
    <row r="168" ht="15.75" customHeight="1">
      <c r="A168" s="695"/>
      <c r="B168" s="696"/>
      <c r="C168" s="696"/>
      <c r="D168" s="696"/>
      <c r="E168" s="697"/>
      <c r="F168" s="698"/>
      <c r="G168" s="698"/>
      <c r="H168" s="698"/>
      <c r="I168" s="697"/>
      <c r="J168" s="699"/>
      <c r="K168" s="695"/>
      <c r="L168" s="699"/>
      <c r="M168" s="700"/>
      <c r="N168" s="701"/>
      <c r="O168" s="701"/>
      <c r="P168" s="697"/>
      <c r="Q168" s="701"/>
      <c r="R168" s="701"/>
      <c r="S168" s="680"/>
      <c r="T168" s="680"/>
      <c r="U168" s="680"/>
      <c r="V168" s="680"/>
    </row>
    <row r="169" ht="15.75" customHeight="1">
      <c r="A169" s="695"/>
      <c r="B169" s="696"/>
      <c r="C169" s="696"/>
      <c r="D169" s="696"/>
      <c r="E169" s="697"/>
      <c r="F169" s="698"/>
      <c r="G169" s="698"/>
      <c r="H169" s="698"/>
      <c r="I169" s="697"/>
      <c r="J169" s="699"/>
      <c r="K169" s="695"/>
      <c r="L169" s="699"/>
      <c r="M169" s="700"/>
      <c r="N169" s="701"/>
      <c r="O169" s="701"/>
      <c r="P169" s="697"/>
      <c r="Q169" s="701"/>
      <c r="R169" s="701"/>
      <c r="S169" s="680"/>
      <c r="T169" s="680"/>
      <c r="U169" s="680"/>
      <c r="V169" s="680"/>
    </row>
    <row r="170" ht="15.75" customHeight="1">
      <c r="A170" s="695"/>
      <c r="B170" s="696"/>
      <c r="C170" s="696"/>
      <c r="D170" s="696"/>
      <c r="E170" s="697"/>
      <c r="F170" s="698"/>
      <c r="G170" s="698"/>
      <c r="H170" s="698"/>
      <c r="I170" s="697"/>
      <c r="J170" s="699"/>
      <c r="K170" s="695"/>
      <c r="L170" s="699"/>
      <c r="M170" s="700"/>
      <c r="N170" s="701"/>
      <c r="O170" s="701"/>
      <c r="P170" s="697"/>
      <c r="Q170" s="701"/>
      <c r="R170" s="701"/>
      <c r="S170" s="680"/>
      <c r="T170" s="680"/>
      <c r="U170" s="680"/>
      <c r="V170" s="680"/>
    </row>
    <row r="171" ht="15.75" customHeight="1">
      <c r="A171" s="695"/>
      <c r="B171" s="696"/>
      <c r="C171" s="696"/>
      <c r="D171" s="696"/>
      <c r="E171" s="697"/>
      <c r="F171" s="698"/>
      <c r="G171" s="698"/>
      <c r="H171" s="698"/>
      <c r="I171" s="697"/>
      <c r="J171" s="699"/>
      <c r="K171" s="695"/>
      <c r="L171" s="699"/>
      <c r="M171" s="700"/>
      <c r="N171" s="701"/>
      <c r="O171" s="701"/>
      <c r="P171" s="697"/>
      <c r="Q171" s="701"/>
      <c r="R171" s="701"/>
      <c r="S171" s="680"/>
      <c r="T171" s="680"/>
      <c r="U171" s="680"/>
      <c r="V171" s="680"/>
    </row>
    <row r="172" ht="15.75" customHeight="1">
      <c r="A172" s="695"/>
      <c r="B172" s="696"/>
      <c r="C172" s="696"/>
      <c r="D172" s="696"/>
      <c r="E172" s="697"/>
      <c r="F172" s="698"/>
      <c r="G172" s="698"/>
      <c r="H172" s="698"/>
      <c r="I172" s="697"/>
      <c r="J172" s="699"/>
      <c r="K172" s="695"/>
      <c r="L172" s="699"/>
      <c r="M172" s="700"/>
      <c r="N172" s="701"/>
      <c r="O172" s="701"/>
      <c r="P172" s="697"/>
      <c r="Q172" s="701"/>
      <c r="R172" s="701"/>
      <c r="S172" s="680"/>
      <c r="T172" s="680"/>
      <c r="U172" s="680"/>
      <c r="V172" s="680"/>
    </row>
    <row r="173" ht="15.75" customHeight="1">
      <c r="A173" s="695"/>
      <c r="B173" s="696"/>
      <c r="C173" s="696"/>
      <c r="D173" s="696"/>
      <c r="E173" s="697"/>
      <c r="F173" s="698"/>
      <c r="G173" s="698"/>
      <c r="H173" s="698"/>
      <c r="I173" s="697"/>
      <c r="J173" s="699"/>
      <c r="K173" s="695"/>
      <c r="L173" s="699"/>
      <c r="M173" s="700"/>
      <c r="N173" s="701"/>
      <c r="O173" s="701"/>
      <c r="P173" s="697"/>
      <c r="Q173" s="701"/>
      <c r="R173" s="701"/>
      <c r="S173" s="680"/>
      <c r="T173" s="680"/>
      <c r="U173" s="680"/>
      <c r="V173" s="680"/>
    </row>
    <row r="174" ht="15.75" customHeight="1">
      <c r="A174" s="695"/>
      <c r="B174" s="696"/>
      <c r="C174" s="696"/>
      <c r="D174" s="696"/>
      <c r="E174" s="697"/>
      <c r="F174" s="698"/>
      <c r="G174" s="698"/>
      <c r="H174" s="698"/>
      <c r="I174" s="697"/>
      <c r="J174" s="699"/>
      <c r="K174" s="695"/>
      <c r="L174" s="699"/>
      <c r="M174" s="700"/>
      <c r="N174" s="701"/>
      <c r="O174" s="701"/>
      <c r="P174" s="697"/>
      <c r="Q174" s="701"/>
      <c r="R174" s="701"/>
      <c r="S174" s="680"/>
      <c r="T174" s="680"/>
      <c r="U174" s="680"/>
      <c r="V174" s="680"/>
    </row>
    <row r="175" ht="15.75" customHeight="1">
      <c r="A175" s="695"/>
      <c r="B175" s="696"/>
      <c r="C175" s="696"/>
      <c r="D175" s="696"/>
      <c r="E175" s="697"/>
      <c r="F175" s="698"/>
      <c r="G175" s="698"/>
      <c r="H175" s="698"/>
      <c r="I175" s="697"/>
      <c r="J175" s="699"/>
      <c r="K175" s="695"/>
      <c r="L175" s="699"/>
      <c r="M175" s="700"/>
      <c r="N175" s="701"/>
      <c r="O175" s="701"/>
      <c r="P175" s="697"/>
      <c r="Q175" s="701"/>
      <c r="R175" s="701"/>
      <c r="S175" s="680"/>
      <c r="T175" s="680"/>
      <c r="U175" s="680"/>
      <c r="V175" s="680"/>
    </row>
    <row r="176" ht="15.75" customHeight="1">
      <c r="A176" s="695"/>
      <c r="B176" s="696"/>
      <c r="C176" s="696"/>
      <c r="D176" s="696"/>
      <c r="E176" s="697"/>
      <c r="F176" s="698"/>
      <c r="G176" s="698"/>
      <c r="H176" s="698"/>
      <c r="I176" s="697"/>
      <c r="J176" s="699"/>
      <c r="K176" s="695"/>
      <c r="L176" s="699"/>
      <c r="M176" s="700"/>
      <c r="N176" s="701"/>
      <c r="O176" s="701"/>
      <c r="P176" s="697"/>
      <c r="Q176" s="701"/>
      <c r="R176" s="701"/>
      <c r="S176" s="680"/>
      <c r="T176" s="680"/>
      <c r="U176" s="680"/>
      <c r="V176" s="680"/>
    </row>
    <row r="177" ht="15.75" customHeight="1">
      <c r="A177" s="695"/>
      <c r="B177" s="696"/>
      <c r="C177" s="696"/>
      <c r="D177" s="696"/>
      <c r="E177" s="697"/>
      <c r="F177" s="698"/>
      <c r="G177" s="698"/>
      <c r="H177" s="698"/>
      <c r="I177" s="697"/>
      <c r="J177" s="699"/>
      <c r="K177" s="695"/>
      <c r="L177" s="699"/>
      <c r="M177" s="700"/>
      <c r="N177" s="701"/>
      <c r="O177" s="701"/>
      <c r="P177" s="697"/>
      <c r="Q177" s="701"/>
      <c r="R177" s="701"/>
      <c r="S177" s="680"/>
      <c r="T177" s="680"/>
      <c r="U177" s="680"/>
      <c r="V177" s="680"/>
    </row>
    <row r="178" ht="15.75" customHeight="1">
      <c r="A178" s="695"/>
      <c r="B178" s="696"/>
      <c r="C178" s="696"/>
      <c r="D178" s="696"/>
      <c r="E178" s="697"/>
      <c r="F178" s="698"/>
      <c r="G178" s="698"/>
      <c r="H178" s="698"/>
      <c r="I178" s="697"/>
      <c r="J178" s="699"/>
      <c r="K178" s="695"/>
      <c r="L178" s="699"/>
      <c r="M178" s="700"/>
      <c r="N178" s="701"/>
      <c r="O178" s="701"/>
      <c r="P178" s="697"/>
      <c r="Q178" s="701"/>
      <c r="R178" s="701"/>
      <c r="S178" s="680"/>
      <c r="T178" s="680"/>
      <c r="U178" s="680"/>
      <c r="V178" s="680"/>
    </row>
    <row r="179" ht="15.75" customHeight="1">
      <c r="A179" s="695"/>
      <c r="B179" s="696"/>
      <c r="C179" s="696"/>
      <c r="D179" s="696"/>
      <c r="E179" s="697"/>
      <c r="F179" s="698"/>
      <c r="G179" s="698"/>
      <c r="H179" s="698"/>
      <c r="I179" s="697"/>
      <c r="J179" s="699"/>
      <c r="K179" s="695"/>
      <c r="L179" s="699"/>
      <c r="M179" s="700"/>
      <c r="N179" s="701"/>
      <c r="O179" s="701"/>
      <c r="P179" s="697"/>
      <c r="Q179" s="701"/>
      <c r="R179" s="701"/>
      <c r="S179" s="680"/>
      <c r="T179" s="680"/>
      <c r="U179" s="680"/>
      <c r="V179" s="680"/>
    </row>
    <row r="180" ht="15.75" customHeight="1">
      <c r="A180" s="695"/>
      <c r="B180" s="696"/>
      <c r="C180" s="696"/>
      <c r="D180" s="696"/>
      <c r="E180" s="697"/>
      <c r="F180" s="698"/>
      <c r="G180" s="698"/>
      <c r="H180" s="698"/>
      <c r="I180" s="697"/>
      <c r="J180" s="699"/>
      <c r="K180" s="695"/>
      <c r="L180" s="699"/>
      <c r="M180" s="700"/>
      <c r="N180" s="701"/>
      <c r="O180" s="701"/>
      <c r="P180" s="697"/>
      <c r="Q180" s="701"/>
      <c r="R180" s="701"/>
      <c r="S180" s="680"/>
      <c r="T180" s="680"/>
      <c r="U180" s="680"/>
      <c r="V180" s="680"/>
    </row>
    <row r="181" ht="15.75" customHeight="1">
      <c r="A181" s="695"/>
      <c r="B181" s="696"/>
      <c r="C181" s="696"/>
      <c r="D181" s="696"/>
      <c r="E181" s="697"/>
      <c r="F181" s="698"/>
      <c r="G181" s="698"/>
      <c r="H181" s="698"/>
      <c r="I181" s="697"/>
      <c r="J181" s="699"/>
      <c r="K181" s="695"/>
      <c r="L181" s="699"/>
      <c r="M181" s="700"/>
      <c r="N181" s="701"/>
      <c r="O181" s="701"/>
      <c r="P181" s="697"/>
      <c r="Q181" s="701"/>
      <c r="R181" s="701"/>
      <c r="S181" s="680"/>
      <c r="T181" s="680"/>
      <c r="U181" s="680"/>
      <c r="V181" s="680"/>
    </row>
    <row r="182" ht="15.75" customHeight="1">
      <c r="A182" s="695"/>
      <c r="B182" s="696"/>
      <c r="C182" s="696"/>
      <c r="D182" s="696"/>
      <c r="E182" s="697"/>
      <c r="F182" s="698"/>
      <c r="G182" s="698"/>
      <c r="H182" s="698"/>
      <c r="I182" s="697"/>
      <c r="J182" s="699"/>
      <c r="K182" s="695"/>
      <c r="L182" s="699"/>
      <c r="M182" s="700"/>
      <c r="N182" s="701"/>
      <c r="O182" s="701"/>
      <c r="P182" s="697"/>
      <c r="Q182" s="701"/>
      <c r="R182" s="701"/>
      <c r="S182" s="680"/>
      <c r="T182" s="680"/>
      <c r="U182" s="680"/>
      <c r="V182" s="680"/>
    </row>
    <row r="183" ht="15.75" customHeight="1">
      <c r="A183" s="695"/>
      <c r="B183" s="696"/>
      <c r="C183" s="696"/>
      <c r="D183" s="696"/>
      <c r="E183" s="697"/>
      <c r="F183" s="698"/>
      <c r="G183" s="698"/>
      <c r="H183" s="698"/>
      <c r="I183" s="697"/>
      <c r="J183" s="699"/>
      <c r="K183" s="695"/>
      <c r="L183" s="699"/>
      <c r="M183" s="700"/>
      <c r="N183" s="701"/>
      <c r="O183" s="701"/>
      <c r="P183" s="697"/>
      <c r="Q183" s="701"/>
      <c r="R183" s="701"/>
      <c r="S183" s="680"/>
      <c r="T183" s="680"/>
      <c r="U183" s="680"/>
      <c r="V183" s="680"/>
    </row>
    <row r="184" ht="15.75" customHeight="1">
      <c r="A184" s="695"/>
      <c r="B184" s="696"/>
      <c r="C184" s="696"/>
      <c r="D184" s="696"/>
      <c r="E184" s="697"/>
      <c r="F184" s="698"/>
      <c r="G184" s="698"/>
      <c r="H184" s="698"/>
      <c r="I184" s="697"/>
      <c r="J184" s="699"/>
      <c r="K184" s="695"/>
      <c r="L184" s="699"/>
      <c r="M184" s="700"/>
      <c r="N184" s="701"/>
      <c r="O184" s="701"/>
      <c r="P184" s="697"/>
      <c r="Q184" s="701"/>
      <c r="R184" s="701"/>
      <c r="S184" s="680"/>
      <c r="T184" s="680"/>
      <c r="U184" s="680"/>
      <c r="V184" s="680"/>
    </row>
    <row r="185" ht="15.75" customHeight="1">
      <c r="A185" s="695"/>
      <c r="B185" s="696"/>
      <c r="C185" s="696"/>
      <c r="D185" s="696"/>
      <c r="E185" s="697"/>
      <c r="F185" s="698"/>
      <c r="G185" s="698"/>
      <c r="H185" s="698"/>
      <c r="I185" s="697"/>
      <c r="J185" s="699"/>
      <c r="K185" s="695"/>
      <c r="L185" s="699"/>
      <c r="M185" s="700"/>
      <c r="N185" s="701"/>
      <c r="O185" s="701"/>
      <c r="P185" s="697"/>
      <c r="Q185" s="701"/>
      <c r="R185" s="701"/>
      <c r="S185" s="680"/>
      <c r="T185" s="680"/>
      <c r="U185" s="680"/>
      <c r="V185" s="680"/>
    </row>
    <row r="186" ht="15.75" customHeight="1">
      <c r="A186" s="695"/>
      <c r="B186" s="696"/>
      <c r="C186" s="696"/>
      <c r="D186" s="696"/>
      <c r="E186" s="697"/>
      <c r="F186" s="698"/>
      <c r="G186" s="698"/>
      <c r="H186" s="698"/>
      <c r="I186" s="697"/>
      <c r="J186" s="699"/>
      <c r="K186" s="695"/>
      <c r="L186" s="699"/>
      <c r="M186" s="700"/>
      <c r="N186" s="701"/>
      <c r="O186" s="701"/>
      <c r="P186" s="697"/>
      <c r="Q186" s="701"/>
      <c r="R186" s="701"/>
      <c r="S186" s="680"/>
      <c r="T186" s="680"/>
      <c r="U186" s="680"/>
      <c r="V186" s="680"/>
    </row>
    <row r="187" ht="15.75" customHeight="1">
      <c r="A187" s="695"/>
      <c r="B187" s="696"/>
      <c r="C187" s="696"/>
      <c r="D187" s="696"/>
      <c r="E187" s="697"/>
      <c r="F187" s="698"/>
      <c r="G187" s="698"/>
      <c r="H187" s="698"/>
      <c r="I187" s="697"/>
      <c r="J187" s="699"/>
      <c r="K187" s="695"/>
      <c r="L187" s="699"/>
      <c r="M187" s="700"/>
      <c r="N187" s="701"/>
      <c r="O187" s="701"/>
      <c r="P187" s="697"/>
      <c r="Q187" s="701"/>
      <c r="R187" s="701"/>
      <c r="S187" s="680"/>
      <c r="T187" s="680"/>
      <c r="U187" s="680"/>
      <c r="V187" s="680"/>
    </row>
    <row r="188" ht="15.75" customHeight="1">
      <c r="A188" s="695"/>
      <c r="B188" s="696"/>
      <c r="C188" s="696"/>
      <c r="D188" s="696"/>
      <c r="E188" s="697"/>
      <c r="F188" s="698"/>
      <c r="G188" s="698"/>
      <c r="H188" s="698"/>
      <c r="I188" s="697"/>
      <c r="J188" s="699"/>
      <c r="K188" s="695"/>
      <c r="L188" s="699"/>
      <c r="M188" s="700"/>
      <c r="N188" s="701"/>
      <c r="O188" s="701"/>
      <c r="P188" s="697"/>
      <c r="Q188" s="701"/>
      <c r="R188" s="701"/>
      <c r="S188" s="680"/>
      <c r="T188" s="680"/>
      <c r="U188" s="680"/>
      <c r="V188" s="680"/>
    </row>
    <row r="189" ht="15.75" customHeight="1">
      <c r="A189" s="695"/>
      <c r="B189" s="696"/>
      <c r="C189" s="696"/>
      <c r="D189" s="696"/>
      <c r="E189" s="697"/>
      <c r="F189" s="698"/>
      <c r="G189" s="698"/>
      <c r="H189" s="698"/>
      <c r="I189" s="697"/>
      <c r="J189" s="699"/>
      <c r="K189" s="695"/>
      <c r="L189" s="699"/>
      <c r="M189" s="700"/>
      <c r="N189" s="701"/>
      <c r="O189" s="701"/>
      <c r="P189" s="697"/>
      <c r="Q189" s="701"/>
      <c r="R189" s="701"/>
      <c r="S189" s="680"/>
      <c r="T189" s="680"/>
      <c r="U189" s="680"/>
      <c r="V189" s="680"/>
    </row>
    <row r="190" ht="15.75" customHeight="1">
      <c r="A190" s="695"/>
      <c r="B190" s="696"/>
      <c r="C190" s="696"/>
      <c r="D190" s="696"/>
      <c r="E190" s="697"/>
      <c r="F190" s="698"/>
      <c r="G190" s="698"/>
      <c r="H190" s="698"/>
      <c r="I190" s="697"/>
      <c r="J190" s="699"/>
      <c r="K190" s="695"/>
      <c r="L190" s="699"/>
      <c r="M190" s="700"/>
      <c r="N190" s="701"/>
      <c r="O190" s="701"/>
      <c r="P190" s="697"/>
      <c r="Q190" s="701"/>
      <c r="R190" s="701"/>
      <c r="S190" s="680"/>
      <c r="T190" s="680"/>
      <c r="U190" s="680"/>
      <c r="V190" s="680"/>
    </row>
    <row r="191" ht="15.75" customHeight="1">
      <c r="A191" s="695"/>
      <c r="B191" s="696"/>
      <c r="C191" s="696"/>
      <c r="D191" s="696"/>
      <c r="E191" s="697"/>
      <c r="F191" s="698"/>
      <c r="G191" s="698"/>
      <c r="H191" s="698"/>
      <c r="I191" s="697"/>
      <c r="J191" s="699"/>
      <c r="K191" s="695"/>
      <c r="L191" s="699"/>
      <c r="M191" s="700"/>
      <c r="N191" s="701"/>
      <c r="O191" s="701"/>
      <c r="P191" s="697"/>
      <c r="Q191" s="701"/>
      <c r="R191" s="701"/>
      <c r="S191" s="680"/>
      <c r="T191" s="680"/>
      <c r="U191" s="680"/>
      <c r="V191" s="680"/>
    </row>
    <row r="192" ht="15.75" customHeight="1">
      <c r="A192" s="695"/>
      <c r="B192" s="696"/>
      <c r="C192" s="696"/>
      <c r="D192" s="696"/>
      <c r="E192" s="697"/>
      <c r="F192" s="698"/>
      <c r="G192" s="698"/>
      <c r="H192" s="698"/>
      <c r="I192" s="697"/>
      <c r="J192" s="699"/>
      <c r="K192" s="695"/>
      <c r="L192" s="699"/>
      <c r="M192" s="700"/>
      <c r="N192" s="701"/>
      <c r="O192" s="701"/>
      <c r="P192" s="697"/>
      <c r="Q192" s="701"/>
      <c r="R192" s="701"/>
      <c r="S192" s="680"/>
      <c r="T192" s="680"/>
      <c r="U192" s="680"/>
      <c r="V192" s="680"/>
    </row>
    <row r="193" ht="15.75" customHeight="1">
      <c r="A193" s="695"/>
      <c r="B193" s="696"/>
      <c r="C193" s="696"/>
      <c r="D193" s="696"/>
      <c r="E193" s="697"/>
      <c r="F193" s="698"/>
      <c r="G193" s="698"/>
      <c r="H193" s="698"/>
      <c r="I193" s="697"/>
      <c r="J193" s="699"/>
      <c r="K193" s="695"/>
      <c r="L193" s="699"/>
      <c r="M193" s="700"/>
      <c r="N193" s="701"/>
      <c r="O193" s="701"/>
      <c r="P193" s="697"/>
      <c r="Q193" s="701"/>
      <c r="R193" s="701"/>
      <c r="S193" s="680"/>
      <c r="T193" s="680"/>
      <c r="U193" s="680"/>
      <c r="V193" s="680"/>
    </row>
    <row r="194" ht="15.75" customHeight="1">
      <c r="A194" s="695"/>
      <c r="B194" s="696"/>
      <c r="C194" s="696"/>
      <c r="D194" s="696"/>
      <c r="E194" s="697"/>
      <c r="F194" s="698"/>
      <c r="G194" s="698"/>
      <c r="H194" s="698"/>
      <c r="I194" s="697"/>
      <c r="J194" s="699"/>
      <c r="K194" s="695"/>
      <c r="L194" s="699"/>
      <c r="M194" s="700"/>
      <c r="N194" s="701"/>
      <c r="O194" s="701"/>
      <c r="P194" s="697"/>
      <c r="Q194" s="701"/>
      <c r="R194" s="701"/>
      <c r="S194" s="680"/>
      <c r="T194" s="680"/>
      <c r="U194" s="680"/>
      <c r="V194" s="680"/>
    </row>
    <row r="195" ht="15.75" customHeight="1">
      <c r="A195" s="695"/>
      <c r="B195" s="696"/>
      <c r="C195" s="696"/>
      <c r="D195" s="696"/>
      <c r="E195" s="697"/>
      <c r="F195" s="698"/>
      <c r="G195" s="698"/>
      <c r="H195" s="698"/>
      <c r="I195" s="697"/>
      <c r="J195" s="699"/>
      <c r="K195" s="695"/>
      <c r="L195" s="699"/>
      <c r="M195" s="700"/>
      <c r="N195" s="701"/>
      <c r="O195" s="701"/>
      <c r="P195" s="697"/>
      <c r="Q195" s="701"/>
      <c r="R195" s="701"/>
      <c r="S195" s="680"/>
      <c r="T195" s="680"/>
      <c r="U195" s="680"/>
      <c r="V195" s="680"/>
    </row>
    <row r="196" ht="15.75" customHeight="1">
      <c r="A196" s="695"/>
      <c r="B196" s="696"/>
      <c r="C196" s="696"/>
      <c r="D196" s="696"/>
      <c r="E196" s="697"/>
      <c r="F196" s="698"/>
      <c r="G196" s="698"/>
      <c r="H196" s="698"/>
      <c r="I196" s="697"/>
      <c r="J196" s="699"/>
      <c r="K196" s="695"/>
      <c r="L196" s="699"/>
      <c r="M196" s="700"/>
      <c r="N196" s="701"/>
      <c r="O196" s="701"/>
      <c r="P196" s="697"/>
      <c r="Q196" s="701"/>
      <c r="R196" s="701"/>
      <c r="S196" s="680"/>
      <c r="T196" s="680"/>
      <c r="U196" s="680"/>
      <c r="V196" s="680"/>
    </row>
    <row r="197" ht="15.75" customHeight="1">
      <c r="A197" s="695"/>
      <c r="B197" s="696"/>
      <c r="C197" s="696"/>
      <c r="D197" s="696"/>
      <c r="E197" s="697"/>
      <c r="F197" s="698"/>
      <c r="G197" s="698"/>
      <c r="H197" s="698"/>
      <c r="I197" s="697"/>
      <c r="J197" s="699"/>
      <c r="K197" s="695"/>
      <c r="L197" s="699"/>
      <c r="M197" s="700"/>
      <c r="N197" s="701"/>
      <c r="O197" s="701"/>
      <c r="P197" s="697"/>
      <c r="Q197" s="701"/>
      <c r="R197" s="701"/>
      <c r="S197" s="680"/>
      <c r="T197" s="680"/>
      <c r="U197" s="680"/>
      <c r="V197" s="680"/>
    </row>
    <row r="198" ht="15.75" customHeight="1">
      <c r="A198" s="695"/>
      <c r="B198" s="696"/>
      <c r="C198" s="696"/>
      <c r="D198" s="696"/>
      <c r="E198" s="697"/>
      <c r="F198" s="698"/>
      <c r="G198" s="698"/>
      <c r="H198" s="698"/>
      <c r="I198" s="697"/>
      <c r="J198" s="699"/>
      <c r="K198" s="695"/>
      <c r="L198" s="699"/>
      <c r="M198" s="700"/>
      <c r="N198" s="701"/>
      <c r="O198" s="701"/>
      <c r="P198" s="697"/>
      <c r="Q198" s="701"/>
      <c r="R198" s="701"/>
      <c r="S198" s="680"/>
      <c r="T198" s="680"/>
      <c r="U198" s="680"/>
      <c r="V198" s="680"/>
    </row>
    <row r="199" ht="15.75" customHeight="1">
      <c r="A199" s="695"/>
      <c r="B199" s="696"/>
      <c r="C199" s="696"/>
      <c r="D199" s="696"/>
      <c r="E199" s="697"/>
      <c r="F199" s="698"/>
      <c r="G199" s="698"/>
      <c r="H199" s="698"/>
      <c r="I199" s="697"/>
      <c r="J199" s="699"/>
      <c r="K199" s="695"/>
      <c r="L199" s="699"/>
      <c r="M199" s="700"/>
      <c r="N199" s="701"/>
      <c r="O199" s="701"/>
      <c r="P199" s="697"/>
      <c r="Q199" s="701"/>
      <c r="R199" s="701"/>
      <c r="S199" s="680"/>
      <c r="T199" s="680"/>
      <c r="U199" s="680"/>
      <c r="V199" s="680"/>
    </row>
    <row r="200" ht="15.75" customHeight="1">
      <c r="A200" s="695"/>
      <c r="B200" s="696"/>
      <c r="C200" s="696"/>
      <c r="D200" s="696"/>
      <c r="E200" s="697"/>
      <c r="F200" s="698"/>
      <c r="G200" s="698"/>
      <c r="H200" s="698"/>
      <c r="I200" s="697"/>
      <c r="J200" s="699"/>
      <c r="K200" s="695"/>
      <c r="L200" s="699"/>
      <c r="M200" s="700"/>
      <c r="N200" s="701"/>
      <c r="O200" s="701"/>
      <c r="P200" s="697"/>
      <c r="Q200" s="701"/>
      <c r="R200" s="701"/>
      <c r="S200" s="680"/>
      <c r="T200" s="680"/>
      <c r="U200" s="680"/>
      <c r="V200" s="680"/>
    </row>
    <row r="201" ht="15.75" customHeight="1">
      <c r="A201" s="695"/>
      <c r="B201" s="696"/>
      <c r="C201" s="696"/>
      <c r="D201" s="696"/>
      <c r="E201" s="697"/>
      <c r="F201" s="698"/>
      <c r="G201" s="698"/>
      <c r="H201" s="698"/>
      <c r="I201" s="697"/>
      <c r="J201" s="699"/>
      <c r="K201" s="695"/>
      <c r="L201" s="699"/>
      <c r="M201" s="700"/>
      <c r="N201" s="701"/>
      <c r="O201" s="701"/>
      <c r="P201" s="697"/>
      <c r="Q201" s="701"/>
      <c r="R201" s="701"/>
      <c r="S201" s="680"/>
      <c r="T201" s="680"/>
      <c r="U201" s="680"/>
      <c r="V201" s="680"/>
    </row>
    <row r="202" ht="15.75" customHeight="1">
      <c r="A202" s="695"/>
      <c r="B202" s="696"/>
      <c r="C202" s="696"/>
      <c r="D202" s="696"/>
      <c r="E202" s="697"/>
      <c r="F202" s="698"/>
      <c r="G202" s="698"/>
      <c r="H202" s="698"/>
      <c r="I202" s="697"/>
      <c r="J202" s="699"/>
      <c r="K202" s="695"/>
      <c r="L202" s="699"/>
      <c r="M202" s="700"/>
      <c r="N202" s="701"/>
      <c r="O202" s="701"/>
      <c r="P202" s="697"/>
      <c r="Q202" s="701"/>
      <c r="R202" s="701"/>
      <c r="S202" s="680"/>
      <c r="T202" s="680"/>
      <c r="U202" s="680"/>
      <c r="V202" s="680"/>
    </row>
    <row r="203" ht="15.75" customHeight="1">
      <c r="A203" s="695"/>
      <c r="B203" s="696"/>
      <c r="C203" s="696"/>
      <c r="D203" s="696"/>
      <c r="E203" s="697"/>
      <c r="F203" s="698"/>
      <c r="G203" s="698"/>
      <c r="H203" s="698"/>
      <c r="I203" s="697"/>
      <c r="J203" s="699"/>
      <c r="K203" s="695"/>
      <c r="L203" s="699"/>
      <c r="M203" s="700"/>
      <c r="N203" s="701"/>
      <c r="O203" s="701"/>
      <c r="P203" s="697"/>
      <c r="Q203" s="701"/>
      <c r="R203" s="701"/>
      <c r="S203" s="680"/>
      <c r="T203" s="680"/>
      <c r="U203" s="680"/>
      <c r="V203" s="680"/>
    </row>
    <row r="204" ht="15.75" customHeight="1">
      <c r="A204" s="695"/>
      <c r="B204" s="696"/>
      <c r="C204" s="696"/>
      <c r="D204" s="696"/>
      <c r="E204" s="697"/>
      <c r="F204" s="698"/>
      <c r="G204" s="698"/>
      <c r="H204" s="698"/>
      <c r="I204" s="697"/>
      <c r="J204" s="699"/>
      <c r="K204" s="695"/>
      <c r="L204" s="699"/>
      <c r="M204" s="700"/>
      <c r="N204" s="701"/>
      <c r="O204" s="701"/>
      <c r="P204" s="697"/>
      <c r="Q204" s="701"/>
      <c r="R204" s="701"/>
      <c r="S204" s="680"/>
      <c r="T204" s="680"/>
      <c r="U204" s="680"/>
      <c r="V204" s="680"/>
    </row>
    <row r="205" ht="15.75" customHeight="1">
      <c r="A205" s="695"/>
      <c r="B205" s="696"/>
      <c r="C205" s="696"/>
      <c r="D205" s="696"/>
      <c r="E205" s="697"/>
      <c r="F205" s="698"/>
      <c r="G205" s="698"/>
      <c r="H205" s="698"/>
      <c r="I205" s="697"/>
      <c r="J205" s="699"/>
      <c r="K205" s="695"/>
      <c r="L205" s="699"/>
      <c r="M205" s="700"/>
      <c r="N205" s="701"/>
      <c r="O205" s="701"/>
      <c r="P205" s="697"/>
      <c r="Q205" s="701"/>
      <c r="R205" s="701"/>
      <c r="S205" s="680"/>
      <c r="T205" s="680"/>
      <c r="U205" s="680"/>
      <c r="V205" s="680"/>
    </row>
    <row r="206" ht="15.75" customHeight="1">
      <c r="A206" s="695"/>
      <c r="B206" s="696"/>
      <c r="C206" s="696"/>
      <c r="D206" s="696"/>
      <c r="E206" s="697"/>
      <c r="F206" s="698"/>
      <c r="G206" s="698"/>
      <c r="H206" s="698"/>
      <c r="I206" s="697"/>
      <c r="J206" s="699"/>
      <c r="K206" s="695"/>
      <c r="L206" s="699"/>
      <c r="M206" s="700"/>
      <c r="N206" s="701"/>
      <c r="O206" s="701"/>
      <c r="P206" s="697"/>
      <c r="Q206" s="701"/>
      <c r="R206" s="701"/>
      <c r="S206" s="680"/>
      <c r="T206" s="680"/>
      <c r="U206" s="680"/>
      <c r="V206" s="680"/>
    </row>
    <row r="207" ht="15.75" customHeight="1">
      <c r="A207" s="695"/>
      <c r="B207" s="696"/>
      <c r="C207" s="696"/>
      <c r="D207" s="696"/>
      <c r="E207" s="697"/>
      <c r="F207" s="698"/>
      <c r="G207" s="698"/>
      <c r="H207" s="698"/>
      <c r="I207" s="697"/>
      <c r="J207" s="699"/>
      <c r="K207" s="695"/>
      <c r="L207" s="699"/>
      <c r="M207" s="700"/>
      <c r="N207" s="701"/>
      <c r="O207" s="701"/>
      <c r="P207" s="697"/>
      <c r="Q207" s="701"/>
      <c r="R207" s="701"/>
      <c r="S207" s="680"/>
      <c r="T207" s="680"/>
      <c r="U207" s="680"/>
      <c r="V207" s="680"/>
    </row>
    <row r="208" ht="15.75" customHeight="1">
      <c r="A208" s="695"/>
      <c r="B208" s="696"/>
      <c r="C208" s="696"/>
      <c r="D208" s="696"/>
      <c r="E208" s="697"/>
      <c r="F208" s="698"/>
      <c r="G208" s="698"/>
      <c r="H208" s="698"/>
      <c r="I208" s="697"/>
      <c r="J208" s="699"/>
      <c r="K208" s="695"/>
      <c r="L208" s="699"/>
      <c r="M208" s="700"/>
      <c r="N208" s="701"/>
      <c r="O208" s="701"/>
      <c r="P208" s="697"/>
      <c r="Q208" s="701"/>
      <c r="R208" s="701"/>
      <c r="S208" s="680"/>
      <c r="T208" s="680"/>
      <c r="U208" s="680"/>
      <c r="V208" s="680"/>
    </row>
    <row r="209" ht="15.75" customHeight="1">
      <c r="A209" s="695"/>
      <c r="B209" s="696"/>
      <c r="C209" s="696"/>
      <c r="D209" s="696"/>
      <c r="E209" s="697"/>
      <c r="F209" s="698"/>
      <c r="G209" s="698"/>
      <c r="H209" s="698"/>
      <c r="I209" s="697"/>
      <c r="J209" s="699"/>
      <c r="K209" s="695"/>
      <c r="L209" s="699"/>
      <c r="M209" s="700"/>
      <c r="N209" s="701"/>
      <c r="O209" s="701"/>
      <c r="P209" s="697"/>
      <c r="Q209" s="701"/>
      <c r="R209" s="701"/>
      <c r="S209" s="680"/>
      <c r="T209" s="680"/>
      <c r="U209" s="680"/>
      <c r="V209" s="680"/>
    </row>
    <row r="210" ht="15.75" customHeight="1">
      <c r="A210" s="695"/>
      <c r="B210" s="696"/>
      <c r="C210" s="696"/>
      <c r="D210" s="696"/>
      <c r="E210" s="697"/>
      <c r="F210" s="698"/>
      <c r="G210" s="698"/>
      <c r="H210" s="698"/>
      <c r="I210" s="697"/>
      <c r="J210" s="699"/>
      <c r="K210" s="695"/>
      <c r="L210" s="699"/>
      <c r="M210" s="700"/>
      <c r="N210" s="701"/>
      <c r="O210" s="701"/>
      <c r="P210" s="697"/>
      <c r="Q210" s="701"/>
      <c r="R210" s="701"/>
      <c r="S210" s="680"/>
      <c r="T210" s="680"/>
      <c r="U210" s="680"/>
      <c r="V210" s="680"/>
    </row>
    <row r="211" ht="15.75" customHeight="1">
      <c r="A211" s="695"/>
      <c r="B211" s="696"/>
      <c r="C211" s="696"/>
      <c r="D211" s="696"/>
      <c r="E211" s="697"/>
      <c r="F211" s="698"/>
      <c r="G211" s="698"/>
      <c r="H211" s="698"/>
      <c r="I211" s="697"/>
      <c r="J211" s="699"/>
      <c r="K211" s="695"/>
      <c r="L211" s="699"/>
      <c r="M211" s="700"/>
      <c r="N211" s="701"/>
      <c r="O211" s="701"/>
      <c r="P211" s="697"/>
      <c r="Q211" s="701"/>
      <c r="R211" s="701"/>
      <c r="S211" s="680"/>
      <c r="T211" s="680"/>
      <c r="U211" s="680"/>
      <c r="V211" s="680"/>
    </row>
    <row r="212" ht="15.75" customHeight="1">
      <c r="A212" s="695"/>
      <c r="B212" s="696"/>
      <c r="C212" s="696"/>
      <c r="D212" s="696"/>
      <c r="E212" s="697"/>
      <c r="F212" s="698"/>
      <c r="G212" s="698"/>
      <c r="H212" s="698"/>
      <c r="I212" s="697"/>
      <c r="J212" s="699"/>
      <c r="K212" s="695"/>
      <c r="L212" s="699"/>
      <c r="M212" s="700"/>
      <c r="N212" s="701"/>
      <c r="O212" s="701"/>
      <c r="P212" s="697"/>
      <c r="Q212" s="701"/>
      <c r="R212" s="701"/>
      <c r="S212" s="680"/>
      <c r="T212" s="680"/>
      <c r="U212" s="680"/>
      <c r="V212" s="680"/>
    </row>
    <row r="213" ht="15.75" customHeight="1">
      <c r="A213" s="695"/>
      <c r="B213" s="696"/>
      <c r="C213" s="696"/>
      <c r="D213" s="696"/>
      <c r="E213" s="697"/>
      <c r="F213" s="698"/>
      <c r="G213" s="698"/>
      <c r="H213" s="698"/>
      <c r="I213" s="697"/>
      <c r="J213" s="699"/>
      <c r="K213" s="695"/>
      <c r="L213" s="699"/>
      <c r="M213" s="700"/>
      <c r="N213" s="701"/>
      <c r="O213" s="701"/>
      <c r="P213" s="697"/>
      <c r="Q213" s="701"/>
      <c r="R213" s="701"/>
      <c r="S213" s="680"/>
      <c r="T213" s="680"/>
      <c r="U213" s="680"/>
      <c r="V213" s="680"/>
    </row>
    <row r="214" ht="15.75" customHeight="1">
      <c r="A214" s="695"/>
      <c r="B214" s="696"/>
      <c r="C214" s="696"/>
      <c r="D214" s="696"/>
      <c r="E214" s="697"/>
      <c r="F214" s="698"/>
      <c r="G214" s="698"/>
      <c r="H214" s="698"/>
      <c r="I214" s="697"/>
      <c r="J214" s="699"/>
      <c r="K214" s="695"/>
      <c r="L214" s="699"/>
      <c r="M214" s="700"/>
      <c r="N214" s="701"/>
      <c r="O214" s="701"/>
      <c r="P214" s="697"/>
      <c r="Q214" s="701"/>
      <c r="R214" s="701"/>
      <c r="S214" s="680"/>
      <c r="T214" s="680"/>
      <c r="U214" s="680"/>
      <c r="V214" s="680"/>
    </row>
    <row r="215" ht="15.75" customHeight="1">
      <c r="A215" s="695"/>
      <c r="B215" s="696"/>
      <c r="C215" s="696"/>
      <c r="D215" s="696"/>
      <c r="E215" s="697"/>
      <c r="F215" s="698"/>
      <c r="G215" s="698"/>
      <c r="H215" s="698"/>
      <c r="I215" s="697"/>
      <c r="J215" s="699"/>
      <c r="K215" s="695"/>
      <c r="L215" s="699"/>
      <c r="M215" s="700"/>
      <c r="N215" s="701"/>
      <c r="O215" s="701"/>
      <c r="P215" s="697"/>
      <c r="Q215" s="701"/>
      <c r="R215" s="701"/>
      <c r="S215" s="680"/>
      <c r="T215" s="680"/>
      <c r="U215" s="680"/>
      <c r="V215" s="680"/>
    </row>
    <row r="216" ht="15.75" customHeight="1">
      <c r="A216" s="695"/>
      <c r="B216" s="696"/>
      <c r="C216" s="696"/>
      <c r="D216" s="696"/>
      <c r="E216" s="697"/>
      <c r="F216" s="698"/>
      <c r="G216" s="698"/>
      <c r="H216" s="698"/>
      <c r="I216" s="697"/>
      <c r="J216" s="699"/>
      <c r="K216" s="695"/>
      <c r="L216" s="699"/>
      <c r="M216" s="700"/>
      <c r="N216" s="701"/>
      <c r="O216" s="701"/>
      <c r="P216" s="697"/>
      <c r="Q216" s="701"/>
      <c r="R216" s="701"/>
      <c r="S216" s="680"/>
      <c r="T216" s="680"/>
      <c r="U216" s="680"/>
      <c r="V216" s="680"/>
    </row>
    <row r="217" ht="15.75" customHeight="1">
      <c r="A217" s="695"/>
      <c r="B217" s="696"/>
      <c r="C217" s="696"/>
      <c r="D217" s="696"/>
      <c r="E217" s="697"/>
      <c r="F217" s="698"/>
      <c r="G217" s="698"/>
      <c r="H217" s="698"/>
      <c r="I217" s="697"/>
      <c r="J217" s="699"/>
      <c r="K217" s="695"/>
      <c r="L217" s="699"/>
      <c r="M217" s="700"/>
      <c r="N217" s="701"/>
      <c r="O217" s="701"/>
      <c r="P217" s="697"/>
      <c r="Q217" s="701"/>
      <c r="R217" s="701"/>
      <c r="S217" s="680"/>
      <c r="T217" s="680"/>
      <c r="U217" s="680"/>
      <c r="V217" s="680"/>
    </row>
    <row r="218" ht="15.75" customHeight="1">
      <c r="A218" s="695"/>
      <c r="B218" s="696"/>
      <c r="C218" s="696"/>
      <c r="D218" s="696"/>
      <c r="E218" s="697"/>
      <c r="F218" s="698"/>
      <c r="G218" s="698"/>
      <c r="H218" s="698"/>
      <c r="I218" s="697"/>
      <c r="J218" s="699"/>
      <c r="K218" s="695"/>
      <c r="L218" s="699"/>
      <c r="M218" s="700"/>
      <c r="N218" s="701"/>
      <c r="O218" s="701"/>
      <c r="P218" s="697"/>
      <c r="Q218" s="701"/>
      <c r="R218" s="701"/>
      <c r="S218" s="680"/>
      <c r="T218" s="680"/>
      <c r="U218" s="680"/>
      <c r="V218" s="680"/>
    </row>
    <row r="219" ht="15.75" customHeight="1">
      <c r="A219" s="695"/>
      <c r="B219" s="696"/>
      <c r="C219" s="696"/>
      <c r="D219" s="696"/>
      <c r="E219" s="697"/>
      <c r="F219" s="698"/>
      <c r="G219" s="698"/>
      <c r="H219" s="698"/>
      <c r="I219" s="697"/>
      <c r="J219" s="699"/>
      <c r="K219" s="695"/>
      <c r="L219" s="699"/>
      <c r="M219" s="700"/>
      <c r="N219" s="701"/>
      <c r="O219" s="701"/>
      <c r="P219" s="697"/>
      <c r="Q219" s="701"/>
      <c r="R219" s="701"/>
      <c r="S219" s="680"/>
      <c r="T219" s="680"/>
      <c r="U219" s="680"/>
      <c r="V219" s="680"/>
    </row>
    <row r="220" ht="15.75" customHeight="1">
      <c r="A220" s="695"/>
      <c r="B220" s="696"/>
      <c r="C220" s="696"/>
      <c r="D220" s="696"/>
      <c r="E220" s="697"/>
      <c r="F220" s="698"/>
      <c r="G220" s="698"/>
      <c r="H220" s="698"/>
      <c r="I220" s="697"/>
      <c r="J220" s="699"/>
      <c r="K220" s="695"/>
      <c r="L220" s="699"/>
      <c r="M220" s="700"/>
      <c r="N220" s="701"/>
      <c r="O220" s="701"/>
      <c r="P220" s="697"/>
      <c r="Q220" s="701"/>
      <c r="R220" s="701"/>
      <c r="S220" s="680"/>
      <c r="T220" s="680"/>
      <c r="U220" s="680"/>
      <c r="V220" s="680"/>
    </row>
    <row r="221" ht="15.75" customHeight="1">
      <c r="A221" s="695"/>
      <c r="B221" s="696"/>
      <c r="C221" s="696"/>
      <c r="D221" s="696"/>
      <c r="E221" s="697"/>
      <c r="F221" s="698"/>
      <c r="G221" s="698"/>
      <c r="H221" s="698"/>
      <c r="I221" s="697"/>
      <c r="J221" s="699"/>
      <c r="K221" s="695"/>
      <c r="L221" s="699"/>
      <c r="M221" s="700"/>
      <c r="N221" s="701"/>
      <c r="O221" s="701"/>
      <c r="P221" s="697"/>
      <c r="Q221" s="701"/>
      <c r="R221" s="701"/>
      <c r="S221" s="680"/>
      <c r="T221" s="680"/>
      <c r="U221" s="680"/>
      <c r="V221" s="680"/>
    </row>
    <row r="222" ht="15.75" customHeight="1">
      <c r="A222" s="695"/>
      <c r="B222" s="696"/>
      <c r="C222" s="696"/>
      <c r="D222" s="696"/>
      <c r="E222" s="697"/>
      <c r="F222" s="698"/>
      <c r="G222" s="698"/>
      <c r="H222" s="698"/>
      <c r="I222" s="697"/>
      <c r="J222" s="699"/>
      <c r="K222" s="695"/>
      <c r="L222" s="699"/>
      <c r="M222" s="700"/>
      <c r="N222" s="701"/>
      <c r="O222" s="701"/>
      <c r="P222" s="697"/>
      <c r="Q222" s="701"/>
      <c r="R222" s="701"/>
      <c r="S222" s="680"/>
      <c r="T222" s="680"/>
      <c r="U222" s="680"/>
      <c r="V222" s="680"/>
    </row>
    <row r="223" ht="15.75" customHeight="1">
      <c r="A223" s="695"/>
      <c r="B223" s="696"/>
      <c r="C223" s="696"/>
      <c r="D223" s="696"/>
      <c r="E223" s="697"/>
      <c r="F223" s="698"/>
      <c r="G223" s="698"/>
      <c r="H223" s="698"/>
      <c r="I223" s="697"/>
      <c r="J223" s="699"/>
      <c r="K223" s="695"/>
      <c r="L223" s="699"/>
      <c r="M223" s="700"/>
      <c r="N223" s="701"/>
      <c r="O223" s="701"/>
      <c r="P223" s="697"/>
      <c r="Q223" s="701"/>
      <c r="R223" s="701"/>
      <c r="S223" s="680"/>
      <c r="T223" s="680"/>
      <c r="U223" s="680"/>
      <c r="V223" s="680"/>
    </row>
    <row r="224" ht="15.75" customHeight="1">
      <c r="A224" s="695"/>
      <c r="B224" s="696"/>
      <c r="C224" s="696"/>
      <c r="D224" s="696"/>
      <c r="E224" s="697"/>
      <c r="F224" s="698"/>
      <c r="G224" s="698"/>
      <c r="H224" s="698"/>
      <c r="I224" s="697"/>
      <c r="J224" s="699"/>
      <c r="K224" s="695"/>
      <c r="L224" s="699"/>
      <c r="M224" s="700"/>
      <c r="N224" s="701"/>
      <c r="O224" s="701"/>
      <c r="P224" s="697"/>
      <c r="Q224" s="701"/>
      <c r="R224" s="701"/>
      <c r="S224" s="680"/>
      <c r="T224" s="680"/>
      <c r="U224" s="680"/>
      <c r="V224" s="680"/>
    </row>
    <row r="225" ht="15.75" customHeight="1">
      <c r="A225" s="695"/>
      <c r="B225" s="696"/>
      <c r="C225" s="696"/>
      <c r="D225" s="696"/>
      <c r="E225" s="697"/>
      <c r="F225" s="698"/>
      <c r="G225" s="698"/>
      <c r="H225" s="698"/>
      <c r="I225" s="697"/>
      <c r="J225" s="699"/>
      <c r="K225" s="695"/>
      <c r="L225" s="699"/>
      <c r="M225" s="700"/>
      <c r="N225" s="701"/>
      <c r="O225" s="701"/>
      <c r="P225" s="697"/>
      <c r="Q225" s="701"/>
      <c r="R225" s="701"/>
      <c r="S225" s="680"/>
      <c r="T225" s="680"/>
      <c r="U225" s="680"/>
      <c r="V225" s="680"/>
    </row>
    <row r="226" ht="15.75" customHeight="1">
      <c r="A226" s="695"/>
      <c r="B226" s="696"/>
      <c r="C226" s="696"/>
      <c r="D226" s="696"/>
      <c r="E226" s="697"/>
      <c r="F226" s="698"/>
      <c r="G226" s="698"/>
      <c r="H226" s="698"/>
      <c r="I226" s="697"/>
      <c r="J226" s="699"/>
      <c r="K226" s="695"/>
      <c r="L226" s="699"/>
      <c r="M226" s="700"/>
      <c r="N226" s="701"/>
      <c r="O226" s="701"/>
      <c r="P226" s="697"/>
      <c r="Q226" s="701"/>
      <c r="R226" s="701"/>
      <c r="S226" s="680"/>
      <c r="T226" s="680"/>
      <c r="U226" s="680"/>
      <c r="V226" s="680"/>
    </row>
    <row r="227" ht="15.75" customHeight="1">
      <c r="A227" s="695"/>
      <c r="B227" s="696"/>
      <c r="C227" s="696"/>
      <c r="D227" s="696"/>
      <c r="E227" s="697"/>
      <c r="F227" s="698"/>
      <c r="G227" s="698"/>
      <c r="H227" s="698"/>
      <c r="I227" s="697"/>
      <c r="J227" s="699"/>
      <c r="K227" s="695"/>
      <c r="L227" s="699"/>
      <c r="M227" s="700"/>
      <c r="N227" s="701"/>
      <c r="O227" s="701"/>
      <c r="P227" s="697"/>
      <c r="Q227" s="701"/>
      <c r="R227" s="701"/>
      <c r="S227" s="680"/>
      <c r="T227" s="680"/>
      <c r="U227" s="680"/>
      <c r="V227" s="680"/>
    </row>
    <row r="228" ht="15.75" customHeight="1">
      <c r="A228" s="695"/>
      <c r="B228" s="696"/>
      <c r="C228" s="696"/>
      <c r="D228" s="696"/>
      <c r="E228" s="697"/>
      <c r="F228" s="698"/>
      <c r="G228" s="698"/>
      <c r="H228" s="698"/>
      <c r="I228" s="697"/>
      <c r="J228" s="699"/>
      <c r="K228" s="695"/>
      <c r="L228" s="699"/>
      <c r="M228" s="700"/>
      <c r="N228" s="701"/>
      <c r="O228" s="701"/>
      <c r="P228" s="697"/>
      <c r="Q228" s="701"/>
      <c r="R228" s="701"/>
      <c r="S228" s="680"/>
      <c r="T228" s="680"/>
      <c r="U228" s="680"/>
      <c r="V228" s="680"/>
    </row>
    <row r="229" ht="15.75" customHeight="1">
      <c r="A229" s="695"/>
      <c r="B229" s="696"/>
      <c r="C229" s="696"/>
      <c r="D229" s="696"/>
      <c r="E229" s="697"/>
      <c r="F229" s="698"/>
      <c r="G229" s="698"/>
      <c r="H229" s="698"/>
      <c r="I229" s="697"/>
      <c r="J229" s="699"/>
      <c r="K229" s="695"/>
      <c r="L229" s="699"/>
      <c r="M229" s="700"/>
      <c r="N229" s="701"/>
      <c r="O229" s="701"/>
      <c r="P229" s="697"/>
      <c r="Q229" s="701"/>
      <c r="R229" s="701"/>
      <c r="S229" s="680"/>
      <c r="T229" s="680"/>
      <c r="U229" s="680"/>
      <c r="V229" s="680"/>
    </row>
    <row r="230" ht="15.75" customHeight="1">
      <c r="A230" s="695"/>
      <c r="B230" s="696"/>
      <c r="C230" s="696"/>
      <c r="D230" s="696"/>
      <c r="E230" s="697"/>
      <c r="F230" s="698"/>
      <c r="G230" s="698"/>
      <c r="H230" s="698"/>
      <c r="I230" s="697"/>
      <c r="J230" s="699"/>
      <c r="K230" s="695"/>
      <c r="L230" s="699"/>
      <c r="M230" s="700"/>
      <c r="N230" s="701"/>
      <c r="O230" s="701"/>
      <c r="P230" s="697"/>
      <c r="Q230" s="701"/>
      <c r="R230" s="701"/>
      <c r="S230" s="680"/>
      <c r="T230" s="680"/>
      <c r="U230" s="680"/>
      <c r="V230" s="680"/>
    </row>
    <row r="231" ht="15.75" customHeight="1">
      <c r="A231" s="695"/>
      <c r="B231" s="696"/>
      <c r="C231" s="696"/>
      <c r="D231" s="696"/>
      <c r="E231" s="697"/>
      <c r="F231" s="698"/>
      <c r="G231" s="698"/>
      <c r="H231" s="698"/>
      <c r="I231" s="697"/>
      <c r="J231" s="699"/>
      <c r="K231" s="695"/>
      <c r="L231" s="699"/>
      <c r="M231" s="700"/>
      <c r="N231" s="701"/>
      <c r="O231" s="701"/>
      <c r="P231" s="697"/>
      <c r="Q231" s="701"/>
      <c r="R231" s="701"/>
      <c r="S231" s="680"/>
      <c r="T231" s="680"/>
      <c r="U231" s="680"/>
      <c r="V231" s="680"/>
    </row>
    <row r="232" ht="15.75" customHeight="1">
      <c r="A232" s="695"/>
      <c r="B232" s="696"/>
      <c r="C232" s="696"/>
      <c r="D232" s="696"/>
      <c r="E232" s="697"/>
      <c r="F232" s="698"/>
      <c r="G232" s="698"/>
      <c r="H232" s="698"/>
      <c r="I232" s="697"/>
      <c r="J232" s="699"/>
      <c r="K232" s="695"/>
      <c r="L232" s="699"/>
      <c r="M232" s="700"/>
      <c r="N232" s="701"/>
      <c r="O232" s="701"/>
      <c r="P232" s="697"/>
      <c r="Q232" s="701"/>
      <c r="R232" s="701"/>
      <c r="S232" s="680"/>
      <c r="T232" s="680"/>
      <c r="U232" s="680"/>
      <c r="V232" s="680"/>
    </row>
    <row r="233" ht="15.75" customHeight="1">
      <c r="A233" s="695"/>
      <c r="B233" s="696"/>
      <c r="C233" s="696"/>
      <c r="D233" s="696"/>
      <c r="E233" s="697"/>
      <c r="F233" s="698"/>
      <c r="G233" s="698"/>
      <c r="H233" s="698"/>
      <c r="I233" s="697"/>
      <c r="J233" s="699"/>
      <c r="K233" s="695"/>
      <c r="L233" s="699"/>
      <c r="M233" s="700"/>
      <c r="N233" s="701"/>
      <c r="O233" s="701"/>
      <c r="P233" s="697"/>
      <c r="Q233" s="701"/>
      <c r="R233" s="701"/>
      <c r="S233" s="680"/>
      <c r="T233" s="680"/>
      <c r="U233" s="680"/>
      <c r="V233" s="680"/>
    </row>
    <row r="234" ht="15.75" customHeight="1">
      <c r="A234" s="695"/>
      <c r="B234" s="696"/>
      <c r="C234" s="696"/>
      <c r="D234" s="696"/>
      <c r="E234" s="697"/>
      <c r="F234" s="698"/>
      <c r="G234" s="698"/>
      <c r="H234" s="698"/>
      <c r="I234" s="697"/>
      <c r="J234" s="699"/>
      <c r="K234" s="695"/>
      <c r="L234" s="699"/>
      <c r="M234" s="700"/>
      <c r="N234" s="701"/>
      <c r="O234" s="701"/>
      <c r="P234" s="697"/>
      <c r="Q234" s="701"/>
      <c r="R234" s="701"/>
      <c r="S234" s="680"/>
      <c r="T234" s="680"/>
      <c r="U234" s="680"/>
      <c r="V234" s="680"/>
    </row>
    <row r="235" ht="15.75" customHeight="1">
      <c r="A235" s="695"/>
      <c r="B235" s="696"/>
      <c r="C235" s="696"/>
      <c r="D235" s="696"/>
      <c r="E235" s="697"/>
      <c r="F235" s="698"/>
      <c r="G235" s="698"/>
      <c r="H235" s="698"/>
      <c r="I235" s="697"/>
      <c r="J235" s="699"/>
      <c r="K235" s="695"/>
      <c r="L235" s="699"/>
      <c r="M235" s="700"/>
      <c r="N235" s="701"/>
      <c r="O235" s="701"/>
      <c r="P235" s="697"/>
      <c r="Q235" s="701"/>
      <c r="R235" s="701"/>
      <c r="S235" s="680"/>
      <c r="T235" s="680"/>
      <c r="U235" s="680"/>
      <c r="V235" s="680"/>
    </row>
    <row r="236" ht="15.75" customHeight="1">
      <c r="A236" s="695"/>
      <c r="B236" s="696"/>
      <c r="C236" s="696"/>
      <c r="D236" s="696"/>
      <c r="E236" s="697"/>
      <c r="F236" s="698"/>
      <c r="G236" s="698"/>
      <c r="H236" s="698"/>
      <c r="I236" s="697"/>
      <c r="J236" s="699"/>
      <c r="K236" s="695"/>
      <c r="L236" s="699"/>
      <c r="M236" s="700"/>
      <c r="N236" s="701"/>
      <c r="O236" s="701"/>
      <c r="P236" s="697"/>
      <c r="Q236" s="701"/>
      <c r="R236" s="701"/>
      <c r="S236" s="680"/>
      <c r="T236" s="680"/>
      <c r="U236" s="680"/>
      <c r="V236" s="680"/>
    </row>
    <row r="237" ht="15.75" customHeight="1">
      <c r="A237" s="695"/>
      <c r="B237" s="696"/>
      <c r="C237" s="696"/>
      <c r="D237" s="696"/>
      <c r="E237" s="697"/>
      <c r="F237" s="698"/>
      <c r="G237" s="698"/>
      <c r="H237" s="698"/>
      <c r="I237" s="697"/>
      <c r="J237" s="699"/>
      <c r="K237" s="695"/>
      <c r="L237" s="699"/>
      <c r="M237" s="700"/>
      <c r="N237" s="701"/>
      <c r="O237" s="701"/>
      <c r="P237" s="697"/>
      <c r="Q237" s="701"/>
      <c r="R237" s="701"/>
      <c r="S237" s="680"/>
      <c r="T237" s="680"/>
      <c r="U237" s="680"/>
      <c r="V237" s="680"/>
    </row>
    <row r="238" ht="15.75" customHeight="1">
      <c r="A238" s="695"/>
      <c r="B238" s="696"/>
      <c r="C238" s="696"/>
      <c r="D238" s="696"/>
      <c r="E238" s="697"/>
      <c r="F238" s="698"/>
      <c r="G238" s="698"/>
      <c r="H238" s="698"/>
      <c r="I238" s="697"/>
      <c r="J238" s="699"/>
      <c r="K238" s="695"/>
      <c r="L238" s="699"/>
      <c r="M238" s="700"/>
      <c r="N238" s="701"/>
      <c r="O238" s="701"/>
      <c r="P238" s="697"/>
      <c r="Q238" s="701"/>
      <c r="R238" s="701"/>
      <c r="S238" s="680"/>
      <c r="T238" s="680"/>
      <c r="U238" s="680"/>
      <c r="V238" s="680"/>
    </row>
    <row r="239" ht="15.75" customHeight="1">
      <c r="A239" s="695"/>
      <c r="B239" s="696"/>
      <c r="C239" s="696"/>
      <c r="D239" s="696"/>
      <c r="E239" s="697"/>
      <c r="F239" s="698"/>
      <c r="G239" s="698"/>
      <c r="H239" s="698"/>
      <c r="I239" s="697"/>
      <c r="J239" s="699"/>
      <c r="K239" s="695"/>
      <c r="L239" s="699"/>
      <c r="M239" s="700"/>
      <c r="N239" s="701"/>
      <c r="O239" s="701"/>
      <c r="P239" s="697"/>
      <c r="Q239" s="701"/>
      <c r="R239" s="701"/>
      <c r="S239" s="680"/>
      <c r="T239" s="680"/>
      <c r="U239" s="680"/>
      <c r="V239" s="680"/>
    </row>
    <row r="240" ht="15.75" customHeight="1">
      <c r="A240" s="695"/>
      <c r="B240" s="696"/>
      <c r="C240" s="696"/>
      <c r="D240" s="696"/>
      <c r="E240" s="697"/>
      <c r="F240" s="698"/>
      <c r="G240" s="698"/>
      <c r="H240" s="698"/>
      <c r="I240" s="697"/>
      <c r="J240" s="699"/>
      <c r="K240" s="695"/>
      <c r="L240" s="699"/>
      <c r="M240" s="700"/>
      <c r="N240" s="701"/>
      <c r="O240" s="701"/>
      <c r="P240" s="697"/>
      <c r="Q240" s="701"/>
      <c r="R240" s="701"/>
      <c r="S240" s="680"/>
      <c r="T240" s="680"/>
      <c r="U240" s="680"/>
      <c r="V240" s="680"/>
    </row>
    <row r="241" ht="15.75" customHeight="1">
      <c r="A241" s="695"/>
      <c r="B241" s="696"/>
      <c r="C241" s="696"/>
      <c r="D241" s="696"/>
      <c r="E241" s="697"/>
      <c r="F241" s="698"/>
      <c r="G241" s="698"/>
      <c r="H241" s="698"/>
      <c r="I241" s="697"/>
      <c r="J241" s="699"/>
      <c r="K241" s="695"/>
      <c r="L241" s="699"/>
      <c r="M241" s="700"/>
      <c r="N241" s="701"/>
      <c r="O241" s="701"/>
      <c r="P241" s="697"/>
      <c r="Q241" s="701"/>
      <c r="R241" s="701"/>
      <c r="S241" s="680"/>
      <c r="T241" s="680"/>
      <c r="U241" s="680"/>
      <c r="V241" s="680"/>
    </row>
    <row r="242" ht="15.75" customHeight="1">
      <c r="A242" s="695"/>
      <c r="B242" s="696"/>
      <c r="C242" s="696"/>
      <c r="D242" s="696"/>
      <c r="E242" s="697"/>
      <c r="F242" s="698"/>
      <c r="G242" s="698"/>
      <c r="H242" s="698"/>
      <c r="I242" s="697"/>
      <c r="J242" s="699"/>
      <c r="K242" s="695"/>
      <c r="L242" s="699"/>
      <c r="M242" s="700"/>
      <c r="N242" s="701"/>
      <c r="O242" s="701"/>
      <c r="P242" s="697"/>
      <c r="Q242" s="701"/>
      <c r="R242" s="701"/>
      <c r="S242" s="680"/>
      <c r="T242" s="680"/>
      <c r="U242" s="680"/>
      <c r="V242" s="680"/>
    </row>
    <row r="243" ht="15.75" customHeight="1">
      <c r="A243" s="695"/>
      <c r="B243" s="696"/>
      <c r="C243" s="696"/>
      <c r="D243" s="696"/>
      <c r="E243" s="697"/>
      <c r="F243" s="698"/>
      <c r="G243" s="698"/>
      <c r="H243" s="698"/>
      <c r="I243" s="697"/>
      <c r="J243" s="699"/>
      <c r="K243" s="695"/>
      <c r="L243" s="699"/>
      <c r="M243" s="700"/>
      <c r="N243" s="701"/>
      <c r="O243" s="701"/>
      <c r="P243" s="697"/>
      <c r="Q243" s="701"/>
      <c r="R243" s="701"/>
      <c r="S243" s="680"/>
      <c r="T243" s="680"/>
      <c r="U243" s="680"/>
      <c r="V243" s="680"/>
    </row>
    <row r="244" ht="15.75" customHeight="1">
      <c r="A244" s="695"/>
      <c r="B244" s="696"/>
      <c r="C244" s="696"/>
      <c r="D244" s="696"/>
      <c r="E244" s="697"/>
      <c r="F244" s="698"/>
      <c r="G244" s="698"/>
      <c r="H244" s="698"/>
      <c r="I244" s="697"/>
      <c r="J244" s="699"/>
      <c r="K244" s="695"/>
      <c r="L244" s="699"/>
      <c r="M244" s="700"/>
      <c r="N244" s="701"/>
      <c r="O244" s="701"/>
      <c r="P244" s="697"/>
      <c r="Q244" s="701"/>
      <c r="R244" s="701"/>
      <c r="S244" s="680"/>
      <c r="T244" s="680"/>
      <c r="U244" s="680"/>
      <c r="V244" s="680"/>
    </row>
    <row r="245" ht="15.75" customHeight="1">
      <c r="A245" s="695"/>
      <c r="B245" s="696"/>
      <c r="C245" s="696"/>
      <c r="D245" s="696"/>
      <c r="E245" s="697"/>
      <c r="F245" s="698"/>
      <c r="G245" s="698"/>
      <c r="H245" s="698"/>
      <c r="I245" s="697"/>
      <c r="J245" s="699"/>
      <c r="K245" s="695"/>
      <c r="L245" s="699"/>
      <c r="M245" s="700"/>
      <c r="N245" s="701"/>
      <c r="O245" s="701"/>
      <c r="P245" s="697"/>
      <c r="Q245" s="701"/>
      <c r="R245" s="701"/>
      <c r="S245" s="680"/>
      <c r="T245" s="680"/>
      <c r="U245" s="680"/>
      <c r="V245" s="680"/>
    </row>
    <row r="246" ht="15.75" customHeight="1">
      <c r="A246" s="695"/>
      <c r="B246" s="696"/>
      <c r="C246" s="696"/>
      <c r="D246" s="696"/>
      <c r="E246" s="697"/>
      <c r="F246" s="698"/>
      <c r="G246" s="698"/>
      <c r="H246" s="698"/>
      <c r="I246" s="697"/>
      <c r="J246" s="699"/>
      <c r="K246" s="695"/>
      <c r="L246" s="699"/>
      <c r="M246" s="700"/>
      <c r="N246" s="701"/>
      <c r="O246" s="701"/>
      <c r="P246" s="697"/>
      <c r="Q246" s="701"/>
      <c r="R246" s="701"/>
      <c r="S246" s="680"/>
      <c r="T246" s="680"/>
      <c r="U246" s="680"/>
      <c r="V246" s="680"/>
    </row>
    <row r="247" ht="15.75" customHeight="1">
      <c r="A247" s="695"/>
      <c r="B247" s="696"/>
      <c r="C247" s="696"/>
      <c r="D247" s="696"/>
      <c r="E247" s="697"/>
      <c r="F247" s="698"/>
      <c r="G247" s="698"/>
      <c r="H247" s="698"/>
      <c r="I247" s="697"/>
      <c r="J247" s="699"/>
      <c r="K247" s="695"/>
      <c r="L247" s="699"/>
      <c r="M247" s="700"/>
      <c r="N247" s="701"/>
      <c r="O247" s="701"/>
      <c r="P247" s="697"/>
      <c r="Q247" s="701"/>
      <c r="R247" s="701"/>
      <c r="S247" s="680"/>
      <c r="T247" s="680"/>
      <c r="U247" s="680"/>
      <c r="V247" s="680"/>
    </row>
    <row r="248" ht="15.75" customHeight="1">
      <c r="A248" s="695"/>
      <c r="B248" s="696"/>
      <c r="C248" s="696"/>
      <c r="D248" s="696"/>
      <c r="E248" s="697"/>
      <c r="F248" s="698"/>
      <c r="G248" s="698"/>
      <c r="H248" s="698"/>
      <c r="I248" s="697"/>
      <c r="J248" s="699"/>
      <c r="K248" s="695"/>
      <c r="L248" s="699"/>
      <c r="M248" s="700"/>
      <c r="N248" s="701"/>
      <c r="O248" s="701"/>
      <c r="P248" s="697"/>
      <c r="Q248" s="701"/>
      <c r="R248" s="701"/>
      <c r="S248" s="680"/>
      <c r="T248" s="680"/>
      <c r="U248" s="680"/>
      <c r="V248" s="680"/>
    </row>
    <row r="249" ht="15.75" customHeight="1">
      <c r="A249" s="695"/>
      <c r="B249" s="696"/>
      <c r="C249" s="696"/>
      <c r="D249" s="696"/>
      <c r="E249" s="697"/>
      <c r="F249" s="698"/>
      <c r="G249" s="698"/>
      <c r="H249" s="698"/>
      <c r="I249" s="697"/>
      <c r="J249" s="699"/>
      <c r="K249" s="695"/>
      <c r="L249" s="699"/>
      <c r="M249" s="700"/>
      <c r="N249" s="701"/>
      <c r="O249" s="701"/>
      <c r="P249" s="697"/>
      <c r="Q249" s="701"/>
      <c r="R249" s="701"/>
      <c r="S249" s="680"/>
      <c r="T249" s="680"/>
      <c r="U249" s="680"/>
      <c r="V249" s="680"/>
    </row>
    <row r="250" ht="15.75" customHeight="1">
      <c r="A250" s="695"/>
      <c r="B250" s="696"/>
      <c r="C250" s="696"/>
      <c r="D250" s="696"/>
      <c r="E250" s="697"/>
      <c r="F250" s="698"/>
      <c r="G250" s="698"/>
      <c r="H250" s="698"/>
      <c r="I250" s="697"/>
      <c r="J250" s="699"/>
      <c r="K250" s="695"/>
      <c r="L250" s="699"/>
      <c r="M250" s="700"/>
      <c r="N250" s="701"/>
      <c r="O250" s="701"/>
      <c r="P250" s="697"/>
      <c r="Q250" s="701"/>
      <c r="R250" s="701"/>
      <c r="S250" s="680"/>
      <c r="T250" s="680"/>
      <c r="U250" s="680"/>
      <c r="V250" s="680"/>
    </row>
    <row r="251" ht="15.75" customHeight="1">
      <c r="A251" s="695"/>
      <c r="B251" s="696"/>
      <c r="C251" s="696"/>
      <c r="D251" s="696"/>
      <c r="E251" s="697"/>
      <c r="F251" s="698"/>
      <c r="G251" s="698"/>
      <c r="H251" s="698"/>
      <c r="I251" s="697"/>
      <c r="J251" s="699"/>
      <c r="K251" s="695"/>
      <c r="L251" s="699"/>
      <c r="M251" s="700"/>
      <c r="N251" s="701"/>
      <c r="O251" s="701"/>
      <c r="P251" s="697"/>
      <c r="Q251" s="701"/>
      <c r="R251" s="701"/>
      <c r="S251" s="680"/>
      <c r="T251" s="680"/>
      <c r="U251" s="680"/>
      <c r="V251" s="680"/>
    </row>
    <row r="252" ht="15.75" customHeight="1">
      <c r="A252" s="695"/>
      <c r="B252" s="696"/>
      <c r="C252" s="696"/>
      <c r="D252" s="696"/>
      <c r="E252" s="697"/>
      <c r="F252" s="698"/>
      <c r="G252" s="698"/>
      <c r="H252" s="698"/>
      <c r="I252" s="697"/>
      <c r="J252" s="699"/>
      <c r="K252" s="695"/>
      <c r="L252" s="699"/>
      <c r="M252" s="700"/>
      <c r="N252" s="701"/>
      <c r="O252" s="701"/>
      <c r="P252" s="697"/>
      <c r="Q252" s="701"/>
      <c r="R252" s="701"/>
      <c r="S252" s="680"/>
      <c r="T252" s="680"/>
      <c r="U252" s="680"/>
      <c r="V252" s="680"/>
    </row>
    <row r="253" ht="15.75" customHeight="1">
      <c r="A253" s="695"/>
      <c r="B253" s="696"/>
      <c r="C253" s="696"/>
      <c r="D253" s="696"/>
      <c r="E253" s="697"/>
      <c r="F253" s="698"/>
      <c r="G253" s="698"/>
      <c r="H253" s="698"/>
      <c r="I253" s="697"/>
      <c r="J253" s="699"/>
      <c r="K253" s="695"/>
      <c r="L253" s="699"/>
      <c r="M253" s="700"/>
      <c r="N253" s="701"/>
      <c r="O253" s="701"/>
      <c r="P253" s="697"/>
      <c r="Q253" s="701"/>
      <c r="R253" s="701"/>
      <c r="S253" s="680"/>
      <c r="T253" s="680"/>
      <c r="U253" s="680"/>
      <c r="V253" s="680"/>
    </row>
    <row r="254" ht="15.75" customHeight="1">
      <c r="A254" s="695"/>
      <c r="B254" s="696"/>
      <c r="C254" s="696"/>
      <c r="D254" s="696"/>
      <c r="E254" s="697"/>
      <c r="F254" s="698"/>
      <c r="G254" s="698"/>
      <c r="H254" s="698"/>
      <c r="I254" s="697"/>
      <c r="J254" s="699"/>
      <c r="K254" s="695"/>
      <c r="L254" s="699"/>
      <c r="M254" s="700"/>
      <c r="N254" s="701"/>
      <c r="O254" s="701"/>
      <c r="P254" s="697"/>
      <c r="Q254" s="701"/>
      <c r="R254" s="701"/>
      <c r="S254" s="680"/>
      <c r="T254" s="680"/>
      <c r="U254" s="680"/>
      <c r="V254" s="680"/>
    </row>
    <row r="255" ht="15.75" customHeight="1">
      <c r="A255" s="695"/>
      <c r="B255" s="696"/>
      <c r="C255" s="696"/>
      <c r="D255" s="696"/>
      <c r="E255" s="697"/>
      <c r="F255" s="698"/>
      <c r="G255" s="698"/>
      <c r="H255" s="698"/>
      <c r="I255" s="697"/>
      <c r="J255" s="699"/>
      <c r="K255" s="695"/>
      <c r="L255" s="699"/>
      <c r="M255" s="700"/>
      <c r="N255" s="701"/>
      <c r="O255" s="701"/>
      <c r="P255" s="697"/>
      <c r="Q255" s="701"/>
      <c r="R255" s="701"/>
      <c r="S255" s="680"/>
      <c r="T255" s="680"/>
      <c r="U255" s="680"/>
      <c r="V255" s="680"/>
    </row>
    <row r="256" ht="15.75" customHeight="1">
      <c r="A256" s="695"/>
      <c r="B256" s="696"/>
      <c r="C256" s="696"/>
      <c r="D256" s="696"/>
      <c r="E256" s="697"/>
      <c r="F256" s="698"/>
      <c r="G256" s="698"/>
      <c r="H256" s="698"/>
      <c r="I256" s="697"/>
      <c r="J256" s="699"/>
      <c r="K256" s="695"/>
      <c r="L256" s="699"/>
      <c r="M256" s="700"/>
      <c r="N256" s="701"/>
      <c r="O256" s="701"/>
      <c r="P256" s="697"/>
      <c r="Q256" s="701"/>
      <c r="R256" s="701"/>
      <c r="S256" s="680"/>
      <c r="T256" s="680"/>
      <c r="U256" s="680"/>
      <c r="V256" s="680"/>
    </row>
    <row r="257" ht="15.75" customHeight="1">
      <c r="A257" s="695"/>
      <c r="B257" s="696"/>
      <c r="C257" s="696"/>
      <c r="D257" s="696"/>
      <c r="E257" s="697"/>
      <c r="F257" s="698"/>
      <c r="G257" s="698"/>
      <c r="H257" s="698"/>
      <c r="I257" s="697"/>
      <c r="J257" s="699"/>
      <c r="K257" s="695"/>
      <c r="L257" s="699"/>
      <c r="M257" s="700"/>
      <c r="N257" s="701"/>
      <c r="O257" s="701"/>
      <c r="P257" s="697"/>
      <c r="Q257" s="701"/>
      <c r="R257" s="701"/>
      <c r="S257" s="680"/>
      <c r="T257" s="680"/>
      <c r="U257" s="680"/>
      <c r="V257" s="680"/>
    </row>
    <row r="258" ht="15.75" customHeight="1">
      <c r="A258" s="695"/>
      <c r="B258" s="696"/>
      <c r="C258" s="696"/>
      <c r="D258" s="696"/>
      <c r="E258" s="697"/>
      <c r="F258" s="698"/>
      <c r="G258" s="698"/>
      <c r="H258" s="698"/>
      <c r="I258" s="697"/>
      <c r="J258" s="699"/>
      <c r="K258" s="695"/>
      <c r="L258" s="699"/>
      <c r="M258" s="700"/>
      <c r="N258" s="701"/>
      <c r="O258" s="701"/>
      <c r="P258" s="697"/>
      <c r="Q258" s="701"/>
      <c r="R258" s="701"/>
      <c r="S258" s="680"/>
      <c r="T258" s="680"/>
      <c r="U258" s="680"/>
      <c r="V258" s="680"/>
    </row>
    <row r="259" ht="15.75" customHeight="1">
      <c r="A259" s="695"/>
      <c r="B259" s="696"/>
      <c r="C259" s="696"/>
      <c r="D259" s="696"/>
      <c r="E259" s="697"/>
      <c r="F259" s="698"/>
      <c r="G259" s="698"/>
      <c r="H259" s="698"/>
      <c r="I259" s="697"/>
      <c r="J259" s="699"/>
      <c r="K259" s="695"/>
      <c r="L259" s="699"/>
      <c r="M259" s="700"/>
      <c r="N259" s="701"/>
      <c r="O259" s="701"/>
      <c r="P259" s="697"/>
      <c r="Q259" s="701"/>
      <c r="R259" s="701"/>
      <c r="S259" s="680"/>
      <c r="T259" s="680"/>
      <c r="U259" s="680"/>
      <c r="V259" s="680"/>
    </row>
    <row r="260" ht="15.75" customHeight="1">
      <c r="A260" s="695"/>
      <c r="B260" s="696"/>
      <c r="C260" s="696"/>
      <c r="D260" s="696"/>
      <c r="E260" s="697"/>
      <c r="F260" s="698"/>
      <c r="G260" s="698"/>
      <c r="H260" s="698"/>
      <c r="I260" s="697"/>
      <c r="J260" s="699"/>
      <c r="K260" s="695"/>
      <c r="L260" s="699"/>
      <c r="M260" s="700"/>
      <c r="N260" s="701"/>
      <c r="O260" s="701"/>
      <c r="P260" s="697"/>
      <c r="Q260" s="701"/>
      <c r="R260" s="701"/>
      <c r="S260" s="680"/>
      <c r="T260" s="680"/>
      <c r="U260" s="680"/>
      <c r="V260" s="680"/>
    </row>
    <row r="261" ht="15.75" customHeight="1">
      <c r="A261" s="695"/>
      <c r="B261" s="696"/>
      <c r="C261" s="696"/>
      <c r="D261" s="696"/>
      <c r="E261" s="697"/>
      <c r="F261" s="698"/>
      <c r="G261" s="698"/>
      <c r="H261" s="698"/>
      <c r="I261" s="697"/>
      <c r="J261" s="699"/>
      <c r="K261" s="695"/>
      <c r="L261" s="699"/>
      <c r="M261" s="700"/>
      <c r="N261" s="701"/>
      <c r="O261" s="701"/>
      <c r="P261" s="697"/>
      <c r="Q261" s="701"/>
      <c r="R261" s="701"/>
      <c r="S261" s="680"/>
      <c r="T261" s="680"/>
      <c r="U261" s="680"/>
      <c r="V261" s="680"/>
    </row>
    <row r="262" ht="15.75" customHeight="1">
      <c r="A262" s="695"/>
      <c r="B262" s="696"/>
      <c r="C262" s="696"/>
      <c r="D262" s="696"/>
      <c r="E262" s="697"/>
      <c r="F262" s="698"/>
      <c r="G262" s="698"/>
      <c r="H262" s="698"/>
      <c r="I262" s="697"/>
      <c r="J262" s="699"/>
      <c r="K262" s="695"/>
      <c r="L262" s="699"/>
      <c r="M262" s="700"/>
      <c r="N262" s="701"/>
      <c r="O262" s="701"/>
      <c r="P262" s="697"/>
      <c r="Q262" s="701"/>
      <c r="R262" s="701"/>
      <c r="S262" s="680"/>
      <c r="T262" s="680"/>
      <c r="U262" s="680"/>
      <c r="V262" s="680"/>
    </row>
    <row r="263" ht="15.75" customHeight="1">
      <c r="A263" s="695"/>
      <c r="B263" s="696"/>
      <c r="C263" s="696"/>
      <c r="D263" s="696"/>
      <c r="E263" s="697"/>
      <c r="F263" s="698"/>
      <c r="G263" s="698"/>
      <c r="H263" s="698"/>
      <c r="I263" s="697"/>
      <c r="J263" s="699"/>
      <c r="K263" s="695"/>
      <c r="L263" s="699"/>
      <c r="M263" s="700"/>
      <c r="N263" s="701"/>
      <c r="O263" s="701"/>
      <c r="P263" s="697"/>
      <c r="Q263" s="701"/>
      <c r="R263" s="701"/>
      <c r="S263" s="680"/>
      <c r="T263" s="680"/>
      <c r="U263" s="680"/>
      <c r="V263" s="680"/>
    </row>
    <row r="264" ht="15.75" customHeight="1">
      <c r="A264" s="695"/>
      <c r="B264" s="696"/>
      <c r="C264" s="696"/>
      <c r="D264" s="696"/>
      <c r="E264" s="697"/>
      <c r="F264" s="698"/>
      <c r="G264" s="698"/>
      <c r="H264" s="698"/>
      <c r="I264" s="697"/>
      <c r="J264" s="699"/>
      <c r="K264" s="695"/>
      <c r="L264" s="699"/>
      <c r="M264" s="700"/>
      <c r="N264" s="701"/>
      <c r="O264" s="701"/>
      <c r="P264" s="697"/>
      <c r="Q264" s="701"/>
      <c r="R264" s="701"/>
      <c r="S264" s="680"/>
      <c r="T264" s="680"/>
      <c r="U264" s="680"/>
      <c r="V264" s="680"/>
    </row>
    <row r="265" ht="15.75" customHeight="1">
      <c r="A265" s="695"/>
      <c r="B265" s="696"/>
      <c r="C265" s="696"/>
      <c r="D265" s="696"/>
      <c r="E265" s="697"/>
      <c r="F265" s="698"/>
      <c r="G265" s="698"/>
      <c r="H265" s="698"/>
      <c r="I265" s="697"/>
      <c r="J265" s="699"/>
      <c r="K265" s="695"/>
      <c r="L265" s="699"/>
      <c r="M265" s="700"/>
      <c r="N265" s="701"/>
      <c r="O265" s="701"/>
      <c r="P265" s="697"/>
      <c r="Q265" s="701"/>
      <c r="R265" s="701"/>
      <c r="S265" s="680"/>
      <c r="T265" s="680"/>
      <c r="U265" s="680"/>
      <c r="V265" s="680"/>
    </row>
    <row r="266" ht="15.75" customHeight="1">
      <c r="A266" s="695"/>
      <c r="B266" s="696"/>
      <c r="C266" s="696"/>
      <c r="D266" s="696"/>
      <c r="E266" s="697"/>
      <c r="F266" s="698"/>
      <c r="G266" s="698"/>
      <c r="H266" s="698"/>
      <c r="I266" s="697"/>
      <c r="J266" s="699"/>
      <c r="K266" s="695"/>
      <c r="L266" s="699"/>
      <c r="M266" s="700"/>
      <c r="N266" s="701"/>
      <c r="O266" s="701"/>
      <c r="P266" s="697"/>
      <c r="Q266" s="701"/>
      <c r="R266" s="701"/>
      <c r="S266" s="680"/>
      <c r="T266" s="680"/>
      <c r="U266" s="680"/>
      <c r="V266" s="680"/>
    </row>
    <row r="267" ht="15.75" customHeight="1">
      <c r="A267" s="695"/>
      <c r="B267" s="696"/>
      <c r="C267" s="696"/>
      <c r="D267" s="696"/>
      <c r="E267" s="697"/>
      <c r="F267" s="698"/>
      <c r="G267" s="698"/>
      <c r="H267" s="698"/>
      <c r="I267" s="697"/>
      <c r="J267" s="699"/>
      <c r="K267" s="695"/>
      <c r="L267" s="699"/>
      <c r="M267" s="700"/>
      <c r="N267" s="701"/>
      <c r="O267" s="701"/>
      <c r="P267" s="697"/>
      <c r="Q267" s="701"/>
      <c r="R267" s="701"/>
      <c r="S267" s="680"/>
      <c r="T267" s="680"/>
      <c r="U267" s="680"/>
      <c r="V267" s="680"/>
    </row>
    <row r="268" ht="15.75" customHeight="1">
      <c r="A268" s="695"/>
      <c r="B268" s="696"/>
      <c r="C268" s="696"/>
      <c r="D268" s="696"/>
      <c r="E268" s="697"/>
      <c r="F268" s="698"/>
      <c r="G268" s="698"/>
      <c r="H268" s="698"/>
      <c r="I268" s="697"/>
      <c r="J268" s="699"/>
      <c r="K268" s="695"/>
      <c r="L268" s="699"/>
      <c r="M268" s="700"/>
      <c r="N268" s="701"/>
      <c r="O268" s="701"/>
      <c r="P268" s="697"/>
      <c r="Q268" s="701"/>
      <c r="R268" s="701"/>
      <c r="S268" s="680"/>
      <c r="T268" s="680"/>
      <c r="U268" s="680"/>
      <c r="V268" s="680"/>
    </row>
    <row r="269" ht="15.75" customHeight="1">
      <c r="A269" s="695"/>
      <c r="B269" s="696"/>
      <c r="C269" s="696"/>
      <c r="D269" s="696"/>
      <c r="E269" s="697"/>
      <c r="F269" s="698"/>
      <c r="G269" s="698"/>
      <c r="H269" s="698"/>
      <c r="I269" s="697"/>
      <c r="J269" s="699"/>
      <c r="K269" s="695"/>
      <c r="L269" s="699"/>
      <c r="M269" s="700"/>
      <c r="N269" s="701"/>
      <c r="O269" s="701"/>
      <c r="P269" s="697"/>
      <c r="Q269" s="701"/>
      <c r="R269" s="701"/>
      <c r="S269" s="680"/>
      <c r="T269" s="680"/>
      <c r="U269" s="680"/>
      <c r="V269" s="680"/>
    </row>
    <row r="270" ht="15.75" customHeight="1">
      <c r="A270" s="695"/>
      <c r="B270" s="696"/>
      <c r="C270" s="696"/>
      <c r="D270" s="696"/>
      <c r="E270" s="697"/>
      <c r="F270" s="698"/>
      <c r="G270" s="698"/>
      <c r="H270" s="698"/>
      <c r="I270" s="697"/>
      <c r="J270" s="699"/>
      <c r="K270" s="695"/>
      <c r="L270" s="699"/>
      <c r="M270" s="700"/>
      <c r="N270" s="701"/>
      <c r="O270" s="701"/>
      <c r="P270" s="697"/>
      <c r="Q270" s="701"/>
      <c r="R270" s="701"/>
      <c r="S270" s="680"/>
      <c r="T270" s="680"/>
      <c r="U270" s="680"/>
      <c r="V270" s="680"/>
    </row>
    <row r="271" ht="15.75" customHeight="1">
      <c r="A271" s="695"/>
      <c r="B271" s="696"/>
      <c r="C271" s="696"/>
      <c r="D271" s="696"/>
      <c r="E271" s="697"/>
      <c r="F271" s="698"/>
      <c r="G271" s="698"/>
      <c r="H271" s="698"/>
      <c r="I271" s="697"/>
      <c r="J271" s="699"/>
      <c r="K271" s="695"/>
      <c r="L271" s="699"/>
      <c r="M271" s="700"/>
      <c r="N271" s="701"/>
      <c r="O271" s="701"/>
      <c r="P271" s="697"/>
      <c r="Q271" s="701"/>
      <c r="R271" s="701"/>
      <c r="S271" s="680"/>
      <c r="T271" s="680"/>
      <c r="U271" s="680"/>
      <c r="V271" s="680"/>
    </row>
    <row r="272" ht="15.75" customHeight="1">
      <c r="A272" s="695"/>
      <c r="B272" s="696"/>
      <c r="C272" s="696"/>
      <c r="D272" s="696"/>
      <c r="E272" s="697"/>
      <c r="F272" s="698"/>
      <c r="G272" s="698"/>
      <c r="H272" s="698"/>
      <c r="I272" s="697"/>
      <c r="J272" s="699"/>
      <c r="K272" s="695"/>
      <c r="L272" s="699"/>
      <c r="M272" s="700"/>
      <c r="N272" s="701"/>
      <c r="O272" s="701"/>
      <c r="P272" s="697"/>
      <c r="Q272" s="701"/>
      <c r="R272" s="701"/>
      <c r="S272" s="680"/>
      <c r="T272" s="680"/>
      <c r="U272" s="680"/>
      <c r="V272" s="680"/>
    </row>
    <row r="273" ht="15.75" customHeight="1">
      <c r="A273" s="695"/>
      <c r="B273" s="696"/>
      <c r="C273" s="696"/>
      <c r="D273" s="696"/>
      <c r="E273" s="697"/>
      <c r="F273" s="698"/>
      <c r="G273" s="698"/>
      <c r="H273" s="698"/>
      <c r="I273" s="697"/>
      <c r="J273" s="699"/>
      <c r="K273" s="695"/>
      <c r="L273" s="699"/>
      <c r="M273" s="700"/>
      <c r="N273" s="701"/>
      <c r="O273" s="701"/>
      <c r="P273" s="697"/>
      <c r="Q273" s="701"/>
      <c r="R273" s="701"/>
      <c r="S273" s="680"/>
      <c r="T273" s="680"/>
      <c r="U273" s="680"/>
      <c r="V273" s="680"/>
    </row>
    <row r="274" ht="15.75" customHeight="1">
      <c r="A274" s="695"/>
      <c r="B274" s="696"/>
      <c r="C274" s="696"/>
      <c r="D274" s="696"/>
      <c r="E274" s="697"/>
      <c r="F274" s="698"/>
      <c r="G274" s="698"/>
      <c r="H274" s="698"/>
      <c r="I274" s="697"/>
      <c r="J274" s="699"/>
      <c r="K274" s="695"/>
      <c r="L274" s="699"/>
      <c r="M274" s="700"/>
      <c r="N274" s="701"/>
      <c r="O274" s="701"/>
      <c r="P274" s="697"/>
      <c r="Q274" s="701"/>
      <c r="R274" s="701"/>
      <c r="S274" s="680"/>
      <c r="T274" s="680"/>
      <c r="U274" s="680"/>
      <c r="V274" s="680"/>
    </row>
    <row r="275" ht="15.75" customHeight="1">
      <c r="A275" s="695"/>
      <c r="B275" s="696"/>
      <c r="C275" s="696"/>
      <c r="D275" s="696"/>
      <c r="E275" s="697"/>
      <c r="F275" s="698"/>
      <c r="G275" s="698"/>
      <c r="H275" s="698"/>
      <c r="I275" s="697"/>
      <c r="J275" s="699"/>
      <c r="K275" s="695"/>
      <c r="L275" s="699"/>
      <c r="M275" s="700"/>
      <c r="N275" s="701"/>
      <c r="O275" s="701"/>
      <c r="P275" s="697"/>
      <c r="Q275" s="701"/>
      <c r="R275" s="701"/>
      <c r="S275" s="680"/>
      <c r="T275" s="680"/>
      <c r="U275" s="680"/>
      <c r="V275" s="680"/>
    </row>
    <row r="276" ht="15.75" customHeight="1">
      <c r="A276" s="695"/>
      <c r="B276" s="696"/>
      <c r="C276" s="696"/>
      <c r="D276" s="696"/>
      <c r="E276" s="697"/>
      <c r="F276" s="698"/>
      <c r="G276" s="698"/>
      <c r="H276" s="698"/>
      <c r="I276" s="697"/>
      <c r="J276" s="699"/>
      <c r="K276" s="695"/>
      <c r="L276" s="699"/>
      <c r="M276" s="700"/>
      <c r="N276" s="701"/>
      <c r="O276" s="701"/>
      <c r="P276" s="697"/>
      <c r="Q276" s="701"/>
      <c r="R276" s="701"/>
      <c r="S276" s="680"/>
      <c r="T276" s="680"/>
      <c r="U276" s="680"/>
      <c r="V276" s="680"/>
    </row>
    <row r="277" ht="15.75" customHeight="1">
      <c r="A277" s="695"/>
      <c r="B277" s="696"/>
      <c r="C277" s="696"/>
      <c r="D277" s="696"/>
      <c r="E277" s="697"/>
      <c r="F277" s="698"/>
      <c r="G277" s="698"/>
      <c r="H277" s="698"/>
      <c r="I277" s="697"/>
      <c r="J277" s="699"/>
      <c r="K277" s="695"/>
      <c r="L277" s="699"/>
      <c r="M277" s="700"/>
      <c r="N277" s="701"/>
      <c r="O277" s="701"/>
      <c r="P277" s="697"/>
      <c r="Q277" s="701"/>
      <c r="R277" s="701"/>
      <c r="S277" s="680"/>
      <c r="T277" s="680"/>
      <c r="U277" s="680"/>
      <c r="V277" s="680"/>
    </row>
    <row r="278" ht="15.75" customHeight="1">
      <c r="A278" s="695"/>
      <c r="B278" s="696"/>
      <c r="C278" s="696"/>
      <c r="D278" s="696"/>
      <c r="E278" s="697"/>
      <c r="F278" s="698"/>
      <c r="G278" s="698"/>
      <c r="H278" s="698"/>
      <c r="I278" s="697"/>
      <c r="J278" s="699"/>
      <c r="K278" s="695"/>
      <c r="L278" s="699"/>
      <c r="M278" s="700"/>
      <c r="N278" s="701"/>
      <c r="O278" s="701"/>
      <c r="P278" s="697"/>
      <c r="Q278" s="701"/>
      <c r="R278" s="701"/>
      <c r="S278" s="680"/>
      <c r="T278" s="680"/>
      <c r="U278" s="680"/>
      <c r="V278" s="680"/>
    </row>
    <row r="279" ht="15.75" customHeight="1">
      <c r="A279" s="695"/>
      <c r="B279" s="696"/>
      <c r="C279" s="696"/>
      <c r="D279" s="696"/>
      <c r="E279" s="697"/>
      <c r="F279" s="698"/>
      <c r="G279" s="698"/>
      <c r="H279" s="698"/>
      <c r="I279" s="697"/>
      <c r="J279" s="699"/>
      <c r="K279" s="695"/>
      <c r="L279" s="699"/>
      <c r="M279" s="700"/>
      <c r="N279" s="701"/>
      <c r="O279" s="701"/>
      <c r="P279" s="697"/>
      <c r="Q279" s="701"/>
      <c r="R279" s="701"/>
      <c r="S279" s="680"/>
      <c r="T279" s="680"/>
      <c r="U279" s="680"/>
      <c r="V279" s="680"/>
    </row>
    <row r="280" ht="15.75" customHeight="1">
      <c r="A280" s="695"/>
      <c r="B280" s="696"/>
      <c r="C280" s="696"/>
      <c r="D280" s="696"/>
      <c r="E280" s="697"/>
      <c r="F280" s="698"/>
      <c r="G280" s="698"/>
      <c r="H280" s="698"/>
      <c r="I280" s="697"/>
      <c r="J280" s="699"/>
      <c r="K280" s="695"/>
      <c r="L280" s="699"/>
      <c r="M280" s="700"/>
      <c r="N280" s="701"/>
      <c r="O280" s="701"/>
      <c r="P280" s="697"/>
      <c r="Q280" s="701"/>
      <c r="R280" s="701"/>
      <c r="S280" s="680"/>
      <c r="T280" s="680"/>
      <c r="U280" s="680"/>
      <c r="V280" s="680"/>
    </row>
    <row r="281" ht="15.75" customHeight="1">
      <c r="A281" s="695"/>
      <c r="B281" s="696"/>
      <c r="C281" s="696"/>
      <c r="D281" s="696"/>
      <c r="E281" s="697"/>
      <c r="F281" s="698"/>
      <c r="G281" s="698"/>
      <c r="H281" s="698"/>
      <c r="I281" s="697"/>
      <c r="J281" s="699"/>
      <c r="K281" s="695"/>
      <c r="L281" s="699"/>
      <c r="M281" s="700"/>
      <c r="N281" s="701"/>
      <c r="O281" s="701"/>
      <c r="P281" s="697"/>
      <c r="Q281" s="701"/>
      <c r="R281" s="701"/>
      <c r="S281" s="680"/>
      <c r="T281" s="680"/>
      <c r="U281" s="680"/>
      <c r="V281" s="680"/>
    </row>
    <row r="282" ht="15.75" customHeight="1">
      <c r="A282" s="695"/>
      <c r="B282" s="696"/>
      <c r="C282" s="696"/>
      <c r="D282" s="696"/>
      <c r="E282" s="697"/>
      <c r="F282" s="698"/>
      <c r="G282" s="698"/>
      <c r="H282" s="698"/>
      <c r="I282" s="697"/>
      <c r="J282" s="699"/>
      <c r="K282" s="695"/>
      <c r="L282" s="699"/>
      <c r="M282" s="700"/>
      <c r="N282" s="701"/>
      <c r="O282" s="701"/>
      <c r="P282" s="697"/>
      <c r="Q282" s="701"/>
      <c r="R282" s="701"/>
      <c r="S282" s="680"/>
      <c r="T282" s="680"/>
      <c r="U282" s="680"/>
      <c r="V282" s="680"/>
    </row>
    <row r="283" ht="15.75" customHeight="1">
      <c r="A283" s="695"/>
      <c r="B283" s="696"/>
      <c r="C283" s="696"/>
      <c r="D283" s="696"/>
      <c r="E283" s="697"/>
      <c r="F283" s="698"/>
      <c r="G283" s="698"/>
      <c r="H283" s="698"/>
      <c r="I283" s="697"/>
      <c r="J283" s="699"/>
      <c r="K283" s="695"/>
      <c r="L283" s="699"/>
      <c r="M283" s="700"/>
      <c r="N283" s="701"/>
      <c r="O283" s="701"/>
      <c r="P283" s="697"/>
      <c r="Q283" s="701"/>
      <c r="R283" s="701"/>
      <c r="S283" s="680"/>
      <c r="T283" s="680"/>
      <c r="U283" s="680"/>
      <c r="V283" s="680"/>
    </row>
    <row r="284" ht="15.75" customHeight="1">
      <c r="A284" s="695"/>
      <c r="B284" s="696"/>
      <c r="C284" s="696"/>
      <c r="D284" s="696"/>
      <c r="E284" s="697"/>
      <c r="F284" s="698"/>
      <c r="G284" s="698"/>
      <c r="H284" s="698"/>
      <c r="I284" s="697"/>
      <c r="J284" s="699"/>
      <c r="K284" s="695"/>
      <c r="L284" s="699"/>
      <c r="M284" s="700"/>
      <c r="N284" s="701"/>
      <c r="O284" s="701"/>
      <c r="P284" s="697"/>
      <c r="Q284" s="701"/>
      <c r="R284" s="701"/>
      <c r="S284" s="680"/>
      <c r="T284" s="680"/>
      <c r="U284" s="680"/>
      <c r="V284" s="680"/>
    </row>
    <row r="285" ht="15.75" customHeight="1">
      <c r="A285" s="695"/>
      <c r="B285" s="696"/>
      <c r="C285" s="696"/>
      <c r="D285" s="696"/>
      <c r="E285" s="697"/>
      <c r="F285" s="698"/>
      <c r="G285" s="698"/>
      <c r="H285" s="698"/>
      <c r="I285" s="697"/>
      <c r="J285" s="699"/>
      <c r="K285" s="695"/>
      <c r="L285" s="699"/>
      <c r="M285" s="700"/>
      <c r="N285" s="701"/>
      <c r="O285" s="701"/>
      <c r="P285" s="697"/>
      <c r="Q285" s="701"/>
      <c r="R285" s="701"/>
      <c r="S285" s="680"/>
      <c r="T285" s="680"/>
      <c r="U285" s="680"/>
      <c r="V285" s="680"/>
    </row>
    <row r="286" ht="15.75" customHeight="1">
      <c r="A286" s="695"/>
      <c r="B286" s="696"/>
      <c r="C286" s="696"/>
      <c r="D286" s="696"/>
      <c r="E286" s="697"/>
      <c r="F286" s="698"/>
      <c r="G286" s="698"/>
      <c r="H286" s="698"/>
      <c r="I286" s="697"/>
      <c r="J286" s="699"/>
      <c r="K286" s="695"/>
      <c r="L286" s="699"/>
      <c r="M286" s="700"/>
      <c r="N286" s="701"/>
      <c r="O286" s="701"/>
      <c r="P286" s="697"/>
      <c r="Q286" s="701"/>
      <c r="R286" s="701"/>
      <c r="S286" s="680"/>
      <c r="T286" s="680"/>
      <c r="U286" s="680"/>
      <c r="V286" s="680"/>
    </row>
    <row r="287" ht="15.75" customHeight="1">
      <c r="A287" s="695"/>
      <c r="B287" s="696"/>
      <c r="C287" s="696"/>
      <c r="D287" s="696"/>
      <c r="E287" s="697"/>
      <c r="F287" s="698"/>
      <c r="G287" s="698"/>
      <c r="H287" s="698"/>
      <c r="I287" s="697"/>
      <c r="J287" s="699"/>
      <c r="K287" s="695"/>
      <c r="L287" s="699"/>
      <c r="M287" s="700"/>
      <c r="N287" s="701"/>
      <c r="O287" s="701"/>
      <c r="P287" s="697"/>
      <c r="Q287" s="701"/>
      <c r="R287" s="701"/>
      <c r="S287" s="680"/>
      <c r="T287" s="680"/>
      <c r="U287" s="680"/>
      <c r="V287" s="680"/>
    </row>
    <row r="288" ht="15.75" customHeight="1">
      <c r="A288" s="695"/>
      <c r="B288" s="696"/>
      <c r="C288" s="696"/>
      <c r="D288" s="696"/>
      <c r="E288" s="697"/>
      <c r="F288" s="698"/>
      <c r="G288" s="698"/>
      <c r="H288" s="698"/>
      <c r="I288" s="697"/>
      <c r="J288" s="699"/>
      <c r="K288" s="695"/>
      <c r="L288" s="699"/>
      <c r="M288" s="700"/>
      <c r="N288" s="701"/>
      <c r="O288" s="701"/>
      <c r="P288" s="697"/>
      <c r="Q288" s="701"/>
      <c r="R288" s="701"/>
      <c r="S288" s="680"/>
      <c r="T288" s="680"/>
      <c r="U288" s="680"/>
      <c r="V288" s="680"/>
    </row>
    <row r="289" ht="15.75" customHeight="1">
      <c r="A289" s="695"/>
      <c r="B289" s="696"/>
      <c r="C289" s="696"/>
      <c r="D289" s="696"/>
      <c r="E289" s="697"/>
      <c r="F289" s="698"/>
      <c r="G289" s="698"/>
      <c r="H289" s="698"/>
      <c r="I289" s="697"/>
      <c r="J289" s="699"/>
      <c r="K289" s="695"/>
      <c r="L289" s="699"/>
      <c r="M289" s="700"/>
      <c r="N289" s="701"/>
      <c r="O289" s="701"/>
      <c r="P289" s="697"/>
      <c r="Q289" s="701"/>
      <c r="R289" s="701"/>
      <c r="S289" s="680"/>
      <c r="T289" s="680"/>
      <c r="U289" s="680"/>
      <c r="V289" s="680"/>
    </row>
    <row r="290" ht="15.75" customHeight="1">
      <c r="A290" s="695"/>
      <c r="B290" s="696"/>
      <c r="C290" s="696"/>
      <c r="D290" s="696"/>
      <c r="E290" s="697"/>
      <c r="F290" s="698"/>
      <c r="G290" s="698"/>
      <c r="H290" s="698"/>
      <c r="I290" s="697"/>
      <c r="J290" s="699"/>
      <c r="K290" s="695"/>
      <c r="L290" s="699"/>
      <c r="M290" s="700"/>
      <c r="N290" s="701"/>
      <c r="O290" s="701"/>
      <c r="P290" s="697"/>
      <c r="Q290" s="701"/>
      <c r="R290" s="701"/>
      <c r="S290" s="680"/>
      <c r="T290" s="680"/>
      <c r="U290" s="680"/>
      <c r="V290" s="680"/>
    </row>
    <row r="291" ht="15.75" customHeight="1">
      <c r="A291" s="695"/>
      <c r="B291" s="696"/>
      <c r="C291" s="696"/>
      <c r="D291" s="696"/>
      <c r="E291" s="697"/>
      <c r="F291" s="698"/>
      <c r="G291" s="698"/>
      <c r="H291" s="698"/>
      <c r="I291" s="697"/>
      <c r="J291" s="699"/>
      <c r="K291" s="695"/>
      <c r="L291" s="699"/>
      <c r="M291" s="700"/>
      <c r="N291" s="701"/>
      <c r="O291" s="701"/>
      <c r="P291" s="697"/>
      <c r="Q291" s="701"/>
      <c r="R291" s="701"/>
      <c r="S291" s="680"/>
      <c r="T291" s="680"/>
      <c r="U291" s="680"/>
      <c r="V291" s="680"/>
    </row>
    <row r="292" ht="15.75" customHeight="1">
      <c r="A292" s="695"/>
      <c r="B292" s="696"/>
      <c r="C292" s="696"/>
      <c r="D292" s="696"/>
      <c r="E292" s="697"/>
      <c r="F292" s="698"/>
      <c r="G292" s="698"/>
      <c r="H292" s="698"/>
      <c r="I292" s="697"/>
      <c r="J292" s="699"/>
      <c r="K292" s="695"/>
      <c r="L292" s="699"/>
      <c r="M292" s="700"/>
      <c r="N292" s="701"/>
      <c r="O292" s="701"/>
      <c r="P292" s="697"/>
      <c r="Q292" s="701"/>
      <c r="R292" s="701"/>
      <c r="S292" s="680"/>
      <c r="T292" s="680"/>
      <c r="U292" s="680"/>
      <c r="V292" s="680"/>
    </row>
    <row r="293" ht="15.75" customHeight="1">
      <c r="A293" s="695"/>
      <c r="B293" s="696"/>
      <c r="C293" s="696"/>
      <c r="D293" s="696"/>
      <c r="E293" s="697"/>
      <c r="F293" s="698"/>
      <c r="G293" s="698"/>
      <c r="H293" s="698"/>
      <c r="I293" s="697"/>
      <c r="J293" s="699"/>
      <c r="K293" s="695"/>
      <c r="L293" s="699"/>
      <c r="M293" s="700"/>
      <c r="N293" s="701"/>
      <c r="O293" s="701"/>
      <c r="P293" s="697"/>
      <c r="Q293" s="701"/>
      <c r="R293" s="701"/>
      <c r="S293" s="680"/>
      <c r="T293" s="680"/>
      <c r="U293" s="680"/>
      <c r="V293" s="680"/>
    </row>
    <row r="294" ht="15.75" customHeight="1">
      <c r="A294" s="695"/>
      <c r="B294" s="696"/>
      <c r="C294" s="696"/>
      <c r="D294" s="696"/>
      <c r="E294" s="697"/>
      <c r="F294" s="698"/>
      <c r="G294" s="698"/>
      <c r="H294" s="698"/>
      <c r="I294" s="697"/>
      <c r="J294" s="699"/>
      <c r="K294" s="695"/>
      <c r="L294" s="699"/>
      <c r="M294" s="700"/>
      <c r="N294" s="701"/>
      <c r="O294" s="701"/>
      <c r="P294" s="697"/>
      <c r="Q294" s="701"/>
      <c r="R294" s="701"/>
      <c r="S294" s="680"/>
      <c r="T294" s="680"/>
      <c r="U294" s="680"/>
      <c r="V294" s="680"/>
    </row>
    <row r="295" ht="15.75" customHeight="1">
      <c r="A295" s="695"/>
      <c r="B295" s="696"/>
      <c r="C295" s="696"/>
      <c r="D295" s="696"/>
      <c r="E295" s="697"/>
      <c r="F295" s="698"/>
      <c r="G295" s="698"/>
      <c r="H295" s="698"/>
      <c r="I295" s="697"/>
      <c r="J295" s="699"/>
      <c r="K295" s="695"/>
      <c r="L295" s="699"/>
      <c r="M295" s="700"/>
      <c r="N295" s="701"/>
      <c r="O295" s="701"/>
      <c r="P295" s="697"/>
      <c r="Q295" s="701"/>
      <c r="R295" s="701"/>
      <c r="S295" s="680"/>
      <c r="T295" s="680"/>
      <c r="U295" s="680"/>
      <c r="V295" s="680"/>
    </row>
    <row r="296" ht="15.75" customHeight="1">
      <c r="A296" s="695"/>
      <c r="B296" s="696"/>
      <c r="C296" s="696"/>
      <c r="D296" s="696"/>
      <c r="E296" s="697"/>
      <c r="F296" s="698"/>
      <c r="G296" s="698"/>
      <c r="H296" s="698"/>
      <c r="I296" s="697"/>
      <c r="J296" s="699"/>
      <c r="K296" s="695"/>
      <c r="L296" s="699"/>
      <c r="M296" s="700"/>
      <c r="N296" s="701"/>
      <c r="O296" s="701"/>
      <c r="P296" s="697"/>
      <c r="Q296" s="701"/>
      <c r="R296" s="701"/>
      <c r="S296" s="680"/>
      <c r="T296" s="680"/>
      <c r="U296" s="680"/>
      <c r="V296" s="680"/>
    </row>
    <row r="297" ht="15.75" customHeight="1">
      <c r="A297" s="695"/>
      <c r="B297" s="696"/>
      <c r="C297" s="696"/>
      <c r="D297" s="696"/>
      <c r="E297" s="697"/>
      <c r="F297" s="698"/>
      <c r="G297" s="698"/>
      <c r="H297" s="698"/>
      <c r="I297" s="697"/>
      <c r="J297" s="699"/>
      <c r="K297" s="695"/>
      <c r="L297" s="699"/>
      <c r="M297" s="700"/>
      <c r="N297" s="701"/>
      <c r="O297" s="701"/>
      <c r="P297" s="697"/>
      <c r="Q297" s="701"/>
      <c r="R297" s="701"/>
      <c r="S297" s="680"/>
      <c r="T297" s="680"/>
      <c r="U297" s="680"/>
      <c r="V297" s="680"/>
    </row>
    <row r="298" ht="15.75" customHeight="1">
      <c r="A298" s="695"/>
      <c r="B298" s="696"/>
      <c r="C298" s="696"/>
      <c r="D298" s="696"/>
      <c r="E298" s="697"/>
      <c r="F298" s="698"/>
      <c r="G298" s="698"/>
      <c r="H298" s="698"/>
      <c r="I298" s="697"/>
      <c r="J298" s="699"/>
      <c r="K298" s="695"/>
      <c r="L298" s="699"/>
      <c r="M298" s="700"/>
      <c r="N298" s="701"/>
      <c r="O298" s="701"/>
      <c r="P298" s="697"/>
      <c r="Q298" s="701"/>
      <c r="R298" s="701"/>
      <c r="S298" s="680"/>
      <c r="T298" s="680"/>
      <c r="U298" s="680"/>
      <c r="V298" s="680"/>
    </row>
    <row r="299" ht="15.75" customHeight="1">
      <c r="A299" s="695"/>
      <c r="B299" s="696"/>
      <c r="C299" s="696"/>
      <c r="D299" s="696"/>
      <c r="E299" s="697"/>
      <c r="F299" s="698"/>
      <c r="G299" s="698"/>
      <c r="H299" s="698"/>
      <c r="I299" s="697"/>
      <c r="J299" s="699"/>
      <c r="K299" s="695"/>
      <c r="L299" s="699"/>
      <c r="M299" s="700"/>
      <c r="N299" s="701"/>
      <c r="O299" s="701"/>
      <c r="P299" s="697"/>
      <c r="Q299" s="701"/>
      <c r="R299" s="701"/>
      <c r="S299" s="680"/>
      <c r="T299" s="680"/>
      <c r="U299" s="680"/>
      <c r="V299" s="680"/>
    </row>
    <row r="300" ht="15.75" customHeight="1">
      <c r="A300" s="695"/>
      <c r="B300" s="696"/>
      <c r="C300" s="696"/>
      <c r="D300" s="696"/>
      <c r="E300" s="697"/>
      <c r="F300" s="698"/>
      <c r="G300" s="698"/>
      <c r="H300" s="698"/>
      <c r="I300" s="697"/>
      <c r="J300" s="699"/>
      <c r="K300" s="695"/>
      <c r="L300" s="699"/>
      <c r="M300" s="700"/>
      <c r="N300" s="701"/>
      <c r="O300" s="701"/>
      <c r="P300" s="697"/>
      <c r="Q300" s="701"/>
      <c r="R300" s="701"/>
      <c r="S300" s="680"/>
      <c r="T300" s="680"/>
      <c r="U300" s="680"/>
      <c r="V300" s="680"/>
    </row>
    <row r="301" ht="15.75" customHeight="1">
      <c r="A301" s="695"/>
      <c r="B301" s="696"/>
      <c r="C301" s="696"/>
      <c r="D301" s="696"/>
      <c r="E301" s="697"/>
      <c r="F301" s="698"/>
      <c r="G301" s="698"/>
      <c r="H301" s="698"/>
      <c r="I301" s="697"/>
      <c r="J301" s="699"/>
      <c r="K301" s="695"/>
      <c r="L301" s="699"/>
      <c r="M301" s="700"/>
      <c r="N301" s="701"/>
      <c r="O301" s="701"/>
      <c r="P301" s="697"/>
      <c r="Q301" s="701"/>
      <c r="R301" s="701"/>
      <c r="S301" s="680"/>
      <c r="T301" s="680"/>
      <c r="U301" s="680"/>
      <c r="V301" s="680"/>
    </row>
    <row r="302" ht="15.75" customHeight="1">
      <c r="A302" s="695"/>
      <c r="B302" s="696"/>
      <c r="C302" s="696"/>
      <c r="D302" s="696"/>
      <c r="E302" s="697"/>
      <c r="F302" s="698"/>
      <c r="G302" s="698"/>
      <c r="H302" s="698"/>
      <c r="I302" s="697"/>
      <c r="J302" s="699"/>
      <c r="K302" s="695"/>
      <c r="L302" s="699"/>
      <c r="M302" s="700"/>
      <c r="N302" s="701"/>
      <c r="O302" s="701"/>
      <c r="P302" s="697"/>
      <c r="Q302" s="701"/>
      <c r="R302" s="701"/>
      <c r="S302" s="680"/>
      <c r="T302" s="680"/>
      <c r="U302" s="680"/>
      <c r="V302" s="680"/>
    </row>
    <row r="303" ht="15.75" customHeight="1">
      <c r="A303" s="695"/>
      <c r="B303" s="696"/>
      <c r="C303" s="696"/>
      <c r="D303" s="696"/>
      <c r="E303" s="697"/>
      <c r="F303" s="698"/>
      <c r="G303" s="698"/>
      <c r="H303" s="698"/>
      <c r="I303" s="697"/>
      <c r="J303" s="699"/>
      <c r="K303" s="695"/>
      <c r="L303" s="699"/>
      <c r="M303" s="700"/>
      <c r="N303" s="701"/>
      <c r="O303" s="701"/>
      <c r="P303" s="697"/>
      <c r="Q303" s="701"/>
      <c r="R303" s="701"/>
      <c r="S303" s="680"/>
      <c r="T303" s="680"/>
      <c r="U303" s="680"/>
      <c r="V303" s="680"/>
    </row>
    <row r="304" ht="15.75" customHeight="1">
      <c r="A304" s="695"/>
      <c r="B304" s="696"/>
      <c r="C304" s="696"/>
      <c r="D304" s="696"/>
      <c r="E304" s="697"/>
      <c r="F304" s="698"/>
      <c r="G304" s="698"/>
      <c r="H304" s="698"/>
      <c r="I304" s="697"/>
      <c r="J304" s="699"/>
      <c r="K304" s="695"/>
      <c r="L304" s="699"/>
      <c r="M304" s="700"/>
      <c r="N304" s="701"/>
      <c r="O304" s="701"/>
      <c r="P304" s="697"/>
      <c r="Q304" s="701"/>
      <c r="R304" s="701"/>
      <c r="S304" s="680"/>
      <c r="T304" s="680"/>
      <c r="U304" s="680"/>
      <c r="V304" s="680"/>
    </row>
    <row r="305" ht="15.75" customHeight="1">
      <c r="A305" s="695"/>
      <c r="B305" s="696"/>
      <c r="C305" s="696"/>
      <c r="D305" s="696"/>
      <c r="E305" s="697"/>
      <c r="F305" s="698"/>
      <c r="G305" s="698"/>
      <c r="H305" s="698"/>
      <c r="I305" s="697"/>
      <c r="J305" s="699"/>
      <c r="K305" s="695"/>
      <c r="L305" s="699"/>
      <c r="M305" s="700"/>
      <c r="N305" s="701"/>
      <c r="O305" s="701"/>
      <c r="P305" s="697"/>
      <c r="Q305" s="701"/>
      <c r="R305" s="701"/>
      <c r="S305" s="680"/>
      <c r="T305" s="680"/>
      <c r="U305" s="680"/>
      <c r="V305" s="680"/>
    </row>
    <row r="306" ht="15.75" customHeight="1">
      <c r="A306" s="695"/>
      <c r="B306" s="696"/>
      <c r="C306" s="696"/>
      <c r="D306" s="696"/>
      <c r="E306" s="697"/>
      <c r="F306" s="698"/>
      <c r="G306" s="698"/>
      <c r="H306" s="698"/>
      <c r="I306" s="697"/>
      <c r="J306" s="699"/>
      <c r="K306" s="695"/>
      <c r="L306" s="699"/>
      <c r="M306" s="700"/>
      <c r="N306" s="701"/>
      <c r="O306" s="701"/>
      <c r="P306" s="697"/>
      <c r="Q306" s="701"/>
      <c r="R306" s="701"/>
      <c r="S306" s="680"/>
      <c r="T306" s="680"/>
      <c r="U306" s="680"/>
      <c r="V306" s="680"/>
    </row>
    <row r="307" ht="15.75" customHeight="1">
      <c r="A307" s="695"/>
      <c r="B307" s="696"/>
      <c r="C307" s="696"/>
      <c r="D307" s="696"/>
      <c r="E307" s="697"/>
      <c r="F307" s="698"/>
      <c r="G307" s="698"/>
      <c r="H307" s="698"/>
      <c r="I307" s="697"/>
      <c r="J307" s="699"/>
      <c r="K307" s="695"/>
      <c r="L307" s="699"/>
      <c r="M307" s="700"/>
      <c r="N307" s="701"/>
      <c r="O307" s="701"/>
      <c r="P307" s="697"/>
      <c r="Q307" s="701"/>
      <c r="R307" s="701"/>
      <c r="S307" s="680"/>
      <c r="T307" s="680"/>
      <c r="U307" s="680"/>
      <c r="V307" s="680"/>
    </row>
    <row r="308" ht="15.75" customHeight="1">
      <c r="A308" s="695"/>
      <c r="B308" s="696"/>
      <c r="C308" s="696"/>
      <c r="D308" s="696"/>
      <c r="E308" s="697"/>
      <c r="F308" s="698"/>
      <c r="G308" s="698"/>
      <c r="H308" s="698"/>
      <c r="I308" s="697"/>
      <c r="J308" s="699"/>
      <c r="K308" s="695"/>
      <c r="L308" s="699"/>
      <c r="M308" s="700"/>
      <c r="N308" s="701"/>
      <c r="O308" s="701"/>
      <c r="P308" s="697"/>
      <c r="Q308" s="701"/>
      <c r="R308" s="701"/>
      <c r="S308" s="680"/>
      <c r="T308" s="680"/>
      <c r="U308" s="680"/>
      <c r="V308" s="680"/>
    </row>
    <row r="309" ht="15.75" customHeight="1">
      <c r="A309" s="695"/>
      <c r="B309" s="696"/>
      <c r="C309" s="696"/>
      <c r="D309" s="696"/>
      <c r="E309" s="697"/>
      <c r="F309" s="698"/>
      <c r="G309" s="698"/>
      <c r="H309" s="698"/>
      <c r="I309" s="697"/>
      <c r="J309" s="699"/>
      <c r="K309" s="695"/>
      <c r="L309" s="699"/>
      <c r="M309" s="700"/>
      <c r="N309" s="701"/>
      <c r="O309" s="701"/>
      <c r="P309" s="697"/>
      <c r="Q309" s="701"/>
      <c r="R309" s="701"/>
      <c r="S309" s="680"/>
      <c r="T309" s="680"/>
      <c r="U309" s="680"/>
      <c r="V309" s="680"/>
    </row>
    <row r="310" ht="15.75" customHeight="1">
      <c r="A310" s="695"/>
      <c r="B310" s="696"/>
      <c r="C310" s="696"/>
      <c r="D310" s="696"/>
      <c r="E310" s="697"/>
      <c r="F310" s="698"/>
      <c r="G310" s="698"/>
      <c r="H310" s="698"/>
      <c r="I310" s="697"/>
      <c r="J310" s="699"/>
      <c r="K310" s="695"/>
      <c r="L310" s="699"/>
      <c r="M310" s="700"/>
      <c r="N310" s="701"/>
      <c r="O310" s="701"/>
      <c r="P310" s="697"/>
      <c r="Q310" s="701"/>
      <c r="R310" s="701"/>
      <c r="S310" s="680"/>
      <c r="T310" s="680"/>
      <c r="U310" s="680"/>
      <c r="V310" s="680"/>
    </row>
    <row r="311" ht="15.75" customHeight="1">
      <c r="A311" s="695"/>
      <c r="B311" s="696"/>
      <c r="C311" s="696"/>
      <c r="D311" s="696"/>
      <c r="E311" s="697"/>
      <c r="F311" s="698"/>
      <c r="G311" s="698"/>
      <c r="H311" s="698"/>
      <c r="I311" s="697"/>
      <c r="J311" s="699"/>
      <c r="K311" s="695"/>
      <c r="L311" s="699"/>
      <c r="M311" s="700"/>
      <c r="N311" s="701"/>
      <c r="O311" s="701"/>
      <c r="P311" s="697"/>
      <c r="Q311" s="701"/>
      <c r="R311" s="701"/>
      <c r="S311" s="680"/>
      <c r="T311" s="680"/>
      <c r="U311" s="680"/>
      <c r="V311" s="680"/>
    </row>
    <row r="312" ht="15.75" customHeight="1">
      <c r="A312" s="695"/>
      <c r="B312" s="696"/>
      <c r="C312" s="696"/>
      <c r="D312" s="696"/>
      <c r="E312" s="697"/>
      <c r="F312" s="698"/>
      <c r="G312" s="698"/>
      <c r="H312" s="698"/>
      <c r="I312" s="697"/>
      <c r="J312" s="699"/>
      <c r="K312" s="695"/>
      <c r="L312" s="699"/>
      <c r="M312" s="700"/>
      <c r="N312" s="701"/>
      <c r="O312" s="701"/>
      <c r="P312" s="697"/>
      <c r="Q312" s="701"/>
      <c r="R312" s="701"/>
      <c r="S312" s="680"/>
      <c r="T312" s="680"/>
      <c r="U312" s="680"/>
      <c r="V312" s="680"/>
    </row>
    <row r="313" ht="15.75" customHeight="1">
      <c r="A313" s="695"/>
      <c r="B313" s="696"/>
      <c r="C313" s="696"/>
      <c r="D313" s="696"/>
      <c r="E313" s="697"/>
      <c r="F313" s="698"/>
      <c r="G313" s="698"/>
      <c r="H313" s="698"/>
      <c r="I313" s="697"/>
      <c r="J313" s="699"/>
      <c r="K313" s="695"/>
      <c r="L313" s="699"/>
      <c r="M313" s="700"/>
      <c r="N313" s="701"/>
      <c r="O313" s="701"/>
      <c r="P313" s="697"/>
      <c r="Q313" s="701"/>
      <c r="R313" s="701"/>
      <c r="S313" s="680"/>
      <c r="T313" s="680"/>
      <c r="U313" s="680"/>
      <c r="V313" s="680"/>
    </row>
    <row r="314" ht="15.75" customHeight="1">
      <c r="A314" s="695"/>
      <c r="B314" s="696"/>
      <c r="C314" s="696"/>
      <c r="D314" s="696"/>
      <c r="E314" s="697"/>
      <c r="F314" s="698"/>
      <c r="G314" s="698"/>
      <c r="H314" s="698"/>
      <c r="I314" s="697"/>
      <c r="J314" s="699"/>
      <c r="K314" s="695"/>
      <c r="L314" s="699"/>
      <c r="M314" s="700"/>
      <c r="N314" s="701"/>
      <c r="O314" s="701"/>
      <c r="P314" s="697"/>
      <c r="Q314" s="701"/>
      <c r="R314" s="701"/>
      <c r="S314" s="680"/>
      <c r="T314" s="680"/>
      <c r="U314" s="680"/>
      <c r="V314" s="680"/>
    </row>
    <row r="315" ht="15.75" customHeight="1">
      <c r="A315" s="695"/>
      <c r="B315" s="696"/>
      <c r="C315" s="696"/>
      <c r="D315" s="696"/>
      <c r="E315" s="697"/>
      <c r="F315" s="698"/>
      <c r="G315" s="698"/>
      <c r="H315" s="698"/>
      <c r="I315" s="697"/>
      <c r="J315" s="699"/>
      <c r="K315" s="695"/>
      <c r="L315" s="699"/>
      <c r="M315" s="700"/>
      <c r="N315" s="701"/>
      <c r="O315" s="701"/>
      <c r="P315" s="697"/>
      <c r="Q315" s="701"/>
      <c r="R315" s="701"/>
      <c r="S315" s="680"/>
      <c r="T315" s="680"/>
      <c r="U315" s="680"/>
      <c r="V315" s="680"/>
    </row>
    <row r="316" ht="15.75" customHeight="1">
      <c r="A316" s="695"/>
      <c r="B316" s="696"/>
      <c r="C316" s="696"/>
      <c r="D316" s="696"/>
      <c r="E316" s="697"/>
      <c r="F316" s="698"/>
      <c r="G316" s="698"/>
      <c r="H316" s="698"/>
      <c r="I316" s="697"/>
      <c r="J316" s="699"/>
      <c r="K316" s="695"/>
      <c r="L316" s="699"/>
      <c r="M316" s="700"/>
      <c r="N316" s="701"/>
      <c r="O316" s="701"/>
      <c r="P316" s="697"/>
      <c r="Q316" s="701"/>
      <c r="R316" s="701"/>
      <c r="S316" s="680"/>
      <c r="T316" s="680"/>
      <c r="U316" s="680"/>
      <c r="V316" s="680"/>
    </row>
    <row r="317" ht="15.75" customHeight="1">
      <c r="A317" s="695"/>
      <c r="B317" s="696"/>
      <c r="C317" s="696"/>
      <c r="D317" s="696"/>
      <c r="E317" s="697"/>
      <c r="F317" s="698"/>
      <c r="G317" s="698"/>
      <c r="H317" s="698"/>
      <c r="I317" s="697"/>
      <c r="J317" s="699"/>
      <c r="K317" s="695"/>
      <c r="L317" s="699"/>
      <c r="M317" s="700"/>
      <c r="N317" s="701"/>
      <c r="O317" s="701"/>
      <c r="P317" s="697"/>
      <c r="Q317" s="701"/>
      <c r="R317" s="701"/>
      <c r="S317" s="680"/>
      <c r="T317" s="680"/>
      <c r="U317" s="680"/>
      <c r="V317" s="680"/>
    </row>
    <row r="318" ht="15.75" customHeight="1">
      <c r="A318" s="695"/>
      <c r="B318" s="696"/>
      <c r="C318" s="696"/>
      <c r="D318" s="696"/>
      <c r="E318" s="697"/>
      <c r="F318" s="698"/>
      <c r="G318" s="698"/>
      <c r="H318" s="698"/>
      <c r="I318" s="697"/>
      <c r="J318" s="699"/>
      <c r="K318" s="695"/>
      <c r="L318" s="699"/>
      <c r="M318" s="700"/>
      <c r="N318" s="701"/>
      <c r="O318" s="701"/>
      <c r="P318" s="697"/>
      <c r="Q318" s="701"/>
      <c r="R318" s="701"/>
      <c r="S318" s="680"/>
      <c r="T318" s="680"/>
      <c r="U318" s="680"/>
      <c r="V318" s="680"/>
    </row>
    <row r="319" ht="15.75" customHeight="1">
      <c r="A319" s="695"/>
      <c r="B319" s="696"/>
      <c r="C319" s="696"/>
      <c r="D319" s="696"/>
      <c r="E319" s="697"/>
      <c r="F319" s="698"/>
      <c r="G319" s="698"/>
      <c r="H319" s="698"/>
      <c r="I319" s="697"/>
      <c r="J319" s="699"/>
      <c r="K319" s="695"/>
      <c r="L319" s="699"/>
      <c r="M319" s="700"/>
      <c r="N319" s="701"/>
      <c r="O319" s="701"/>
      <c r="P319" s="697"/>
      <c r="Q319" s="701"/>
      <c r="R319" s="701"/>
      <c r="S319" s="680"/>
      <c r="T319" s="680"/>
      <c r="U319" s="680"/>
      <c r="V319" s="680"/>
    </row>
    <row r="320" ht="15.75" customHeight="1">
      <c r="A320" s="695"/>
      <c r="B320" s="696"/>
      <c r="C320" s="696"/>
      <c r="D320" s="696"/>
      <c r="E320" s="697"/>
      <c r="F320" s="698"/>
      <c r="G320" s="698"/>
      <c r="H320" s="698"/>
      <c r="I320" s="697"/>
      <c r="J320" s="699"/>
      <c r="K320" s="695"/>
      <c r="L320" s="699"/>
      <c r="M320" s="700"/>
      <c r="N320" s="701"/>
      <c r="O320" s="701"/>
      <c r="P320" s="697"/>
      <c r="Q320" s="701"/>
      <c r="R320" s="701"/>
      <c r="S320" s="680"/>
      <c r="T320" s="680"/>
      <c r="U320" s="680"/>
      <c r="V320" s="680"/>
    </row>
    <row r="321" ht="15.75" customHeight="1">
      <c r="A321" s="695"/>
      <c r="B321" s="696"/>
      <c r="C321" s="696"/>
      <c r="D321" s="696"/>
      <c r="E321" s="697"/>
      <c r="F321" s="698"/>
      <c r="G321" s="698"/>
      <c r="H321" s="698"/>
      <c r="I321" s="697"/>
      <c r="J321" s="699"/>
      <c r="K321" s="695"/>
      <c r="L321" s="699"/>
      <c r="M321" s="700"/>
      <c r="N321" s="701"/>
      <c r="O321" s="701"/>
      <c r="P321" s="697"/>
      <c r="Q321" s="701"/>
      <c r="R321" s="701"/>
      <c r="S321" s="680"/>
      <c r="T321" s="680"/>
      <c r="U321" s="680"/>
      <c r="V321" s="680"/>
    </row>
    <row r="322" ht="15.75" customHeight="1">
      <c r="A322" s="695"/>
      <c r="B322" s="696"/>
      <c r="C322" s="696"/>
      <c r="D322" s="696"/>
      <c r="E322" s="697"/>
      <c r="F322" s="698"/>
      <c r="G322" s="698"/>
      <c r="H322" s="698"/>
      <c r="I322" s="697"/>
      <c r="J322" s="699"/>
      <c r="K322" s="695"/>
      <c r="L322" s="699"/>
      <c r="M322" s="700"/>
      <c r="N322" s="701"/>
      <c r="O322" s="701"/>
      <c r="P322" s="697"/>
      <c r="Q322" s="701"/>
      <c r="R322" s="701"/>
      <c r="S322" s="680"/>
      <c r="T322" s="680"/>
      <c r="U322" s="680"/>
      <c r="V322" s="680"/>
    </row>
    <row r="323" ht="15.75" customHeight="1">
      <c r="A323" s="695"/>
      <c r="B323" s="696"/>
      <c r="C323" s="696"/>
      <c r="D323" s="696"/>
      <c r="E323" s="697"/>
      <c r="F323" s="698"/>
      <c r="G323" s="698"/>
      <c r="H323" s="698"/>
      <c r="I323" s="697"/>
      <c r="J323" s="699"/>
      <c r="K323" s="695"/>
      <c r="L323" s="699"/>
      <c r="M323" s="700"/>
      <c r="N323" s="701"/>
      <c r="O323" s="701"/>
      <c r="P323" s="697"/>
      <c r="Q323" s="701"/>
      <c r="R323" s="701"/>
      <c r="S323" s="680"/>
      <c r="T323" s="680"/>
      <c r="U323" s="680"/>
      <c r="V323" s="680"/>
    </row>
    <row r="324" ht="15.75" customHeight="1">
      <c r="A324" s="695"/>
      <c r="B324" s="696"/>
      <c r="C324" s="696"/>
      <c r="D324" s="696"/>
      <c r="E324" s="697"/>
      <c r="F324" s="698"/>
      <c r="G324" s="698"/>
      <c r="H324" s="698"/>
      <c r="I324" s="697"/>
      <c r="J324" s="699"/>
      <c r="K324" s="695"/>
      <c r="L324" s="699"/>
      <c r="M324" s="700"/>
      <c r="N324" s="701"/>
      <c r="O324" s="701"/>
      <c r="P324" s="697"/>
      <c r="Q324" s="701"/>
      <c r="R324" s="701"/>
      <c r="S324" s="680"/>
      <c r="T324" s="680"/>
      <c r="U324" s="680"/>
      <c r="V324" s="680"/>
    </row>
    <row r="325" ht="15.75" customHeight="1">
      <c r="A325" s="695"/>
      <c r="B325" s="696"/>
      <c r="C325" s="696"/>
      <c r="D325" s="696"/>
      <c r="E325" s="697"/>
      <c r="F325" s="698"/>
      <c r="G325" s="698"/>
      <c r="H325" s="698"/>
      <c r="I325" s="697"/>
      <c r="J325" s="699"/>
      <c r="K325" s="695"/>
      <c r="L325" s="699"/>
      <c r="M325" s="700"/>
      <c r="N325" s="701"/>
      <c r="O325" s="701"/>
      <c r="P325" s="697"/>
      <c r="Q325" s="701"/>
      <c r="R325" s="701"/>
      <c r="S325" s="680"/>
      <c r="T325" s="680"/>
      <c r="U325" s="680"/>
      <c r="V325" s="680"/>
    </row>
    <row r="326" ht="15.75" customHeight="1">
      <c r="A326" s="695"/>
      <c r="B326" s="696"/>
      <c r="C326" s="696"/>
      <c r="D326" s="696"/>
      <c r="E326" s="697"/>
      <c r="F326" s="698"/>
      <c r="G326" s="698"/>
      <c r="H326" s="698"/>
      <c r="I326" s="697"/>
      <c r="J326" s="699"/>
      <c r="K326" s="695"/>
      <c r="L326" s="699"/>
      <c r="M326" s="700"/>
      <c r="N326" s="701"/>
      <c r="O326" s="701"/>
      <c r="P326" s="697"/>
      <c r="Q326" s="701"/>
      <c r="R326" s="701"/>
      <c r="S326" s="680"/>
      <c r="T326" s="680"/>
      <c r="U326" s="680"/>
      <c r="V326" s="680"/>
    </row>
    <row r="327" ht="15.75" customHeight="1">
      <c r="A327" s="695"/>
      <c r="B327" s="696"/>
      <c r="C327" s="696"/>
      <c r="D327" s="696"/>
      <c r="E327" s="697"/>
      <c r="F327" s="698"/>
      <c r="G327" s="698"/>
      <c r="H327" s="698"/>
      <c r="I327" s="697"/>
      <c r="J327" s="699"/>
      <c r="K327" s="695"/>
      <c r="L327" s="699"/>
      <c r="M327" s="700"/>
      <c r="N327" s="701"/>
      <c r="O327" s="701"/>
      <c r="P327" s="697"/>
      <c r="Q327" s="701"/>
      <c r="R327" s="701"/>
      <c r="S327" s="680"/>
      <c r="T327" s="680"/>
      <c r="U327" s="680"/>
      <c r="V327" s="680"/>
    </row>
    <row r="328" ht="15.75" customHeight="1">
      <c r="A328" s="695"/>
      <c r="B328" s="696"/>
      <c r="C328" s="696"/>
      <c r="D328" s="696"/>
      <c r="E328" s="697"/>
      <c r="F328" s="698"/>
      <c r="G328" s="698"/>
      <c r="H328" s="698"/>
      <c r="I328" s="697"/>
      <c r="J328" s="699"/>
      <c r="K328" s="695"/>
      <c r="L328" s="699"/>
      <c r="M328" s="700"/>
      <c r="N328" s="701"/>
      <c r="O328" s="701"/>
      <c r="P328" s="697"/>
      <c r="Q328" s="701"/>
      <c r="R328" s="701"/>
      <c r="S328" s="680"/>
      <c r="T328" s="680"/>
      <c r="U328" s="680"/>
      <c r="V328" s="680"/>
    </row>
    <row r="329" ht="15.75" customHeight="1">
      <c r="A329" s="695"/>
      <c r="B329" s="696"/>
      <c r="C329" s="696"/>
      <c r="D329" s="696"/>
      <c r="E329" s="697"/>
      <c r="F329" s="698"/>
      <c r="G329" s="698"/>
      <c r="H329" s="698"/>
      <c r="I329" s="697"/>
      <c r="J329" s="699"/>
      <c r="K329" s="695"/>
      <c r="L329" s="699"/>
      <c r="M329" s="700"/>
      <c r="N329" s="701"/>
      <c r="O329" s="701"/>
      <c r="P329" s="697"/>
      <c r="Q329" s="701"/>
      <c r="R329" s="701"/>
      <c r="S329" s="680"/>
      <c r="T329" s="680"/>
      <c r="U329" s="680"/>
      <c r="V329" s="680"/>
    </row>
    <row r="330" ht="15.75" customHeight="1">
      <c r="A330" s="695"/>
      <c r="B330" s="696"/>
      <c r="C330" s="696"/>
      <c r="D330" s="696"/>
      <c r="E330" s="697"/>
      <c r="F330" s="698"/>
      <c r="G330" s="698"/>
      <c r="H330" s="698"/>
      <c r="I330" s="697"/>
      <c r="J330" s="699"/>
      <c r="K330" s="695"/>
      <c r="L330" s="699"/>
      <c r="M330" s="700"/>
      <c r="N330" s="701"/>
      <c r="O330" s="701"/>
      <c r="P330" s="697"/>
      <c r="Q330" s="701"/>
      <c r="R330" s="701"/>
      <c r="S330" s="680"/>
      <c r="T330" s="680"/>
      <c r="U330" s="680"/>
      <c r="V330" s="680"/>
    </row>
    <row r="331" ht="15.75" customHeight="1">
      <c r="A331" s="695"/>
      <c r="B331" s="696"/>
      <c r="C331" s="696"/>
      <c r="D331" s="696"/>
      <c r="E331" s="697"/>
      <c r="F331" s="698"/>
      <c r="G331" s="698"/>
      <c r="H331" s="698"/>
      <c r="I331" s="697"/>
      <c r="J331" s="699"/>
      <c r="K331" s="695"/>
      <c r="L331" s="699"/>
      <c r="M331" s="700"/>
      <c r="N331" s="701"/>
      <c r="O331" s="701"/>
      <c r="P331" s="697"/>
      <c r="Q331" s="701"/>
      <c r="R331" s="701"/>
      <c r="S331" s="680"/>
      <c r="T331" s="680"/>
      <c r="U331" s="680"/>
      <c r="V331" s="680"/>
    </row>
    <row r="332" ht="15.75" customHeight="1">
      <c r="A332" s="695"/>
      <c r="B332" s="696"/>
      <c r="C332" s="696"/>
      <c r="D332" s="696"/>
      <c r="E332" s="697"/>
      <c r="F332" s="698"/>
      <c r="G332" s="698"/>
      <c r="H332" s="698"/>
      <c r="I332" s="697"/>
      <c r="J332" s="699"/>
      <c r="K332" s="695"/>
      <c r="L332" s="699"/>
      <c r="M332" s="700"/>
      <c r="N332" s="701"/>
      <c r="O332" s="701"/>
      <c r="P332" s="697"/>
      <c r="Q332" s="701"/>
      <c r="R332" s="701"/>
      <c r="S332" s="680"/>
      <c r="T332" s="680"/>
      <c r="U332" s="680"/>
      <c r="V332" s="680"/>
    </row>
    <row r="333" ht="15.75" customHeight="1">
      <c r="A333" s="695"/>
      <c r="B333" s="696"/>
      <c r="C333" s="696"/>
      <c r="D333" s="696"/>
      <c r="E333" s="697"/>
      <c r="F333" s="698"/>
      <c r="G333" s="698"/>
      <c r="H333" s="698"/>
      <c r="I333" s="697"/>
      <c r="J333" s="699"/>
      <c r="K333" s="695"/>
      <c r="L333" s="699"/>
      <c r="M333" s="700"/>
      <c r="N333" s="701"/>
      <c r="O333" s="701"/>
      <c r="P333" s="697"/>
      <c r="Q333" s="701"/>
      <c r="R333" s="701"/>
      <c r="S333" s="680"/>
      <c r="T333" s="680"/>
      <c r="U333" s="680"/>
      <c r="V333" s="680"/>
    </row>
    <row r="334" ht="15.75" customHeight="1">
      <c r="A334" s="695"/>
      <c r="B334" s="696"/>
      <c r="C334" s="696"/>
      <c r="D334" s="696"/>
      <c r="E334" s="697"/>
      <c r="F334" s="698"/>
      <c r="G334" s="698"/>
      <c r="H334" s="698"/>
      <c r="I334" s="697"/>
      <c r="J334" s="699"/>
      <c r="K334" s="695"/>
      <c r="L334" s="699"/>
      <c r="M334" s="700"/>
      <c r="N334" s="701"/>
      <c r="O334" s="701"/>
      <c r="P334" s="697"/>
      <c r="Q334" s="701"/>
      <c r="R334" s="701"/>
      <c r="S334" s="680"/>
      <c r="T334" s="680"/>
      <c r="U334" s="680"/>
      <c r="V334" s="680"/>
    </row>
    <row r="335" ht="15.75" customHeight="1">
      <c r="A335" s="695"/>
      <c r="B335" s="696"/>
      <c r="C335" s="696"/>
      <c r="D335" s="696"/>
      <c r="E335" s="697"/>
      <c r="F335" s="698"/>
      <c r="G335" s="698"/>
      <c r="H335" s="698"/>
      <c r="I335" s="697"/>
      <c r="J335" s="699"/>
      <c r="K335" s="695"/>
      <c r="L335" s="699"/>
      <c r="M335" s="700"/>
      <c r="N335" s="701"/>
      <c r="O335" s="701"/>
      <c r="P335" s="697"/>
      <c r="Q335" s="701"/>
      <c r="R335" s="701"/>
      <c r="S335" s="680"/>
      <c r="T335" s="680"/>
      <c r="U335" s="680"/>
      <c r="V335" s="680"/>
    </row>
    <row r="336" ht="15.75" customHeight="1">
      <c r="A336" s="695"/>
      <c r="B336" s="696"/>
      <c r="C336" s="696"/>
      <c r="D336" s="696"/>
      <c r="E336" s="697"/>
      <c r="F336" s="698"/>
      <c r="G336" s="698"/>
      <c r="H336" s="698"/>
      <c r="I336" s="697"/>
      <c r="J336" s="699"/>
      <c r="K336" s="695"/>
      <c r="L336" s="699"/>
      <c r="M336" s="700"/>
      <c r="N336" s="701"/>
      <c r="O336" s="701"/>
      <c r="P336" s="697"/>
      <c r="Q336" s="701"/>
      <c r="R336" s="701"/>
      <c r="S336" s="680"/>
      <c r="T336" s="680"/>
      <c r="U336" s="680"/>
      <c r="V336" s="680"/>
    </row>
    <row r="337" ht="15.75" customHeight="1">
      <c r="A337" s="695"/>
      <c r="B337" s="696"/>
      <c r="C337" s="696"/>
      <c r="D337" s="696"/>
      <c r="E337" s="697"/>
      <c r="F337" s="698"/>
      <c r="G337" s="698"/>
      <c r="H337" s="698"/>
      <c r="I337" s="697"/>
      <c r="J337" s="699"/>
      <c r="K337" s="695"/>
      <c r="L337" s="699"/>
      <c r="M337" s="700"/>
      <c r="N337" s="701"/>
      <c r="O337" s="701"/>
      <c r="P337" s="697"/>
      <c r="Q337" s="701"/>
      <c r="R337" s="701"/>
      <c r="S337" s="680"/>
      <c r="T337" s="680"/>
      <c r="U337" s="680"/>
      <c r="V337" s="680"/>
    </row>
    <row r="338" ht="15.75" customHeight="1">
      <c r="A338" s="695"/>
      <c r="B338" s="696"/>
      <c r="C338" s="696"/>
      <c r="D338" s="696"/>
      <c r="E338" s="697"/>
      <c r="F338" s="698"/>
      <c r="G338" s="698"/>
      <c r="H338" s="698"/>
      <c r="I338" s="697"/>
      <c r="J338" s="699"/>
      <c r="K338" s="695"/>
      <c r="L338" s="699"/>
      <c r="M338" s="700"/>
      <c r="N338" s="701"/>
      <c r="O338" s="701"/>
      <c r="P338" s="697"/>
      <c r="Q338" s="701"/>
      <c r="R338" s="701"/>
      <c r="S338" s="680"/>
      <c r="T338" s="680"/>
      <c r="U338" s="680"/>
      <c r="V338" s="680"/>
    </row>
    <row r="339" ht="15.75" customHeight="1">
      <c r="A339" s="695"/>
      <c r="B339" s="696"/>
      <c r="C339" s="696"/>
      <c r="D339" s="696"/>
      <c r="E339" s="697"/>
      <c r="F339" s="698"/>
      <c r="G339" s="698"/>
      <c r="H339" s="698"/>
      <c r="I339" s="697"/>
      <c r="J339" s="699"/>
      <c r="K339" s="695"/>
      <c r="L339" s="699"/>
      <c r="M339" s="700"/>
      <c r="N339" s="701"/>
      <c r="O339" s="701"/>
      <c r="P339" s="697"/>
      <c r="Q339" s="701"/>
      <c r="R339" s="701"/>
      <c r="S339" s="680"/>
      <c r="T339" s="680"/>
      <c r="U339" s="680"/>
      <c r="V339" s="680"/>
    </row>
    <row r="340" ht="15.75" customHeight="1">
      <c r="A340" s="695"/>
      <c r="B340" s="696"/>
      <c r="C340" s="696"/>
      <c r="D340" s="696"/>
      <c r="E340" s="697"/>
      <c r="F340" s="698"/>
      <c r="G340" s="698"/>
      <c r="H340" s="698"/>
      <c r="I340" s="697"/>
      <c r="J340" s="699"/>
      <c r="K340" s="695"/>
      <c r="L340" s="699"/>
      <c r="M340" s="700"/>
      <c r="N340" s="701"/>
      <c r="O340" s="701"/>
      <c r="P340" s="697"/>
      <c r="Q340" s="701"/>
      <c r="R340" s="701"/>
      <c r="S340" s="680"/>
      <c r="T340" s="680"/>
      <c r="U340" s="680"/>
      <c r="V340" s="680"/>
    </row>
    <row r="341" ht="15.75" customHeight="1">
      <c r="A341" s="695"/>
      <c r="B341" s="696"/>
      <c r="C341" s="696"/>
      <c r="D341" s="696"/>
      <c r="E341" s="697"/>
      <c r="F341" s="698"/>
      <c r="G341" s="698"/>
      <c r="H341" s="698"/>
      <c r="I341" s="697"/>
      <c r="J341" s="699"/>
      <c r="K341" s="695"/>
      <c r="L341" s="699"/>
      <c r="M341" s="700"/>
      <c r="N341" s="701"/>
      <c r="O341" s="701"/>
      <c r="P341" s="697"/>
      <c r="Q341" s="701"/>
      <c r="R341" s="701"/>
      <c r="S341" s="680"/>
      <c r="T341" s="680"/>
      <c r="U341" s="680"/>
      <c r="V341" s="680"/>
    </row>
    <row r="342" ht="15.75" customHeight="1">
      <c r="A342" s="695"/>
      <c r="B342" s="696"/>
      <c r="C342" s="696"/>
      <c r="D342" s="696"/>
      <c r="E342" s="697"/>
      <c r="F342" s="698"/>
      <c r="G342" s="698"/>
      <c r="H342" s="698"/>
      <c r="I342" s="697"/>
      <c r="J342" s="699"/>
      <c r="K342" s="695"/>
      <c r="L342" s="699"/>
      <c r="M342" s="700"/>
      <c r="N342" s="701"/>
      <c r="O342" s="701"/>
      <c r="P342" s="697"/>
      <c r="Q342" s="701"/>
      <c r="R342" s="701"/>
      <c r="S342" s="680"/>
      <c r="T342" s="680"/>
      <c r="U342" s="680"/>
      <c r="V342" s="680"/>
    </row>
    <row r="343" ht="15.75" customHeight="1">
      <c r="A343" s="695"/>
      <c r="B343" s="696"/>
      <c r="C343" s="696"/>
      <c r="D343" s="696"/>
      <c r="E343" s="697"/>
      <c r="F343" s="698"/>
      <c r="G343" s="698"/>
      <c r="H343" s="698"/>
      <c r="I343" s="697"/>
      <c r="J343" s="699"/>
      <c r="K343" s="695"/>
      <c r="L343" s="699"/>
      <c r="M343" s="700"/>
      <c r="N343" s="701"/>
      <c r="O343" s="701"/>
      <c r="P343" s="697"/>
      <c r="Q343" s="701"/>
      <c r="R343" s="701"/>
      <c r="S343" s="680"/>
      <c r="T343" s="680"/>
      <c r="U343" s="680"/>
      <c r="V343" s="680"/>
    </row>
    <row r="344" ht="15.75" customHeight="1">
      <c r="A344" s="695"/>
      <c r="B344" s="696"/>
      <c r="C344" s="696"/>
      <c r="D344" s="696"/>
      <c r="E344" s="697"/>
      <c r="F344" s="698"/>
      <c r="G344" s="698"/>
      <c r="H344" s="698"/>
      <c r="I344" s="697"/>
      <c r="J344" s="699"/>
      <c r="K344" s="695"/>
      <c r="L344" s="699"/>
      <c r="M344" s="700"/>
      <c r="N344" s="701"/>
      <c r="O344" s="701"/>
      <c r="P344" s="697"/>
      <c r="Q344" s="701"/>
      <c r="R344" s="701"/>
      <c r="S344" s="680"/>
      <c r="T344" s="680"/>
      <c r="U344" s="680"/>
      <c r="V344" s="680"/>
    </row>
    <row r="345" ht="15.75" customHeight="1">
      <c r="A345" s="695"/>
      <c r="B345" s="696"/>
      <c r="C345" s="696"/>
      <c r="D345" s="696"/>
      <c r="E345" s="697"/>
      <c r="F345" s="698"/>
      <c r="G345" s="698"/>
      <c r="H345" s="698"/>
      <c r="I345" s="697"/>
      <c r="J345" s="699"/>
      <c r="K345" s="695"/>
      <c r="L345" s="699"/>
      <c r="M345" s="700"/>
      <c r="N345" s="701"/>
      <c r="O345" s="701"/>
      <c r="P345" s="697"/>
      <c r="Q345" s="701"/>
      <c r="R345" s="701"/>
      <c r="S345" s="680"/>
      <c r="T345" s="680"/>
      <c r="U345" s="680"/>
      <c r="V345" s="680"/>
    </row>
    <row r="346" ht="15.75" customHeight="1">
      <c r="A346" s="695"/>
      <c r="B346" s="696"/>
      <c r="C346" s="696"/>
      <c r="D346" s="696"/>
      <c r="E346" s="697"/>
      <c r="F346" s="698"/>
      <c r="G346" s="698"/>
      <c r="H346" s="698"/>
      <c r="I346" s="697"/>
      <c r="J346" s="699"/>
      <c r="K346" s="695"/>
      <c r="L346" s="699"/>
      <c r="M346" s="700"/>
      <c r="N346" s="701"/>
      <c r="O346" s="701"/>
      <c r="P346" s="697"/>
      <c r="Q346" s="701"/>
      <c r="R346" s="701"/>
      <c r="S346" s="680"/>
      <c r="T346" s="680"/>
      <c r="U346" s="680"/>
      <c r="V346" s="680"/>
    </row>
    <row r="347" ht="15.75" customHeight="1">
      <c r="A347" s="695"/>
      <c r="B347" s="696"/>
      <c r="C347" s="696"/>
      <c r="D347" s="696"/>
      <c r="E347" s="697"/>
      <c r="F347" s="698"/>
      <c r="G347" s="698"/>
      <c r="H347" s="698"/>
      <c r="I347" s="697"/>
      <c r="J347" s="699"/>
      <c r="K347" s="695"/>
      <c r="L347" s="699"/>
      <c r="M347" s="700"/>
      <c r="N347" s="701"/>
      <c r="O347" s="701"/>
      <c r="P347" s="697"/>
      <c r="Q347" s="701"/>
      <c r="R347" s="701"/>
      <c r="S347" s="680"/>
      <c r="T347" s="680"/>
      <c r="U347" s="680"/>
      <c r="V347" s="680"/>
    </row>
    <row r="348" ht="15.75" customHeight="1">
      <c r="A348" s="695"/>
      <c r="B348" s="696"/>
      <c r="C348" s="696"/>
      <c r="D348" s="696"/>
      <c r="E348" s="697"/>
      <c r="F348" s="698"/>
      <c r="G348" s="698"/>
      <c r="H348" s="698"/>
      <c r="I348" s="697"/>
      <c r="J348" s="699"/>
      <c r="K348" s="695"/>
      <c r="L348" s="699"/>
      <c r="M348" s="700"/>
      <c r="N348" s="701"/>
      <c r="O348" s="701"/>
      <c r="P348" s="697"/>
      <c r="Q348" s="701"/>
      <c r="R348" s="701"/>
      <c r="S348" s="680"/>
      <c r="T348" s="680"/>
      <c r="U348" s="680"/>
      <c r="V348" s="680"/>
    </row>
    <row r="349" ht="15.75" customHeight="1">
      <c r="A349" s="695"/>
      <c r="B349" s="696"/>
      <c r="C349" s="696"/>
      <c r="D349" s="696"/>
      <c r="E349" s="697"/>
      <c r="F349" s="698"/>
      <c r="G349" s="698"/>
      <c r="H349" s="698"/>
      <c r="I349" s="697"/>
      <c r="J349" s="699"/>
      <c r="K349" s="695"/>
      <c r="L349" s="699"/>
      <c r="M349" s="700"/>
      <c r="N349" s="701"/>
      <c r="O349" s="701"/>
      <c r="P349" s="697"/>
      <c r="Q349" s="701"/>
      <c r="R349" s="701"/>
      <c r="S349" s="680"/>
      <c r="T349" s="680"/>
      <c r="U349" s="680"/>
      <c r="V349" s="680"/>
    </row>
    <row r="350" ht="15.75" customHeight="1">
      <c r="A350" s="695"/>
      <c r="B350" s="696"/>
      <c r="C350" s="696"/>
      <c r="D350" s="696"/>
      <c r="E350" s="697"/>
      <c r="F350" s="698"/>
      <c r="G350" s="698"/>
      <c r="H350" s="698"/>
      <c r="I350" s="697"/>
      <c r="J350" s="699"/>
      <c r="K350" s="695"/>
      <c r="L350" s="699"/>
      <c r="M350" s="700"/>
      <c r="N350" s="701"/>
      <c r="O350" s="701"/>
      <c r="P350" s="697"/>
      <c r="Q350" s="701"/>
      <c r="R350" s="701"/>
      <c r="S350" s="680"/>
      <c r="T350" s="680"/>
      <c r="U350" s="680"/>
      <c r="V350" s="680"/>
    </row>
    <row r="351" ht="15.75" customHeight="1">
      <c r="A351" s="695"/>
      <c r="B351" s="696"/>
      <c r="C351" s="696"/>
      <c r="D351" s="696"/>
      <c r="E351" s="697"/>
      <c r="F351" s="698"/>
      <c r="G351" s="698"/>
      <c r="H351" s="698"/>
      <c r="I351" s="697"/>
      <c r="J351" s="699"/>
      <c r="K351" s="695"/>
      <c r="L351" s="699"/>
      <c r="M351" s="700"/>
      <c r="N351" s="701"/>
      <c r="O351" s="701"/>
      <c r="P351" s="697"/>
      <c r="Q351" s="701"/>
      <c r="R351" s="701"/>
      <c r="S351" s="680"/>
      <c r="T351" s="680"/>
      <c r="U351" s="680"/>
      <c r="V351" s="680"/>
    </row>
    <row r="352" ht="15.75" customHeight="1">
      <c r="A352" s="695"/>
      <c r="B352" s="696"/>
      <c r="C352" s="696"/>
      <c r="D352" s="696"/>
      <c r="E352" s="697"/>
      <c r="F352" s="698"/>
      <c r="G352" s="698"/>
      <c r="H352" s="698"/>
      <c r="I352" s="697"/>
      <c r="J352" s="699"/>
      <c r="K352" s="695"/>
      <c r="L352" s="699"/>
      <c r="M352" s="700"/>
      <c r="N352" s="701"/>
      <c r="O352" s="701"/>
      <c r="P352" s="697"/>
      <c r="Q352" s="701"/>
      <c r="R352" s="701"/>
      <c r="S352" s="680"/>
      <c r="T352" s="680"/>
      <c r="U352" s="680"/>
      <c r="V352" s="680"/>
    </row>
    <row r="353" ht="15.75" customHeight="1">
      <c r="A353" s="695"/>
      <c r="B353" s="696"/>
      <c r="C353" s="696"/>
      <c r="D353" s="696"/>
      <c r="E353" s="697"/>
      <c r="F353" s="698"/>
      <c r="G353" s="698"/>
      <c r="H353" s="698"/>
      <c r="I353" s="697"/>
      <c r="J353" s="699"/>
      <c r="K353" s="695"/>
      <c r="L353" s="699"/>
      <c r="M353" s="700"/>
      <c r="N353" s="701"/>
      <c r="O353" s="701"/>
      <c r="P353" s="697"/>
      <c r="Q353" s="701"/>
      <c r="R353" s="701"/>
      <c r="S353" s="680"/>
      <c r="T353" s="680"/>
      <c r="U353" s="680"/>
      <c r="V353" s="680"/>
    </row>
    <row r="354" ht="15.75" customHeight="1">
      <c r="A354" s="695"/>
      <c r="B354" s="696"/>
      <c r="C354" s="696"/>
      <c r="D354" s="696"/>
      <c r="E354" s="697"/>
      <c r="F354" s="698"/>
      <c r="G354" s="698"/>
      <c r="H354" s="698"/>
      <c r="I354" s="697"/>
      <c r="J354" s="699"/>
      <c r="K354" s="695"/>
      <c r="L354" s="699"/>
      <c r="M354" s="700"/>
      <c r="N354" s="701"/>
      <c r="O354" s="701"/>
      <c r="P354" s="697"/>
      <c r="Q354" s="701"/>
      <c r="R354" s="701"/>
      <c r="S354" s="680"/>
      <c r="T354" s="680"/>
      <c r="U354" s="680"/>
      <c r="V354" s="680"/>
    </row>
    <row r="355" ht="15.75" customHeight="1">
      <c r="A355" s="695"/>
      <c r="B355" s="696"/>
      <c r="C355" s="696"/>
      <c r="D355" s="696"/>
      <c r="E355" s="697"/>
      <c r="F355" s="698"/>
      <c r="G355" s="698"/>
      <c r="H355" s="698"/>
      <c r="I355" s="697"/>
      <c r="J355" s="699"/>
      <c r="K355" s="695"/>
      <c r="L355" s="699"/>
      <c r="M355" s="700"/>
      <c r="N355" s="701"/>
      <c r="O355" s="701"/>
      <c r="P355" s="697"/>
      <c r="Q355" s="701"/>
      <c r="R355" s="701"/>
      <c r="S355" s="680"/>
      <c r="T355" s="680"/>
      <c r="U355" s="680"/>
      <c r="V355" s="680"/>
    </row>
    <row r="356" ht="15.75" customHeight="1">
      <c r="A356" s="695"/>
      <c r="B356" s="696"/>
      <c r="C356" s="696"/>
      <c r="D356" s="696"/>
      <c r="E356" s="697"/>
      <c r="F356" s="698"/>
      <c r="G356" s="698"/>
      <c r="H356" s="698"/>
      <c r="I356" s="697"/>
      <c r="J356" s="699"/>
      <c r="K356" s="695"/>
      <c r="L356" s="699"/>
      <c r="M356" s="700"/>
      <c r="N356" s="701"/>
      <c r="O356" s="701"/>
      <c r="P356" s="697"/>
      <c r="Q356" s="701"/>
      <c r="R356" s="701"/>
      <c r="S356" s="680"/>
      <c r="T356" s="680"/>
      <c r="U356" s="680"/>
      <c r="V356" s="680"/>
    </row>
    <row r="357" ht="15.75" customHeight="1">
      <c r="A357" s="695"/>
      <c r="B357" s="696"/>
      <c r="C357" s="696"/>
      <c r="D357" s="696"/>
      <c r="E357" s="697"/>
      <c r="F357" s="698"/>
      <c r="G357" s="698"/>
      <c r="H357" s="698"/>
      <c r="I357" s="697"/>
      <c r="J357" s="699"/>
      <c r="K357" s="695"/>
      <c r="L357" s="699"/>
      <c r="M357" s="700"/>
      <c r="N357" s="701"/>
      <c r="O357" s="701"/>
      <c r="P357" s="697"/>
      <c r="Q357" s="701"/>
      <c r="R357" s="701"/>
      <c r="S357" s="680"/>
      <c r="T357" s="680"/>
      <c r="U357" s="680"/>
      <c r="V357" s="680"/>
    </row>
    <row r="358" ht="15.75" customHeight="1">
      <c r="A358" s="695"/>
      <c r="B358" s="696"/>
      <c r="C358" s="696"/>
      <c r="D358" s="696"/>
      <c r="E358" s="697"/>
      <c r="F358" s="698"/>
      <c r="G358" s="698"/>
      <c r="H358" s="698"/>
      <c r="I358" s="697"/>
      <c r="J358" s="699"/>
      <c r="K358" s="695"/>
      <c r="L358" s="699"/>
      <c r="M358" s="700"/>
      <c r="N358" s="701"/>
      <c r="O358" s="701"/>
      <c r="P358" s="697"/>
      <c r="Q358" s="701"/>
      <c r="R358" s="701"/>
      <c r="S358" s="680"/>
      <c r="T358" s="680"/>
      <c r="U358" s="680"/>
      <c r="V358" s="680"/>
    </row>
    <row r="359" ht="15.75" customHeight="1">
      <c r="A359" s="695"/>
      <c r="B359" s="696"/>
      <c r="C359" s="696"/>
      <c r="D359" s="696"/>
      <c r="E359" s="697"/>
      <c r="F359" s="698"/>
      <c r="G359" s="698"/>
      <c r="H359" s="698"/>
      <c r="I359" s="697"/>
      <c r="J359" s="699"/>
      <c r="K359" s="695"/>
      <c r="L359" s="699"/>
      <c r="M359" s="700"/>
      <c r="N359" s="701"/>
      <c r="O359" s="701"/>
      <c r="P359" s="697"/>
      <c r="Q359" s="701"/>
      <c r="R359" s="701"/>
      <c r="S359" s="680"/>
      <c r="T359" s="680"/>
      <c r="U359" s="680"/>
      <c r="V359" s="680"/>
    </row>
    <row r="360" ht="15.75" customHeight="1">
      <c r="A360" s="695"/>
      <c r="B360" s="696"/>
      <c r="C360" s="696"/>
      <c r="D360" s="696"/>
      <c r="E360" s="697"/>
      <c r="F360" s="698"/>
      <c r="G360" s="698"/>
      <c r="H360" s="698"/>
      <c r="I360" s="697"/>
      <c r="J360" s="699"/>
      <c r="K360" s="695"/>
      <c r="L360" s="699"/>
      <c r="M360" s="700"/>
      <c r="N360" s="701"/>
      <c r="O360" s="701"/>
      <c r="P360" s="697"/>
      <c r="Q360" s="701"/>
      <c r="R360" s="701"/>
      <c r="S360" s="680"/>
      <c r="T360" s="680"/>
      <c r="U360" s="680"/>
      <c r="V360" s="680"/>
    </row>
    <row r="361" ht="15.75" customHeight="1">
      <c r="A361" s="695"/>
      <c r="B361" s="696"/>
      <c r="C361" s="696"/>
      <c r="D361" s="696"/>
      <c r="E361" s="697"/>
      <c r="F361" s="698"/>
      <c r="G361" s="698"/>
      <c r="H361" s="698"/>
      <c r="I361" s="697"/>
      <c r="J361" s="699"/>
      <c r="K361" s="695"/>
      <c r="L361" s="699"/>
      <c r="M361" s="700"/>
      <c r="N361" s="701"/>
      <c r="O361" s="701"/>
      <c r="P361" s="697"/>
      <c r="Q361" s="701"/>
      <c r="R361" s="701"/>
      <c r="S361" s="680"/>
      <c r="T361" s="680"/>
      <c r="U361" s="680"/>
      <c r="V361" s="680"/>
    </row>
    <row r="362" ht="15.75" customHeight="1">
      <c r="A362" s="695"/>
      <c r="B362" s="696"/>
      <c r="C362" s="696"/>
      <c r="D362" s="696"/>
      <c r="E362" s="697"/>
      <c r="F362" s="698"/>
      <c r="G362" s="698"/>
      <c r="H362" s="698"/>
      <c r="I362" s="697"/>
      <c r="J362" s="699"/>
      <c r="K362" s="695"/>
      <c r="L362" s="699"/>
      <c r="M362" s="700"/>
      <c r="N362" s="701"/>
      <c r="O362" s="701"/>
      <c r="P362" s="697"/>
      <c r="Q362" s="701"/>
      <c r="R362" s="701"/>
      <c r="S362" s="680"/>
      <c r="T362" s="680"/>
      <c r="U362" s="680"/>
      <c r="V362" s="680"/>
    </row>
    <row r="363" ht="15.75" customHeight="1">
      <c r="A363" s="695"/>
      <c r="B363" s="696"/>
      <c r="C363" s="696"/>
      <c r="D363" s="696"/>
      <c r="E363" s="697"/>
      <c r="F363" s="698"/>
      <c r="G363" s="698"/>
      <c r="H363" s="698"/>
      <c r="I363" s="697"/>
      <c r="J363" s="699"/>
      <c r="K363" s="695"/>
      <c r="L363" s="699"/>
      <c r="M363" s="700"/>
      <c r="N363" s="701"/>
      <c r="O363" s="701"/>
      <c r="P363" s="697"/>
      <c r="Q363" s="701"/>
      <c r="R363" s="701"/>
      <c r="S363" s="680"/>
      <c r="T363" s="680"/>
      <c r="U363" s="680"/>
      <c r="V363" s="680"/>
    </row>
    <row r="364" ht="15.75" customHeight="1">
      <c r="A364" s="695"/>
      <c r="B364" s="696"/>
      <c r="C364" s="696"/>
      <c r="D364" s="696"/>
      <c r="E364" s="697"/>
      <c r="F364" s="698"/>
      <c r="G364" s="698"/>
      <c r="H364" s="698"/>
      <c r="I364" s="697"/>
      <c r="J364" s="699"/>
      <c r="K364" s="695"/>
      <c r="L364" s="699"/>
      <c r="M364" s="700"/>
      <c r="N364" s="701"/>
      <c r="O364" s="701"/>
      <c r="P364" s="697"/>
      <c r="Q364" s="701"/>
      <c r="R364" s="701"/>
      <c r="S364" s="680"/>
      <c r="T364" s="680"/>
      <c r="U364" s="680"/>
      <c r="V364" s="680"/>
    </row>
    <row r="365" ht="15.75" customHeight="1">
      <c r="A365" s="695"/>
      <c r="B365" s="696"/>
      <c r="C365" s="696"/>
      <c r="D365" s="696"/>
      <c r="E365" s="697"/>
      <c r="F365" s="698"/>
      <c r="G365" s="698"/>
      <c r="H365" s="698"/>
      <c r="I365" s="697"/>
      <c r="J365" s="699"/>
      <c r="K365" s="695"/>
      <c r="L365" s="699"/>
      <c r="M365" s="700"/>
      <c r="N365" s="701"/>
      <c r="O365" s="701"/>
      <c r="P365" s="697"/>
      <c r="Q365" s="701"/>
      <c r="R365" s="701"/>
      <c r="S365" s="680"/>
      <c r="T365" s="680"/>
      <c r="U365" s="680"/>
      <c r="V365" s="680"/>
    </row>
    <row r="366" ht="15.75" customHeight="1">
      <c r="A366" s="695"/>
      <c r="B366" s="696"/>
      <c r="C366" s="696"/>
      <c r="D366" s="696"/>
      <c r="E366" s="697"/>
      <c r="F366" s="698"/>
      <c r="G366" s="698"/>
      <c r="H366" s="698"/>
      <c r="I366" s="697"/>
      <c r="J366" s="699"/>
      <c r="K366" s="695"/>
      <c r="L366" s="699"/>
      <c r="M366" s="700"/>
      <c r="N366" s="701"/>
      <c r="O366" s="701"/>
      <c r="P366" s="697"/>
      <c r="Q366" s="701"/>
      <c r="R366" s="701"/>
      <c r="S366" s="680"/>
      <c r="T366" s="680"/>
      <c r="U366" s="680"/>
      <c r="V366" s="680"/>
    </row>
    <row r="367" ht="15.75" customHeight="1">
      <c r="A367" s="695"/>
      <c r="B367" s="696"/>
      <c r="C367" s="696"/>
      <c r="D367" s="696"/>
      <c r="E367" s="697"/>
      <c r="F367" s="698"/>
      <c r="G367" s="698"/>
      <c r="H367" s="698"/>
      <c r="I367" s="697"/>
      <c r="J367" s="699"/>
      <c r="K367" s="695"/>
      <c r="L367" s="699"/>
      <c r="M367" s="700"/>
      <c r="N367" s="701"/>
      <c r="O367" s="701"/>
      <c r="P367" s="697"/>
      <c r="Q367" s="701"/>
      <c r="R367" s="701"/>
      <c r="S367" s="680"/>
      <c r="T367" s="680"/>
      <c r="U367" s="680"/>
      <c r="V367" s="680"/>
    </row>
    <row r="368" ht="15.75" customHeight="1">
      <c r="A368" s="695"/>
      <c r="B368" s="696"/>
      <c r="C368" s="696"/>
      <c r="D368" s="696"/>
      <c r="E368" s="697"/>
      <c r="F368" s="698"/>
      <c r="G368" s="698"/>
      <c r="H368" s="698"/>
      <c r="I368" s="697"/>
      <c r="J368" s="699"/>
      <c r="K368" s="695"/>
      <c r="L368" s="699"/>
      <c r="M368" s="700"/>
      <c r="N368" s="701"/>
      <c r="O368" s="701"/>
      <c r="P368" s="697"/>
      <c r="Q368" s="701"/>
      <c r="R368" s="701"/>
      <c r="S368" s="680"/>
      <c r="T368" s="680"/>
      <c r="U368" s="680"/>
      <c r="V368" s="680"/>
    </row>
    <row r="369" ht="15.75" customHeight="1">
      <c r="A369" s="695"/>
      <c r="B369" s="696"/>
      <c r="C369" s="696"/>
      <c r="D369" s="696"/>
      <c r="E369" s="697"/>
      <c r="F369" s="698"/>
      <c r="G369" s="698"/>
      <c r="H369" s="698"/>
      <c r="I369" s="697"/>
      <c r="J369" s="699"/>
      <c r="K369" s="695"/>
      <c r="L369" s="699"/>
      <c r="M369" s="700"/>
      <c r="N369" s="701"/>
      <c r="O369" s="701"/>
      <c r="P369" s="697"/>
      <c r="Q369" s="701"/>
      <c r="R369" s="701"/>
      <c r="S369" s="680"/>
      <c r="T369" s="680"/>
      <c r="U369" s="680"/>
      <c r="V369" s="680"/>
    </row>
    <row r="370" ht="15.75" customHeight="1">
      <c r="A370" s="695"/>
      <c r="B370" s="696"/>
      <c r="C370" s="696"/>
      <c r="D370" s="696"/>
      <c r="E370" s="697"/>
      <c r="F370" s="698"/>
      <c r="G370" s="698"/>
      <c r="H370" s="698"/>
      <c r="I370" s="697"/>
      <c r="J370" s="699"/>
      <c r="K370" s="695"/>
      <c r="L370" s="699"/>
      <c r="M370" s="700"/>
      <c r="N370" s="701"/>
      <c r="O370" s="701"/>
      <c r="P370" s="697"/>
      <c r="Q370" s="701"/>
      <c r="R370" s="701"/>
      <c r="S370" s="680"/>
      <c r="T370" s="680"/>
      <c r="U370" s="680"/>
      <c r="V370" s="680"/>
    </row>
    <row r="371" ht="15.75" customHeight="1">
      <c r="A371" s="695"/>
      <c r="B371" s="696"/>
      <c r="C371" s="696"/>
      <c r="D371" s="696"/>
      <c r="E371" s="697"/>
      <c r="F371" s="698"/>
      <c r="G371" s="698"/>
      <c r="H371" s="698"/>
      <c r="I371" s="697"/>
      <c r="J371" s="699"/>
      <c r="K371" s="695"/>
      <c r="L371" s="699"/>
      <c r="M371" s="700"/>
      <c r="N371" s="701"/>
      <c r="O371" s="701"/>
      <c r="P371" s="697"/>
      <c r="Q371" s="701"/>
      <c r="R371" s="701"/>
      <c r="S371" s="680"/>
      <c r="T371" s="680"/>
      <c r="U371" s="680"/>
      <c r="V371" s="680"/>
    </row>
    <row r="372" ht="15.75" customHeight="1">
      <c r="A372" s="695"/>
      <c r="B372" s="696"/>
      <c r="C372" s="696"/>
      <c r="D372" s="696"/>
      <c r="E372" s="697"/>
      <c r="F372" s="698"/>
      <c r="G372" s="698"/>
      <c r="H372" s="698"/>
      <c r="I372" s="697"/>
      <c r="J372" s="699"/>
      <c r="K372" s="695"/>
      <c r="L372" s="699"/>
      <c r="M372" s="700"/>
      <c r="N372" s="701"/>
      <c r="O372" s="701"/>
      <c r="P372" s="697"/>
      <c r="Q372" s="701"/>
      <c r="R372" s="701"/>
      <c r="S372" s="680"/>
      <c r="T372" s="680"/>
      <c r="U372" s="680"/>
      <c r="V372" s="680"/>
    </row>
    <row r="373" ht="15.75" customHeight="1">
      <c r="A373" s="695"/>
      <c r="B373" s="696"/>
      <c r="C373" s="696"/>
      <c r="D373" s="696"/>
      <c r="E373" s="697"/>
      <c r="F373" s="698"/>
      <c r="G373" s="698"/>
      <c r="H373" s="698"/>
      <c r="I373" s="697"/>
      <c r="J373" s="699"/>
      <c r="K373" s="695"/>
      <c r="L373" s="699"/>
      <c r="M373" s="700"/>
      <c r="N373" s="701"/>
      <c r="O373" s="701"/>
      <c r="P373" s="697"/>
      <c r="Q373" s="701"/>
      <c r="R373" s="701"/>
      <c r="S373" s="680"/>
      <c r="T373" s="680"/>
      <c r="U373" s="680"/>
      <c r="V373" s="680"/>
    </row>
    <row r="374" ht="15.75" customHeight="1">
      <c r="A374" s="695"/>
      <c r="B374" s="696"/>
      <c r="C374" s="696"/>
      <c r="D374" s="696"/>
      <c r="E374" s="697"/>
      <c r="F374" s="698"/>
      <c r="G374" s="698"/>
      <c r="H374" s="698"/>
      <c r="I374" s="697"/>
      <c r="J374" s="699"/>
      <c r="K374" s="695"/>
      <c r="L374" s="699"/>
      <c r="M374" s="700"/>
      <c r="N374" s="701"/>
      <c r="O374" s="701"/>
      <c r="P374" s="697"/>
      <c r="Q374" s="701"/>
      <c r="R374" s="701"/>
      <c r="S374" s="680"/>
      <c r="T374" s="680"/>
      <c r="U374" s="680"/>
      <c r="V374" s="680"/>
    </row>
    <row r="375" ht="15.75" customHeight="1">
      <c r="A375" s="695"/>
      <c r="B375" s="696"/>
      <c r="C375" s="696"/>
      <c r="D375" s="696"/>
      <c r="E375" s="697"/>
      <c r="F375" s="698"/>
      <c r="G375" s="698"/>
      <c r="H375" s="698"/>
      <c r="I375" s="697"/>
      <c r="J375" s="699"/>
      <c r="K375" s="695"/>
      <c r="L375" s="699"/>
      <c r="M375" s="700"/>
      <c r="N375" s="701"/>
      <c r="O375" s="701"/>
      <c r="P375" s="697"/>
      <c r="Q375" s="701"/>
      <c r="R375" s="701"/>
      <c r="S375" s="680"/>
      <c r="T375" s="680"/>
      <c r="U375" s="680"/>
      <c r="V375" s="680"/>
    </row>
    <row r="376" ht="15.75" customHeight="1">
      <c r="A376" s="695"/>
      <c r="B376" s="696"/>
      <c r="C376" s="696"/>
      <c r="D376" s="696"/>
      <c r="E376" s="697"/>
      <c r="F376" s="698"/>
      <c r="G376" s="698"/>
      <c r="H376" s="698"/>
      <c r="I376" s="697"/>
      <c r="J376" s="699"/>
      <c r="K376" s="695"/>
      <c r="L376" s="699"/>
      <c r="M376" s="700"/>
      <c r="N376" s="701"/>
      <c r="O376" s="701"/>
      <c r="P376" s="697"/>
      <c r="Q376" s="701"/>
      <c r="R376" s="701"/>
      <c r="S376" s="680"/>
      <c r="T376" s="680"/>
      <c r="U376" s="680"/>
      <c r="V376" s="680"/>
    </row>
    <row r="377" ht="15.75" customHeight="1">
      <c r="A377" s="695"/>
      <c r="B377" s="696"/>
      <c r="C377" s="696"/>
      <c r="D377" s="696"/>
      <c r="E377" s="697"/>
      <c r="F377" s="698"/>
      <c r="G377" s="698"/>
      <c r="H377" s="698"/>
      <c r="I377" s="697"/>
      <c r="J377" s="699"/>
      <c r="K377" s="695"/>
      <c r="L377" s="699"/>
      <c r="M377" s="700"/>
      <c r="N377" s="701"/>
      <c r="O377" s="701"/>
      <c r="P377" s="697"/>
      <c r="Q377" s="701"/>
      <c r="R377" s="701"/>
      <c r="S377" s="680"/>
      <c r="T377" s="680"/>
      <c r="U377" s="680"/>
      <c r="V377" s="680"/>
    </row>
    <row r="378" ht="15.75" customHeight="1">
      <c r="A378" s="695"/>
      <c r="B378" s="696"/>
      <c r="C378" s="696"/>
      <c r="D378" s="696"/>
      <c r="E378" s="697"/>
      <c r="F378" s="698"/>
      <c r="G378" s="698"/>
      <c r="H378" s="698"/>
      <c r="I378" s="697"/>
      <c r="J378" s="699"/>
      <c r="K378" s="695"/>
      <c r="L378" s="699"/>
      <c r="M378" s="700"/>
      <c r="N378" s="701"/>
      <c r="O378" s="701"/>
      <c r="P378" s="697"/>
      <c r="Q378" s="701"/>
      <c r="R378" s="701"/>
      <c r="S378" s="680"/>
      <c r="T378" s="680"/>
      <c r="U378" s="680"/>
      <c r="V378" s="680"/>
    </row>
    <row r="379" ht="15.75" customHeight="1">
      <c r="A379" s="695"/>
      <c r="B379" s="696"/>
      <c r="C379" s="696"/>
      <c r="D379" s="696"/>
      <c r="E379" s="697"/>
      <c r="F379" s="698"/>
      <c r="G379" s="698"/>
      <c r="H379" s="698"/>
      <c r="I379" s="697"/>
      <c r="J379" s="699"/>
      <c r="K379" s="695"/>
      <c r="L379" s="699"/>
      <c r="M379" s="700"/>
      <c r="N379" s="701"/>
      <c r="O379" s="701"/>
      <c r="P379" s="697"/>
      <c r="Q379" s="701"/>
      <c r="R379" s="701"/>
      <c r="S379" s="680"/>
      <c r="T379" s="680"/>
      <c r="U379" s="680"/>
      <c r="V379" s="680"/>
    </row>
    <row r="380" ht="15.75" customHeight="1">
      <c r="A380" s="695"/>
      <c r="B380" s="696"/>
      <c r="C380" s="696"/>
      <c r="D380" s="696"/>
      <c r="E380" s="697"/>
      <c r="F380" s="698"/>
      <c r="G380" s="698"/>
      <c r="H380" s="698"/>
      <c r="I380" s="697"/>
      <c r="J380" s="699"/>
      <c r="K380" s="695"/>
      <c r="L380" s="699"/>
      <c r="M380" s="700"/>
      <c r="N380" s="701"/>
      <c r="O380" s="701"/>
      <c r="P380" s="697"/>
      <c r="Q380" s="701"/>
      <c r="R380" s="701"/>
      <c r="S380" s="680"/>
      <c r="T380" s="680"/>
      <c r="U380" s="680"/>
      <c r="V380" s="680"/>
    </row>
    <row r="381" ht="15.75" customHeight="1">
      <c r="A381" s="695"/>
      <c r="B381" s="696"/>
      <c r="C381" s="696"/>
      <c r="D381" s="696"/>
      <c r="E381" s="697"/>
      <c r="F381" s="698"/>
      <c r="G381" s="698"/>
      <c r="H381" s="698"/>
      <c r="I381" s="697"/>
      <c r="J381" s="699"/>
      <c r="K381" s="695"/>
      <c r="L381" s="699"/>
      <c r="M381" s="700"/>
      <c r="N381" s="701"/>
      <c r="O381" s="701"/>
      <c r="P381" s="697"/>
      <c r="Q381" s="701"/>
      <c r="R381" s="701"/>
      <c r="S381" s="680"/>
      <c r="T381" s="680"/>
      <c r="U381" s="680"/>
      <c r="V381" s="680"/>
    </row>
    <row r="382" ht="15.75" customHeight="1">
      <c r="A382" s="695"/>
      <c r="B382" s="696"/>
      <c r="C382" s="696"/>
      <c r="D382" s="696"/>
      <c r="E382" s="697"/>
      <c r="F382" s="698"/>
      <c r="G382" s="698"/>
      <c r="H382" s="698"/>
      <c r="I382" s="697"/>
      <c r="J382" s="699"/>
      <c r="K382" s="695"/>
      <c r="L382" s="699"/>
      <c r="M382" s="700"/>
      <c r="N382" s="701"/>
      <c r="O382" s="701"/>
      <c r="P382" s="697"/>
      <c r="Q382" s="701"/>
      <c r="R382" s="701"/>
      <c r="S382" s="680"/>
      <c r="T382" s="680"/>
      <c r="U382" s="680"/>
      <c r="V382" s="680"/>
    </row>
    <row r="383" ht="15.75" customHeight="1">
      <c r="A383" s="695"/>
      <c r="B383" s="696"/>
      <c r="C383" s="696"/>
      <c r="D383" s="696"/>
      <c r="E383" s="697"/>
      <c r="F383" s="698"/>
      <c r="G383" s="698"/>
      <c r="H383" s="698"/>
      <c r="I383" s="697"/>
      <c r="J383" s="699"/>
      <c r="K383" s="695"/>
      <c r="L383" s="699"/>
      <c r="M383" s="700"/>
      <c r="N383" s="701"/>
      <c r="O383" s="701"/>
      <c r="P383" s="697"/>
      <c r="Q383" s="701"/>
      <c r="R383" s="701"/>
      <c r="S383" s="680"/>
      <c r="T383" s="680"/>
      <c r="U383" s="680"/>
      <c r="V383" s="680"/>
    </row>
    <row r="384" ht="15.75" customHeight="1">
      <c r="A384" s="695"/>
      <c r="B384" s="696"/>
      <c r="C384" s="696"/>
      <c r="D384" s="696"/>
      <c r="E384" s="697"/>
      <c r="F384" s="698"/>
      <c r="G384" s="698"/>
      <c r="H384" s="698"/>
      <c r="I384" s="697"/>
      <c r="J384" s="699"/>
      <c r="K384" s="695"/>
      <c r="L384" s="699"/>
      <c r="M384" s="700"/>
      <c r="N384" s="701"/>
      <c r="O384" s="701"/>
      <c r="P384" s="697"/>
      <c r="Q384" s="701"/>
      <c r="R384" s="701"/>
      <c r="S384" s="680"/>
      <c r="T384" s="680"/>
      <c r="U384" s="680"/>
      <c r="V384" s="680"/>
    </row>
    <row r="385" ht="15.75" customHeight="1">
      <c r="A385" s="695"/>
      <c r="B385" s="696"/>
      <c r="C385" s="696"/>
      <c r="D385" s="696"/>
      <c r="E385" s="697"/>
      <c r="F385" s="698"/>
      <c r="G385" s="698"/>
      <c r="H385" s="698"/>
      <c r="I385" s="697"/>
      <c r="J385" s="699"/>
      <c r="K385" s="695"/>
      <c r="L385" s="699"/>
      <c r="M385" s="700"/>
      <c r="N385" s="701"/>
      <c r="O385" s="701"/>
      <c r="P385" s="697"/>
      <c r="Q385" s="701"/>
      <c r="R385" s="701"/>
      <c r="S385" s="680"/>
      <c r="T385" s="680"/>
      <c r="U385" s="680"/>
      <c r="V385" s="680"/>
    </row>
    <row r="386" ht="15.75" customHeight="1">
      <c r="A386" s="695"/>
      <c r="B386" s="696"/>
      <c r="C386" s="696"/>
      <c r="D386" s="696"/>
      <c r="E386" s="697"/>
      <c r="F386" s="698"/>
      <c r="G386" s="698"/>
      <c r="H386" s="698"/>
      <c r="I386" s="697"/>
      <c r="J386" s="699"/>
      <c r="K386" s="695"/>
      <c r="L386" s="699"/>
      <c r="M386" s="700"/>
      <c r="N386" s="701"/>
      <c r="O386" s="701"/>
      <c r="P386" s="697"/>
      <c r="Q386" s="701"/>
      <c r="R386" s="701"/>
      <c r="S386" s="680"/>
      <c r="T386" s="680"/>
      <c r="U386" s="680"/>
      <c r="V386" s="680"/>
    </row>
    <row r="387" ht="15.75" customHeight="1">
      <c r="A387" s="695"/>
      <c r="B387" s="696"/>
      <c r="C387" s="696"/>
      <c r="D387" s="696"/>
      <c r="E387" s="697"/>
      <c r="F387" s="698"/>
      <c r="G387" s="698"/>
      <c r="H387" s="698"/>
      <c r="I387" s="697"/>
      <c r="J387" s="699"/>
      <c r="K387" s="695"/>
      <c r="L387" s="699"/>
      <c r="M387" s="700"/>
      <c r="N387" s="701"/>
      <c r="O387" s="701"/>
      <c r="P387" s="697"/>
      <c r="Q387" s="701"/>
      <c r="R387" s="701"/>
      <c r="S387" s="680"/>
      <c r="T387" s="680"/>
      <c r="U387" s="680"/>
      <c r="V387" s="680"/>
    </row>
    <row r="388" ht="15.75" customHeight="1">
      <c r="A388" s="695"/>
      <c r="B388" s="696"/>
      <c r="C388" s="696"/>
      <c r="D388" s="696"/>
      <c r="E388" s="697"/>
      <c r="F388" s="698"/>
      <c r="G388" s="698"/>
      <c r="H388" s="698"/>
      <c r="I388" s="697"/>
      <c r="J388" s="699"/>
      <c r="K388" s="695"/>
      <c r="L388" s="699"/>
      <c r="M388" s="700"/>
      <c r="N388" s="701"/>
      <c r="O388" s="701"/>
      <c r="P388" s="697"/>
      <c r="Q388" s="701"/>
      <c r="R388" s="701"/>
      <c r="S388" s="680"/>
      <c r="T388" s="680"/>
      <c r="U388" s="680"/>
      <c r="V388" s="680"/>
    </row>
    <row r="389" ht="15.75" customHeight="1">
      <c r="A389" s="695"/>
      <c r="B389" s="696"/>
      <c r="C389" s="696"/>
      <c r="D389" s="696"/>
      <c r="E389" s="697"/>
      <c r="F389" s="698"/>
      <c r="G389" s="698"/>
      <c r="H389" s="698"/>
      <c r="I389" s="697"/>
      <c r="J389" s="699"/>
      <c r="K389" s="695"/>
      <c r="L389" s="699"/>
      <c r="M389" s="700"/>
      <c r="N389" s="701"/>
      <c r="O389" s="701"/>
      <c r="P389" s="697"/>
      <c r="Q389" s="701"/>
      <c r="R389" s="701"/>
      <c r="S389" s="680"/>
      <c r="T389" s="680"/>
      <c r="U389" s="680"/>
      <c r="V389" s="680"/>
    </row>
    <row r="390" ht="15.75" customHeight="1">
      <c r="A390" s="695"/>
      <c r="B390" s="696"/>
      <c r="C390" s="696"/>
      <c r="D390" s="696"/>
      <c r="E390" s="697"/>
      <c r="F390" s="698"/>
      <c r="G390" s="698"/>
      <c r="H390" s="698"/>
      <c r="I390" s="697"/>
      <c r="J390" s="699"/>
      <c r="K390" s="695"/>
      <c r="L390" s="699"/>
      <c r="M390" s="700"/>
      <c r="N390" s="701"/>
      <c r="O390" s="701"/>
      <c r="P390" s="697"/>
      <c r="Q390" s="701"/>
      <c r="R390" s="701"/>
      <c r="S390" s="680"/>
      <c r="T390" s="680"/>
      <c r="U390" s="680"/>
      <c r="V390" s="680"/>
    </row>
    <row r="391" ht="15.75" customHeight="1">
      <c r="A391" s="695"/>
      <c r="B391" s="696"/>
      <c r="C391" s="696"/>
      <c r="D391" s="696"/>
      <c r="E391" s="697"/>
      <c r="F391" s="698"/>
      <c r="G391" s="698"/>
      <c r="H391" s="698"/>
      <c r="I391" s="697"/>
      <c r="J391" s="699"/>
      <c r="K391" s="695"/>
      <c r="L391" s="699"/>
      <c r="M391" s="700"/>
      <c r="N391" s="701"/>
      <c r="O391" s="701"/>
      <c r="P391" s="697"/>
      <c r="Q391" s="701"/>
      <c r="R391" s="701"/>
      <c r="S391" s="680"/>
      <c r="T391" s="680"/>
      <c r="U391" s="680"/>
      <c r="V391" s="680"/>
    </row>
    <row r="392" ht="15.75" customHeight="1">
      <c r="A392" s="695"/>
      <c r="B392" s="696"/>
      <c r="C392" s="696"/>
      <c r="D392" s="696"/>
      <c r="E392" s="697"/>
      <c r="F392" s="698"/>
      <c r="G392" s="698"/>
      <c r="H392" s="698"/>
      <c r="I392" s="697"/>
      <c r="J392" s="699"/>
      <c r="K392" s="695"/>
      <c r="L392" s="699"/>
      <c r="M392" s="700"/>
      <c r="N392" s="701"/>
      <c r="O392" s="701"/>
      <c r="P392" s="697"/>
      <c r="Q392" s="701"/>
      <c r="R392" s="701"/>
      <c r="S392" s="680"/>
      <c r="T392" s="680"/>
      <c r="U392" s="680"/>
      <c r="V392" s="680"/>
    </row>
    <row r="393" ht="15.75" customHeight="1">
      <c r="A393" s="695"/>
      <c r="B393" s="696"/>
      <c r="C393" s="696"/>
      <c r="D393" s="696"/>
      <c r="E393" s="697"/>
      <c r="F393" s="698"/>
      <c r="G393" s="698"/>
      <c r="H393" s="698"/>
      <c r="I393" s="697"/>
      <c r="J393" s="699"/>
      <c r="K393" s="695"/>
      <c r="L393" s="699"/>
      <c r="M393" s="700"/>
      <c r="N393" s="701"/>
      <c r="O393" s="701"/>
      <c r="P393" s="697"/>
      <c r="Q393" s="701"/>
      <c r="R393" s="701"/>
      <c r="S393" s="680"/>
      <c r="T393" s="680"/>
      <c r="U393" s="680"/>
      <c r="V393" s="680"/>
    </row>
    <row r="394" ht="15.75" customHeight="1">
      <c r="A394" s="695"/>
      <c r="B394" s="696"/>
      <c r="C394" s="696"/>
      <c r="D394" s="696"/>
      <c r="E394" s="697"/>
      <c r="F394" s="698"/>
      <c r="G394" s="698"/>
      <c r="H394" s="698"/>
      <c r="I394" s="697"/>
      <c r="J394" s="699"/>
      <c r="K394" s="695"/>
      <c r="L394" s="699"/>
      <c r="M394" s="700"/>
      <c r="N394" s="701"/>
      <c r="O394" s="701"/>
      <c r="P394" s="697"/>
      <c r="Q394" s="701"/>
      <c r="R394" s="701"/>
      <c r="S394" s="680"/>
      <c r="T394" s="680"/>
      <c r="U394" s="680"/>
      <c r="V394" s="680"/>
    </row>
    <row r="395" ht="15.75" customHeight="1">
      <c r="A395" s="695"/>
      <c r="B395" s="696"/>
      <c r="C395" s="696"/>
      <c r="D395" s="696"/>
      <c r="E395" s="697"/>
      <c r="F395" s="698"/>
      <c r="G395" s="698"/>
      <c r="H395" s="698"/>
      <c r="I395" s="697"/>
      <c r="J395" s="699"/>
      <c r="K395" s="695"/>
      <c r="L395" s="699"/>
      <c r="M395" s="700"/>
      <c r="N395" s="701"/>
      <c r="O395" s="701"/>
      <c r="P395" s="697"/>
      <c r="Q395" s="701"/>
      <c r="R395" s="701"/>
      <c r="S395" s="680"/>
      <c r="T395" s="680"/>
      <c r="U395" s="680"/>
      <c r="V395" s="680"/>
    </row>
    <row r="396" ht="15.75" customHeight="1">
      <c r="A396" s="695"/>
      <c r="B396" s="696"/>
      <c r="C396" s="696"/>
      <c r="D396" s="696"/>
      <c r="E396" s="697"/>
      <c r="F396" s="698"/>
      <c r="G396" s="698"/>
      <c r="H396" s="698"/>
      <c r="I396" s="697"/>
      <c r="J396" s="699"/>
      <c r="K396" s="695"/>
      <c r="L396" s="699"/>
      <c r="M396" s="700"/>
      <c r="N396" s="701"/>
      <c r="O396" s="701"/>
      <c r="P396" s="697"/>
      <c r="Q396" s="701"/>
      <c r="R396" s="701"/>
      <c r="S396" s="680"/>
      <c r="T396" s="680"/>
      <c r="U396" s="680"/>
      <c r="V396" s="680"/>
    </row>
    <row r="397" ht="15.75" customHeight="1">
      <c r="A397" s="695"/>
      <c r="B397" s="696"/>
      <c r="C397" s="696"/>
      <c r="D397" s="696"/>
      <c r="E397" s="697"/>
      <c r="F397" s="698"/>
      <c r="G397" s="698"/>
      <c r="H397" s="698"/>
      <c r="I397" s="697"/>
      <c r="J397" s="699"/>
      <c r="K397" s="695"/>
      <c r="L397" s="699"/>
      <c r="M397" s="700"/>
      <c r="N397" s="701"/>
      <c r="O397" s="701"/>
      <c r="P397" s="697"/>
      <c r="Q397" s="701"/>
      <c r="R397" s="701"/>
      <c r="S397" s="680"/>
      <c r="T397" s="680"/>
      <c r="U397" s="680"/>
      <c r="V397" s="680"/>
    </row>
    <row r="398" ht="15.75" customHeight="1">
      <c r="A398" s="695"/>
      <c r="B398" s="696"/>
      <c r="C398" s="696"/>
      <c r="D398" s="696"/>
      <c r="E398" s="697"/>
      <c r="F398" s="698"/>
      <c r="G398" s="698"/>
      <c r="H398" s="698"/>
      <c r="I398" s="697"/>
      <c r="J398" s="699"/>
      <c r="K398" s="695"/>
      <c r="L398" s="699"/>
      <c r="M398" s="700"/>
      <c r="N398" s="701"/>
      <c r="O398" s="701"/>
      <c r="P398" s="697"/>
      <c r="Q398" s="701"/>
      <c r="R398" s="701"/>
      <c r="S398" s="680"/>
      <c r="T398" s="680"/>
      <c r="U398" s="680"/>
      <c r="V398" s="680"/>
    </row>
    <row r="399" ht="15.75" customHeight="1">
      <c r="A399" s="695"/>
      <c r="B399" s="696"/>
      <c r="C399" s="696"/>
      <c r="D399" s="696"/>
      <c r="E399" s="697"/>
      <c r="F399" s="698"/>
      <c r="G399" s="698"/>
      <c r="H399" s="698"/>
      <c r="I399" s="697"/>
      <c r="J399" s="699"/>
      <c r="K399" s="695"/>
      <c r="L399" s="699"/>
      <c r="M399" s="700"/>
      <c r="N399" s="701"/>
      <c r="O399" s="701"/>
      <c r="P399" s="697"/>
      <c r="Q399" s="701"/>
      <c r="R399" s="701"/>
      <c r="S399" s="680"/>
      <c r="T399" s="680"/>
      <c r="U399" s="680"/>
      <c r="V399" s="680"/>
    </row>
    <row r="400" ht="15.75" customHeight="1">
      <c r="A400" s="695"/>
      <c r="B400" s="696"/>
      <c r="C400" s="696"/>
      <c r="D400" s="696"/>
      <c r="E400" s="697"/>
      <c r="F400" s="698"/>
      <c r="G400" s="698"/>
      <c r="H400" s="698"/>
      <c r="I400" s="697"/>
      <c r="J400" s="699"/>
      <c r="K400" s="695"/>
      <c r="L400" s="699"/>
      <c r="M400" s="700"/>
      <c r="N400" s="701"/>
      <c r="O400" s="701"/>
      <c r="P400" s="697"/>
      <c r="Q400" s="701"/>
      <c r="R400" s="701"/>
      <c r="S400" s="680"/>
      <c r="T400" s="680"/>
      <c r="U400" s="680"/>
      <c r="V400" s="680"/>
    </row>
    <row r="401" ht="15.75" customHeight="1">
      <c r="A401" s="695"/>
      <c r="B401" s="696"/>
      <c r="C401" s="696"/>
      <c r="D401" s="696"/>
      <c r="E401" s="697"/>
      <c r="F401" s="698"/>
      <c r="G401" s="698"/>
      <c r="H401" s="698"/>
      <c r="I401" s="697"/>
      <c r="J401" s="699"/>
      <c r="K401" s="695"/>
      <c r="L401" s="699"/>
      <c r="M401" s="700"/>
      <c r="N401" s="701"/>
      <c r="O401" s="701"/>
      <c r="P401" s="697"/>
      <c r="Q401" s="701"/>
      <c r="R401" s="701"/>
      <c r="S401" s="680"/>
      <c r="T401" s="680"/>
      <c r="U401" s="680"/>
      <c r="V401" s="680"/>
    </row>
    <row r="402" ht="15.75" customHeight="1">
      <c r="A402" s="695"/>
      <c r="B402" s="696"/>
      <c r="C402" s="696"/>
      <c r="D402" s="696"/>
      <c r="E402" s="697"/>
      <c r="F402" s="698"/>
      <c r="G402" s="698"/>
      <c r="H402" s="698"/>
      <c r="I402" s="697"/>
      <c r="J402" s="699"/>
      <c r="K402" s="695"/>
      <c r="L402" s="699"/>
      <c r="M402" s="700"/>
      <c r="N402" s="701"/>
      <c r="O402" s="701"/>
      <c r="P402" s="697"/>
      <c r="Q402" s="701"/>
      <c r="R402" s="701"/>
      <c r="S402" s="680"/>
      <c r="T402" s="680"/>
      <c r="U402" s="680"/>
      <c r="V402" s="680"/>
    </row>
    <row r="403" ht="15.75" customHeight="1">
      <c r="A403" s="695"/>
      <c r="B403" s="696"/>
      <c r="C403" s="696"/>
      <c r="D403" s="696"/>
      <c r="E403" s="697"/>
      <c r="F403" s="698"/>
      <c r="G403" s="698"/>
      <c r="H403" s="698"/>
      <c r="I403" s="697"/>
      <c r="J403" s="699"/>
      <c r="K403" s="695"/>
      <c r="L403" s="699"/>
      <c r="M403" s="700"/>
      <c r="N403" s="701"/>
      <c r="O403" s="701"/>
      <c r="P403" s="697"/>
      <c r="Q403" s="701"/>
      <c r="R403" s="701"/>
      <c r="S403" s="680"/>
      <c r="T403" s="680"/>
      <c r="U403" s="680"/>
      <c r="V403" s="680"/>
    </row>
    <row r="404" ht="15.75" customHeight="1">
      <c r="A404" s="695"/>
      <c r="B404" s="696"/>
      <c r="C404" s="696"/>
      <c r="D404" s="696"/>
      <c r="E404" s="697"/>
      <c r="F404" s="698"/>
      <c r="G404" s="698"/>
      <c r="H404" s="698"/>
      <c r="I404" s="697"/>
      <c r="J404" s="699"/>
      <c r="K404" s="695"/>
      <c r="L404" s="699"/>
      <c r="M404" s="700"/>
      <c r="N404" s="701"/>
      <c r="O404" s="701"/>
      <c r="P404" s="697"/>
      <c r="Q404" s="701"/>
      <c r="R404" s="701"/>
      <c r="S404" s="680"/>
      <c r="T404" s="680"/>
      <c r="U404" s="680"/>
      <c r="V404" s="680"/>
    </row>
    <row r="405" ht="15.75" customHeight="1">
      <c r="A405" s="695"/>
      <c r="B405" s="696"/>
      <c r="C405" s="696"/>
      <c r="D405" s="696"/>
      <c r="E405" s="697"/>
      <c r="F405" s="698"/>
      <c r="G405" s="698"/>
      <c r="H405" s="698"/>
      <c r="I405" s="697"/>
      <c r="J405" s="699"/>
      <c r="K405" s="695"/>
      <c r="L405" s="699"/>
      <c r="M405" s="700"/>
      <c r="N405" s="701"/>
      <c r="O405" s="701"/>
      <c r="P405" s="697"/>
      <c r="Q405" s="701"/>
      <c r="R405" s="701"/>
      <c r="S405" s="680"/>
      <c r="T405" s="680"/>
      <c r="U405" s="680"/>
      <c r="V405" s="680"/>
    </row>
    <row r="406" ht="15.75" customHeight="1">
      <c r="A406" s="695"/>
      <c r="B406" s="696"/>
      <c r="C406" s="696"/>
      <c r="D406" s="696"/>
      <c r="E406" s="697"/>
      <c r="F406" s="698"/>
      <c r="G406" s="698"/>
      <c r="H406" s="698"/>
      <c r="I406" s="697"/>
      <c r="J406" s="699"/>
      <c r="K406" s="695"/>
      <c r="L406" s="699"/>
      <c r="M406" s="700"/>
      <c r="N406" s="701"/>
      <c r="O406" s="701"/>
      <c r="P406" s="697"/>
      <c r="Q406" s="701"/>
      <c r="R406" s="701"/>
      <c r="S406" s="680"/>
      <c r="T406" s="680"/>
      <c r="U406" s="680"/>
      <c r="V406" s="680"/>
    </row>
    <row r="407" ht="15.75" customHeight="1">
      <c r="A407" s="695"/>
      <c r="B407" s="696"/>
      <c r="C407" s="696"/>
      <c r="D407" s="696"/>
      <c r="E407" s="697"/>
      <c r="F407" s="698"/>
      <c r="G407" s="698"/>
      <c r="H407" s="698"/>
      <c r="I407" s="697"/>
      <c r="J407" s="699"/>
      <c r="K407" s="695"/>
      <c r="L407" s="699"/>
      <c r="M407" s="700"/>
      <c r="N407" s="701"/>
      <c r="O407" s="701"/>
      <c r="P407" s="697"/>
      <c r="Q407" s="701"/>
      <c r="R407" s="701"/>
      <c r="S407" s="680"/>
      <c r="T407" s="680"/>
      <c r="U407" s="680"/>
      <c r="V407" s="680"/>
    </row>
    <row r="408" ht="15.75" customHeight="1">
      <c r="A408" s="695"/>
      <c r="B408" s="696"/>
      <c r="C408" s="696"/>
      <c r="D408" s="696"/>
      <c r="E408" s="697"/>
      <c r="F408" s="698"/>
      <c r="G408" s="698"/>
      <c r="H408" s="698"/>
      <c r="I408" s="697"/>
      <c r="J408" s="699"/>
      <c r="K408" s="695"/>
      <c r="L408" s="699"/>
      <c r="M408" s="700"/>
      <c r="N408" s="701"/>
      <c r="O408" s="701"/>
      <c r="P408" s="697"/>
      <c r="Q408" s="701"/>
      <c r="R408" s="701"/>
      <c r="S408" s="680"/>
      <c r="T408" s="680"/>
      <c r="U408" s="680"/>
      <c r="V408" s="680"/>
    </row>
    <row r="409" ht="15.75" customHeight="1">
      <c r="A409" s="695"/>
      <c r="B409" s="696"/>
      <c r="C409" s="696"/>
      <c r="D409" s="696"/>
      <c r="E409" s="697"/>
      <c r="F409" s="698"/>
      <c r="G409" s="698"/>
      <c r="H409" s="698"/>
      <c r="I409" s="697"/>
      <c r="J409" s="699"/>
      <c r="K409" s="695"/>
      <c r="L409" s="699"/>
      <c r="M409" s="700"/>
      <c r="N409" s="701"/>
      <c r="O409" s="701"/>
      <c r="P409" s="697"/>
      <c r="Q409" s="701"/>
      <c r="R409" s="701"/>
      <c r="S409" s="680"/>
      <c r="T409" s="680"/>
      <c r="U409" s="680"/>
      <c r="V409" s="680"/>
    </row>
    <row r="410" ht="15.75" customHeight="1">
      <c r="A410" s="695"/>
      <c r="B410" s="696"/>
      <c r="C410" s="696"/>
      <c r="D410" s="696"/>
      <c r="E410" s="697"/>
      <c r="F410" s="698"/>
      <c r="G410" s="698"/>
      <c r="H410" s="698"/>
      <c r="I410" s="697"/>
      <c r="J410" s="699"/>
      <c r="K410" s="695"/>
      <c r="L410" s="699"/>
      <c r="M410" s="700"/>
      <c r="N410" s="701"/>
      <c r="O410" s="701"/>
      <c r="P410" s="697"/>
      <c r="Q410" s="701"/>
      <c r="R410" s="701"/>
      <c r="S410" s="680"/>
      <c r="T410" s="680"/>
      <c r="U410" s="680"/>
      <c r="V410" s="680"/>
    </row>
    <row r="411" ht="15.75" customHeight="1">
      <c r="A411" s="695"/>
      <c r="B411" s="696"/>
      <c r="C411" s="696"/>
      <c r="D411" s="696"/>
      <c r="E411" s="697"/>
      <c r="F411" s="698"/>
      <c r="G411" s="698"/>
      <c r="H411" s="698"/>
      <c r="I411" s="697"/>
      <c r="J411" s="699"/>
      <c r="K411" s="695"/>
      <c r="L411" s="699"/>
      <c r="M411" s="700"/>
      <c r="N411" s="701"/>
      <c r="O411" s="701"/>
      <c r="P411" s="697"/>
      <c r="Q411" s="701"/>
      <c r="R411" s="701"/>
      <c r="S411" s="680"/>
      <c r="T411" s="680"/>
      <c r="U411" s="680"/>
      <c r="V411" s="680"/>
    </row>
    <row r="412" ht="15.75" customHeight="1">
      <c r="A412" s="695"/>
      <c r="B412" s="696"/>
      <c r="C412" s="696"/>
      <c r="D412" s="696"/>
      <c r="E412" s="697"/>
      <c r="F412" s="698"/>
      <c r="G412" s="698"/>
      <c r="H412" s="698"/>
      <c r="I412" s="697"/>
      <c r="J412" s="699"/>
      <c r="K412" s="695"/>
      <c r="L412" s="699"/>
      <c r="M412" s="700"/>
      <c r="N412" s="701"/>
      <c r="O412" s="701"/>
      <c r="P412" s="697"/>
      <c r="Q412" s="701"/>
      <c r="R412" s="701"/>
      <c r="S412" s="680"/>
      <c r="T412" s="680"/>
      <c r="U412" s="680"/>
      <c r="V412" s="680"/>
    </row>
    <row r="413" ht="15.75" customHeight="1">
      <c r="A413" s="695"/>
      <c r="B413" s="696"/>
      <c r="C413" s="696"/>
      <c r="D413" s="696"/>
      <c r="E413" s="697"/>
      <c r="F413" s="698"/>
      <c r="G413" s="698"/>
      <c r="H413" s="698"/>
      <c r="I413" s="697"/>
      <c r="J413" s="699"/>
      <c r="K413" s="695"/>
      <c r="L413" s="699"/>
      <c r="M413" s="700"/>
      <c r="N413" s="701"/>
      <c r="O413" s="701"/>
      <c r="P413" s="697"/>
      <c r="Q413" s="701"/>
      <c r="R413" s="701"/>
      <c r="S413" s="680"/>
      <c r="T413" s="680"/>
      <c r="U413" s="680"/>
      <c r="V413" s="680"/>
    </row>
    <row r="414" ht="15.75" customHeight="1">
      <c r="A414" s="695"/>
      <c r="B414" s="696"/>
      <c r="C414" s="696"/>
      <c r="D414" s="696"/>
      <c r="E414" s="697"/>
      <c r="F414" s="698"/>
      <c r="G414" s="698"/>
      <c r="H414" s="698"/>
      <c r="I414" s="697"/>
      <c r="J414" s="699"/>
      <c r="K414" s="695"/>
      <c r="L414" s="699"/>
      <c r="M414" s="700"/>
      <c r="N414" s="701"/>
      <c r="O414" s="701"/>
      <c r="P414" s="697"/>
      <c r="Q414" s="701"/>
      <c r="R414" s="701"/>
      <c r="S414" s="680"/>
      <c r="T414" s="680"/>
      <c r="U414" s="680"/>
      <c r="V414" s="680"/>
    </row>
    <row r="415" ht="15.75" customHeight="1">
      <c r="A415" s="695"/>
      <c r="B415" s="696"/>
      <c r="C415" s="696"/>
      <c r="D415" s="696"/>
      <c r="E415" s="697"/>
      <c r="F415" s="698"/>
      <c r="G415" s="698"/>
      <c r="H415" s="698"/>
      <c r="I415" s="697"/>
      <c r="J415" s="699"/>
      <c r="K415" s="695"/>
      <c r="L415" s="699"/>
      <c r="M415" s="700"/>
      <c r="N415" s="701"/>
      <c r="O415" s="701"/>
      <c r="P415" s="697"/>
      <c r="Q415" s="701"/>
      <c r="R415" s="701"/>
      <c r="S415" s="680"/>
      <c r="T415" s="680"/>
      <c r="U415" s="680"/>
      <c r="V415" s="680"/>
    </row>
    <row r="416" ht="15.75" customHeight="1">
      <c r="A416" s="695"/>
      <c r="B416" s="696"/>
      <c r="C416" s="696"/>
      <c r="D416" s="696"/>
      <c r="E416" s="697"/>
      <c r="F416" s="698"/>
      <c r="G416" s="698"/>
      <c r="H416" s="698"/>
      <c r="I416" s="697"/>
      <c r="J416" s="699"/>
      <c r="K416" s="695"/>
      <c r="L416" s="699"/>
      <c r="M416" s="700"/>
      <c r="N416" s="701"/>
      <c r="O416" s="701"/>
      <c r="P416" s="697"/>
      <c r="Q416" s="701"/>
      <c r="R416" s="701"/>
      <c r="S416" s="680"/>
      <c r="T416" s="680"/>
      <c r="U416" s="680"/>
      <c r="V416" s="680"/>
    </row>
    <row r="417" ht="15.75" customHeight="1">
      <c r="A417" s="695"/>
      <c r="B417" s="696"/>
      <c r="C417" s="696"/>
      <c r="D417" s="696"/>
      <c r="E417" s="697"/>
      <c r="F417" s="698"/>
      <c r="G417" s="698"/>
      <c r="H417" s="698"/>
      <c r="I417" s="697"/>
      <c r="J417" s="699"/>
      <c r="K417" s="695"/>
      <c r="L417" s="699"/>
      <c r="M417" s="700"/>
      <c r="N417" s="701"/>
      <c r="O417" s="701"/>
      <c r="P417" s="697"/>
      <c r="Q417" s="701"/>
      <c r="R417" s="701"/>
      <c r="S417" s="680"/>
      <c r="T417" s="680"/>
      <c r="U417" s="680"/>
      <c r="V417" s="680"/>
    </row>
    <row r="418" ht="15.75" customHeight="1">
      <c r="A418" s="695"/>
      <c r="B418" s="696"/>
      <c r="C418" s="696"/>
      <c r="D418" s="696"/>
      <c r="E418" s="697"/>
      <c r="F418" s="698"/>
      <c r="G418" s="698"/>
      <c r="H418" s="698"/>
      <c r="I418" s="697"/>
      <c r="J418" s="699"/>
      <c r="K418" s="695"/>
      <c r="L418" s="699"/>
      <c r="M418" s="700"/>
      <c r="N418" s="701"/>
      <c r="O418" s="701"/>
      <c r="P418" s="697"/>
      <c r="Q418" s="701"/>
      <c r="R418" s="701"/>
      <c r="S418" s="680"/>
      <c r="T418" s="680"/>
      <c r="U418" s="680"/>
      <c r="V418" s="680"/>
    </row>
    <row r="419" ht="15.75" customHeight="1">
      <c r="A419" s="695"/>
      <c r="B419" s="696"/>
      <c r="C419" s="696"/>
      <c r="D419" s="696"/>
      <c r="E419" s="697"/>
      <c r="F419" s="698"/>
      <c r="G419" s="698"/>
      <c r="H419" s="698"/>
      <c r="I419" s="697"/>
      <c r="J419" s="699"/>
      <c r="K419" s="695"/>
      <c r="L419" s="699"/>
      <c r="M419" s="700"/>
      <c r="N419" s="701"/>
      <c r="O419" s="701"/>
      <c r="P419" s="697"/>
      <c r="Q419" s="701"/>
      <c r="R419" s="701"/>
      <c r="S419" s="680"/>
      <c r="T419" s="680"/>
      <c r="U419" s="680"/>
      <c r="V419" s="680"/>
    </row>
    <row r="420" ht="15.75" customHeight="1">
      <c r="A420" s="695"/>
      <c r="B420" s="696"/>
      <c r="C420" s="696"/>
      <c r="D420" s="696"/>
      <c r="E420" s="697"/>
      <c r="F420" s="698"/>
      <c r="G420" s="698"/>
      <c r="H420" s="698"/>
      <c r="I420" s="697"/>
      <c r="J420" s="699"/>
      <c r="K420" s="695"/>
      <c r="L420" s="699"/>
      <c r="M420" s="700"/>
      <c r="N420" s="701"/>
      <c r="O420" s="701"/>
      <c r="P420" s="697"/>
      <c r="Q420" s="701"/>
      <c r="R420" s="701"/>
      <c r="S420" s="680"/>
      <c r="T420" s="680"/>
      <c r="U420" s="680"/>
      <c r="V420" s="680"/>
    </row>
    <row r="421" ht="15.75" customHeight="1">
      <c r="A421" s="695"/>
      <c r="B421" s="696"/>
      <c r="C421" s="696"/>
      <c r="D421" s="696"/>
      <c r="E421" s="697"/>
      <c r="F421" s="698"/>
      <c r="G421" s="698"/>
      <c r="H421" s="698"/>
      <c r="I421" s="697"/>
      <c r="J421" s="699"/>
      <c r="K421" s="695"/>
      <c r="L421" s="699"/>
      <c r="M421" s="700"/>
      <c r="N421" s="701"/>
      <c r="O421" s="701"/>
      <c r="P421" s="697"/>
      <c r="Q421" s="701"/>
      <c r="R421" s="701"/>
      <c r="S421" s="680"/>
      <c r="T421" s="680"/>
      <c r="U421" s="680"/>
      <c r="V421" s="680"/>
    </row>
    <row r="422" ht="15.75" customHeight="1">
      <c r="A422" s="695"/>
      <c r="B422" s="696"/>
      <c r="C422" s="696"/>
      <c r="D422" s="696"/>
      <c r="E422" s="697"/>
      <c r="F422" s="698"/>
      <c r="G422" s="698"/>
      <c r="H422" s="698"/>
      <c r="I422" s="697"/>
      <c r="J422" s="699"/>
      <c r="K422" s="695"/>
      <c r="L422" s="699"/>
      <c r="M422" s="700"/>
      <c r="N422" s="701"/>
      <c r="O422" s="701"/>
      <c r="P422" s="697"/>
      <c r="Q422" s="701"/>
      <c r="R422" s="701"/>
      <c r="S422" s="680"/>
      <c r="T422" s="680"/>
      <c r="U422" s="680"/>
      <c r="V422" s="680"/>
    </row>
    <row r="423" ht="15.75" customHeight="1">
      <c r="A423" s="695"/>
      <c r="B423" s="696"/>
      <c r="C423" s="696"/>
      <c r="D423" s="696"/>
      <c r="E423" s="697"/>
      <c r="F423" s="698"/>
      <c r="G423" s="698"/>
      <c r="H423" s="698"/>
      <c r="I423" s="697"/>
      <c r="J423" s="699"/>
      <c r="K423" s="695"/>
      <c r="L423" s="699"/>
      <c r="M423" s="700"/>
      <c r="N423" s="701"/>
      <c r="O423" s="701"/>
      <c r="P423" s="697"/>
      <c r="Q423" s="701"/>
      <c r="R423" s="701"/>
      <c r="S423" s="680"/>
      <c r="T423" s="680"/>
      <c r="U423" s="680"/>
      <c r="V423" s="680"/>
    </row>
    <row r="424" ht="15.75" customHeight="1">
      <c r="A424" s="695"/>
      <c r="B424" s="696"/>
      <c r="C424" s="696"/>
      <c r="D424" s="696"/>
      <c r="E424" s="697"/>
      <c r="F424" s="698"/>
      <c r="G424" s="698"/>
      <c r="H424" s="698"/>
      <c r="I424" s="697"/>
      <c r="J424" s="699"/>
      <c r="K424" s="695"/>
      <c r="L424" s="699"/>
      <c r="M424" s="700"/>
      <c r="N424" s="701"/>
      <c r="O424" s="701"/>
      <c r="P424" s="697"/>
      <c r="Q424" s="701"/>
      <c r="R424" s="701"/>
      <c r="S424" s="680"/>
      <c r="T424" s="680"/>
      <c r="U424" s="680"/>
      <c r="V424" s="680"/>
    </row>
    <row r="425" ht="15.75" customHeight="1">
      <c r="A425" s="695"/>
      <c r="B425" s="696"/>
      <c r="C425" s="696"/>
      <c r="D425" s="696"/>
      <c r="E425" s="697"/>
      <c r="F425" s="698"/>
      <c r="G425" s="698"/>
      <c r="H425" s="698"/>
      <c r="I425" s="697"/>
      <c r="J425" s="699"/>
      <c r="K425" s="695"/>
      <c r="L425" s="699"/>
      <c r="M425" s="700"/>
      <c r="N425" s="701"/>
      <c r="O425" s="701"/>
      <c r="P425" s="697"/>
      <c r="Q425" s="701"/>
      <c r="R425" s="701"/>
      <c r="S425" s="680"/>
      <c r="T425" s="680"/>
      <c r="U425" s="680"/>
      <c r="V425" s="680"/>
    </row>
    <row r="426" ht="15.75" customHeight="1">
      <c r="A426" s="695"/>
      <c r="B426" s="696"/>
      <c r="C426" s="696"/>
      <c r="D426" s="696"/>
      <c r="E426" s="697"/>
      <c r="F426" s="698"/>
      <c r="G426" s="698"/>
      <c r="H426" s="698"/>
      <c r="I426" s="697"/>
      <c r="J426" s="699"/>
      <c r="K426" s="695"/>
      <c r="L426" s="699"/>
      <c r="M426" s="700"/>
      <c r="N426" s="701"/>
      <c r="O426" s="701"/>
      <c r="P426" s="697"/>
      <c r="Q426" s="701"/>
      <c r="R426" s="701"/>
      <c r="S426" s="680"/>
      <c r="T426" s="680"/>
      <c r="U426" s="680"/>
      <c r="V426" s="680"/>
    </row>
    <row r="427" ht="15.75" customHeight="1">
      <c r="A427" s="695"/>
      <c r="B427" s="696"/>
      <c r="C427" s="696"/>
      <c r="D427" s="696"/>
      <c r="E427" s="697"/>
      <c r="F427" s="698"/>
      <c r="G427" s="698"/>
      <c r="H427" s="698"/>
      <c r="I427" s="697"/>
      <c r="J427" s="699"/>
      <c r="K427" s="695"/>
      <c r="L427" s="699"/>
      <c r="M427" s="700"/>
      <c r="N427" s="701"/>
      <c r="O427" s="701"/>
      <c r="P427" s="697"/>
      <c r="Q427" s="701"/>
      <c r="R427" s="701"/>
      <c r="S427" s="680"/>
      <c r="T427" s="680"/>
      <c r="U427" s="680"/>
      <c r="V427" s="680"/>
    </row>
    <row r="428" ht="15.75" customHeight="1">
      <c r="A428" s="695"/>
      <c r="B428" s="696"/>
      <c r="C428" s="696"/>
      <c r="D428" s="696"/>
      <c r="E428" s="697"/>
      <c r="F428" s="698"/>
      <c r="G428" s="698"/>
      <c r="H428" s="698"/>
      <c r="I428" s="697"/>
      <c r="J428" s="699"/>
      <c r="K428" s="695"/>
      <c r="L428" s="699"/>
      <c r="M428" s="700"/>
      <c r="N428" s="701"/>
      <c r="O428" s="701"/>
      <c r="P428" s="697"/>
      <c r="Q428" s="701"/>
      <c r="R428" s="701"/>
      <c r="S428" s="680"/>
      <c r="T428" s="680"/>
      <c r="U428" s="680"/>
      <c r="V428" s="680"/>
    </row>
    <row r="429" ht="15.75" customHeight="1">
      <c r="A429" s="695"/>
      <c r="B429" s="696"/>
      <c r="C429" s="696"/>
      <c r="D429" s="696"/>
      <c r="E429" s="697"/>
      <c r="F429" s="698"/>
      <c r="G429" s="698"/>
      <c r="H429" s="698"/>
      <c r="I429" s="697"/>
      <c r="J429" s="699"/>
      <c r="K429" s="695"/>
      <c r="L429" s="699"/>
      <c r="M429" s="700"/>
      <c r="N429" s="701"/>
      <c r="O429" s="701"/>
      <c r="P429" s="697"/>
      <c r="Q429" s="701"/>
      <c r="R429" s="701"/>
      <c r="S429" s="680"/>
      <c r="T429" s="680"/>
      <c r="U429" s="680"/>
      <c r="V429" s="680"/>
    </row>
    <row r="430" ht="15.75" customHeight="1">
      <c r="A430" s="695"/>
      <c r="B430" s="696"/>
      <c r="C430" s="696"/>
      <c r="D430" s="696"/>
      <c r="E430" s="697"/>
      <c r="F430" s="698"/>
      <c r="G430" s="698"/>
      <c r="H430" s="698"/>
      <c r="I430" s="697"/>
      <c r="J430" s="699"/>
      <c r="K430" s="695"/>
      <c r="L430" s="699"/>
      <c r="M430" s="700"/>
      <c r="N430" s="701"/>
      <c r="O430" s="701"/>
      <c r="P430" s="697"/>
      <c r="Q430" s="701"/>
      <c r="R430" s="701"/>
      <c r="S430" s="680"/>
      <c r="T430" s="680"/>
      <c r="U430" s="680"/>
      <c r="V430" s="680"/>
    </row>
    <row r="431" ht="15.75" customHeight="1">
      <c r="A431" s="695"/>
      <c r="B431" s="696"/>
      <c r="C431" s="696"/>
      <c r="D431" s="696"/>
      <c r="E431" s="697"/>
      <c r="F431" s="698"/>
      <c r="G431" s="698"/>
      <c r="H431" s="698"/>
      <c r="I431" s="697"/>
      <c r="J431" s="699"/>
      <c r="K431" s="695"/>
      <c r="L431" s="699"/>
      <c r="M431" s="700"/>
      <c r="N431" s="701"/>
      <c r="O431" s="701"/>
      <c r="P431" s="697"/>
      <c r="Q431" s="701"/>
      <c r="R431" s="701"/>
      <c r="S431" s="680"/>
      <c r="T431" s="680"/>
      <c r="U431" s="680"/>
      <c r="V431" s="680"/>
    </row>
    <row r="432" ht="15.75" customHeight="1">
      <c r="A432" s="695"/>
      <c r="B432" s="696"/>
      <c r="C432" s="696"/>
      <c r="D432" s="696"/>
      <c r="E432" s="697"/>
      <c r="F432" s="698"/>
      <c r="G432" s="698"/>
      <c r="H432" s="698"/>
      <c r="I432" s="697"/>
      <c r="J432" s="699"/>
      <c r="K432" s="695"/>
      <c r="L432" s="699"/>
      <c r="M432" s="700"/>
      <c r="N432" s="701"/>
      <c r="O432" s="701"/>
      <c r="P432" s="697"/>
      <c r="Q432" s="701"/>
      <c r="R432" s="701"/>
      <c r="S432" s="680"/>
      <c r="T432" s="680"/>
      <c r="U432" s="680"/>
      <c r="V432" s="680"/>
    </row>
    <row r="433" ht="15.75" customHeight="1">
      <c r="A433" s="695"/>
      <c r="B433" s="696"/>
      <c r="C433" s="696"/>
      <c r="D433" s="696"/>
      <c r="E433" s="697"/>
      <c r="F433" s="698"/>
      <c r="G433" s="698"/>
      <c r="H433" s="698"/>
      <c r="I433" s="697"/>
      <c r="J433" s="699"/>
      <c r="K433" s="695"/>
      <c r="L433" s="699"/>
      <c r="M433" s="700"/>
      <c r="N433" s="701"/>
      <c r="O433" s="701"/>
      <c r="P433" s="697"/>
      <c r="Q433" s="701"/>
      <c r="R433" s="701"/>
      <c r="S433" s="680"/>
      <c r="T433" s="680"/>
      <c r="U433" s="680"/>
      <c r="V433" s="680"/>
    </row>
    <row r="434" ht="15.75" customHeight="1">
      <c r="A434" s="695"/>
      <c r="B434" s="696"/>
      <c r="C434" s="696"/>
      <c r="D434" s="696"/>
      <c r="E434" s="697"/>
      <c r="F434" s="698"/>
      <c r="G434" s="698"/>
      <c r="H434" s="698"/>
      <c r="I434" s="697"/>
      <c r="J434" s="699"/>
      <c r="K434" s="695"/>
      <c r="L434" s="699"/>
      <c r="M434" s="700"/>
      <c r="N434" s="701"/>
      <c r="O434" s="701"/>
      <c r="P434" s="697"/>
      <c r="Q434" s="701"/>
      <c r="R434" s="701"/>
      <c r="S434" s="680"/>
      <c r="T434" s="680"/>
      <c r="U434" s="680"/>
      <c r="V434" s="680"/>
    </row>
    <row r="435" ht="15.75" customHeight="1">
      <c r="A435" s="695"/>
      <c r="B435" s="696"/>
      <c r="C435" s="696"/>
      <c r="D435" s="696"/>
      <c r="E435" s="697"/>
      <c r="F435" s="698"/>
      <c r="G435" s="698"/>
      <c r="H435" s="698"/>
      <c r="I435" s="697"/>
      <c r="J435" s="699"/>
      <c r="K435" s="695"/>
      <c r="L435" s="699"/>
      <c r="M435" s="700"/>
      <c r="N435" s="701"/>
      <c r="O435" s="701"/>
      <c r="P435" s="697"/>
      <c r="Q435" s="701"/>
      <c r="R435" s="701"/>
      <c r="S435" s="680"/>
      <c r="T435" s="680"/>
      <c r="U435" s="680"/>
      <c r="V435" s="680"/>
    </row>
    <row r="436" ht="15.75" customHeight="1">
      <c r="A436" s="695"/>
      <c r="B436" s="696"/>
      <c r="C436" s="696"/>
      <c r="D436" s="696"/>
      <c r="E436" s="697"/>
      <c r="F436" s="698"/>
      <c r="G436" s="698"/>
      <c r="H436" s="698"/>
      <c r="I436" s="697"/>
      <c r="J436" s="699"/>
      <c r="K436" s="695"/>
      <c r="L436" s="699"/>
      <c r="M436" s="700"/>
      <c r="N436" s="701"/>
      <c r="O436" s="701"/>
      <c r="P436" s="697"/>
      <c r="Q436" s="701"/>
      <c r="R436" s="701"/>
      <c r="S436" s="680"/>
      <c r="T436" s="680"/>
      <c r="U436" s="680"/>
      <c r="V436" s="680"/>
    </row>
    <row r="437" ht="15.75" customHeight="1">
      <c r="A437" s="695"/>
      <c r="B437" s="696"/>
      <c r="C437" s="696"/>
      <c r="D437" s="696"/>
      <c r="E437" s="697"/>
      <c r="F437" s="698"/>
      <c r="G437" s="698"/>
      <c r="H437" s="698"/>
      <c r="I437" s="697"/>
      <c r="J437" s="699"/>
      <c r="K437" s="695"/>
      <c r="L437" s="699"/>
      <c r="M437" s="700"/>
      <c r="N437" s="701"/>
      <c r="O437" s="701"/>
      <c r="P437" s="697"/>
      <c r="Q437" s="701"/>
      <c r="R437" s="701"/>
      <c r="S437" s="680"/>
      <c r="T437" s="680"/>
      <c r="U437" s="680"/>
      <c r="V437" s="680"/>
    </row>
    <row r="438" ht="15.75" customHeight="1">
      <c r="A438" s="695"/>
      <c r="B438" s="696"/>
      <c r="C438" s="696"/>
      <c r="D438" s="696"/>
      <c r="E438" s="697"/>
      <c r="F438" s="698"/>
      <c r="G438" s="698"/>
      <c r="H438" s="698"/>
      <c r="I438" s="697"/>
      <c r="J438" s="699"/>
      <c r="K438" s="695"/>
      <c r="L438" s="699"/>
      <c r="M438" s="700"/>
      <c r="N438" s="701"/>
      <c r="O438" s="701"/>
      <c r="P438" s="697"/>
      <c r="Q438" s="701"/>
      <c r="R438" s="701"/>
      <c r="S438" s="680"/>
      <c r="T438" s="680"/>
      <c r="U438" s="680"/>
      <c r="V438" s="680"/>
    </row>
    <row r="439" ht="15.75" customHeight="1">
      <c r="A439" s="695"/>
      <c r="B439" s="696"/>
      <c r="C439" s="696"/>
      <c r="D439" s="696"/>
      <c r="E439" s="697"/>
      <c r="F439" s="698"/>
      <c r="G439" s="698"/>
      <c r="H439" s="698"/>
      <c r="I439" s="697"/>
      <c r="J439" s="699"/>
      <c r="K439" s="695"/>
      <c r="L439" s="699"/>
      <c r="M439" s="700"/>
      <c r="N439" s="701"/>
      <c r="O439" s="701"/>
      <c r="P439" s="697"/>
      <c r="Q439" s="701"/>
      <c r="R439" s="701"/>
      <c r="S439" s="680"/>
      <c r="T439" s="680"/>
      <c r="U439" s="680"/>
      <c r="V439" s="680"/>
    </row>
    <row r="440" ht="15.75" customHeight="1">
      <c r="A440" s="695"/>
      <c r="B440" s="696"/>
      <c r="C440" s="696"/>
      <c r="D440" s="696"/>
      <c r="E440" s="697"/>
      <c r="F440" s="698"/>
      <c r="G440" s="698"/>
      <c r="H440" s="698"/>
      <c r="I440" s="697"/>
      <c r="J440" s="699"/>
      <c r="K440" s="695"/>
      <c r="L440" s="699"/>
      <c r="M440" s="700"/>
      <c r="N440" s="701"/>
      <c r="O440" s="701"/>
      <c r="P440" s="697"/>
      <c r="Q440" s="701"/>
      <c r="R440" s="701"/>
      <c r="S440" s="680"/>
      <c r="T440" s="680"/>
      <c r="U440" s="680"/>
      <c r="V440" s="680"/>
    </row>
    <row r="441" ht="15.75" customHeight="1">
      <c r="A441" s="695"/>
      <c r="B441" s="696"/>
      <c r="C441" s="696"/>
      <c r="D441" s="696"/>
      <c r="E441" s="697"/>
      <c r="F441" s="698"/>
      <c r="G441" s="698"/>
      <c r="H441" s="698"/>
      <c r="I441" s="697"/>
      <c r="J441" s="699"/>
      <c r="K441" s="695"/>
      <c r="L441" s="699"/>
      <c r="M441" s="700"/>
      <c r="N441" s="701"/>
      <c r="O441" s="701"/>
      <c r="P441" s="697"/>
      <c r="Q441" s="701"/>
      <c r="R441" s="701"/>
      <c r="S441" s="680"/>
      <c r="T441" s="680"/>
      <c r="U441" s="680"/>
      <c r="V441" s="680"/>
    </row>
    <row r="442" ht="15.75" customHeight="1">
      <c r="A442" s="695"/>
      <c r="B442" s="696"/>
      <c r="C442" s="696"/>
      <c r="D442" s="696"/>
      <c r="E442" s="697"/>
      <c r="F442" s="698"/>
      <c r="G442" s="698"/>
      <c r="H442" s="698"/>
      <c r="I442" s="697"/>
      <c r="J442" s="699"/>
      <c r="K442" s="695"/>
      <c r="L442" s="699"/>
      <c r="M442" s="700"/>
      <c r="N442" s="701"/>
      <c r="O442" s="701"/>
      <c r="P442" s="697"/>
      <c r="Q442" s="701"/>
      <c r="R442" s="701"/>
      <c r="S442" s="680"/>
      <c r="T442" s="680"/>
      <c r="U442" s="680"/>
      <c r="V442" s="680"/>
    </row>
    <row r="443" ht="15.75" customHeight="1">
      <c r="A443" s="695"/>
      <c r="B443" s="696"/>
      <c r="C443" s="696"/>
      <c r="D443" s="696"/>
      <c r="E443" s="697"/>
      <c r="F443" s="698"/>
      <c r="G443" s="698"/>
      <c r="H443" s="698"/>
      <c r="I443" s="697"/>
      <c r="J443" s="699"/>
      <c r="K443" s="695"/>
      <c r="L443" s="699"/>
      <c r="M443" s="700"/>
      <c r="N443" s="701"/>
      <c r="O443" s="701"/>
      <c r="P443" s="697"/>
      <c r="Q443" s="701"/>
      <c r="R443" s="701"/>
      <c r="S443" s="680"/>
      <c r="T443" s="680"/>
      <c r="U443" s="680"/>
      <c r="V443" s="680"/>
    </row>
    <row r="444" ht="15.75" customHeight="1">
      <c r="A444" s="695"/>
      <c r="B444" s="696"/>
      <c r="C444" s="696"/>
      <c r="D444" s="696"/>
      <c r="E444" s="697"/>
      <c r="F444" s="698"/>
      <c r="G444" s="698"/>
      <c r="H444" s="698"/>
      <c r="I444" s="697"/>
      <c r="J444" s="699"/>
      <c r="K444" s="695"/>
      <c r="L444" s="699"/>
      <c r="M444" s="700"/>
      <c r="N444" s="701"/>
      <c r="O444" s="701"/>
      <c r="P444" s="697"/>
      <c r="Q444" s="701"/>
      <c r="R444" s="701"/>
      <c r="S444" s="680"/>
      <c r="T444" s="680"/>
      <c r="U444" s="680"/>
      <c r="V444" s="680"/>
    </row>
    <row r="445" ht="15.75" customHeight="1">
      <c r="A445" s="695"/>
      <c r="B445" s="696"/>
      <c r="C445" s="696"/>
      <c r="D445" s="696"/>
      <c r="E445" s="697"/>
      <c r="F445" s="698"/>
      <c r="G445" s="698"/>
      <c r="H445" s="698"/>
      <c r="I445" s="697"/>
      <c r="J445" s="699"/>
      <c r="K445" s="695"/>
      <c r="L445" s="699"/>
      <c r="M445" s="700"/>
      <c r="N445" s="701"/>
      <c r="O445" s="701"/>
      <c r="P445" s="697"/>
      <c r="Q445" s="701"/>
      <c r="R445" s="701"/>
      <c r="S445" s="680"/>
      <c r="T445" s="680"/>
      <c r="U445" s="680"/>
      <c r="V445" s="680"/>
    </row>
    <row r="446" ht="15.75" customHeight="1">
      <c r="A446" s="695"/>
      <c r="B446" s="696"/>
      <c r="C446" s="696"/>
      <c r="D446" s="696"/>
      <c r="E446" s="697"/>
      <c r="F446" s="698"/>
      <c r="G446" s="698"/>
      <c r="H446" s="698"/>
      <c r="I446" s="697"/>
      <c r="J446" s="699"/>
      <c r="K446" s="695"/>
      <c r="L446" s="699"/>
      <c r="M446" s="700"/>
      <c r="N446" s="701"/>
      <c r="O446" s="701"/>
      <c r="P446" s="697"/>
      <c r="Q446" s="701"/>
      <c r="R446" s="701"/>
      <c r="S446" s="680"/>
      <c r="T446" s="680"/>
      <c r="U446" s="680"/>
      <c r="V446" s="680"/>
    </row>
    <row r="447" ht="15.75" customHeight="1">
      <c r="A447" s="695"/>
      <c r="B447" s="696"/>
      <c r="C447" s="696"/>
      <c r="D447" s="696"/>
      <c r="E447" s="697"/>
      <c r="F447" s="698"/>
      <c r="G447" s="698"/>
      <c r="H447" s="698"/>
      <c r="I447" s="697"/>
      <c r="J447" s="699"/>
      <c r="K447" s="695"/>
      <c r="L447" s="699"/>
      <c r="M447" s="700"/>
      <c r="N447" s="701"/>
      <c r="O447" s="701"/>
      <c r="P447" s="697"/>
      <c r="Q447" s="701"/>
      <c r="R447" s="701"/>
      <c r="S447" s="680"/>
      <c r="T447" s="680"/>
      <c r="U447" s="680"/>
      <c r="V447" s="680"/>
    </row>
    <row r="448" ht="15.75" customHeight="1">
      <c r="A448" s="695"/>
      <c r="B448" s="696"/>
      <c r="C448" s="696"/>
      <c r="D448" s="696"/>
      <c r="E448" s="697"/>
      <c r="F448" s="698"/>
      <c r="G448" s="698"/>
      <c r="H448" s="698"/>
      <c r="I448" s="697"/>
      <c r="J448" s="699"/>
      <c r="K448" s="695"/>
      <c r="L448" s="699"/>
      <c r="M448" s="700"/>
      <c r="N448" s="701"/>
      <c r="O448" s="701"/>
      <c r="P448" s="697"/>
      <c r="Q448" s="701"/>
      <c r="R448" s="701"/>
      <c r="S448" s="680"/>
      <c r="T448" s="680"/>
      <c r="U448" s="680"/>
      <c r="V448" s="680"/>
    </row>
    <row r="449" ht="15.75" customHeight="1">
      <c r="A449" s="695"/>
      <c r="B449" s="696"/>
      <c r="C449" s="696"/>
      <c r="D449" s="696"/>
      <c r="E449" s="697"/>
      <c r="F449" s="698"/>
      <c r="G449" s="698"/>
      <c r="H449" s="698"/>
      <c r="I449" s="697"/>
      <c r="J449" s="699"/>
      <c r="K449" s="695"/>
      <c r="L449" s="699"/>
      <c r="M449" s="700"/>
      <c r="N449" s="701"/>
      <c r="O449" s="701"/>
      <c r="P449" s="697"/>
      <c r="Q449" s="701"/>
      <c r="R449" s="701"/>
      <c r="S449" s="680"/>
      <c r="T449" s="680"/>
      <c r="U449" s="680"/>
      <c r="V449" s="680"/>
    </row>
    <row r="450" ht="15.75" customHeight="1">
      <c r="A450" s="695"/>
      <c r="B450" s="696"/>
      <c r="C450" s="696"/>
      <c r="D450" s="696"/>
      <c r="E450" s="697"/>
      <c r="F450" s="698"/>
      <c r="G450" s="698"/>
      <c r="H450" s="698"/>
      <c r="I450" s="697"/>
      <c r="J450" s="699"/>
      <c r="K450" s="695"/>
      <c r="L450" s="699"/>
      <c r="M450" s="700"/>
      <c r="N450" s="701"/>
      <c r="O450" s="701"/>
      <c r="P450" s="697"/>
      <c r="Q450" s="701"/>
      <c r="R450" s="701"/>
      <c r="S450" s="680"/>
      <c r="T450" s="680"/>
      <c r="U450" s="680"/>
      <c r="V450" s="680"/>
    </row>
    <row r="451" ht="15.75" customHeight="1">
      <c r="A451" s="695"/>
      <c r="B451" s="696"/>
      <c r="C451" s="696"/>
      <c r="D451" s="696"/>
      <c r="E451" s="697"/>
      <c r="F451" s="698"/>
      <c r="G451" s="698"/>
      <c r="H451" s="698"/>
      <c r="I451" s="697"/>
      <c r="J451" s="699"/>
      <c r="K451" s="695"/>
      <c r="L451" s="699"/>
      <c r="M451" s="700"/>
      <c r="N451" s="701"/>
      <c r="O451" s="701"/>
      <c r="P451" s="697"/>
      <c r="Q451" s="701"/>
      <c r="R451" s="701"/>
      <c r="S451" s="680"/>
      <c r="T451" s="680"/>
      <c r="U451" s="680"/>
      <c r="V451" s="680"/>
    </row>
    <row r="452" ht="15.75" customHeight="1">
      <c r="A452" s="695"/>
      <c r="B452" s="696"/>
      <c r="C452" s="696"/>
      <c r="D452" s="696"/>
      <c r="E452" s="697"/>
      <c r="F452" s="698"/>
      <c r="G452" s="698"/>
      <c r="H452" s="698"/>
      <c r="I452" s="697"/>
      <c r="J452" s="699"/>
      <c r="K452" s="695"/>
      <c r="L452" s="699"/>
      <c r="M452" s="700"/>
      <c r="N452" s="701"/>
      <c r="O452" s="701"/>
      <c r="P452" s="697"/>
      <c r="Q452" s="701"/>
      <c r="R452" s="701"/>
      <c r="S452" s="680"/>
      <c r="T452" s="680"/>
      <c r="U452" s="680"/>
      <c r="V452" s="680"/>
    </row>
    <row r="453" ht="15.75" customHeight="1">
      <c r="A453" s="695"/>
      <c r="B453" s="696"/>
      <c r="C453" s="696"/>
      <c r="D453" s="696"/>
      <c r="E453" s="697"/>
      <c r="F453" s="698"/>
      <c r="G453" s="698"/>
      <c r="H453" s="698"/>
      <c r="I453" s="697"/>
      <c r="J453" s="699"/>
      <c r="K453" s="695"/>
      <c r="L453" s="699"/>
      <c r="M453" s="700"/>
      <c r="N453" s="701"/>
      <c r="O453" s="701"/>
      <c r="P453" s="697"/>
      <c r="Q453" s="701"/>
      <c r="R453" s="701"/>
      <c r="S453" s="680"/>
      <c r="T453" s="680"/>
      <c r="U453" s="680"/>
      <c r="V453" s="680"/>
    </row>
    <row r="454" ht="15.75" customHeight="1">
      <c r="A454" s="695"/>
      <c r="B454" s="696"/>
      <c r="C454" s="696"/>
      <c r="D454" s="696"/>
      <c r="E454" s="697"/>
      <c r="F454" s="698"/>
      <c r="G454" s="698"/>
      <c r="H454" s="698"/>
      <c r="I454" s="697"/>
      <c r="J454" s="699"/>
      <c r="K454" s="695"/>
      <c r="L454" s="699"/>
      <c r="M454" s="700"/>
      <c r="N454" s="701"/>
      <c r="O454" s="701"/>
      <c r="P454" s="697"/>
      <c r="Q454" s="701"/>
      <c r="R454" s="701"/>
      <c r="S454" s="680"/>
      <c r="T454" s="680"/>
      <c r="U454" s="680"/>
      <c r="V454" s="680"/>
    </row>
    <row r="455" ht="15.75" customHeight="1">
      <c r="A455" s="695"/>
      <c r="B455" s="696"/>
      <c r="C455" s="696"/>
      <c r="D455" s="696"/>
      <c r="E455" s="697"/>
      <c r="F455" s="698"/>
      <c r="G455" s="698"/>
      <c r="H455" s="698"/>
      <c r="I455" s="697"/>
      <c r="J455" s="699"/>
      <c r="K455" s="695"/>
      <c r="L455" s="699"/>
      <c r="M455" s="700"/>
      <c r="N455" s="701"/>
      <c r="O455" s="701"/>
      <c r="P455" s="697"/>
      <c r="Q455" s="701"/>
      <c r="R455" s="701"/>
      <c r="S455" s="680"/>
      <c r="T455" s="680"/>
      <c r="U455" s="680"/>
      <c r="V455" s="680"/>
    </row>
    <row r="456" ht="15.75" customHeight="1">
      <c r="A456" s="695"/>
      <c r="B456" s="696"/>
      <c r="C456" s="696"/>
      <c r="D456" s="696"/>
      <c r="E456" s="697"/>
      <c r="F456" s="698"/>
      <c r="G456" s="698"/>
      <c r="H456" s="698"/>
      <c r="I456" s="697"/>
      <c r="J456" s="699"/>
      <c r="K456" s="695"/>
      <c r="L456" s="699"/>
      <c r="M456" s="700"/>
      <c r="N456" s="701"/>
      <c r="O456" s="701"/>
      <c r="P456" s="697"/>
      <c r="Q456" s="701"/>
      <c r="R456" s="701"/>
      <c r="S456" s="680"/>
      <c r="T456" s="680"/>
      <c r="U456" s="680"/>
      <c r="V456" s="680"/>
    </row>
    <row r="457" ht="15.75" customHeight="1">
      <c r="A457" s="695"/>
      <c r="B457" s="696"/>
      <c r="C457" s="696"/>
      <c r="D457" s="696"/>
      <c r="E457" s="697"/>
      <c r="F457" s="698"/>
      <c r="G457" s="698"/>
      <c r="H457" s="698"/>
      <c r="I457" s="697"/>
      <c r="J457" s="699"/>
      <c r="K457" s="695"/>
      <c r="L457" s="699"/>
      <c r="M457" s="700"/>
      <c r="N457" s="701"/>
      <c r="O457" s="701"/>
      <c r="P457" s="697"/>
      <c r="Q457" s="701"/>
      <c r="R457" s="701"/>
      <c r="S457" s="680"/>
      <c r="T457" s="680"/>
      <c r="U457" s="680"/>
      <c r="V457" s="680"/>
    </row>
    <row r="458" ht="15.75" customHeight="1">
      <c r="A458" s="695"/>
      <c r="B458" s="696"/>
      <c r="C458" s="696"/>
      <c r="D458" s="696"/>
      <c r="E458" s="697"/>
      <c r="F458" s="698"/>
      <c r="G458" s="698"/>
      <c r="H458" s="698"/>
      <c r="I458" s="697"/>
      <c r="J458" s="699"/>
      <c r="K458" s="695"/>
      <c r="L458" s="699"/>
      <c r="M458" s="700"/>
      <c r="N458" s="701"/>
      <c r="O458" s="701"/>
      <c r="P458" s="697"/>
      <c r="Q458" s="701"/>
      <c r="R458" s="701"/>
      <c r="S458" s="680"/>
      <c r="T458" s="680"/>
      <c r="U458" s="680"/>
      <c r="V458" s="680"/>
    </row>
    <row r="459" ht="15.75" customHeight="1">
      <c r="A459" s="695"/>
      <c r="B459" s="696"/>
      <c r="C459" s="696"/>
      <c r="D459" s="696"/>
      <c r="E459" s="697"/>
      <c r="F459" s="698"/>
      <c r="G459" s="698"/>
      <c r="H459" s="698"/>
      <c r="I459" s="697"/>
      <c r="J459" s="699"/>
      <c r="K459" s="695"/>
      <c r="L459" s="699"/>
      <c r="M459" s="700"/>
      <c r="N459" s="701"/>
      <c r="O459" s="701"/>
      <c r="P459" s="697"/>
      <c r="Q459" s="701"/>
      <c r="R459" s="701"/>
      <c r="S459" s="680"/>
      <c r="T459" s="680"/>
      <c r="U459" s="680"/>
      <c r="V459" s="680"/>
    </row>
    <row r="460" ht="15.75" customHeight="1">
      <c r="A460" s="695"/>
      <c r="B460" s="696"/>
      <c r="C460" s="696"/>
      <c r="D460" s="696"/>
      <c r="E460" s="697"/>
      <c r="F460" s="698"/>
      <c r="G460" s="698"/>
      <c r="H460" s="698"/>
      <c r="I460" s="697"/>
      <c r="J460" s="699"/>
      <c r="K460" s="695"/>
      <c r="L460" s="699"/>
      <c r="M460" s="700"/>
      <c r="N460" s="701"/>
      <c r="O460" s="701"/>
      <c r="P460" s="697"/>
      <c r="Q460" s="701"/>
      <c r="R460" s="701"/>
      <c r="S460" s="680"/>
      <c r="T460" s="680"/>
      <c r="U460" s="680"/>
      <c r="V460" s="680"/>
    </row>
    <row r="461" ht="15.75" customHeight="1">
      <c r="A461" s="695"/>
      <c r="B461" s="696"/>
      <c r="C461" s="696"/>
      <c r="D461" s="696"/>
      <c r="E461" s="697"/>
      <c r="F461" s="698"/>
      <c r="G461" s="698"/>
      <c r="H461" s="698"/>
      <c r="I461" s="697"/>
      <c r="J461" s="699"/>
      <c r="K461" s="695"/>
      <c r="L461" s="699"/>
      <c r="M461" s="700"/>
      <c r="N461" s="701"/>
      <c r="O461" s="701"/>
      <c r="P461" s="697"/>
      <c r="Q461" s="701"/>
      <c r="R461" s="701"/>
      <c r="S461" s="680"/>
      <c r="T461" s="680"/>
      <c r="U461" s="680"/>
      <c r="V461" s="680"/>
    </row>
    <row r="462" ht="15.75" customHeight="1">
      <c r="A462" s="695"/>
      <c r="B462" s="696"/>
      <c r="C462" s="696"/>
      <c r="D462" s="696"/>
      <c r="E462" s="697"/>
      <c r="F462" s="698"/>
      <c r="G462" s="698"/>
      <c r="H462" s="698"/>
      <c r="I462" s="697"/>
      <c r="J462" s="699"/>
      <c r="K462" s="695"/>
      <c r="L462" s="699"/>
      <c r="M462" s="700"/>
      <c r="N462" s="701"/>
      <c r="O462" s="701"/>
      <c r="P462" s="697"/>
      <c r="Q462" s="701"/>
      <c r="R462" s="701"/>
      <c r="S462" s="680"/>
      <c r="T462" s="680"/>
      <c r="U462" s="680"/>
      <c r="V462" s="680"/>
    </row>
    <row r="463" ht="15.75" customHeight="1">
      <c r="A463" s="695"/>
      <c r="B463" s="696"/>
      <c r="C463" s="696"/>
      <c r="D463" s="696"/>
      <c r="E463" s="697"/>
      <c r="F463" s="698"/>
      <c r="G463" s="698"/>
      <c r="H463" s="698"/>
      <c r="I463" s="697"/>
      <c r="J463" s="699"/>
      <c r="K463" s="695"/>
      <c r="L463" s="699"/>
      <c r="M463" s="700"/>
      <c r="N463" s="701"/>
      <c r="O463" s="701"/>
      <c r="P463" s="697"/>
      <c r="Q463" s="701"/>
      <c r="R463" s="701"/>
      <c r="S463" s="680"/>
      <c r="T463" s="680"/>
      <c r="U463" s="680"/>
      <c r="V463" s="680"/>
    </row>
    <row r="464" ht="15.75" customHeight="1">
      <c r="A464" s="695"/>
      <c r="B464" s="696"/>
      <c r="C464" s="696"/>
      <c r="D464" s="696"/>
      <c r="E464" s="697"/>
      <c r="F464" s="698"/>
      <c r="G464" s="698"/>
      <c r="H464" s="698"/>
      <c r="I464" s="697"/>
      <c r="J464" s="699"/>
      <c r="K464" s="695"/>
      <c r="L464" s="699"/>
      <c r="M464" s="700"/>
      <c r="N464" s="701"/>
      <c r="O464" s="701"/>
      <c r="P464" s="697"/>
      <c r="Q464" s="701"/>
      <c r="R464" s="701"/>
      <c r="S464" s="680"/>
      <c r="T464" s="680"/>
      <c r="U464" s="680"/>
      <c r="V464" s="680"/>
    </row>
    <row r="465" ht="15.75" customHeight="1">
      <c r="A465" s="695"/>
      <c r="B465" s="696"/>
      <c r="C465" s="696"/>
      <c r="D465" s="696"/>
      <c r="E465" s="697"/>
      <c r="F465" s="698"/>
      <c r="G465" s="698"/>
      <c r="H465" s="698"/>
      <c r="I465" s="697"/>
      <c r="J465" s="699"/>
      <c r="K465" s="695"/>
      <c r="L465" s="699"/>
      <c r="M465" s="700"/>
      <c r="N465" s="701"/>
      <c r="O465" s="701"/>
      <c r="P465" s="697"/>
      <c r="Q465" s="701"/>
      <c r="R465" s="701"/>
      <c r="S465" s="680"/>
      <c r="T465" s="680"/>
      <c r="U465" s="680"/>
      <c r="V465" s="680"/>
    </row>
    <row r="466" ht="15.75" customHeight="1">
      <c r="A466" s="695"/>
      <c r="B466" s="696"/>
      <c r="C466" s="696"/>
      <c r="D466" s="696"/>
      <c r="E466" s="697"/>
      <c r="F466" s="698"/>
      <c r="G466" s="698"/>
      <c r="H466" s="698"/>
      <c r="I466" s="697"/>
      <c r="J466" s="699"/>
      <c r="K466" s="695"/>
      <c r="L466" s="699"/>
      <c r="M466" s="700"/>
      <c r="N466" s="701"/>
      <c r="O466" s="701"/>
      <c r="P466" s="697"/>
      <c r="Q466" s="701"/>
      <c r="R466" s="701"/>
      <c r="S466" s="680"/>
      <c r="T466" s="680"/>
      <c r="U466" s="680"/>
      <c r="V466" s="680"/>
    </row>
    <row r="467" ht="15.75" customHeight="1">
      <c r="A467" s="695"/>
      <c r="B467" s="696"/>
      <c r="C467" s="696"/>
      <c r="D467" s="696"/>
      <c r="E467" s="697"/>
      <c r="F467" s="698"/>
      <c r="G467" s="698"/>
      <c r="H467" s="698"/>
      <c r="I467" s="697"/>
      <c r="J467" s="699"/>
      <c r="K467" s="695"/>
      <c r="L467" s="699"/>
      <c r="M467" s="700"/>
      <c r="N467" s="701"/>
      <c r="O467" s="701"/>
      <c r="P467" s="697"/>
      <c r="Q467" s="701"/>
      <c r="R467" s="701"/>
      <c r="S467" s="680"/>
      <c r="T467" s="680"/>
      <c r="U467" s="680"/>
      <c r="V467" s="680"/>
    </row>
    <row r="468" ht="15.75" customHeight="1">
      <c r="A468" s="695"/>
      <c r="B468" s="696"/>
      <c r="C468" s="696"/>
      <c r="D468" s="696"/>
      <c r="E468" s="697"/>
      <c r="F468" s="698"/>
      <c r="G468" s="698"/>
      <c r="H468" s="698"/>
      <c r="I468" s="697"/>
      <c r="J468" s="699"/>
      <c r="K468" s="695"/>
      <c r="L468" s="699"/>
      <c r="M468" s="700"/>
      <c r="N468" s="701"/>
      <c r="O468" s="701"/>
      <c r="P468" s="697"/>
      <c r="Q468" s="701"/>
      <c r="R468" s="701"/>
      <c r="S468" s="680"/>
      <c r="T468" s="680"/>
      <c r="U468" s="680"/>
      <c r="V468" s="680"/>
    </row>
    <row r="469" ht="15.75" customHeight="1">
      <c r="A469" s="695"/>
      <c r="B469" s="696"/>
      <c r="C469" s="696"/>
      <c r="D469" s="696"/>
      <c r="E469" s="697"/>
      <c r="F469" s="698"/>
      <c r="G469" s="698"/>
      <c r="H469" s="698"/>
      <c r="I469" s="697"/>
      <c r="J469" s="699"/>
      <c r="K469" s="695"/>
      <c r="L469" s="699"/>
      <c r="M469" s="700"/>
      <c r="N469" s="701"/>
      <c r="O469" s="701"/>
      <c r="P469" s="697"/>
      <c r="Q469" s="701"/>
      <c r="R469" s="701"/>
      <c r="S469" s="680"/>
      <c r="T469" s="680"/>
      <c r="U469" s="680"/>
      <c r="V469" s="680"/>
    </row>
    <row r="470" ht="15.75" customHeight="1">
      <c r="A470" s="695"/>
      <c r="B470" s="696"/>
      <c r="C470" s="696"/>
      <c r="D470" s="696"/>
      <c r="E470" s="697"/>
      <c r="F470" s="698"/>
      <c r="G470" s="698"/>
      <c r="H470" s="698"/>
      <c r="I470" s="697"/>
      <c r="J470" s="699"/>
      <c r="K470" s="695"/>
      <c r="L470" s="699"/>
      <c r="M470" s="700"/>
      <c r="N470" s="701"/>
      <c r="O470" s="701"/>
      <c r="P470" s="697"/>
      <c r="Q470" s="701"/>
      <c r="R470" s="701"/>
      <c r="S470" s="680"/>
      <c r="T470" s="680"/>
      <c r="U470" s="680"/>
      <c r="V470" s="680"/>
    </row>
    <row r="471" ht="15.75" customHeight="1">
      <c r="A471" s="695"/>
      <c r="B471" s="696"/>
      <c r="C471" s="696"/>
      <c r="D471" s="696"/>
      <c r="E471" s="697"/>
      <c r="F471" s="698"/>
      <c r="G471" s="698"/>
      <c r="H471" s="698"/>
      <c r="I471" s="697"/>
      <c r="J471" s="699"/>
      <c r="K471" s="695"/>
      <c r="L471" s="699"/>
      <c r="M471" s="700"/>
      <c r="N471" s="701"/>
      <c r="O471" s="701"/>
      <c r="P471" s="697"/>
      <c r="Q471" s="701"/>
      <c r="R471" s="701"/>
      <c r="S471" s="680"/>
      <c r="T471" s="680"/>
      <c r="U471" s="680"/>
      <c r="V471" s="680"/>
    </row>
    <row r="472" ht="15.75" customHeight="1">
      <c r="A472" s="695"/>
      <c r="B472" s="696"/>
      <c r="C472" s="696"/>
      <c r="D472" s="696"/>
      <c r="E472" s="697"/>
      <c r="F472" s="698"/>
      <c r="G472" s="698"/>
      <c r="H472" s="698"/>
      <c r="I472" s="697"/>
      <c r="J472" s="699"/>
      <c r="K472" s="695"/>
      <c r="L472" s="699"/>
      <c r="M472" s="700"/>
      <c r="N472" s="701"/>
      <c r="O472" s="701"/>
      <c r="P472" s="697"/>
      <c r="Q472" s="701"/>
      <c r="R472" s="701"/>
      <c r="S472" s="680"/>
      <c r="T472" s="680"/>
      <c r="U472" s="680"/>
      <c r="V472" s="680"/>
    </row>
    <row r="473" ht="15.75" customHeight="1">
      <c r="A473" s="695"/>
      <c r="B473" s="696"/>
      <c r="C473" s="696"/>
      <c r="D473" s="696"/>
      <c r="E473" s="697"/>
      <c r="F473" s="698"/>
      <c r="G473" s="698"/>
      <c r="H473" s="698"/>
      <c r="I473" s="697"/>
      <c r="J473" s="699"/>
      <c r="K473" s="695"/>
      <c r="L473" s="699"/>
      <c r="M473" s="700"/>
      <c r="N473" s="701"/>
      <c r="O473" s="701"/>
      <c r="P473" s="697"/>
      <c r="Q473" s="701"/>
      <c r="R473" s="701"/>
      <c r="S473" s="680"/>
      <c r="T473" s="680"/>
      <c r="U473" s="680"/>
      <c r="V473" s="680"/>
    </row>
    <row r="474" ht="15.75" customHeight="1">
      <c r="A474" s="695"/>
      <c r="B474" s="696"/>
      <c r="C474" s="696"/>
      <c r="D474" s="696"/>
      <c r="E474" s="697"/>
      <c r="F474" s="698"/>
      <c r="G474" s="698"/>
      <c r="H474" s="698"/>
      <c r="I474" s="697"/>
      <c r="J474" s="699"/>
      <c r="K474" s="695"/>
      <c r="L474" s="699"/>
      <c r="M474" s="700"/>
      <c r="N474" s="701"/>
      <c r="O474" s="701"/>
      <c r="P474" s="697"/>
      <c r="Q474" s="701"/>
      <c r="R474" s="701"/>
      <c r="S474" s="680"/>
      <c r="T474" s="680"/>
      <c r="U474" s="680"/>
      <c r="V474" s="680"/>
    </row>
    <row r="475" ht="15.75" customHeight="1">
      <c r="A475" s="695"/>
      <c r="B475" s="696"/>
      <c r="C475" s="696"/>
      <c r="D475" s="696"/>
      <c r="E475" s="697"/>
      <c r="F475" s="698"/>
      <c r="G475" s="698"/>
      <c r="H475" s="698"/>
      <c r="I475" s="697"/>
      <c r="J475" s="699"/>
      <c r="K475" s="695"/>
      <c r="L475" s="699"/>
      <c r="M475" s="700"/>
      <c r="N475" s="701"/>
      <c r="O475" s="701"/>
      <c r="P475" s="697"/>
      <c r="Q475" s="701"/>
      <c r="R475" s="701"/>
      <c r="S475" s="680"/>
      <c r="T475" s="680"/>
      <c r="U475" s="680"/>
      <c r="V475" s="680"/>
    </row>
    <row r="476" ht="15.75" customHeight="1">
      <c r="A476" s="695"/>
      <c r="B476" s="696"/>
      <c r="C476" s="696"/>
      <c r="D476" s="696"/>
      <c r="E476" s="697"/>
      <c r="F476" s="698"/>
      <c r="G476" s="698"/>
      <c r="H476" s="698"/>
      <c r="I476" s="697"/>
      <c r="J476" s="699"/>
      <c r="K476" s="695"/>
      <c r="L476" s="699"/>
      <c r="M476" s="700"/>
      <c r="N476" s="701"/>
      <c r="O476" s="701"/>
      <c r="P476" s="697"/>
      <c r="Q476" s="701"/>
      <c r="R476" s="701"/>
      <c r="S476" s="680"/>
      <c r="T476" s="680"/>
      <c r="U476" s="680"/>
      <c r="V476" s="680"/>
    </row>
    <row r="477" ht="15.75" customHeight="1">
      <c r="A477" s="695"/>
      <c r="B477" s="696"/>
      <c r="C477" s="696"/>
      <c r="D477" s="696"/>
      <c r="E477" s="697"/>
      <c r="F477" s="698"/>
      <c r="G477" s="698"/>
      <c r="H477" s="698"/>
      <c r="I477" s="697"/>
      <c r="J477" s="699"/>
      <c r="K477" s="695"/>
      <c r="L477" s="699"/>
      <c r="M477" s="700"/>
      <c r="N477" s="701"/>
      <c r="O477" s="701"/>
      <c r="P477" s="697"/>
      <c r="Q477" s="701"/>
      <c r="R477" s="701"/>
      <c r="S477" s="680"/>
      <c r="T477" s="680"/>
      <c r="U477" s="680"/>
      <c r="V477" s="680"/>
    </row>
    <row r="478" ht="15.75" customHeight="1">
      <c r="A478" s="695"/>
      <c r="B478" s="696"/>
      <c r="C478" s="696"/>
      <c r="D478" s="696"/>
      <c r="E478" s="697"/>
      <c r="F478" s="698"/>
      <c r="G478" s="698"/>
      <c r="H478" s="698"/>
      <c r="I478" s="697"/>
      <c r="J478" s="699"/>
      <c r="K478" s="695"/>
      <c r="L478" s="699"/>
      <c r="M478" s="700"/>
      <c r="N478" s="701"/>
      <c r="O478" s="701"/>
      <c r="P478" s="697"/>
      <c r="Q478" s="701"/>
      <c r="R478" s="701"/>
      <c r="S478" s="680"/>
      <c r="T478" s="680"/>
      <c r="U478" s="680"/>
      <c r="V478" s="680"/>
    </row>
    <row r="479" ht="15.75" customHeight="1">
      <c r="A479" s="695"/>
      <c r="B479" s="696"/>
      <c r="C479" s="696"/>
      <c r="D479" s="696"/>
      <c r="E479" s="697"/>
      <c r="F479" s="698"/>
      <c r="G479" s="698"/>
      <c r="H479" s="698"/>
      <c r="I479" s="697"/>
      <c r="J479" s="699"/>
      <c r="K479" s="695"/>
      <c r="L479" s="699"/>
      <c r="M479" s="700"/>
      <c r="N479" s="701"/>
      <c r="O479" s="701"/>
      <c r="P479" s="697"/>
      <c r="Q479" s="701"/>
      <c r="R479" s="701"/>
      <c r="S479" s="680"/>
      <c r="T479" s="680"/>
      <c r="U479" s="680"/>
      <c r="V479" s="680"/>
    </row>
    <row r="480" ht="15.75" customHeight="1">
      <c r="A480" s="695"/>
      <c r="B480" s="696"/>
      <c r="C480" s="696"/>
      <c r="D480" s="696"/>
      <c r="E480" s="697"/>
      <c r="F480" s="698"/>
      <c r="G480" s="698"/>
      <c r="H480" s="698"/>
      <c r="I480" s="697"/>
      <c r="J480" s="699"/>
      <c r="K480" s="695"/>
      <c r="L480" s="699"/>
      <c r="M480" s="700"/>
      <c r="N480" s="701"/>
      <c r="O480" s="701"/>
      <c r="P480" s="697"/>
      <c r="Q480" s="701"/>
      <c r="R480" s="701"/>
      <c r="S480" s="680"/>
      <c r="T480" s="680"/>
      <c r="U480" s="680"/>
      <c r="V480" s="680"/>
    </row>
    <row r="481" ht="15.75" customHeight="1">
      <c r="A481" s="695"/>
      <c r="B481" s="696"/>
      <c r="C481" s="696"/>
      <c r="D481" s="696"/>
      <c r="E481" s="697"/>
      <c r="F481" s="698"/>
      <c r="G481" s="698"/>
      <c r="H481" s="698"/>
      <c r="I481" s="697"/>
      <c r="J481" s="699"/>
      <c r="K481" s="695"/>
      <c r="L481" s="699"/>
      <c r="M481" s="700"/>
      <c r="N481" s="701"/>
      <c r="O481" s="701"/>
      <c r="P481" s="697"/>
      <c r="Q481" s="701"/>
      <c r="R481" s="701"/>
      <c r="S481" s="680"/>
      <c r="T481" s="680"/>
      <c r="U481" s="680"/>
      <c r="V481" s="680"/>
    </row>
    <row r="482" ht="15.75" customHeight="1">
      <c r="A482" s="695"/>
      <c r="B482" s="696"/>
      <c r="C482" s="696"/>
      <c r="D482" s="696"/>
      <c r="E482" s="697"/>
      <c r="F482" s="698"/>
      <c r="G482" s="698"/>
      <c r="H482" s="698"/>
      <c r="I482" s="697"/>
      <c r="J482" s="699"/>
      <c r="K482" s="695"/>
      <c r="L482" s="699"/>
      <c r="M482" s="700"/>
      <c r="N482" s="701"/>
      <c r="O482" s="701"/>
      <c r="P482" s="697"/>
      <c r="Q482" s="701"/>
      <c r="R482" s="701"/>
      <c r="S482" s="680"/>
      <c r="T482" s="680"/>
      <c r="U482" s="680"/>
      <c r="V482" s="680"/>
    </row>
    <row r="483" ht="15.75" customHeight="1">
      <c r="A483" s="695"/>
      <c r="B483" s="696"/>
      <c r="C483" s="696"/>
      <c r="D483" s="696"/>
      <c r="E483" s="697"/>
      <c r="F483" s="698"/>
      <c r="G483" s="698"/>
      <c r="H483" s="698"/>
      <c r="I483" s="697"/>
      <c r="J483" s="699"/>
      <c r="K483" s="695"/>
      <c r="L483" s="699"/>
      <c r="M483" s="700"/>
      <c r="N483" s="701"/>
      <c r="O483" s="701"/>
      <c r="P483" s="697"/>
      <c r="Q483" s="701"/>
      <c r="R483" s="701"/>
      <c r="S483" s="680"/>
      <c r="T483" s="680"/>
      <c r="U483" s="680"/>
      <c r="V483" s="680"/>
    </row>
    <row r="484" ht="15.75" customHeight="1">
      <c r="A484" s="695"/>
      <c r="B484" s="696"/>
      <c r="C484" s="696"/>
      <c r="D484" s="696"/>
      <c r="E484" s="697"/>
      <c r="F484" s="698"/>
      <c r="G484" s="698"/>
      <c r="H484" s="698"/>
      <c r="I484" s="697"/>
      <c r="J484" s="699"/>
      <c r="K484" s="695"/>
      <c r="L484" s="699"/>
      <c r="M484" s="700"/>
      <c r="N484" s="701"/>
      <c r="O484" s="701"/>
      <c r="P484" s="697"/>
      <c r="Q484" s="701"/>
      <c r="R484" s="701"/>
      <c r="S484" s="680"/>
      <c r="T484" s="680"/>
      <c r="U484" s="680"/>
      <c r="V484" s="680"/>
    </row>
    <row r="485" ht="15.75" customHeight="1">
      <c r="A485" s="695"/>
      <c r="B485" s="696"/>
      <c r="C485" s="696"/>
      <c r="D485" s="696"/>
      <c r="E485" s="697"/>
      <c r="F485" s="698"/>
      <c r="G485" s="698"/>
      <c r="H485" s="698"/>
      <c r="I485" s="697"/>
      <c r="J485" s="699"/>
      <c r="K485" s="695"/>
      <c r="L485" s="699"/>
      <c r="M485" s="700"/>
      <c r="N485" s="701"/>
      <c r="O485" s="701"/>
      <c r="P485" s="697"/>
      <c r="Q485" s="701"/>
      <c r="R485" s="701"/>
      <c r="S485" s="680"/>
      <c r="T485" s="680"/>
      <c r="U485" s="680"/>
      <c r="V485" s="680"/>
    </row>
    <row r="486" ht="15.75" customHeight="1">
      <c r="A486" s="695"/>
      <c r="B486" s="696"/>
      <c r="C486" s="696"/>
      <c r="D486" s="696"/>
      <c r="E486" s="697"/>
      <c r="F486" s="698"/>
      <c r="G486" s="698"/>
      <c r="H486" s="698"/>
      <c r="I486" s="697"/>
      <c r="J486" s="699"/>
      <c r="K486" s="695"/>
      <c r="L486" s="699"/>
      <c r="M486" s="700"/>
      <c r="N486" s="701"/>
      <c r="O486" s="701"/>
      <c r="P486" s="697"/>
      <c r="Q486" s="701"/>
      <c r="R486" s="701"/>
      <c r="S486" s="680"/>
      <c r="T486" s="680"/>
      <c r="U486" s="680"/>
      <c r="V486" s="680"/>
    </row>
    <row r="487" ht="15.75" customHeight="1">
      <c r="A487" s="695"/>
      <c r="B487" s="696"/>
      <c r="C487" s="696"/>
      <c r="D487" s="696"/>
      <c r="E487" s="697"/>
      <c r="F487" s="698"/>
      <c r="G487" s="698"/>
      <c r="H487" s="698"/>
      <c r="I487" s="697"/>
      <c r="J487" s="699"/>
      <c r="K487" s="695"/>
      <c r="L487" s="699"/>
      <c r="M487" s="700"/>
      <c r="N487" s="701"/>
      <c r="O487" s="701"/>
      <c r="P487" s="697"/>
      <c r="Q487" s="701"/>
      <c r="R487" s="701"/>
      <c r="S487" s="680"/>
      <c r="T487" s="680"/>
      <c r="U487" s="680"/>
      <c r="V487" s="680"/>
    </row>
    <row r="488" ht="15.75" customHeight="1">
      <c r="A488" s="695"/>
      <c r="B488" s="696"/>
      <c r="C488" s="696"/>
      <c r="D488" s="696"/>
      <c r="E488" s="697"/>
      <c r="F488" s="698"/>
      <c r="G488" s="698"/>
      <c r="H488" s="698"/>
      <c r="I488" s="697"/>
      <c r="J488" s="699"/>
      <c r="K488" s="695"/>
      <c r="L488" s="699"/>
      <c r="M488" s="700"/>
      <c r="N488" s="701"/>
      <c r="O488" s="701"/>
      <c r="P488" s="697"/>
      <c r="Q488" s="701"/>
      <c r="R488" s="701"/>
      <c r="S488" s="680"/>
      <c r="T488" s="680"/>
      <c r="U488" s="680"/>
      <c r="V488" s="680"/>
    </row>
    <row r="489" ht="15.75" customHeight="1">
      <c r="A489" s="695"/>
      <c r="B489" s="696"/>
      <c r="C489" s="696"/>
      <c r="D489" s="696"/>
      <c r="E489" s="697"/>
      <c r="F489" s="698"/>
      <c r="G489" s="698"/>
      <c r="H489" s="698"/>
      <c r="I489" s="697"/>
      <c r="J489" s="699"/>
      <c r="K489" s="695"/>
      <c r="L489" s="699"/>
      <c r="M489" s="700"/>
      <c r="N489" s="701"/>
      <c r="O489" s="701"/>
      <c r="P489" s="697"/>
      <c r="Q489" s="701"/>
      <c r="R489" s="701"/>
      <c r="S489" s="680"/>
      <c r="T489" s="680"/>
      <c r="U489" s="680"/>
      <c r="V489" s="680"/>
    </row>
    <row r="490" ht="15.75" customHeight="1">
      <c r="A490" s="695"/>
      <c r="B490" s="696"/>
      <c r="C490" s="696"/>
      <c r="D490" s="696"/>
      <c r="E490" s="697"/>
      <c r="F490" s="698"/>
      <c r="G490" s="698"/>
      <c r="H490" s="698"/>
      <c r="I490" s="697"/>
      <c r="J490" s="699"/>
      <c r="K490" s="695"/>
      <c r="L490" s="699"/>
      <c r="M490" s="700"/>
      <c r="N490" s="701"/>
      <c r="O490" s="701"/>
      <c r="P490" s="697"/>
      <c r="Q490" s="701"/>
      <c r="R490" s="701"/>
      <c r="S490" s="680"/>
      <c r="T490" s="680"/>
      <c r="U490" s="680"/>
      <c r="V490" s="680"/>
    </row>
    <row r="491" ht="15.75" customHeight="1">
      <c r="A491" s="695"/>
      <c r="B491" s="696"/>
      <c r="C491" s="696"/>
      <c r="D491" s="696"/>
      <c r="E491" s="697"/>
      <c r="F491" s="698"/>
      <c r="G491" s="698"/>
      <c r="H491" s="698"/>
      <c r="I491" s="697"/>
      <c r="J491" s="699"/>
      <c r="K491" s="695"/>
      <c r="L491" s="699"/>
      <c r="M491" s="700"/>
      <c r="N491" s="701"/>
      <c r="O491" s="701"/>
      <c r="P491" s="697"/>
      <c r="Q491" s="701"/>
      <c r="R491" s="701"/>
      <c r="S491" s="680"/>
      <c r="T491" s="680"/>
      <c r="U491" s="680"/>
      <c r="V491" s="680"/>
    </row>
    <row r="492" ht="15.75" customHeight="1">
      <c r="A492" s="695"/>
      <c r="B492" s="696"/>
      <c r="C492" s="696"/>
      <c r="D492" s="696"/>
      <c r="E492" s="697"/>
      <c r="F492" s="698"/>
      <c r="G492" s="698"/>
      <c r="H492" s="698"/>
      <c r="I492" s="697"/>
      <c r="J492" s="699"/>
      <c r="K492" s="695"/>
      <c r="L492" s="699"/>
      <c r="M492" s="700"/>
      <c r="N492" s="701"/>
      <c r="O492" s="701"/>
      <c r="P492" s="697"/>
      <c r="Q492" s="701"/>
      <c r="R492" s="701"/>
      <c r="S492" s="680"/>
      <c r="T492" s="680"/>
      <c r="U492" s="680"/>
      <c r="V492" s="680"/>
    </row>
    <row r="493" ht="15.75" customHeight="1">
      <c r="A493" s="695"/>
      <c r="B493" s="696"/>
      <c r="C493" s="696"/>
      <c r="D493" s="696"/>
      <c r="E493" s="697"/>
      <c r="F493" s="698"/>
      <c r="G493" s="698"/>
      <c r="H493" s="698"/>
      <c r="I493" s="697"/>
      <c r="J493" s="699"/>
      <c r="K493" s="695"/>
      <c r="L493" s="699"/>
      <c r="M493" s="700"/>
      <c r="N493" s="701"/>
      <c r="O493" s="701"/>
      <c r="P493" s="697"/>
      <c r="Q493" s="701"/>
      <c r="R493" s="701"/>
      <c r="S493" s="680"/>
      <c r="T493" s="680"/>
      <c r="U493" s="680"/>
      <c r="V493" s="680"/>
    </row>
    <row r="494" ht="15.75" customHeight="1">
      <c r="A494" s="695"/>
      <c r="B494" s="696"/>
      <c r="C494" s="696"/>
      <c r="D494" s="696"/>
      <c r="E494" s="697"/>
      <c r="F494" s="698"/>
      <c r="G494" s="698"/>
      <c r="H494" s="698"/>
      <c r="I494" s="697"/>
      <c r="J494" s="699"/>
      <c r="K494" s="695"/>
      <c r="L494" s="699"/>
      <c r="M494" s="700"/>
      <c r="N494" s="701"/>
      <c r="O494" s="701"/>
      <c r="P494" s="697"/>
      <c r="Q494" s="701"/>
      <c r="R494" s="701"/>
      <c r="S494" s="680"/>
      <c r="T494" s="680"/>
      <c r="U494" s="680"/>
      <c r="V494" s="680"/>
    </row>
    <row r="495" ht="15.75" customHeight="1">
      <c r="A495" s="695"/>
      <c r="B495" s="696"/>
      <c r="C495" s="696"/>
      <c r="D495" s="696"/>
      <c r="E495" s="697"/>
      <c r="F495" s="698"/>
      <c r="G495" s="698"/>
      <c r="H495" s="698"/>
      <c r="I495" s="697"/>
      <c r="J495" s="699"/>
      <c r="K495" s="695"/>
      <c r="L495" s="699"/>
      <c r="M495" s="700"/>
      <c r="N495" s="701"/>
      <c r="O495" s="701"/>
      <c r="P495" s="697"/>
      <c r="Q495" s="701"/>
      <c r="R495" s="701"/>
      <c r="S495" s="680"/>
      <c r="T495" s="680"/>
      <c r="U495" s="680"/>
      <c r="V495" s="680"/>
    </row>
    <row r="496" ht="15.75" customHeight="1">
      <c r="A496" s="695"/>
      <c r="B496" s="696"/>
      <c r="C496" s="696"/>
      <c r="D496" s="696"/>
      <c r="E496" s="697"/>
      <c r="F496" s="698"/>
      <c r="G496" s="698"/>
      <c r="H496" s="698"/>
      <c r="I496" s="697"/>
      <c r="J496" s="699"/>
      <c r="K496" s="695"/>
      <c r="L496" s="699"/>
      <c r="M496" s="700"/>
      <c r="N496" s="701"/>
      <c r="O496" s="701"/>
      <c r="P496" s="697"/>
      <c r="Q496" s="701"/>
      <c r="R496" s="701"/>
      <c r="S496" s="680"/>
      <c r="T496" s="680"/>
      <c r="U496" s="680"/>
      <c r="V496" s="680"/>
    </row>
    <row r="497" ht="15.75" customHeight="1">
      <c r="A497" s="695"/>
      <c r="B497" s="696"/>
      <c r="C497" s="696"/>
      <c r="D497" s="696"/>
      <c r="E497" s="697"/>
      <c r="F497" s="698"/>
      <c r="G497" s="698"/>
      <c r="H497" s="698"/>
      <c r="I497" s="697"/>
      <c r="J497" s="699"/>
      <c r="K497" s="695"/>
      <c r="L497" s="699"/>
      <c r="M497" s="700"/>
      <c r="N497" s="701"/>
      <c r="O497" s="701"/>
      <c r="P497" s="697"/>
      <c r="Q497" s="701"/>
      <c r="R497" s="701"/>
      <c r="S497" s="680"/>
      <c r="T497" s="680"/>
      <c r="U497" s="680"/>
      <c r="V497" s="680"/>
    </row>
    <row r="498" ht="15.75" customHeight="1">
      <c r="A498" s="695"/>
      <c r="B498" s="696"/>
      <c r="C498" s="696"/>
      <c r="D498" s="696"/>
      <c r="E498" s="697"/>
      <c r="F498" s="698"/>
      <c r="G498" s="698"/>
      <c r="H498" s="698"/>
      <c r="I498" s="697"/>
      <c r="J498" s="699"/>
      <c r="K498" s="695"/>
      <c r="L498" s="699"/>
      <c r="M498" s="700"/>
      <c r="N498" s="701"/>
      <c r="O498" s="701"/>
      <c r="P498" s="697"/>
      <c r="Q498" s="701"/>
      <c r="R498" s="701"/>
      <c r="S498" s="680"/>
      <c r="T498" s="680"/>
      <c r="U498" s="680"/>
      <c r="V498" s="680"/>
    </row>
    <row r="499" ht="15.75" customHeight="1">
      <c r="A499" s="695"/>
      <c r="B499" s="696"/>
      <c r="C499" s="696"/>
      <c r="D499" s="696"/>
      <c r="E499" s="697"/>
      <c r="F499" s="698"/>
      <c r="G499" s="698"/>
      <c r="H499" s="698"/>
      <c r="I499" s="697"/>
      <c r="J499" s="699"/>
      <c r="K499" s="695"/>
      <c r="L499" s="699"/>
      <c r="M499" s="700"/>
      <c r="N499" s="701"/>
      <c r="O499" s="701"/>
      <c r="P499" s="697"/>
      <c r="Q499" s="701"/>
      <c r="R499" s="701"/>
      <c r="S499" s="680"/>
      <c r="T499" s="680"/>
      <c r="U499" s="680"/>
      <c r="V499" s="680"/>
    </row>
    <row r="500" ht="15.75" customHeight="1">
      <c r="A500" s="695"/>
      <c r="B500" s="696"/>
      <c r="C500" s="696"/>
      <c r="D500" s="696"/>
      <c r="E500" s="697"/>
      <c r="F500" s="698"/>
      <c r="G500" s="698"/>
      <c r="H500" s="698"/>
      <c r="I500" s="697"/>
      <c r="J500" s="699"/>
      <c r="K500" s="695"/>
      <c r="L500" s="699"/>
      <c r="M500" s="700"/>
      <c r="N500" s="701"/>
      <c r="O500" s="701"/>
      <c r="P500" s="697"/>
      <c r="Q500" s="701"/>
      <c r="R500" s="701"/>
      <c r="S500" s="680"/>
      <c r="T500" s="680"/>
      <c r="U500" s="680"/>
      <c r="V500" s="680"/>
    </row>
    <row r="501" ht="15.75" customHeight="1">
      <c r="A501" s="695"/>
      <c r="B501" s="696"/>
      <c r="C501" s="696"/>
      <c r="D501" s="696"/>
      <c r="E501" s="697"/>
      <c r="F501" s="698"/>
      <c r="G501" s="698"/>
      <c r="H501" s="698"/>
      <c r="I501" s="697"/>
      <c r="J501" s="699"/>
      <c r="K501" s="695"/>
      <c r="L501" s="699"/>
      <c r="M501" s="700"/>
      <c r="N501" s="701"/>
      <c r="O501" s="701"/>
      <c r="P501" s="697"/>
      <c r="Q501" s="701"/>
      <c r="R501" s="701"/>
      <c r="S501" s="680"/>
      <c r="T501" s="680"/>
      <c r="U501" s="680"/>
      <c r="V501" s="680"/>
    </row>
    <row r="502" ht="15.75" customHeight="1">
      <c r="A502" s="695"/>
      <c r="B502" s="696"/>
      <c r="C502" s="696"/>
      <c r="D502" s="696"/>
      <c r="E502" s="697"/>
      <c r="F502" s="698"/>
      <c r="G502" s="698"/>
      <c r="H502" s="698"/>
      <c r="I502" s="697"/>
      <c r="J502" s="699"/>
      <c r="K502" s="695"/>
      <c r="L502" s="699"/>
      <c r="M502" s="700"/>
      <c r="N502" s="701"/>
      <c r="O502" s="701"/>
      <c r="P502" s="697"/>
      <c r="Q502" s="701"/>
      <c r="R502" s="701"/>
      <c r="S502" s="680"/>
      <c r="T502" s="680"/>
      <c r="U502" s="680"/>
      <c r="V502" s="680"/>
    </row>
    <row r="503" ht="15.75" customHeight="1">
      <c r="A503" s="695"/>
      <c r="B503" s="696"/>
      <c r="C503" s="696"/>
      <c r="D503" s="696"/>
      <c r="E503" s="697"/>
      <c r="F503" s="698"/>
      <c r="G503" s="698"/>
      <c r="H503" s="698"/>
      <c r="I503" s="697"/>
      <c r="J503" s="699"/>
      <c r="K503" s="695"/>
      <c r="L503" s="699"/>
      <c r="M503" s="700"/>
      <c r="N503" s="701"/>
      <c r="O503" s="701"/>
      <c r="P503" s="697"/>
      <c r="Q503" s="701"/>
      <c r="R503" s="701"/>
      <c r="S503" s="680"/>
      <c r="T503" s="680"/>
      <c r="U503" s="680"/>
      <c r="V503" s="680"/>
    </row>
    <row r="504" ht="15.75" customHeight="1">
      <c r="A504" s="695"/>
      <c r="B504" s="696"/>
      <c r="C504" s="696"/>
      <c r="D504" s="696"/>
      <c r="E504" s="697"/>
      <c r="F504" s="698"/>
      <c r="G504" s="698"/>
      <c r="H504" s="698"/>
      <c r="I504" s="697"/>
      <c r="J504" s="699"/>
      <c r="K504" s="695"/>
      <c r="L504" s="699"/>
      <c r="M504" s="700"/>
      <c r="N504" s="701"/>
      <c r="O504" s="701"/>
      <c r="P504" s="697"/>
      <c r="Q504" s="701"/>
      <c r="R504" s="701"/>
      <c r="S504" s="680"/>
      <c r="T504" s="680"/>
      <c r="U504" s="680"/>
      <c r="V504" s="680"/>
    </row>
    <row r="505" ht="15.75" customHeight="1">
      <c r="A505" s="695"/>
      <c r="B505" s="696"/>
      <c r="C505" s="696"/>
      <c r="D505" s="696"/>
      <c r="E505" s="697"/>
      <c r="F505" s="698"/>
      <c r="G505" s="698"/>
      <c r="H505" s="698"/>
      <c r="I505" s="697"/>
      <c r="J505" s="699"/>
      <c r="K505" s="695"/>
      <c r="L505" s="699"/>
      <c r="M505" s="700"/>
      <c r="N505" s="701"/>
      <c r="O505" s="701"/>
      <c r="P505" s="697"/>
      <c r="Q505" s="701"/>
      <c r="R505" s="701"/>
      <c r="S505" s="680"/>
      <c r="T505" s="680"/>
      <c r="U505" s="680"/>
      <c r="V505" s="680"/>
    </row>
    <row r="506" ht="15.75" customHeight="1">
      <c r="A506" s="695"/>
      <c r="B506" s="696"/>
      <c r="C506" s="696"/>
      <c r="D506" s="696"/>
      <c r="E506" s="697"/>
      <c r="F506" s="698"/>
      <c r="G506" s="698"/>
      <c r="H506" s="698"/>
      <c r="I506" s="697"/>
      <c r="J506" s="699"/>
      <c r="K506" s="695"/>
      <c r="L506" s="699"/>
      <c r="M506" s="700"/>
      <c r="N506" s="701"/>
      <c r="O506" s="701"/>
      <c r="P506" s="697"/>
      <c r="Q506" s="701"/>
      <c r="R506" s="701"/>
      <c r="S506" s="680"/>
      <c r="T506" s="680"/>
      <c r="U506" s="680"/>
      <c r="V506" s="680"/>
    </row>
    <row r="507" ht="15.75" customHeight="1">
      <c r="A507" s="695"/>
      <c r="B507" s="696"/>
      <c r="C507" s="696"/>
      <c r="D507" s="696"/>
      <c r="E507" s="697"/>
      <c r="F507" s="698"/>
      <c r="G507" s="698"/>
      <c r="H507" s="698"/>
      <c r="I507" s="697"/>
      <c r="J507" s="699"/>
      <c r="K507" s="695"/>
      <c r="L507" s="699"/>
      <c r="M507" s="700"/>
      <c r="N507" s="701"/>
      <c r="O507" s="701"/>
      <c r="P507" s="697"/>
      <c r="Q507" s="701"/>
      <c r="R507" s="701"/>
      <c r="S507" s="680"/>
      <c r="T507" s="680"/>
      <c r="U507" s="680"/>
      <c r="V507" s="680"/>
    </row>
    <row r="508" ht="15.75" customHeight="1">
      <c r="A508" s="695"/>
      <c r="B508" s="696"/>
      <c r="C508" s="696"/>
      <c r="D508" s="696"/>
      <c r="E508" s="697"/>
      <c r="F508" s="698"/>
      <c r="G508" s="698"/>
      <c r="H508" s="698"/>
      <c r="I508" s="697"/>
      <c r="J508" s="699"/>
      <c r="K508" s="695"/>
      <c r="L508" s="699"/>
      <c r="M508" s="700"/>
      <c r="N508" s="701"/>
      <c r="O508" s="701"/>
      <c r="P508" s="697"/>
      <c r="Q508" s="701"/>
      <c r="R508" s="701"/>
      <c r="S508" s="680"/>
      <c r="T508" s="680"/>
      <c r="U508" s="680"/>
      <c r="V508" s="680"/>
    </row>
    <row r="509" ht="15.75" customHeight="1">
      <c r="A509" s="695"/>
      <c r="B509" s="696"/>
      <c r="C509" s="696"/>
      <c r="D509" s="696"/>
      <c r="E509" s="697"/>
      <c r="F509" s="698"/>
      <c r="G509" s="698"/>
      <c r="H509" s="698"/>
      <c r="I509" s="697"/>
      <c r="J509" s="699"/>
      <c r="K509" s="695"/>
      <c r="L509" s="699"/>
      <c r="M509" s="700"/>
      <c r="N509" s="701"/>
      <c r="O509" s="701"/>
      <c r="P509" s="697"/>
      <c r="Q509" s="701"/>
      <c r="R509" s="701"/>
      <c r="S509" s="680"/>
      <c r="T509" s="680"/>
      <c r="U509" s="680"/>
      <c r="V509" s="680"/>
    </row>
    <row r="510" ht="15.75" customHeight="1">
      <c r="A510" s="695"/>
      <c r="B510" s="696"/>
      <c r="C510" s="696"/>
      <c r="D510" s="696"/>
      <c r="E510" s="697"/>
      <c r="F510" s="698"/>
      <c r="G510" s="698"/>
      <c r="H510" s="698"/>
      <c r="I510" s="697"/>
      <c r="J510" s="699"/>
      <c r="K510" s="695"/>
      <c r="L510" s="699"/>
      <c r="M510" s="700"/>
      <c r="N510" s="701"/>
      <c r="O510" s="701"/>
      <c r="P510" s="697"/>
      <c r="Q510" s="701"/>
      <c r="R510" s="701"/>
      <c r="S510" s="680"/>
      <c r="T510" s="680"/>
      <c r="U510" s="680"/>
      <c r="V510" s="680"/>
    </row>
    <row r="511" ht="15.75" customHeight="1">
      <c r="A511" s="695"/>
      <c r="B511" s="696"/>
      <c r="C511" s="696"/>
      <c r="D511" s="696"/>
      <c r="E511" s="697"/>
      <c r="F511" s="698"/>
      <c r="G511" s="698"/>
      <c r="H511" s="698"/>
      <c r="I511" s="697"/>
      <c r="J511" s="699"/>
      <c r="K511" s="695"/>
      <c r="L511" s="699"/>
      <c r="M511" s="700"/>
      <c r="N511" s="701"/>
      <c r="O511" s="701"/>
      <c r="P511" s="697"/>
      <c r="Q511" s="701"/>
      <c r="R511" s="701"/>
      <c r="S511" s="680"/>
      <c r="T511" s="680"/>
      <c r="U511" s="680"/>
      <c r="V511" s="680"/>
    </row>
    <row r="512" ht="15.75" customHeight="1">
      <c r="A512" s="695"/>
      <c r="B512" s="696"/>
      <c r="C512" s="696"/>
      <c r="D512" s="696"/>
      <c r="E512" s="697"/>
      <c r="F512" s="698"/>
      <c r="G512" s="698"/>
      <c r="H512" s="698"/>
      <c r="I512" s="697"/>
      <c r="J512" s="699"/>
      <c r="K512" s="695"/>
      <c r="L512" s="699"/>
      <c r="M512" s="700"/>
      <c r="N512" s="701"/>
      <c r="O512" s="701"/>
      <c r="P512" s="697"/>
      <c r="Q512" s="701"/>
      <c r="R512" s="701"/>
      <c r="S512" s="680"/>
      <c r="T512" s="680"/>
      <c r="U512" s="680"/>
      <c r="V512" s="680"/>
    </row>
    <row r="513" ht="15.75" customHeight="1">
      <c r="A513" s="695"/>
      <c r="B513" s="696"/>
      <c r="C513" s="696"/>
      <c r="D513" s="696"/>
      <c r="E513" s="697"/>
      <c r="F513" s="698"/>
      <c r="G513" s="698"/>
      <c r="H513" s="698"/>
      <c r="I513" s="697"/>
      <c r="J513" s="699"/>
      <c r="K513" s="695"/>
      <c r="L513" s="699"/>
      <c r="M513" s="700"/>
      <c r="N513" s="701"/>
      <c r="O513" s="701"/>
      <c r="P513" s="697"/>
      <c r="Q513" s="701"/>
      <c r="R513" s="701"/>
      <c r="S513" s="680"/>
      <c r="T513" s="680"/>
      <c r="U513" s="680"/>
      <c r="V513" s="680"/>
    </row>
    <row r="514" ht="15.75" customHeight="1">
      <c r="A514" s="695"/>
      <c r="B514" s="696"/>
      <c r="C514" s="696"/>
      <c r="D514" s="696"/>
      <c r="E514" s="697"/>
      <c r="F514" s="698"/>
      <c r="G514" s="698"/>
      <c r="H514" s="698"/>
      <c r="I514" s="697"/>
      <c r="J514" s="699"/>
      <c r="K514" s="695"/>
      <c r="L514" s="699"/>
      <c r="M514" s="700"/>
      <c r="N514" s="701"/>
      <c r="O514" s="701"/>
      <c r="P514" s="697"/>
      <c r="Q514" s="701"/>
      <c r="R514" s="701"/>
      <c r="S514" s="680"/>
      <c r="T514" s="680"/>
      <c r="U514" s="680"/>
      <c r="V514" s="680"/>
    </row>
    <row r="515" ht="15.75" customHeight="1">
      <c r="A515" s="695"/>
      <c r="B515" s="696"/>
      <c r="C515" s="696"/>
      <c r="D515" s="696"/>
      <c r="E515" s="697"/>
      <c r="F515" s="698"/>
      <c r="G515" s="698"/>
      <c r="H515" s="698"/>
      <c r="I515" s="697"/>
      <c r="J515" s="699"/>
      <c r="K515" s="695"/>
      <c r="L515" s="699"/>
      <c r="M515" s="700"/>
      <c r="N515" s="701"/>
      <c r="O515" s="701"/>
      <c r="P515" s="697"/>
      <c r="Q515" s="701"/>
      <c r="R515" s="701"/>
      <c r="S515" s="680"/>
      <c r="T515" s="680"/>
      <c r="U515" s="680"/>
      <c r="V515" s="680"/>
    </row>
    <row r="516" ht="15.75" customHeight="1">
      <c r="A516" s="695"/>
      <c r="B516" s="696"/>
      <c r="C516" s="696"/>
      <c r="D516" s="696"/>
      <c r="E516" s="697"/>
      <c r="F516" s="698"/>
      <c r="G516" s="698"/>
      <c r="H516" s="698"/>
      <c r="I516" s="697"/>
      <c r="J516" s="699"/>
      <c r="K516" s="695"/>
      <c r="L516" s="699"/>
      <c r="M516" s="700"/>
      <c r="N516" s="701"/>
      <c r="O516" s="701"/>
      <c r="P516" s="697"/>
      <c r="Q516" s="701"/>
      <c r="R516" s="701"/>
      <c r="S516" s="680"/>
      <c r="T516" s="680"/>
      <c r="U516" s="680"/>
      <c r="V516" s="680"/>
    </row>
    <row r="517" ht="15.75" customHeight="1">
      <c r="A517" s="695"/>
      <c r="B517" s="696"/>
      <c r="C517" s="696"/>
      <c r="D517" s="696"/>
      <c r="E517" s="697"/>
      <c r="F517" s="698"/>
      <c r="G517" s="698"/>
      <c r="H517" s="698"/>
      <c r="I517" s="697"/>
      <c r="J517" s="699"/>
      <c r="K517" s="695"/>
      <c r="L517" s="699"/>
      <c r="M517" s="700"/>
      <c r="N517" s="701"/>
      <c r="O517" s="701"/>
      <c r="P517" s="697"/>
      <c r="Q517" s="701"/>
      <c r="R517" s="701"/>
      <c r="S517" s="680"/>
      <c r="T517" s="680"/>
      <c r="U517" s="680"/>
      <c r="V517" s="680"/>
    </row>
    <row r="518" ht="15.75" customHeight="1">
      <c r="A518" s="695"/>
      <c r="B518" s="696"/>
      <c r="C518" s="696"/>
      <c r="D518" s="696"/>
      <c r="E518" s="697"/>
      <c r="F518" s="698"/>
      <c r="G518" s="698"/>
      <c r="H518" s="698"/>
      <c r="I518" s="697"/>
      <c r="J518" s="699"/>
      <c r="K518" s="695"/>
      <c r="L518" s="699"/>
      <c r="M518" s="700"/>
      <c r="N518" s="701"/>
      <c r="O518" s="701"/>
      <c r="P518" s="697"/>
      <c r="Q518" s="701"/>
      <c r="R518" s="701"/>
      <c r="S518" s="680"/>
      <c r="T518" s="680"/>
      <c r="U518" s="680"/>
      <c r="V518" s="680"/>
    </row>
    <row r="519" ht="15.75" customHeight="1">
      <c r="A519" s="695"/>
      <c r="B519" s="696"/>
      <c r="C519" s="696"/>
      <c r="D519" s="696"/>
      <c r="E519" s="697"/>
      <c r="F519" s="698"/>
      <c r="G519" s="698"/>
      <c r="H519" s="698"/>
      <c r="I519" s="697"/>
      <c r="J519" s="699"/>
      <c r="K519" s="695"/>
      <c r="L519" s="699"/>
      <c r="M519" s="700"/>
      <c r="N519" s="701"/>
      <c r="O519" s="701"/>
      <c r="P519" s="697"/>
      <c r="Q519" s="701"/>
      <c r="R519" s="701"/>
      <c r="S519" s="680"/>
      <c r="T519" s="680"/>
      <c r="U519" s="680"/>
      <c r="V519" s="680"/>
    </row>
    <row r="520" ht="15.75" customHeight="1">
      <c r="A520" s="695"/>
      <c r="B520" s="696"/>
      <c r="C520" s="696"/>
      <c r="D520" s="696"/>
      <c r="E520" s="697"/>
      <c r="F520" s="698"/>
      <c r="G520" s="698"/>
      <c r="H520" s="698"/>
      <c r="I520" s="697"/>
      <c r="J520" s="699"/>
      <c r="K520" s="695"/>
      <c r="L520" s="699"/>
      <c r="M520" s="700"/>
      <c r="N520" s="701"/>
      <c r="O520" s="701"/>
      <c r="P520" s="697"/>
      <c r="Q520" s="701"/>
      <c r="R520" s="701"/>
      <c r="S520" s="680"/>
      <c r="T520" s="680"/>
      <c r="U520" s="680"/>
      <c r="V520" s="680"/>
    </row>
    <row r="521" ht="15.75" customHeight="1">
      <c r="A521" s="695"/>
      <c r="B521" s="696"/>
      <c r="C521" s="696"/>
      <c r="D521" s="696"/>
      <c r="E521" s="697"/>
      <c r="F521" s="698"/>
      <c r="G521" s="698"/>
      <c r="H521" s="698"/>
      <c r="I521" s="697"/>
      <c r="J521" s="699"/>
      <c r="K521" s="695"/>
      <c r="L521" s="699"/>
      <c r="M521" s="700"/>
      <c r="N521" s="701"/>
      <c r="O521" s="701"/>
      <c r="P521" s="697"/>
      <c r="Q521" s="701"/>
      <c r="R521" s="701"/>
      <c r="S521" s="680"/>
      <c r="T521" s="680"/>
      <c r="U521" s="680"/>
      <c r="V521" s="680"/>
    </row>
    <row r="522" ht="15.75" customHeight="1">
      <c r="A522" s="695"/>
      <c r="B522" s="696"/>
      <c r="C522" s="696"/>
      <c r="D522" s="696"/>
      <c r="E522" s="697"/>
      <c r="F522" s="698"/>
      <c r="G522" s="698"/>
      <c r="H522" s="698"/>
      <c r="I522" s="697"/>
      <c r="J522" s="699"/>
      <c r="K522" s="695"/>
      <c r="L522" s="699"/>
      <c r="M522" s="700"/>
      <c r="N522" s="701"/>
      <c r="O522" s="701"/>
      <c r="P522" s="697"/>
      <c r="Q522" s="701"/>
      <c r="R522" s="701"/>
      <c r="S522" s="680"/>
      <c r="T522" s="680"/>
      <c r="U522" s="680"/>
      <c r="V522" s="680"/>
    </row>
    <row r="523" ht="15.75" customHeight="1">
      <c r="A523" s="695"/>
      <c r="B523" s="696"/>
      <c r="C523" s="696"/>
      <c r="D523" s="696"/>
      <c r="E523" s="697"/>
      <c r="F523" s="698"/>
      <c r="G523" s="698"/>
      <c r="H523" s="698"/>
      <c r="I523" s="697"/>
      <c r="J523" s="699"/>
      <c r="K523" s="695"/>
      <c r="L523" s="699"/>
      <c r="M523" s="700"/>
      <c r="N523" s="701"/>
      <c r="O523" s="701"/>
      <c r="P523" s="697"/>
      <c r="Q523" s="701"/>
      <c r="R523" s="701"/>
      <c r="S523" s="680"/>
      <c r="T523" s="680"/>
      <c r="U523" s="680"/>
      <c r="V523" s="680"/>
    </row>
    <row r="524" ht="15.75" customHeight="1">
      <c r="A524" s="695"/>
      <c r="B524" s="696"/>
      <c r="C524" s="696"/>
      <c r="D524" s="696"/>
      <c r="E524" s="697"/>
      <c r="F524" s="698"/>
      <c r="G524" s="698"/>
      <c r="H524" s="698"/>
      <c r="I524" s="697"/>
      <c r="J524" s="699"/>
      <c r="K524" s="695"/>
      <c r="L524" s="699"/>
      <c r="M524" s="700"/>
      <c r="N524" s="701"/>
      <c r="O524" s="701"/>
      <c r="P524" s="697"/>
      <c r="Q524" s="701"/>
      <c r="R524" s="701"/>
      <c r="S524" s="680"/>
      <c r="T524" s="680"/>
      <c r="U524" s="680"/>
      <c r="V524" s="680"/>
    </row>
    <row r="525" ht="15.75" customHeight="1">
      <c r="A525" s="695"/>
      <c r="B525" s="696"/>
      <c r="C525" s="696"/>
      <c r="D525" s="696"/>
      <c r="E525" s="697"/>
      <c r="F525" s="698"/>
      <c r="G525" s="698"/>
      <c r="H525" s="698"/>
      <c r="I525" s="697"/>
      <c r="J525" s="699"/>
      <c r="K525" s="695"/>
      <c r="L525" s="699"/>
      <c r="M525" s="700"/>
      <c r="N525" s="701"/>
      <c r="O525" s="701"/>
      <c r="P525" s="697"/>
      <c r="Q525" s="701"/>
      <c r="R525" s="701"/>
      <c r="S525" s="680"/>
      <c r="T525" s="680"/>
      <c r="U525" s="680"/>
      <c r="V525" s="680"/>
    </row>
    <row r="526" ht="15.75" customHeight="1">
      <c r="A526" s="695"/>
      <c r="B526" s="696"/>
      <c r="C526" s="696"/>
      <c r="D526" s="696"/>
      <c r="E526" s="697"/>
      <c r="F526" s="698"/>
      <c r="G526" s="698"/>
      <c r="H526" s="698"/>
      <c r="I526" s="697"/>
      <c r="J526" s="699"/>
      <c r="K526" s="695"/>
      <c r="L526" s="699"/>
      <c r="M526" s="700"/>
      <c r="N526" s="701"/>
      <c r="O526" s="701"/>
      <c r="P526" s="697"/>
      <c r="Q526" s="701"/>
      <c r="R526" s="701"/>
      <c r="S526" s="680"/>
      <c r="T526" s="680"/>
      <c r="U526" s="680"/>
      <c r="V526" s="680"/>
    </row>
    <row r="527" ht="15.75" customHeight="1">
      <c r="A527" s="695"/>
      <c r="B527" s="696"/>
      <c r="C527" s="696"/>
      <c r="D527" s="696"/>
      <c r="E527" s="697"/>
      <c r="F527" s="698"/>
      <c r="G527" s="698"/>
      <c r="H527" s="698"/>
      <c r="I527" s="697"/>
      <c r="J527" s="699"/>
      <c r="K527" s="695"/>
      <c r="L527" s="699"/>
      <c r="M527" s="700"/>
      <c r="N527" s="701"/>
      <c r="O527" s="701"/>
      <c r="P527" s="697"/>
      <c r="Q527" s="701"/>
      <c r="R527" s="701"/>
      <c r="S527" s="680"/>
      <c r="T527" s="680"/>
      <c r="U527" s="680"/>
      <c r="V527" s="680"/>
    </row>
    <row r="528" ht="15.75" customHeight="1">
      <c r="A528" s="695"/>
      <c r="B528" s="696"/>
      <c r="C528" s="696"/>
      <c r="D528" s="696"/>
      <c r="E528" s="697"/>
      <c r="F528" s="698"/>
      <c r="G528" s="698"/>
      <c r="H528" s="698"/>
      <c r="I528" s="697"/>
      <c r="J528" s="699"/>
      <c r="K528" s="695"/>
      <c r="L528" s="699"/>
      <c r="M528" s="700"/>
      <c r="N528" s="701"/>
      <c r="O528" s="701"/>
      <c r="P528" s="697"/>
      <c r="Q528" s="701"/>
      <c r="R528" s="701"/>
      <c r="S528" s="680"/>
      <c r="T528" s="680"/>
      <c r="U528" s="680"/>
      <c r="V528" s="680"/>
    </row>
    <row r="529" ht="15.75" customHeight="1">
      <c r="A529" s="695"/>
      <c r="B529" s="696"/>
      <c r="C529" s="696"/>
      <c r="D529" s="696"/>
      <c r="E529" s="697"/>
      <c r="F529" s="698"/>
      <c r="G529" s="698"/>
      <c r="H529" s="698"/>
      <c r="I529" s="697"/>
      <c r="J529" s="699"/>
      <c r="K529" s="695"/>
      <c r="L529" s="699"/>
      <c r="M529" s="700"/>
      <c r="N529" s="701"/>
      <c r="O529" s="701"/>
      <c r="P529" s="697"/>
      <c r="Q529" s="701"/>
      <c r="R529" s="701"/>
      <c r="S529" s="680"/>
      <c r="T529" s="680"/>
      <c r="U529" s="680"/>
      <c r="V529" s="680"/>
    </row>
    <row r="530" ht="15.75" customHeight="1">
      <c r="A530" s="695"/>
      <c r="B530" s="696"/>
      <c r="C530" s="696"/>
      <c r="D530" s="696"/>
      <c r="E530" s="697"/>
      <c r="F530" s="698"/>
      <c r="G530" s="698"/>
      <c r="H530" s="698"/>
      <c r="I530" s="697"/>
      <c r="J530" s="699"/>
      <c r="K530" s="695"/>
      <c r="L530" s="699"/>
      <c r="M530" s="700"/>
      <c r="N530" s="701"/>
      <c r="O530" s="701"/>
      <c r="P530" s="697"/>
      <c r="Q530" s="701"/>
      <c r="R530" s="701"/>
      <c r="S530" s="680"/>
      <c r="T530" s="680"/>
      <c r="U530" s="680"/>
      <c r="V530" s="680"/>
    </row>
    <row r="531" ht="15.75" customHeight="1">
      <c r="A531" s="695"/>
      <c r="B531" s="696"/>
      <c r="C531" s="696"/>
      <c r="D531" s="696"/>
      <c r="E531" s="697"/>
      <c r="F531" s="698"/>
      <c r="G531" s="698"/>
      <c r="H531" s="698"/>
      <c r="I531" s="697"/>
      <c r="J531" s="699"/>
      <c r="K531" s="695"/>
      <c r="L531" s="699"/>
      <c r="M531" s="700"/>
      <c r="N531" s="701"/>
      <c r="O531" s="701"/>
      <c r="P531" s="697"/>
      <c r="Q531" s="701"/>
      <c r="R531" s="701"/>
      <c r="S531" s="680"/>
      <c r="T531" s="680"/>
      <c r="U531" s="680"/>
      <c r="V531" s="680"/>
    </row>
    <row r="532" ht="15.75" customHeight="1">
      <c r="A532" s="695"/>
      <c r="B532" s="696"/>
      <c r="C532" s="696"/>
      <c r="D532" s="696"/>
      <c r="E532" s="697"/>
      <c r="F532" s="698"/>
      <c r="G532" s="698"/>
      <c r="H532" s="698"/>
      <c r="I532" s="697"/>
      <c r="J532" s="699"/>
      <c r="K532" s="695"/>
      <c r="L532" s="699"/>
      <c r="M532" s="700"/>
      <c r="N532" s="701"/>
      <c r="O532" s="701"/>
      <c r="P532" s="697"/>
      <c r="Q532" s="701"/>
      <c r="R532" s="701"/>
      <c r="S532" s="680"/>
      <c r="T532" s="680"/>
      <c r="U532" s="680"/>
      <c r="V532" s="680"/>
    </row>
    <row r="533" ht="15.75" customHeight="1">
      <c r="A533" s="695"/>
      <c r="B533" s="696"/>
      <c r="C533" s="696"/>
      <c r="D533" s="696"/>
      <c r="E533" s="697"/>
      <c r="F533" s="698"/>
      <c r="G533" s="698"/>
      <c r="H533" s="698"/>
      <c r="I533" s="697"/>
      <c r="J533" s="699"/>
      <c r="K533" s="695"/>
      <c r="L533" s="699"/>
      <c r="M533" s="700"/>
      <c r="N533" s="701"/>
      <c r="O533" s="701"/>
      <c r="P533" s="697"/>
      <c r="Q533" s="701"/>
      <c r="R533" s="701"/>
      <c r="S533" s="680"/>
      <c r="T533" s="680"/>
      <c r="U533" s="680"/>
      <c r="V533" s="680"/>
    </row>
    <row r="534" ht="15.75" customHeight="1">
      <c r="A534" s="695"/>
      <c r="B534" s="696"/>
      <c r="C534" s="696"/>
      <c r="D534" s="696"/>
      <c r="E534" s="697"/>
      <c r="F534" s="698"/>
      <c r="G534" s="698"/>
      <c r="H534" s="698"/>
      <c r="I534" s="697"/>
      <c r="J534" s="699"/>
      <c r="K534" s="695"/>
      <c r="L534" s="699"/>
      <c r="M534" s="700"/>
      <c r="N534" s="701"/>
      <c r="O534" s="701"/>
      <c r="P534" s="697"/>
      <c r="Q534" s="701"/>
      <c r="R534" s="701"/>
      <c r="S534" s="680"/>
      <c r="T534" s="680"/>
      <c r="U534" s="680"/>
      <c r="V534" s="680"/>
    </row>
    <row r="535" ht="15.75" customHeight="1">
      <c r="A535" s="695"/>
      <c r="B535" s="696"/>
      <c r="C535" s="696"/>
      <c r="D535" s="696"/>
      <c r="E535" s="697"/>
      <c r="F535" s="698"/>
      <c r="G535" s="698"/>
      <c r="H535" s="698"/>
      <c r="I535" s="697"/>
      <c r="J535" s="699"/>
      <c r="K535" s="695"/>
      <c r="L535" s="699"/>
      <c r="M535" s="700"/>
      <c r="N535" s="701"/>
      <c r="O535" s="701"/>
      <c r="P535" s="697"/>
      <c r="Q535" s="701"/>
      <c r="R535" s="701"/>
      <c r="S535" s="680"/>
      <c r="T535" s="680"/>
      <c r="U535" s="680"/>
      <c r="V535" s="680"/>
    </row>
    <row r="536" ht="15.75" customHeight="1">
      <c r="A536" s="695"/>
      <c r="B536" s="696"/>
      <c r="C536" s="696"/>
      <c r="D536" s="696"/>
      <c r="E536" s="697"/>
      <c r="F536" s="698"/>
      <c r="G536" s="698"/>
      <c r="H536" s="698"/>
      <c r="I536" s="697"/>
      <c r="J536" s="699"/>
      <c r="K536" s="695"/>
      <c r="L536" s="699"/>
      <c r="M536" s="700"/>
      <c r="N536" s="701"/>
      <c r="O536" s="701"/>
      <c r="P536" s="697"/>
      <c r="Q536" s="701"/>
      <c r="R536" s="701"/>
      <c r="S536" s="680"/>
      <c r="T536" s="680"/>
      <c r="U536" s="680"/>
      <c r="V536" s="680"/>
    </row>
    <row r="537" ht="15.75" customHeight="1">
      <c r="A537" s="695"/>
      <c r="B537" s="696"/>
      <c r="C537" s="696"/>
      <c r="D537" s="696"/>
      <c r="E537" s="697"/>
      <c r="F537" s="698"/>
      <c r="G537" s="698"/>
      <c r="H537" s="698"/>
      <c r="I537" s="697"/>
      <c r="J537" s="699"/>
      <c r="K537" s="695"/>
      <c r="L537" s="699"/>
      <c r="M537" s="700"/>
      <c r="N537" s="701"/>
      <c r="O537" s="701"/>
      <c r="P537" s="697"/>
      <c r="Q537" s="701"/>
      <c r="R537" s="701"/>
      <c r="S537" s="680"/>
      <c r="T537" s="680"/>
      <c r="U537" s="680"/>
      <c r="V537" s="680"/>
    </row>
    <row r="538" ht="15.75" customHeight="1">
      <c r="A538" s="695"/>
      <c r="B538" s="696"/>
      <c r="C538" s="696"/>
      <c r="D538" s="696"/>
      <c r="E538" s="697"/>
      <c r="F538" s="698"/>
      <c r="G538" s="698"/>
      <c r="H538" s="698"/>
      <c r="I538" s="697"/>
      <c r="J538" s="699"/>
      <c r="K538" s="695"/>
      <c r="L538" s="699"/>
      <c r="M538" s="700"/>
      <c r="N538" s="701"/>
      <c r="O538" s="701"/>
      <c r="P538" s="697"/>
      <c r="Q538" s="701"/>
      <c r="R538" s="701"/>
      <c r="S538" s="680"/>
      <c r="T538" s="680"/>
      <c r="U538" s="680"/>
      <c r="V538" s="680"/>
    </row>
    <row r="539" ht="15.75" customHeight="1">
      <c r="A539" s="695"/>
      <c r="B539" s="696"/>
      <c r="C539" s="696"/>
      <c r="D539" s="696"/>
      <c r="E539" s="697"/>
      <c r="F539" s="698"/>
      <c r="G539" s="698"/>
      <c r="H539" s="698"/>
      <c r="I539" s="697"/>
      <c r="J539" s="699"/>
      <c r="K539" s="695"/>
      <c r="L539" s="699"/>
      <c r="M539" s="700"/>
      <c r="N539" s="701"/>
      <c r="O539" s="701"/>
      <c r="P539" s="697"/>
      <c r="Q539" s="701"/>
      <c r="R539" s="701"/>
      <c r="S539" s="680"/>
      <c r="T539" s="680"/>
      <c r="U539" s="680"/>
      <c r="V539" s="680"/>
    </row>
    <row r="540" ht="15.75" customHeight="1">
      <c r="A540" s="695"/>
      <c r="B540" s="696"/>
      <c r="C540" s="696"/>
      <c r="D540" s="696"/>
      <c r="E540" s="697"/>
      <c r="F540" s="698"/>
      <c r="G540" s="698"/>
      <c r="H540" s="698"/>
      <c r="I540" s="697"/>
      <c r="J540" s="699"/>
      <c r="K540" s="695"/>
      <c r="L540" s="699"/>
      <c r="M540" s="700"/>
      <c r="N540" s="701"/>
      <c r="O540" s="701"/>
      <c r="P540" s="697"/>
      <c r="Q540" s="701"/>
      <c r="R540" s="701"/>
      <c r="S540" s="680"/>
      <c r="T540" s="680"/>
      <c r="U540" s="680"/>
      <c r="V540" s="680"/>
    </row>
    <row r="541" ht="15.75" customHeight="1">
      <c r="A541" s="695"/>
      <c r="B541" s="696"/>
      <c r="C541" s="696"/>
      <c r="D541" s="696"/>
      <c r="E541" s="697"/>
      <c r="F541" s="698"/>
      <c r="G541" s="698"/>
      <c r="H541" s="698"/>
      <c r="I541" s="697"/>
      <c r="J541" s="699"/>
      <c r="K541" s="695"/>
      <c r="L541" s="699"/>
      <c r="M541" s="700"/>
      <c r="N541" s="701"/>
      <c r="O541" s="701"/>
      <c r="P541" s="697"/>
      <c r="Q541" s="701"/>
      <c r="R541" s="701"/>
      <c r="S541" s="680"/>
      <c r="T541" s="680"/>
      <c r="U541" s="680"/>
      <c r="V541" s="680"/>
    </row>
    <row r="542" ht="15.75" customHeight="1">
      <c r="A542" s="695"/>
      <c r="B542" s="696"/>
      <c r="C542" s="696"/>
      <c r="D542" s="696"/>
      <c r="E542" s="697"/>
      <c r="F542" s="698"/>
      <c r="G542" s="698"/>
      <c r="H542" s="698"/>
      <c r="I542" s="697"/>
      <c r="J542" s="699"/>
      <c r="K542" s="695"/>
      <c r="L542" s="699"/>
      <c r="M542" s="700"/>
      <c r="N542" s="701"/>
      <c r="O542" s="701"/>
      <c r="P542" s="697"/>
      <c r="Q542" s="701"/>
      <c r="R542" s="701"/>
      <c r="S542" s="680"/>
      <c r="T542" s="680"/>
      <c r="U542" s="680"/>
      <c r="V542" s="680"/>
    </row>
    <row r="543" ht="15.75" customHeight="1">
      <c r="A543" s="695"/>
      <c r="B543" s="696"/>
      <c r="C543" s="696"/>
      <c r="D543" s="696"/>
      <c r="E543" s="697"/>
      <c r="F543" s="698"/>
      <c r="G543" s="698"/>
      <c r="H543" s="698"/>
      <c r="I543" s="697"/>
      <c r="J543" s="699"/>
      <c r="K543" s="695"/>
      <c r="L543" s="699"/>
      <c r="M543" s="700"/>
      <c r="N543" s="701"/>
      <c r="O543" s="701"/>
      <c r="P543" s="697"/>
      <c r="Q543" s="701"/>
      <c r="R543" s="701"/>
      <c r="S543" s="680"/>
      <c r="T543" s="680"/>
      <c r="U543" s="680"/>
      <c r="V543" s="680"/>
    </row>
    <row r="544" ht="15.75" customHeight="1">
      <c r="A544" s="695"/>
      <c r="B544" s="696"/>
      <c r="C544" s="696"/>
      <c r="D544" s="696"/>
      <c r="E544" s="697"/>
      <c r="F544" s="698"/>
      <c r="G544" s="698"/>
      <c r="H544" s="698"/>
      <c r="I544" s="697"/>
      <c r="J544" s="699"/>
      <c r="K544" s="695"/>
      <c r="L544" s="699"/>
      <c r="M544" s="700"/>
      <c r="N544" s="701"/>
      <c r="O544" s="701"/>
      <c r="P544" s="697"/>
      <c r="Q544" s="701"/>
      <c r="R544" s="701"/>
      <c r="S544" s="680"/>
      <c r="T544" s="680"/>
      <c r="U544" s="680"/>
      <c r="V544" s="680"/>
    </row>
    <row r="545" ht="15.75" customHeight="1">
      <c r="A545" s="695"/>
      <c r="B545" s="696"/>
      <c r="C545" s="696"/>
      <c r="D545" s="696"/>
      <c r="E545" s="697"/>
      <c r="F545" s="698"/>
      <c r="G545" s="698"/>
      <c r="H545" s="698"/>
      <c r="I545" s="697"/>
      <c r="J545" s="699"/>
      <c r="K545" s="695"/>
      <c r="L545" s="699"/>
      <c r="M545" s="700"/>
      <c r="N545" s="701"/>
      <c r="O545" s="701"/>
      <c r="P545" s="697"/>
      <c r="Q545" s="701"/>
      <c r="R545" s="701"/>
      <c r="S545" s="680"/>
      <c r="T545" s="680"/>
      <c r="U545" s="680"/>
      <c r="V545" s="680"/>
    </row>
    <row r="546" ht="15.75" customHeight="1">
      <c r="A546" s="695"/>
      <c r="B546" s="696"/>
      <c r="C546" s="696"/>
      <c r="D546" s="696"/>
      <c r="E546" s="697"/>
      <c r="F546" s="698"/>
      <c r="G546" s="698"/>
      <c r="H546" s="698"/>
      <c r="I546" s="697"/>
      <c r="J546" s="699"/>
      <c r="K546" s="695"/>
      <c r="L546" s="699"/>
      <c r="M546" s="700"/>
      <c r="N546" s="701"/>
      <c r="O546" s="701"/>
      <c r="P546" s="697"/>
      <c r="Q546" s="701"/>
      <c r="R546" s="701"/>
      <c r="S546" s="680"/>
      <c r="T546" s="680"/>
      <c r="U546" s="680"/>
      <c r="V546" s="680"/>
    </row>
    <row r="547" ht="15.75" customHeight="1">
      <c r="A547" s="695"/>
      <c r="B547" s="696"/>
      <c r="C547" s="696"/>
      <c r="D547" s="696"/>
      <c r="E547" s="697"/>
      <c r="F547" s="698"/>
      <c r="G547" s="698"/>
      <c r="H547" s="698"/>
      <c r="I547" s="697"/>
      <c r="J547" s="699"/>
      <c r="K547" s="695"/>
      <c r="L547" s="699"/>
      <c r="M547" s="700"/>
      <c r="N547" s="701"/>
      <c r="O547" s="701"/>
      <c r="P547" s="697"/>
      <c r="Q547" s="701"/>
      <c r="R547" s="701"/>
      <c r="S547" s="680"/>
      <c r="T547" s="680"/>
      <c r="U547" s="680"/>
      <c r="V547" s="680"/>
    </row>
    <row r="548" ht="15.75" customHeight="1">
      <c r="A548" s="695"/>
      <c r="B548" s="696"/>
      <c r="C548" s="696"/>
      <c r="D548" s="696"/>
      <c r="E548" s="697"/>
      <c r="F548" s="698"/>
      <c r="G548" s="698"/>
      <c r="H548" s="698"/>
      <c r="I548" s="697"/>
      <c r="J548" s="699"/>
      <c r="K548" s="695"/>
      <c r="L548" s="699"/>
      <c r="M548" s="700"/>
      <c r="N548" s="701"/>
      <c r="O548" s="701"/>
      <c r="P548" s="697"/>
      <c r="Q548" s="701"/>
      <c r="R548" s="701"/>
      <c r="S548" s="680"/>
      <c r="T548" s="680"/>
      <c r="U548" s="680"/>
      <c r="V548" s="680"/>
    </row>
    <row r="549" ht="15.75" customHeight="1">
      <c r="A549" s="695"/>
      <c r="B549" s="696"/>
      <c r="C549" s="696"/>
      <c r="D549" s="696"/>
      <c r="E549" s="697"/>
      <c r="F549" s="698"/>
      <c r="G549" s="698"/>
      <c r="H549" s="698"/>
      <c r="I549" s="697"/>
      <c r="J549" s="699"/>
      <c r="K549" s="695"/>
      <c r="L549" s="699"/>
      <c r="M549" s="700"/>
      <c r="N549" s="701"/>
      <c r="O549" s="701"/>
      <c r="P549" s="697"/>
      <c r="Q549" s="701"/>
      <c r="R549" s="701"/>
      <c r="S549" s="680"/>
      <c r="T549" s="680"/>
      <c r="U549" s="680"/>
      <c r="V549" s="680"/>
    </row>
    <row r="550" ht="15.75" customHeight="1">
      <c r="A550" s="695"/>
      <c r="B550" s="696"/>
      <c r="C550" s="696"/>
      <c r="D550" s="696"/>
      <c r="E550" s="697"/>
      <c r="F550" s="698"/>
      <c r="G550" s="698"/>
      <c r="H550" s="698"/>
      <c r="I550" s="697"/>
      <c r="J550" s="699"/>
      <c r="K550" s="695"/>
      <c r="L550" s="699"/>
      <c r="M550" s="700"/>
      <c r="N550" s="701"/>
      <c r="O550" s="701"/>
      <c r="P550" s="697"/>
      <c r="Q550" s="701"/>
      <c r="R550" s="701"/>
      <c r="S550" s="680"/>
      <c r="T550" s="680"/>
      <c r="U550" s="680"/>
      <c r="V550" s="680"/>
    </row>
    <row r="551" ht="15.75" customHeight="1">
      <c r="A551" s="695"/>
      <c r="B551" s="696"/>
      <c r="C551" s="696"/>
      <c r="D551" s="696"/>
      <c r="E551" s="697"/>
      <c r="F551" s="698"/>
      <c r="G551" s="698"/>
      <c r="H551" s="698"/>
      <c r="I551" s="697"/>
      <c r="J551" s="699"/>
      <c r="K551" s="695"/>
      <c r="L551" s="699"/>
      <c r="M551" s="700"/>
      <c r="N551" s="701"/>
      <c r="O551" s="701"/>
      <c r="P551" s="697"/>
      <c r="Q551" s="701"/>
      <c r="R551" s="701"/>
      <c r="S551" s="680"/>
      <c r="T551" s="680"/>
      <c r="U551" s="680"/>
      <c r="V551" s="680"/>
    </row>
    <row r="552" ht="15.75" customHeight="1">
      <c r="A552" s="695"/>
      <c r="B552" s="696"/>
      <c r="C552" s="696"/>
      <c r="D552" s="696"/>
      <c r="E552" s="697"/>
      <c r="F552" s="698"/>
      <c r="G552" s="698"/>
      <c r="H552" s="698"/>
      <c r="I552" s="697"/>
      <c r="J552" s="699"/>
      <c r="K552" s="695"/>
      <c r="L552" s="699"/>
      <c r="M552" s="700"/>
      <c r="N552" s="701"/>
      <c r="O552" s="701"/>
      <c r="P552" s="697"/>
      <c r="Q552" s="701"/>
      <c r="R552" s="701"/>
      <c r="S552" s="680"/>
      <c r="T552" s="680"/>
      <c r="U552" s="680"/>
      <c r="V552" s="680"/>
    </row>
    <row r="553" ht="15.75" customHeight="1">
      <c r="A553" s="695"/>
      <c r="B553" s="696"/>
      <c r="C553" s="696"/>
      <c r="D553" s="696"/>
      <c r="E553" s="697"/>
      <c r="F553" s="698"/>
      <c r="G553" s="698"/>
      <c r="H553" s="698"/>
      <c r="I553" s="697"/>
      <c r="J553" s="699"/>
      <c r="K553" s="695"/>
      <c r="L553" s="699"/>
      <c r="M553" s="700"/>
      <c r="N553" s="701"/>
      <c r="O553" s="701"/>
      <c r="P553" s="697"/>
      <c r="Q553" s="701"/>
      <c r="R553" s="701"/>
      <c r="S553" s="680"/>
      <c r="T553" s="680"/>
      <c r="U553" s="680"/>
      <c r="V553" s="680"/>
    </row>
    <row r="554" ht="15.75" customHeight="1">
      <c r="A554" s="695"/>
      <c r="B554" s="696"/>
      <c r="C554" s="696"/>
      <c r="D554" s="696"/>
      <c r="E554" s="697"/>
      <c r="F554" s="698"/>
      <c r="G554" s="698"/>
      <c r="H554" s="698"/>
      <c r="I554" s="697"/>
      <c r="J554" s="699"/>
      <c r="K554" s="695"/>
      <c r="L554" s="699"/>
      <c r="M554" s="700"/>
      <c r="N554" s="701"/>
      <c r="O554" s="701"/>
      <c r="P554" s="697"/>
      <c r="Q554" s="701"/>
      <c r="R554" s="701"/>
      <c r="S554" s="680"/>
      <c r="T554" s="680"/>
      <c r="U554" s="680"/>
      <c r="V554" s="680"/>
    </row>
    <row r="555" ht="15.75" customHeight="1">
      <c r="A555" s="695"/>
      <c r="B555" s="696"/>
      <c r="C555" s="696"/>
      <c r="D555" s="696"/>
      <c r="E555" s="697"/>
      <c r="F555" s="698"/>
      <c r="G555" s="698"/>
      <c r="H555" s="698"/>
      <c r="I555" s="697"/>
      <c r="J555" s="699"/>
      <c r="K555" s="695"/>
      <c r="L555" s="699"/>
      <c r="M555" s="700"/>
      <c r="N555" s="701"/>
      <c r="O555" s="701"/>
      <c r="P555" s="697"/>
      <c r="Q555" s="701"/>
      <c r="R555" s="701"/>
      <c r="S555" s="680"/>
      <c r="T555" s="680"/>
      <c r="U555" s="680"/>
      <c r="V555" s="680"/>
    </row>
    <row r="556" ht="15.75" customHeight="1">
      <c r="A556" s="695"/>
      <c r="B556" s="696"/>
      <c r="C556" s="696"/>
      <c r="D556" s="696"/>
      <c r="E556" s="697"/>
      <c r="F556" s="698"/>
      <c r="G556" s="698"/>
      <c r="H556" s="698"/>
      <c r="I556" s="697"/>
      <c r="J556" s="699"/>
      <c r="K556" s="695"/>
      <c r="L556" s="699"/>
      <c r="M556" s="700"/>
      <c r="N556" s="701"/>
      <c r="O556" s="701"/>
      <c r="P556" s="697"/>
      <c r="Q556" s="701"/>
      <c r="R556" s="701"/>
      <c r="S556" s="680"/>
      <c r="T556" s="680"/>
      <c r="U556" s="680"/>
      <c r="V556" s="680"/>
    </row>
    <row r="557" ht="15.75" customHeight="1">
      <c r="A557" s="695"/>
      <c r="B557" s="696"/>
      <c r="C557" s="696"/>
      <c r="D557" s="696"/>
      <c r="E557" s="697"/>
      <c r="F557" s="698"/>
      <c r="G557" s="698"/>
      <c r="H557" s="698"/>
      <c r="I557" s="697"/>
      <c r="J557" s="699"/>
      <c r="K557" s="695"/>
      <c r="L557" s="699"/>
      <c r="M557" s="700"/>
      <c r="N557" s="701"/>
      <c r="O557" s="701"/>
      <c r="P557" s="697"/>
      <c r="Q557" s="701"/>
      <c r="R557" s="701"/>
      <c r="S557" s="680"/>
      <c r="T557" s="680"/>
      <c r="U557" s="680"/>
      <c r="V557" s="680"/>
    </row>
    <row r="558" ht="15.75" customHeight="1">
      <c r="A558" s="695"/>
      <c r="B558" s="696"/>
      <c r="C558" s="696"/>
      <c r="D558" s="696"/>
      <c r="E558" s="697"/>
      <c r="F558" s="698"/>
      <c r="G558" s="698"/>
      <c r="H558" s="698"/>
      <c r="I558" s="697"/>
      <c r="J558" s="699"/>
      <c r="K558" s="695"/>
      <c r="L558" s="699"/>
      <c r="M558" s="700"/>
      <c r="N558" s="701"/>
      <c r="O558" s="701"/>
      <c r="P558" s="697"/>
      <c r="Q558" s="701"/>
      <c r="R558" s="701"/>
      <c r="S558" s="680"/>
      <c r="T558" s="680"/>
      <c r="U558" s="680"/>
      <c r="V558" s="680"/>
    </row>
    <row r="559" ht="15.75" customHeight="1">
      <c r="A559" s="695"/>
      <c r="B559" s="696"/>
      <c r="C559" s="696"/>
      <c r="D559" s="696"/>
      <c r="E559" s="697"/>
      <c r="F559" s="698"/>
      <c r="G559" s="698"/>
      <c r="H559" s="698"/>
      <c r="I559" s="697"/>
      <c r="J559" s="699"/>
      <c r="K559" s="695"/>
      <c r="L559" s="699"/>
      <c r="M559" s="700"/>
      <c r="N559" s="701"/>
      <c r="O559" s="701"/>
      <c r="P559" s="697"/>
      <c r="Q559" s="701"/>
      <c r="R559" s="701"/>
      <c r="S559" s="680"/>
      <c r="T559" s="680"/>
      <c r="U559" s="680"/>
      <c r="V559" s="680"/>
    </row>
    <row r="560" ht="15.75" customHeight="1">
      <c r="A560" s="695"/>
      <c r="B560" s="696"/>
      <c r="C560" s="696"/>
      <c r="D560" s="696"/>
      <c r="E560" s="697"/>
      <c r="F560" s="698"/>
      <c r="G560" s="698"/>
      <c r="H560" s="698"/>
      <c r="I560" s="697"/>
      <c r="J560" s="699"/>
      <c r="K560" s="695"/>
      <c r="L560" s="699"/>
      <c r="M560" s="700"/>
      <c r="N560" s="701"/>
      <c r="O560" s="701"/>
      <c r="P560" s="697"/>
      <c r="Q560" s="701"/>
      <c r="R560" s="701"/>
      <c r="S560" s="680"/>
      <c r="T560" s="680"/>
      <c r="U560" s="680"/>
      <c r="V560" s="680"/>
    </row>
    <row r="561" ht="15.75" customHeight="1">
      <c r="A561" s="695"/>
      <c r="B561" s="696"/>
      <c r="C561" s="696"/>
      <c r="D561" s="696"/>
      <c r="E561" s="697"/>
      <c r="F561" s="698"/>
      <c r="G561" s="698"/>
      <c r="H561" s="698"/>
      <c r="I561" s="697"/>
      <c r="J561" s="699"/>
      <c r="K561" s="695"/>
      <c r="L561" s="699"/>
      <c r="M561" s="700"/>
      <c r="N561" s="701"/>
      <c r="O561" s="701"/>
      <c r="P561" s="697"/>
      <c r="Q561" s="701"/>
      <c r="R561" s="701"/>
      <c r="S561" s="680"/>
      <c r="T561" s="680"/>
      <c r="U561" s="680"/>
      <c r="V561" s="680"/>
    </row>
    <row r="562" ht="15.75" customHeight="1">
      <c r="A562" s="695"/>
      <c r="B562" s="696"/>
      <c r="C562" s="696"/>
      <c r="D562" s="696"/>
      <c r="E562" s="697"/>
      <c r="F562" s="698"/>
      <c r="G562" s="698"/>
      <c r="H562" s="698"/>
      <c r="I562" s="697"/>
      <c r="J562" s="699"/>
      <c r="K562" s="695"/>
      <c r="L562" s="699"/>
      <c r="M562" s="700"/>
      <c r="N562" s="701"/>
      <c r="O562" s="701"/>
      <c r="P562" s="697"/>
      <c r="Q562" s="701"/>
      <c r="R562" s="701"/>
      <c r="S562" s="680"/>
      <c r="T562" s="680"/>
      <c r="U562" s="680"/>
      <c r="V562" s="680"/>
    </row>
    <row r="563" ht="15.75" customHeight="1">
      <c r="A563" s="695"/>
      <c r="B563" s="696"/>
      <c r="C563" s="696"/>
      <c r="D563" s="696"/>
      <c r="E563" s="697"/>
      <c r="F563" s="698"/>
      <c r="G563" s="698"/>
      <c r="H563" s="698"/>
      <c r="I563" s="697"/>
      <c r="J563" s="699"/>
      <c r="K563" s="695"/>
      <c r="L563" s="699"/>
      <c r="M563" s="700"/>
      <c r="N563" s="701"/>
      <c r="O563" s="701"/>
      <c r="P563" s="697"/>
      <c r="Q563" s="701"/>
      <c r="R563" s="701"/>
      <c r="S563" s="680"/>
      <c r="T563" s="680"/>
      <c r="U563" s="680"/>
      <c r="V563" s="680"/>
    </row>
    <row r="564" ht="15.75" customHeight="1">
      <c r="A564" s="695"/>
      <c r="B564" s="696"/>
      <c r="C564" s="696"/>
      <c r="D564" s="696"/>
      <c r="E564" s="697"/>
      <c r="F564" s="698"/>
      <c r="G564" s="698"/>
      <c r="H564" s="698"/>
      <c r="I564" s="697"/>
      <c r="J564" s="699"/>
      <c r="K564" s="695"/>
      <c r="L564" s="699"/>
      <c r="M564" s="700"/>
      <c r="N564" s="701"/>
      <c r="O564" s="701"/>
      <c r="P564" s="697"/>
      <c r="Q564" s="701"/>
      <c r="R564" s="701"/>
      <c r="S564" s="680"/>
      <c r="T564" s="680"/>
      <c r="U564" s="680"/>
      <c r="V564" s="680"/>
    </row>
    <row r="565" ht="15.75" customHeight="1">
      <c r="A565" s="695"/>
      <c r="B565" s="696"/>
      <c r="C565" s="696"/>
      <c r="D565" s="696"/>
      <c r="E565" s="697"/>
      <c r="F565" s="698"/>
      <c r="G565" s="698"/>
      <c r="H565" s="698"/>
      <c r="I565" s="697"/>
      <c r="J565" s="699"/>
      <c r="K565" s="695"/>
      <c r="L565" s="699"/>
      <c r="M565" s="700"/>
      <c r="N565" s="701"/>
      <c r="O565" s="701"/>
      <c r="P565" s="697"/>
      <c r="Q565" s="701"/>
      <c r="R565" s="701"/>
      <c r="S565" s="680"/>
      <c r="T565" s="680"/>
      <c r="U565" s="680"/>
      <c r="V565" s="680"/>
    </row>
    <row r="566" ht="15.75" customHeight="1">
      <c r="A566" s="695"/>
      <c r="B566" s="696"/>
      <c r="C566" s="696"/>
      <c r="D566" s="696"/>
      <c r="E566" s="697"/>
      <c r="F566" s="698"/>
      <c r="G566" s="698"/>
      <c r="H566" s="698"/>
      <c r="I566" s="697"/>
      <c r="J566" s="699"/>
      <c r="K566" s="695"/>
      <c r="L566" s="699"/>
      <c r="M566" s="700"/>
      <c r="N566" s="701"/>
      <c r="O566" s="701"/>
      <c r="P566" s="697"/>
      <c r="Q566" s="701"/>
      <c r="R566" s="701"/>
      <c r="S566" s="680"/>
      <c r="T566" s="680"/>
      <c r="U566" s="680"/>
      <c r="V566" s="680"/>
    </row>
    <row r="567" ht="15.75" customHeight="1">
      <c r="A567" s="695"/>
      <c r="B567" s="696"/>
      <c r="C567" s="696"/>
      <c r="D567" s="696"/>
      <c r="E567" s="697"/>
      <c r="F567" s="698"/>
      <c r="G567" s="698"/>
      <c r="H567" s="698"/>
      <c r="I567" s="697"/>
      <c r="J567" s="699"/>
      <c r="K567" s="695"/>
      <c r="L567" s="699"/>
      <c r="M567" s="700"/>
      <c r="N567" s="701"/>
      <c r="O567" s="701"/>
      <c r="P567" s="697"/>
      <c r="Q567" s="701"/>
      <c r="R567" s="701"/>
      <c r="S567" s="680"/>
      <c r="T567" s="680"/>
      <c r="U567" s="680"/>
      <c r="V567" s="680"/>
    </row>
    <row r="568" ht="15.75" customHeight="1">
      <c r="A568" s="695"/>
      <c r="B568" s="696"/>
      <c r="C568" s="696"/>
      <c r="D568" s="696"/>
      <c r="E568" s="697"/>
      <c r="F568" s="698"/>
      <c r="G568" s="698"/>
      <c r="H568" s="698"/>
      <c r="I568" s="697"/>
      <c r="J568" s="699"/>
      <c r="K568" s="695"/>
      <c r="L568" s="699"/>
      <c r="M568" s="700"/>
      <c r="N568" s="701"/>
      <c r="O568" s="701"/>
      <c r="P568" s="697"/>
      <c r="Q568" s="701"/>
      <c r="R568" s="701"/>
      <c r="S568" s="680"/>
      <c r="T568" s="680"/>
      <c r="U568" s="680"/>
      <c r="V568" s="680"/>
    </row>
    <row r="569" ht="15.75" customHeight="1">
      <c r="A569" s="695"/>
      <c r="B569" s="696"/>
      <c r="C569" s="696"/>
      <c r="D569" s="696"/>
      <c r="E569" s="697"/>
      <c r="F569" s="698"/>
      <c r="G569" s="698"/>
      <c r="H569" s="698"/>
      <c r="I569" s="697"/>
      <c r="J569" s="699"/>
      <c r="K569" s="695"/>
      <c r="L569" s="699"/>
      <c r="M569" s="700"/>
      <c r="N569" s="701"/>
      <c r="O569" s="701"/>
      <c r="P569" s="697"/>
      <c r="Q569" s="701"/>
      <c r="R569" s="701"/>
      <c r="S569" s="680"/>
      <c r="T569" s="680"/>
      <c r="U569" s="680"/>
      <c r="V569" s="680"/>
    </row>
    <row r="570" ht="15.75" customHeight="1">
      <c r="A570" s="695"/>
      <c r="B570" s="696"/>
      <c r="C570" s="696"/>
      <c r="D570" s="696"/>
      <c r="E570" s="697"/>
      <c r="F570" s="698"/>
      <c r="G570" s="698"/>
      <c r="H570" s="698"/>
      <c r="I570" s="697"/>
      <c r="J570" s="699"/>
      <c r="K570" s="695"/>
      <c r="L570" s="699"/>
      <c r="M570" s="700"/>
      <c r="N570" s="701"/>
      <c r="O570" s="701"/>
      <c r="P570" s="697"/>
      <c r="Q570" s="701"/>
      <c r="R570" s="701"/>
      <c r="S570" s="680"/>
      <c r="T570" s="680"/>
      <c r="U570" s="680"/>
      <c r="V570" s="680"/>
    </row>
    <row r="571" ht="15.75" customHeight="1">
      <c r="A571" s="695"/>
      <c r="B571" s="696"/>
      <c r="C571" s="696"/>
      <c r="D571" s="696"/>
      <c r="E571" s="697"/>
      <c r="F571" s="698"/>
      <c r="G571" s="698"/>
      <c r="H571" s="698"/>
      <c r="I571" s="697"/>
      <c r="J571" s="699"/>
      <c r="K571" s="695"/>
      <c r="L571" s="699"/>
      <c r="M571" s="700"/>
      <c r="N571" s="701"/>
      <c r="O571" s="701"/>
      <c r="P571" s="697"/>
      <c r="Q571" s="701"/>
      <c r="R571" s="701"/>
      <c r="S571" s="680"/>
      <c r="T571" s="680"/>
      <c r="U571" s="680"/>
      <c r="V571" s="680"/>
    </row>
    <row r="572" ht="15.75" customHeight="1">
      <c r="A572" s="695"/>
      <c r="B572" s="696"/>
      <c r="C572" s="696"/>
      <c r="D572" s="696"/>
      <c r="E572" s="697"/>
      <c r="F572" s="698"/>
      <c r="G572" s="698"/>
      <c r="H572" s="698"/>
      <c r="I572" s="697"/>
      <c r="J572" s="699"/>
      <c r="K572" s="695"/>
      <c r="L572" s="699"/>
      <c r="M572" s="700"/>
      <c r="N572" s="701"/>
      <c r="O572" s="701"/>
      <c r="P572" s="697"/>
      <c r="Q572" s="701"/>
      <c r="R572" s="701"/>
      <c r="S572" s="680"/>
      <c r="T572" s="680"/>
      <c r="U572" s="680"/>
      <c r="V572" s="680"/>
    </row>
    <row r="573" ht="15.75" customHeight="1">
      <c r="A573" s="695"/>
      <c r="B573" s="696"/>
      <c r="C573" s="696"/>
      <c r="D573" s="696"/>
      <c r="E573" s="697"/>
      <c r="F573" s="698"/>
      <c r="G573" s="698"/>
      <c r="H573" s="698"/>
      <c r="I573" s="697"/>
      <c r="J573" s="699"/>
      <c r="K573" s="695"/>
      <c r="L573" s="699"/>
      <c r="M573" s="700"/>
      <c r="N573" s="701"/>
      <c r="O573" s="701"/>
      <c r="P573" s="697"/>
      <c r="Q573" s="701"/>
      <c r="R573" s="701"/>
      <c r="S573" s="680"/>
      <c r="T573" s="680"/>
      <c r="U573" s="680"/>
      <c r="V573" s="680"/>
    </row>
    <row r="574" ht="15.75" customHeight="1">
      <c r="A574" s="695"/>
      <c r="B574" s="696"/>
      <c r="C574" s="696"/>
      <c r="D574" s="696"/>
      <c r="E574" s="697"/>
      <c r="F574" s="698"/>
      <c r="G574" s="698"/>
      <c r="H574" s="698"/>
      <c r="I574" s="697"/>
      <c r="J574" s="699"/>
      <c r="K574" s="695"/>
      <c r="L574" s="699"/>
      <c r="M574" s="700"/>
      <c r="N574" s="701"/>
      <c r="O574" s="701"/>
      <c r="P574" s="697"/>
      <c r="Q574" s="701"/>
      <c r="R574" s="701"/>
      <c r="S574" s="680"/>
      <c r="T574" s="680"/>
      <c r="U574" s="680"/>
      <c r="V574" s="680"/>
    </row>
    <row r="575" ht="15.75" customHeight="1">
      <c r="A575" s="695"/>
      <c r="B575" s="696"/>
      <c r="C575" s="696"/>
      <c r="D575" s="696"/>
      <c r="E575" s="697"/>
      <c r="F575" s="698"/>
      <c r="G575" s="698"/>
      <c r="H575" s="698"/>
      <c r="I575" s="697"/>
      <c r="J575" s="699"/>
      <c r="K575" s="695"/>
      <c r="L575" s="699"/>
      <c r="M575" s="700"/>
      <c r="N575" s="701"/>
      <c r="O575" s="701"/>
      <c r="P575" s="697"/>
      <c r="Q575" s="701"/>
      <c r="R575" s="701"/>
      <c r="S575" s="680"/>
      <c r="T575" s="680"/>
      <c r="U575" s="680"/>
      <c r="V575" s="680"/>
    </row>
    <row r="576" ht="15.75" customHeight="1">
      <c r="A576" s="695"/>
      <c r="B576" s="696"/>
      <c r="C576" s="696"/>
      <c r="D576" s="696"/>
      <c r="E576" s="697"/>
      <c r="F576" s="698"/>
      <c r="G576" s="698"/>
      <c r="H576" s="698"/>
      <c r="I576" s="697"/>
      <c r="J576" s="699"/>
      <c r="K576" s="695"/>
      <c r="L576" s="699"/>
      <c r="M576" s="700"/>
      <c r="N576" s="701"/>
      <c r="O576" s="701"/>
      <c r="P576" s="697"/>
      <c r="Q576" s="701"/>
      <c r="R576" s="701"/>
      <c r="S576" s="680"/>
      <c r="T576" s="680"/>
      <c r="U576" s="680"/>
      <c r="V576" s="680"/>
    </row>
    <row r="577" ht="15.75" customHeight="1">
      <c r="A577" s="695"/>
      <c r="B577" s="696"/>
      <c r="C577" s="696"/>
      <c r="D577" s="696"/>
      <c r="E577" s="697"/>
      <c r="F577" s="698"/>
      <c r="G577" s="698"/>
      <c r="H577" s="698"/>
      <c r="I577" s="697"/>
      <c r="J577" s="699"/>
      <c r="K577" s="695"/>
      <c r="L577" s="699"/>
      <c r="M577" s="700"/>
      <c r="N577" s="701"/>
      <c r="O577" s="701"/>
      <c r="P577" s="697"/>
      <c r="Q577" s="701"/>
      <c r="R577" s="701"/>
      <c r="S577" s="680"/>
      <c r="T577" s="680"/>
      <c r="U577" s="680"/>
      <c r="V577" s="680"/>
    </row>
    <row r="578" ht="15.75" customHeight="1">
      <c r="A578" s="695"/>
      <c r="B578" s="696"/>
      <c r="C578" s="696"/>
      <c r="D578" s="696"/>
      <c r="E578" s="697"/>
      <c r="F578" s="698"/>
      <c r="G578" s="698"/>
      <c r="H578" s="698"/>
      <c r="I578" s="697"/>
      <c r="J578" s="699"/>
      <c r="K578" s="695"/>
      <c r="L578" s="699"/>
      <c r="M578" s="700"/>
      <c r="N578" s="701"/>
      <c r="O578" s="701"/>
      <c r="P578" s="697"/>
      <c r="Q578" s="701"/>
      <c r="R578" s="701"/>
      <c r="S578" s="680"/>
      <c r="T578" s="680"/>
      <c r="U578" s="680"/>
      <c r="V578" s="680"/>
    </row>
    <row r="579" ht="15.75" customHeight="1">
      <c r="A579" s="695"/>
      <c r="B579" s="696"/>
      <c r="C579" s="696"/>
      <c r="D579" s="696"/>
      <c r="E579" s="697"/>
      <c r="F579" s="698"/>
      <c r="G579" s="698"/>
      <c r="H579" s="698"/>
      <c r="I579" s="697"/>
      <c r="J579" s="699"/>
      <c r="K579" s="695"/>
      <c r="L579" s="699"/>
      <c r="M579" s="700"/>
      <c r="N579" s="701"/>
      <c r="O579" s="701"/>
      <c r="P579" s="697"/>
      <c r="Q579" s="701"/>
      <c r="R579" s="701"/>
      <c r="S579" s="680"/>
      <c r="T579" s="680"/>
      <c r="U579" s="680"/>
      <c r="V579" s="680"/>
    </row>
    <row r="580" ht="15.75" customHeight="1">
      <c r="A580" s="695"/>
      <c r="B580" s="696"/>
      <c r="C580" s="696"/>
      <c r="D580" s="696"/>
      <c r="E580" s="697"/>
      <c r="F580" s="698"/>
      <c r="G580" s="698"/>
      <c r="H580" s="698"/>
      <c r="I580" s="697"/>
      <c r="J580" s="699"/>
      <c r="K580" s="695"/>
      <c r="L580" s="699"/>
      <c r="M580" s="700"/>
      <c r="N580" s="701"/>
      <c r="O580" s="701"/>
      <c r="P580" s="697"/>
      <c r="Q580" s="701"/>
      <c r="R580" s="701"/>
      <c r="S580" s="680"/>
      <c r="T580" s="680"/>
      <c r="U580" s="680"/>
      <c r="V580" s="680"/>
    </row>
    <row r="581" ht="15.75" customHeight="1">
      <c r="A581" s="695"/>
      <c r="B581" s="696"/>
      <c r="C581" s="696"/>
      <c r="D581" s="696"/>
      <c r="E581" s="697"/>
      <c r="F581" s="698"/>
      <c r="G581" s="698"/>
      <c r="H581" s="698"/>
      <c r="I581" s="697"/>
      <c r="J581" s="699"/>
      <c r="K581" s="695"/>
      <c r="L581" s="699"/>
      <c r="M581" s="700"/>
      <c r="N581" s="701"/>
      <c r="O581" s="701"/>
      <c r="P581" s="697"/>
      <c r="Q581" s="701"/>
      <c r="R581" s="701"/>
      <c r="S581" s="680"/>
      <c r="T581" s="680"/>
      <c r="U581" s="680"/>
      <c r="V581" s="680"/>
    </row>
    <row r="582" ht="15.75" customHeight="1">
      <c r="A582" s="695"/>
      <c r="B582" s="696"/>
      <c r="C582" s="696"/>
      <c r="D582" s="696"/>
      <c r="E582" s="697"/>
      <c r="F582" s="698"/>
      <c r="G582" s="698"/>
      <c r="H582" s="698"/>
      <c r="I582" s="697"/>
      <c r="J582" s="699"/>
      <c r="K582" s="695"/>
      <c r="L582" s="699"/>
      <c r="M582" s="700"/>
      <c r="N582" s="701"/>
      <c r="O582" s="701"/>
      <c r="P582" s="697"/>
      <c r="Q582" s="701"/>
      <c r="R582" s="701"/>
      <c r="S582" s="680"/>
      <c r="T582" s="680"/>
      <c r="U582" s="680"/>
      <c r="V582" s="680"/>
    </row>
    <row r="583" ht="15.75" customHeight="1">
      <c r="A583" s="695"/>
      <c r="B583" s="696"/>
      <c r="C583" s="696"/>
      <c r="D583" s="696"/>
      <c r="E583" s="697"/>
      <c r="F583" s="698"/>
      <c r="G583" s="698"/>
      <c r="H583" s="698"/>
      <c r="I583" s="697"/>
      <c r="J583" s="699"/>
      <c r="K583" s="695"/>
      <c r="L583" s="699"/>
      <c r="M583" s="700"/>
      <c r="N583" s="701"/>
      <c r="O583" s="701"/>
      <c r="P583" s="697"/>
      <c r="Q583" s="701"/>
      <c r="R583" s="701"/>
      <c r="S583" s="680"/>
      <c r="T583" s="680"/>
      <c r="U583" s="680"/>
      <c r="V583" s="680"/>
    </row>
    <row r="584" ht="15.75" customHeight="1">
      <c r="A584" s="695"/>
      <c r="B584" s="696"/>
      <c r="C584" s="696"/>
      <c r="D584" s="696"/>
      <c r="E584" s="697"/>
      <c r="F584" s="698"/>
      <c r="G584" s="698"/>
      <c r="H584" s="698"/>
      <c r="I584" s="697"/>
      <c r="J584" s="699"/>
      <c r="K584" s="695"/>
      <c r="L584" s="699"/>
      <c r="M584" s="700"/>
      <c r="N584" s="701"/>
      <c r="O584" s="701"/>
      <c r="P584" s="697"/>
      <c r="Q584" s="701"/>
      <c r="R584" s="701"/>
      <c r="S584" s="680"/>
      <c r="T584" s="680"/>
      <c r="U584" s="680"/>
      <c r="V584" s="680"/>
    </row>
    <row r="585" ht="15.75" customHeight="1">
      <c r="A585" s="695"/>
      <c r="B585" s="696"/>
      <c r="C585" s="696"/>
      <c r="D585" s="696"/>
      <c r="E585" s="697"/>
      <c r="F585" s="698"/>
      <c r="G585" s="698"/>
      <c r="H585" s="698"/>
      <c r="I585" s="697"/>
      <c r="J585" s="699"/>
      <c r="K585" s="695"/>
      <c r="L585" s="699"/>
      <c r="M585" s="700"/>
      <c r="N585" s="701"/>
      <c r="O585" s="701"/>
      <c r="P585" s="697"/>
      <c r="Q585" s="701"/>
      <c r="R585" s="701"/>
      <c r="S585" s="680"/>
      <c r="T585" s="680"/>
      <c r="U585" s="680"/>
      <c r="V585" s="680"/>
    </row>
    <row r="586" ht="15.75" customHeight="1">
      <c r="A586" s="695"/>
      <c r="B586" s="696"/>
      <c r="C586" s="696"/>
      <c r="D586" s="696"/>
      <c r="E586" s="697"/>
      <c r="F586" s="698"/>
      <c r="G586" s="698"/>
      <c r="H586" s="698"/>
      <c r="I586" s="697"/>
      <c r="J586" s="699"/>
      <c r="K586" s="695"/>
      <c r="L586" s="699"/>
      <c r="M586" s="700"/>
      <c r="N586" s="701"/>
      <c r="O586" s="701"/>
      <c r="P586" s="697"/>
      <c r="Q586" s="701"/>
      <c r="R586" s="701"/>
      <c r="S586" s="680"/>
      <c r="T586" s="680"/>
      <c r="U586" s="680"/>
      <c r="V586" s="680"/>
    </row>
    <row r="587" ht="15.75" customHeight="1">
      <c r="A587" s="695"/>
      <c r="B587" s="696"/>
      <c r="C587" s="696"/>
      <c r="D587" s="696"/>
      <c r="E587" s="697"/>
      <c r="F587" s="698"/>
      <c r="G587" s="698"/>
      <c r="H587" s="698"/>
      <c r="I587" s="697"/>
      <c r="J587" s="699"/>
      <c r="K587" s="695"/>
      <c r="L587" s="699"/>
      <c r="M587" s="700"/>
      <c r="N587" s="701"/>
      <c r="O587" s="701"/>
      <c r="P587" s="697"/>
      <c r="Q587" s="701"/>
      <c r="R587" s="701"/>
      <c r="S587" s="680"/>
      <c r="T587" s="680"/>
      <c r="U587" s="680"/>
      <c r="V587" s="680"/>
    </row>
    <row r="588" ht="15.75" customHeight="1">
      <c r="A588" s="695"/>
      <c r="B588" s="696"/>
      <c r="C588" s="696"/>
      <c r="D588" s="696"/>
      <c r="E588" s="697"/>
      <c r="F588" s="698"/>
      <c r="G588" s="698"/>
      <c r="H588" s="698"/>
      <c r="I588" s="697"/>
      <c r="J588" s="699"/>
      <c r="K588" s="695"/>
      <c r="L588" s="699"/>
      <c r="M588" s="700"/>
      <c r="N588" s="701"/>
      <c r="O588" s="701"/>
      <c r="P588" s="697"/>
      <c r="Q588" s="701"/>
      <c r="R588" s="701"/>
      <c r="S588" s="680"/>
      <c r="T588" s="680"/>
      <c r="U588" s="680"/>
      <c r="V588" s="680"/>
    </row>
    <row r="589" ht="15.75" customHeight="1">
      <c r="A589" s="695"/>
      <c r="B589" s="696"/>
      <c r="C589" s="696"/>
      <c r="D589" s="696"/>
      <c r="E589" s="697"/>
      <c r="F589" s="698"/>
      <c r="G589" s="698"/>
      <c r="H589" s="698"/>
      <c r="I589" s="697"/>
      <c r="J589" s="699"/>
      <c r="K589" s="695"/>
      <c r="L589" s="699"/>
      <c r="M589" s="700"/>
      <c r="N589" s="701"/>
      <c r="O589" s="701"/>
      <c r="P589" s="697"/>
      <c r="Q589" s="701"/>
      <c r="R589" s="701"/>
      <c r="S589" s="680"/>
      <c r="T589" s="680"/>
      <c r="U589" s="680"/>
      <c r="V589" s="680"/>
    </row>
    <row r="590" ht="15.75" customHeight="1">
      <c r="A590" s="695"/>
      <c r="B590" s="696"/>
      <c r="C590" s="696"/>
      <c r="D590" s="696"/>
      <c r="E590" s="697"/>
      <c r="F590" s="698"/>
      <c r="G590" s="698"/>
      <c r="H590" s="698"/>
      <c r="I590" s="697"/>
      <c r="J590" s="699"/>
      <c r="K590" s="695"/>
      <c r="L590" s="699"/>
      <c r="M590" s="700"/>
      <c r="N590" s="701"/>
      <c r="O590" s="701"/>
      <c r="P590" s="697"/>
      <c r="Q590" s="701"/>
      <c r="R590" s="701"/>
      <c r="S590" s="680"/>
      <c r="T590" s="680"/>
      <c r="U590" s="680"/>
      <c r="V590" s="680"/>
    </row>
    <row r="591" ht="15.75" customHeight="1">
      <c r="A591" s="695"/>
      <c r="B591" s="696"/>
      <c r="C591" s="696"/>
      <c r="D591" s="696"/>
      <c r="E591" s="697"/>
      <c r="F591" s="698"/>
      <c r="G591" s="698"/>
      <c r="H591" s="698"/>
      <c r="I591" s="697"/>
      <c r="J591" s="699"/>
      <c r="K591" s="695"/>
      <c r="L591" s="699"/>
      <c r="M591" s="700"/>
      <c r="N591" s="701"/>
      <c r="O591" s="701"/>
      <c r="P591" s="697"/>
      <c r="Q591" s="701"/>
      <c r="R591" s="701"/>
      <c r="S591" s="680"/>
      <c r="T591" s="680"/>
      <c r="U591" s="680"/>
      <c r="V591" s="680"/>
    </row>
    <row r="592" ht="15.75" customHeight="1">
      <c r="A592" s="695"/>
      <c r="B592" s="696"/>
      <c r="C592" s="696"/>
      <c r="D592" s="696"/>
      <c r="E592" s="697"/>
      <c r="F592" s="698"/>
      <c r="G592" s="698"/>
      <c r="H592" s="698"/>
      <c r="I592" s="697"/>
      <c r="J592" s="699"/>
      <c r="K592" s="695"/>
      <c r="L592" s="699"/>
      <c r="M592" s="700"/>
      <c r="N592" s="701"/>
      <c r="O592" s="701"/>
      <c r="P592" s="697"/>
      <c r="Q592" s="701"/>
      <c r="R592" s="701"/>
      <c r="S592" s="680"/>
      <c r="T592" s="680"/>
      <c r="U592" s="680"/>
      <c r="V592" s="680"/>
    </row>
    <row r="593" ht="15.75" customHeight="1">
      <c r="A593" s="695"/>
      <c r="B593" s="696"/>
      <c r="C593" s="696"/>
      <c r="D593" s="696"/>
      <c r="E593" s="697"/>
      <c r="F593" s="698"/>
      <c r="G593" s="698"/>
      <c r="H593" s="698"/>
      <c r="I593" s="697"/>
      <c r="J593" s="699"/>
      <c r="K593" s="695"/>
      <c r="L593" s="699"/>
      <c r="M593" s="700"/>
      <c r="N593" s="701"/>
      <c r="O593" s="701"/>
      <c r="P593" s="697"/>
      <c r="Q593" s="701"/>
      <c r="R593" s="701"/>
      <c r="S593" s="680"/>
      <c r="T593" s="680"/>
      <c r="U593" s="680"/>
      <c r="V593" s="680"/>
    </row>
    <row r="594" ht="15.75" customHeight="1">
      <c r="A594" s="695"/>
      <c r="B594" s="696"/>
      <c r="C594" s="696"/>
      <c r="D594" s="696"/>
      <c r="E594" s="697"/>
      <c r="F594" s="698"/>
      <c r="G594" s="698"/>
      <c r="H594" s="698"/>
      <c r="I594" s="697"/>
      <c r="J594" s="699"/>
      <c r="K594" s="695"/>
      <c r="L594" s="699"/>
      <c r="M594" s="700"/>
      <c r="N594" s="701"/>
      <c r="O594" s="701"/>
      <c r="P594" s="697"/>
      <c r="Q594" s="701"/>
      <c r="R594" s="701"/>
      <c r="S594" s="680"/>
      <c r="T594" s="680"/>
      <c r="U594" s="680"/>
      <c r="V594" s="680"/>
    </row>
    <row r="595" ht="15.75" customHeight="1">
      <c r="A595" s="695"/>
      <c r="B595" s="696"/>
      <c r="C595" s="696"/>
      <c r="D595" s="696"/>
      <c r="E595" s="697"/>
      <c r="F595" s="698"/>
      <c r="G595" s="698"/>
      <c r="H595" s="698"/>
      <c r="I595" s="697"/>
      <c r="J595" s="699"/>
      <c r="K595" s="695"/>
      <c r="L595" s="699"/>
      <c r="M595" s="700"/>
      <c r="N595" s="701"/>
      <c r="O595" s="701"/>
      <c r="P595" s="697"/>
      <c r="Q595" s="701"/>
      <c r="R595" s="701"/>
      <c r="S595" s="680"/>
      <c r="T595" s="680"/>
      <c r="U595" s="680"/>
      <c r="V595" s="680"/>
    </row>
    <row r="596" ht="15.75" customHeight="1">
      <c r="A596" s="695"/>
      <c r="B596" s="696"/>
      <c r="C596" s="696"/>
      <c r="D596" s="696"/>
      <c r="E596" s="697"/>
      <c r="F596" s="698"/>
      <c r="G596" s="698"/>
      <c r="H596" s="698"/>
      <c r="I596" s="697"/>
      <c r="J596" s="699"/>
      <c r="K596" s="695"/>
      <c r="L596" s="699"/>
      <c r="M596" s="700"/>
      <c r="N596" s="701"/>
      <c r="O596" s="701"/>
      <c r="P596" s="697"/>
      <c r="Q596" s="701"/>
      <c r="R596" s="701"/>
      <c r="S596" s="680"/>
      <c r="T596" s="680"/>
      <c r="U596" s="680"/>
      <c r="V596" s="680"/>
    </row>
    <row r="597" ht="15.75" customHeight="1">
      <c r="A597" s="695"/>
      <c r="B597" s="696"/>
      <c r="C597" s="696"/>
      <c r="D597" s="696"/>
      <c r="E597" s="697"/>
      <c r="F597" s="698"/>
      <c r="G597" s="698"/>
      <c r="H597" s="698"/>
      <c r="I597" s="697"/>
      <c r="J597" s="699"/>
      <c r="K597" s="695"/>
      <c r="L597" s="699"/>
      <c r="M597" s="700"/>
      <c r="N597" s="701"/>
      <c r="O597" s="701"/>
      <c r="P597" s="697"/>
      <c r="Q597" s="701"/>
      <c r="R597" s="701"/>
      <c r="S597" s="680"/>
      <c r="T597" s="680"/>
      <c r="U597" s="680"/>
      <c r="V597" s="680"/>
    </row>
    <row r="598" ht="15.75" customHeight="1">
      <c r="A598" s="695"/>
      <c r="B598" s="696"/>
      <c r="C598" s="696"/>
      <c r="D598" s="696"/>
      <c r="E598" s="697"/>
      <c r="F598" s="698"/>
      <c r="G598" s="698"/>
      <c r="H598" s="698"/>
      <c r="I598" s="697"/>
      <c r="J598" s="699"/>
      <c r="K598" s="695"/>
      <c r="L598" s="699"/>
      <c r="M598" s="700"/>
      <c r="N598" s="701"/>
      <c r="O598" s="701"/>
      <c r="P598" s="697"/>
      <c r="Q598" s="701"/>
      <c r="R598" s="701"/>
      <c r="S598" s="680"/>
      <c r="T598" s="680"/>
      <c r="U598" s="680"/>
      <c r="V598" s="680"/>
    </row>
    <row r="599" ht="15.75" customHeight="1">
      <c r="A599" s="695"/>
      <c r="B599" s="696"/>
      <c r="C599" s="696"/>
      <c r="D599" s="696"/>
      <c r="E599" s="697"/>
      <c r="F599" s="698"/>
      <c r="G599" s="698"/>
      <c r="H599" s="698"/>
      <c r="I599" s="697"/>
      <c r="J599" s="699"/>
      <c r="K599" s="695"/>
      <c r="L599" s="699"/>
      <c r="M599" s="700"/>
      <c r="N599" s="701"/>
      <c r="O599" s="701"/>
      <c r="P599" s="697"/>
      <c r="Q599" s="701"/>
      <c r="R599" s="701"/>
      <c r="S599" s="680"/>
      <c r="T599" s="680"/>
      <c r="U599" s="680"/>
      <c r="V599" s="680"/>
    </row>
    <row r="600" ht="15.75" customHeight="1">
      <c r="A600" s="695"/>
      <c r="B600" s="696"/>
      <c r="C600" s="696"/>
      <c r="D600" s="696"/>
      <c r="E600" s="697"/>
      <c r="F600" s="698"/>
      <c r="G600" s="698"/>
      <c r="H600" s="698"/>
      <c r="I600" s="697"/>
      <c r="J600" s="699"/>
      <c r="K600" s="695"/>
      <c r="L600" s="699"/>
      <c r="M600" s="700"/>
      <c r="N600" s="701"/>
      <c r="O600" s="701"/>
      <c r="P600" s="697"/>
      <c r="Q600" s="701"/>
      <c r="R600" s="701"/>
      <c r="S600" s="680"/>
      <c r="T600" s="680"/>
      <c r="U600" s="680"/>
      <c r="V600" s="680"/>
    </row>
    <row r="601" ht="15.75" customHeight="1">
      <c r="A601" s="695"/>
      <c r="B601" s="696"/>
      <c r="C601" s="696"/>
      <c r="D601" s="696"/>
      <c r="E601" s="697"/>
      <c r="F601" s="698"/>
      <c r="G601" s="698"/>
      <c r="H601" s="698"/>
      <c r="I601" s="697"/>
      <c r="J601" s="699"/>
      <c r="K601" s="695"/>
      <c r="L601" s="699"/>
      <c r="M601" s="700"/>
      <c r="N601" s="701"/>
      <c r="O601" s="701"/>
      <c r="P601" s="697"/>
      <c r="Q601" s="701"/>
      <c r="R601" s="701"/>
      <c r="S601" s="680"/>
      <c r="T601" s="680"/>
      <c r="U601" s="680"/>
      <c r="V601" s="680"/>
    </row>
    <row r="602" ht="15.75" customHeight="1">
      <c r="A602" s="695"/>
      <c r="B602" s="696"/>
      <c r="C602" s="696"/>
      <c r="D602" s="696"/>
      <c r="E602" s="697"/>
      <c r="F602" s="698"/>
      <c r="G602" s="698"/>
      <c r="H602" s="698"/>
      <c r="I602" s="697"/>
      <c r="J602" s="699"/>
      <c r="K602" s="695"/>
      <c r="L602" s="699"/>
      <c r="M602" s="700"/>
      <c r="N602" s="701"/>
      <c r="O602" s="701"/>
      <c r="P602" s="697"/>
      <c r="Q602" s="701"/>
      <c r="R602" s="701"/>
      <c r="S602" s="680"/>
      <c r="T602" s="680"/>
      <c r="U602" s="680"/>
      <c r="V602" s="680"/>
    </row>
    <row r="603" ht="15.75" customHeight="1">
      <c r="A603" s="695"/>
      <c r="B603" s="696"/>
      <c r="C603" s="696"/>
      <c r="D603" s="696"/>
      <c r="E603" s="697"/>
      <c r="F603" s="698"/>
      <c r="G603" s="698"/>
      <c r="H603" s="698"/>
      <c r="I603" s="697"/>
      <c r="J603" s="699"/>
      <c r="K603" s="695"/>
      <c r="L603" s="699"/>
      <c r="M603" s="700"/>
      <c r="N603" s="701"/>
      <c r="O603" s="701"/>
      <c r="P603" s="697"/>
      <c r="Q603" s="701"/>
      <c r="R603" s="701"/>
      <c r="S603" s="680"/>
      <c r="T603" s="680"/>
      <c r="U603" s="680"/>
      <c r="V603" s="680"/>
    </row>
    <row r="604" ht="15.75" customHeight="1">
      <c r="A604" s="695"/>
      <c r="B604" s="696"/>
      <c r="C604" s="696"/>
      <c r="D604" s="696"/>
      <c r="E604" s="697"/>
      <c r="F604" s="698"/>
      <c r="G604" s="698"/>
      <c r="H604" s="698"/>
      <c r="I604" s="697"/>
      <c r="J604" s="699"/>
      <c r="K604" s="695"/>
      <c r="L604" s="699"/>
      <c r="M604" s="700"/>
      <c r="N604" s="701"/>
      <c r="O604" s="701"/>
      <c r="P604" s="697"/>
      <c r="Q604" s="701"/>
      <c r="R604" s="701"/>
      <c r="S604" s="680"/>
      <c r="T604" s="680"/>
      <c r="U604" s="680"/>
      <c r="V604" s="680"/>
    </row>
    <row r="605" ht="15.75" customHeight="1">
      <c r="A605" s="695"/>
      <c r="B605" s="696"/>
      <c r="C605" s="696"/>
      <c r="D605" s="696"/>
      <c r="E605" s="697"/>
      <c r="F605" s="698"/>
      <c r="G605" s="698"/>
      <c r="H605" s="698"/>
      <c r="I605" s="697"/>
      <c r="J605" s="699"/>
      <c r="K605" s="695"/>
      <c r="L605" s="699"/>
      <c r="M605" s="700"/>
      <c r="N605" s="701"/>
      <c r="O605" s="701"/>
      <c r="P605" s="697"/>
      <c r="Q605" s="701"/>
      <c r="R605" s="701"/>
      <c r="S605" s="680"/>
      <c r="T605" s="680"/>
      <c r="U605" s="680"/>
      <c r="V605" s="680"/>
    </row>
    <row r="606" ht="15.75" customHeight="1">
      <c r="A606" s="695"/>
      <c r="B606" s="696"/>
      <c r="C606" s="696"/>
      <c r="D606" s="696"/>
      <c r="E606" s="697"/>
      <c r="F606" s="698"/>
      <c r="G606" s="698"/>
      <c r="H606" s="698"/>
      <c r="I606" s="697"/>
      <c r="J606" s="699"/>
      <c r="K606" s="695"/>
      <c r="L606" s="699"/>
      <c r="M606" s="700"/>
      <c r="N606" s="701"/>
      <c r="O606" s="701"/>
      <c r="P606" s="697"/>
      <c r="Q606" s="701"/>
      <c r="R606" s="701"/>
      <c r="S606" s="680"/>
      <c r="T606" s="680"/>
      <c r="U606" s="680"/>
      <c r="V606" s="680"/>
    </row>
    <row r="607" ht="15.75" customHeight="1">
      <c r="A607" s="695"/>
      <c r="B607" s="696"/>
      <c r="C607" s="696"/>
      <c r="D607" s="696"/>
      <c r="E607" s="697"/>
      <c r="F607" s="698"/>
      <c r="G607" s="698"/>
      <c r="H607" s="698"/>
      <c r="I607" s="697"/>
      <c r="J607" s="699"/>
      <c r="K607" s="695"/>
      <c r="L607" s="699"/>
      <c r="M607" s="700"/>
      <c r="N607" s="701"/>
      <c r="O607" s="701"/>
      <c r="P607" s="697"/>
      <c r="Q607" s="701"/>
      <c r="R607" s="701"/>
      <c r="S607" s="680"/>
      <c r="T607" s="680"/>
      <c r="U607" s="680"/>
      <c r="V607" s="680"/>
    </row>
    <row r="608" ht="15.75" customHeight="1">
      <c r="A608" s="695"/>
      <c r="B608" s="696"/>
      <c r="C608" s="696"/>
      <c r="D608" s="696"/>
      <c r="E608" s="697"/>
      <c r="F608" s="698"/>
      <c r="G608" s="698"/>
      <c r="H608" s="698"/>
      <c r="I608" s="697"/>
      <c r="J608" s="699"/>
      <c r="K608" s="695"/>
      <c r="L608" s="699"/>
      <c r="M608" s="700"/>
      <c r="N608" s="701"/>
      <c r="O608" s="701"/>
      <c r="P608" s="697"/>
      <c r="Q608" s="701"/>
      <c r="R608" s="701"/>
      <c r="S608" s="680"/>
      <c r="T608" s="680"/>
      <c r="U608" s="680"/>
      <c r="V608" s="680"/>
    </row>
    <row r="609" ht="15.75" customHeight="1">
      <c r="A609" s="695"/>
      <c r="B609" s="696"/>
      <c r="C609" s="696"/>
      <c r="D609" s="696"/>
      <c r="E609" s="697"/>
      <c r="F609" s="698"/>
      <c r="G609" s="698"/>
      <c r="H609" s="698"/>
      <c r="I609" s="697"/>
      <c r="J609" s="699"/>
      <c r="K609" s="695"/>
      <c r="L609" s="699"/>
      <c r="M609" s="700"/>
      <c r="N609" s="701"/>
      <c r="O609" s="701"/>
      <c r="P609" s="697"/>
      <c r="Q609" s="701"/>
      <c r="R609" s="701"/>
      <c r="S609" s="680"/>
      <c r="T609" s="680"/>
      <c r="U609" s="680"/>
      <c r="V609" s="680"/>
    </row>
    <row r="610" ht="15.75" customHeight="1">
      <c r="A610" s="695"/>
      <c r="B610" s="696"/>
      <c r="C610" s="696"/>
      <c r="D610" s="696"/>
      <c r="E610" s="697"/>
      <c r="F610" s="698"/>
      <c r="G610" s="698"/>
      <c r="H610" s="698"/>
      <c r="I610" s="697"/>
      <c r="J610" s="699"/>
      <c r="K610" s="695"/>
      <c r="L610" s="699"/>
      <c r="M610" s="700"/>
      <c r="N610" s="701"/>
      <c r="O610" s="701"/>
      <c r="P610" s="697"/>
      <c r="Q610" s="701"/>
      <c r="R610" s="701"/>
      <c r="S610" s="680"/>
      <c r="T610" s="680"/>
      <c r="U610" s="680"/>
      <c r="V610" s="680"/>
    </row>
    <row r="611" ht="15.75" customHeight="1">
      <c r="A611" s="695"/>
      <c r="B611" s="696"/>
      <c r="C611" s="696"/>
      <c r="D611" s="696"/>
      <c r="E611" s="697"/>
      <c r="F611" s="698"/>
      <c r="G611" s="698"/>
      <c r="H611" s="698"/>
      <c r="I611" s="697"/>
      <c r="J611" s="699"/>
      <c r="K611" s="695"/>
      <c r="L611" s="699"/>
      <c r="M611" s="700"/>
      <c r="N611" s="701"/>
      <c r="O611" s="701"/>
      <c r="P611" s="697"/>
      <c r="Q611" s="701"/>
      <c r="R611" s="701"/>
      <c r="S611" s="680"/>
      <c r="T611" s="680"/>
      <c r="U611" s="680"/>
      <c r="V611" s="680"/>
    </row>
    <row r="612" ht="15.75" customHeight="1">
      <c r="A612" s="695"/>
      <c r="B612" s="696"/>
      <c r="C612" s="696"/>
      <c r="D612" s="696"/>
      <c r="E612" s="697"/>
      <c r="F612" s="698"/>
      <c r="G612" s="698"/>
      <c r="H612" s="698"/>
      <c r="I612" s="697"/>
      <c r="J612" s="699"/>
      <c r="K612" s="695"/>
      <c r="L612" s="699"/>
      <c r="M612" s="700"/>
      <c r="N612" s="701"/>
      <c r="O612" s="701"/>
      <c r="P612" s="697"/>
      <c r="Q612" s="701"/>
      <c r="R612" s="701"/>
      <c r="S612" s="680"/>
      <c r="T612" s="680"/>
      <c r="U612" s="680"/>
      <c r="V612" s="680"/>
    </row>
    <row r="613" ht="15.75" customHeight="1">
      <c r="A613" s="695"/>
      <c r="B613" s="696"/>
      <c r="C613" s="696"/>
      <c r="D613" s="696"/>
      <c r="E613" s="697"/>
      <c r="F613" s="698"/>
      <c r="G613" s="698"/>
      <c r="H613" s="698"/>
      <c r="I613" s="697"/>
      <c r="J613" s="699"/>
      <c r="K613" s="695"/>
      <c r="L613" s="699"/>
      <c r="M613" s="700"/>
      <c r="N613" s="701"/>
      <c r="O613" s="701"/>
      <c r="P613" s="697"/>
      <c r="Q613" s="701"/>
      <c r="R613" s="701"/>
      <c r="S613" s="680"/>
      <c r="T613" s="680"/>
      <c r="U613" s="680"/>
      <c r="V613" s="680"/>
    </row>
    <row r="614" ht="15.75" customHeight="1">
      <c r="A614" s="695"/>
      <c r="B614" s="696"/>
      <c r="C614" s="696"/>
      <c r="D614" s="696"/>
      <c r="E614" s="697"/>
      <c r="F614" s="698"/>
      <c r="G614" s="698"/>
      <c r="H614" s="698"/>
      <c r="I614" s="697"/>
      <c r="J614" s="699"/>
      <c r="K614" s="695"/>
      <c r="L614" s="699"/>
      <c r="M614" s="700"/>
      <c r="N614" s="701"/>
      <c r="O614" s="701"/>
      <c r="P614" s="697"/>
      <c r="Q614" s="701"/>
      <c r="R614" s="701"/>
      <c r="S614" s="680"/>
      <c r="T614" s="680"/>
      <c r="U614" s="680"/>
      <c r="V614" s="680"/>
    </row>
    <row r="615" ht="15.75" customHeight="1">
      <c r="A615" s="695"/>
      <c r="B615" s="696"/>
      <c r="C615" s="696"/>
      <c r="D615" s="696"/>
      <c r="E615" s="697"/>
      <c r="F615" s="698"/>
      <c r="G615" s="698"/>
      <c r="H615" s="698"/>
      <c r="I615" s="697"/>
      <c r="J615" s="699"/>
      <c r="K615" s="695"/>
      <c r="L615" s="699"/>
      <c r="M615" s="700"/>
      <c r="N615" s="701"/>
      <c r="O615" s="701"/>
      <c r="P615" s="697"/>
      <c r="Q615" s="701"/>
      <c r="R615" s="701"/>
      <c r="S615" s="680"/>
      <c r="T615" s="680"/>
      <c r="U615" s="680"/>
      <c r="V615" s="680"/>
    </row>
    <row r="616" ht="15.75" customHeight="1">
      <c r="A616" s="695"/>
      <c r="B616" s="696"/>
      <c r="C616" s="696"/>
      <c r="D616" s="696"/>
      <c r="E616" s="697"/>
      <c r="F616" s="698"/>
      <c r="G616" s="698"/>
      <c r="H616" s="698"/>
      <c r="I616" s="697"/>
      <c r="J616" s="699"/>
      <c r="K616" s="695"/>
      <c r="L616" s="699"/>
      <c r="M616" s="700"/>
      <c r="N616" s="701"/>
      <c r="O616" s="701"/>
      <c r="P616" s="697"/>
      <c r="Q616" s="701"/>
      <c r="R616" s="701"/>
      <c r="S616" s="680"/>
      <c r="T616" s="680"/>
      <c r="U616" s="680"/>
      <c r="V616" s="680"/>
    </row>
    <row r="617" ht="15.75" customHeight="1">
      <c r="A617" s="695"/>
      <c r="B617" s="696"/>
      <c r="C617" s="696"/>
      <c r="D617" s="696"/>
      <c r="E617" s="697"/>
      <c r="F617" s="698"/>
      <c r="G617" s="698"/>
      <c r="H617" s="698"/>
      <c r="I617" s="697"/>
      <c r="J617" s="699"/>
      <c r="K617" s="695"/>
      <c r="L617" s="699"/>
      <c r="M617" s="700"/>
      <c r="N617" s="701"/>
      <c r="O617" s="701"/>
      <c r="P617" s="697"/>
      <c r="Q617" s="701"/>
      <c r="R617" s="701"/>
      <c r="S617" s="680"/>
      <c r="T617" s="680"/>
      <c r="U617" s="680"/>
      <c r="V617" s="680"/>
    </row>
    <row r="618" ht="15.75" customHeight="1">
      <c r="A618" s="695"/>
      <c r="B618" s="696"/>
      <c r="C618" s="696"/>
      <c r="D618" s="696"/>
      <c r="E618" s="697"/>
      <c r="F618" s="698"/>
      <c r="G618" s="698"/>
      <c r="H618" s="698"/>
      <c r="I618" s="697"/>
      <c r="J618" s="699"/>
      <c r="K618" s="695"/>
      <c r="L618" s="699"/>
      <c r="M618" s="700"/>
      <c r="N618" s="701"/>
      <c r="O618" s="701"/>
      <c r="P618" s="697"/>
      <c r="Q618" s="701"/>
      <c r="R618" s="701"/>
      <c r="S618" s="680"/>
      <c r="T618" s="680"/>
      <c r="U618" s="680"/>
      <c r="V618" s="680"/>
    </row>
    <row r="619" ht="15.75" customHeight="1">
      <c r="A619" s="695"/>
      <c r="B619" s="696"/>
      <c r="C619" s="696"/>
      <c r="D619" s="696"/>
      <c r="E619" s="697"/>
      <c r="F619" s="698"/>
      <c r="G619" s="698"/>
      <c r="H619" s="698"/>
      <c r="I619" s="697"/>
      <c r="J619" s="699"/>
      <c r="K619" s="695"/>
      <c r="L619" s="699"/>
      <c r="M619" s="700"/>
      <c r="N619" s="701"/>
      <c r="O619" s="701"/>
      <c r="P619" s="697"/>
      <c r="Q619" s="701"/>
      <c r="R619" s="701"/>
      <c r="S619" s="680"/>
      <c r="T619" s="680"/>
      <c r="U619" s="680"/>
      <c r="V619" s="680"/>
    </row>
    <row r="620" ht="15.75" customHeight="1">
      <c r="A620" s="695"/>
      <c r="B620" s="696"/>
      <c r="C620" s="696"/>
      <c r="D620" s="696"/>
      <c r="E620" s="697"/>
      <c r="F620" s="698"/>
      <c r="G620" s="698"/>
      <c r="H620" s="698"/>
      <c r="I620" s="697"/>
      <c r="J620" s="699"/>
      <c r="K620" s="695"/>
      <c r="L620" s="699"/>
      <c r="M620" s="700"/>
      <c r="N620" s="701"/>
      <c r="O620" s="701"/>
      <c r="P620" s="697"/>
      <c r="Q620" s="701"/>
      <c r="R620" s="701"/>
      <c r="S620" s="680"/>
      <c r="T620" s="680"/>
      <c r="U620" s="680"/>
      <c r="V620" s="680"/>
    </row>
    <row r="621" ht="15.75" customHeight="1">
      <c r="A621" s="695"/>
      <c r="B621" s="696"/>
      <c r="C621" s="696"/>
      <c r="D621" s="696"/>
      <c r="E621" s="697"/>
      <c r="F621" s="698"/>
      <c r="G621" s="698"/>
      <c r="H621" s="698"/>
      <c r="I621" s="697"/>
      <c r="J621" s="699"/>
      <c r="K621" s="695"/>
      <c r="L621" s="699"/>
      <c r="M621" s="700"/>
      <c r="N621" s="701"/>
      <c r="O621" s="701"/>
      <c r="P621" s="697"/>
      <c r="Q621" s="701"/>
      <c r="R621" s="701"/>
      <c r="S621" s="680"/>
      <c r="T621" s="680"/>
      <c r="U621" s="680"/>
      <c r="V621" s="680"/>
    </row>
    <row r="622" ht="15.75" customHeight="1">
      <c r="A622" s="695"/>
      <c r="B622" s="696"/>
      <c r="C622" s="696"/>
      <c r="D622" s="696"/>
      <c r="E622" s="697"/>
      <c r="F622" s="698"/>
      <c r="G622" s="698"/>
      <c r="H622" s="698"/>
      <c r="I622" s="697"/>
      <c r="J622" s="699"/>
      <c r="K622" s="695"/>
      <c r="L622" s="699"/>
      <c r="M622" s="700"/>
      <c r="N622" s="701"/>
      <c r="O622" s="701"/>
      <c r="P622" s="697"/>
      <c r="Q622" s="701"/>
      <c r="R622" s="701"/>
      <c r="S622" s="680"/>
      <c r="T622" s="680"/>
      <c r="U622" s="680"/>
      <c r="V622" s="680"/>
    </row>
    <row r="623" ht="15.75" customHeight="1">
      <c r="A623" s="695"/>
      <c r="B623" s="696"/>
      <c r="C623" s="696"/>
      <c r="D623" s="696"/>
      <c r="E623" s="697"/>
      <c r="F623" s="698"/>
      <c r="G623" s="698"/>
      <c r="H623" s="698"/>
      <c r="I623" s="697"/>
      <c r="J623" s="699"/>
      <c r="K623" s="695"/>
      <c r="L623" s="699"/>
      <c r="M623" s="700"/>
      <c r="N623" s="701"/>
      <c r="O623" s="701"/>
      <c r="P623" s="697"/>
      <c r="Q623" s="701"/>
      <c r="R623" s="701"/>
      <c r="S623" s="680"/>
      <c r="T623" s="680"/>
      <c r="U623" s="680"/>
      <c r="V623" s="680"/>
    </row>
    <row r="624" ht="15.75" customHeight="1">
      <c r="A624" s="695"/>
      <c r="B624" s="696"/>
      <c r="C624" s="696"/>
      <c r="D624" s="696"/>
      <c r="E624" s="697"/>
      <c r="F624" s="698"/>
      <c r="G624" s="698"/>
      <c r="H624" s="698"/>
      <c r="I624" s="697"/>
      <c r="J624" s="699"/>
      <c r="K624" s="695"/>
      <c r="L624" s="699"/>
      <c r="M624" s="700"/>
      <c r="N624" s="701"/>
      <c r="O624" s="701"/>
      <c r="P624" s="697"/>
      <c r="Q624" s="701"/>
      <c r="R624" s="701"/>
      <c r="S624" s="680"/>
      <c r="T624" s="680"/>
      <c r="U624" s="680"/>
      <c r="V624" s="680"/>
    </row>
    <row r="625" ht="15.75" customHeight="1">
      <c r="A625" s="695"/>
      <c r="B625" s="696"/>
      <c r="C625" s="696"/>
      <c r="D625" s="696"/>
      <c r="E625" s="697"/>
      <c r="F625" s="698"/>
      <c r="G625" s="698"/>
      <c r="H625" s="698"/>
      <c r="I625" s="697"/>
      <c r="J625" s="699"/>
      <c r="K625" s="695"/>
      <c r="L625" s="699"/>
      <c r="M625" s="700"/>
      <c r="N625" s="701"/>
      <c r="O625" s="701"/>
      <c r="P625" s="697"/>
      <c r="Q625" s="701"/>
      <c r="R625" s="701"/>
      <c r="S625" s="680"/>
      <c r="T625" s="680"/>
      <c r="U625" s="680"/>
      <c r="V625" s="680"/>
    </row>
    <row r="626" ht="15.75" customHeight="1">
      <c r="A626" s="695"/>
      <c r="B626" s="696"/>
      <c r="C626" s="696"/>
      <c r="D626" s="696"/>
      <c r="E626" s="697"/>
      <c r="F626" s="698"/>
      <c r="G626" s="698"/>
      <c r="H626" s="698"/>
      <c r="I626" s="697"/>
      <c r="J626" s="699"/>
      <c r="K626" s="695"/>
      <c r="L626" s="699"/>
      <c r="M626" s="700"/>
      <c r="N626" s="701"/>
      <c r="O626" s="701"/>
      <c r="P626" s="697"/>
      <c r="Q626" s="701"/>
      <c r="R626" s="701"/>
      <c r="S626" s="680"/>
      <c r="T626" s="680"/>
      <c r="U626" s="680"/>
      <c r="V626" s="680"/>
    </row>
    <row r="627" ht="15.75" customHeight="1">
      <c r="A627" s="695"/>
      <c r="B627" s="696"/>
      <c r="C627" s="696"/>
      <c r="D627" s="696"/>
      <c r="E627" s="697"/>
      <c r="F627" s="698"/>
      <c r="G627" s="698"/>
      <c r="H627" s="698"/>
      <c r="I627" s="697"/>
      <c r="J627" s="699"/>
      <c r="K627" s="695"/>
      <c r="L627" s="699"/>
      <c r="M627" s="700"/>
      <c r="N627" s="701"/>
      <c r="O627" s="701"/>
      <c r="P627" s="697"/>
      <c r="Q627" s="701"/>
      <c r="R627" s="701"/>
      <c r="S627" s="680"/>
      <c r="T627" s="680"/>
      <c r="U627" s="680"/>
      <c r="V627" s="680"/>
    </row>
    <row r="628" ht="15.75" customHeight="1">
      <c r="A628" s="695"/>
      <c r="B628" s="696"/>
      <c r="C628" s="696"/>
      <c r="D628" s="696"/>
      <c r="E628" s="697"/>
      <c r="F628" s="698"/>
      <c r="G628" s="698"/>
      <c r="H628" s="698"/>
      <c r="I628" s="697"/>
      <c r="J628" s="699"/>
      <c r="K628" s="695"/>
      <c r="L628" s="699"/>
      <c r="M628" s="700"/>
      <c r="N628" s="701"/>
      <c r="O628" s="701"/>
      <c r="P628" s="697"/>
      <c r="Q628" s="701"/>
      <c r="R628" s="701"/>
      <c r="S628" s="680"/>
      <c r="T628" s="680"/>
      <c r="U628" s="680"/>
      <c r="V628" s="680"/>
    </row>
    <row r="629" ht="15.75" customHeight="1">
      <c r="A629" s="695"/>
      <c r="B629" s="696"/>
      <c r="C629" s="696"/>
      <c r="D629" s="696"/>
      <c r="E629" s="697"/>
      <c r="F629" s="698"/>
      <c r="G629" s="698"/>
      <c r="H629" s="698"/>
      <c r="I629" s="697"/>
      <c r="J629" s="699"/>
      <c r="K629" s="695"/>
      <c r="L629" s="699"/>
      <c r="M629" s="700"/>
      <c r="N629" s="701"/>
      <c r="O629" s="701"/>
      <c r="P629" s="697"/>
      <c r="Q629" s="701"/>
      <c r="R629" s="701"/>
      <c r="S629" s="680"/>
      <c r="T629" s="680"/>
      <c r="U629" s="680"/>
      <c r="V629" s="680"/>
    </row>
    <row r="630" ht="15.75" customHeight="1">
      <c r="A630" s="695"/>
      <c r="B630" s="696"/>
      <c r="C630" s="696"/>
      <c r="D630" s="696"/>
      <c r="E630" s="697"/>
      <c r="F630" s="698"/>
      <c r="G630" s="698"/>
      <c r="H630" s="698"/>
      <c r="I630" s="697"/>
      <c r="J630" s="699"/>
      <c r="K630" s="695"/>
      <c r="L630" s="699"/>
      <c r="M630" s="700"/>
      <c r="N630" s="701"/>
      <c r="O630" s="701"/>
      <c r="P630" s="697"/>
      <c r="Q630" s="701"/>
      <c r="R630" s="701"/>
      <c r="S630" s="680"/>
      <c r="T630" s="680"/>
      <c r="U630" s="680"/>
      <c r="V630" s="680"/>
    </row>
    <row r="631" ht="15.75" customHeight="1">
      <c r="A631" s="695"/>
      <c r="B631" s="696"/>
      <c r="C631" s="696"/>
      <c r="D631" s="696"/>
      <c r="E631" s="697"/>
      <c r="F631" s="698"/>
      <c r="G631" s="698"/>
      <c r="H631" s="698"/>
      <c r="I631" s="697"/>
      <c r="J631" s="699"/>
      <c r="K631" s="695"/>
      <c r="L631" s="699"/>
      <c r="M631" s="700"/>
      <c r="N631" s="701"/>
      <c r="O631" s="701"/>
      <c r="P631" s="697"/>
      <c r="Q631" s="701"/>
      <c r="R631" s="701"/>
      <c r="S631" s="680"/>
      <c r="T631" s="680"/>
      <c r="U631" s="680"/>
      <c r="V631" s="680"/>
    </row>
    <row r="632" ht="15.75" customHeight="1">
      <c r="A632" s="695"/>
      <c r="B632" s="696"/>
      <c r="C632" s="696"/>
      <c r="D632" s="696"/>
      <c r="E632" s="697"/>
      <c r="F632" s="698"/>
      <c r="G632" s="698"/>
      <c r="H632" s="698"/>
      <c r="I632" s="697"/>
      <c r="J632" s="699"/>
      <c r="K632" s="695"/>
      <c r="L632" s="699"/>
      <c r="M632" s="700"/>
      <c r="N632" s="701"/>
      <c r="O632" s="701"/>
      <c r="P632" s="697"/>
      <c r="Q632" s="701"/>
      <c r="R632" s="701"/>
      <c r="S632" s="680"/>
      <c r="T632" s="680"/>
      <c r="U632" s="680"/>
      <c r="V632" s="680"/>
    </row>
    <row r="633" ht="15.75" customHeight="1">
      <c r="A633" s="695"/>
      <c r="B633" s="696"/>
      <c r="C633" s="696"/>
      <c r="D633" s="696"/>
      <c r="E633" s="697"/>
      <c r="F633" s="698"/>
      <c r="G633" s="698"/>
      <c r="H633" s="698"/>
      <c r="I633" s="697"/>
      <c r="J633" s="699"/>
      <c r="K633" s="695"/>
      <c r="L633" s="699"/>
      <c r="M633" s="700"/>
      <c r="N633" s="701"/>
      <c r="O633" s="701"/>
      <c r="P633" s="697"/>
      <c r="Q633" s="701"/>
      <c r="R633" s="701"/>
      <c r="S633" s="680"/>
      <c r="T633" s="680"/>
      <c r="U633" s="680"/>
      <c r="V633" s="680"/>
    </row>
    <row r="634" ht="15.75" customHeight="1">
      <c r="A634" s="695"/>
      <c r="B634" s="696"/>
      <c r="C634" s="696"/>
      <c r="D634" s="696"/>
      <c r="E634" s="697"/>
      <c r="F634" s="698"/>
      <c r="G634" s="698"/>
      <c r="H634" s="698"/>
      <c r="I634" s="697"/>
      <c r="J634" s="699"/>
      <c r="K634" s="695"/>
      <c r="L634" s="699"/>
      <c r="M634" s="700"/>
      <c r="N634" s="701"/>
      <c r="O634" s="701"/>
      <c r="P634" s="697"/>
      <c r="Q634" s="701"/>
      <c r="R634" s="701"/>
      <c r="S634" s="680"/>
      <c r="T634" s="680"/>
      <c r="U634" s="680"/>
      <c r="V634" s="680"/>
    </row>
    <row r="635" ht="15.75" customHeight="1">
      <c r="A635" s="695"/>
      <c r="B635" s="696"/>
      <c r="C635" s="696"/>
      <c r="D635" s="696"/>
      <c r="E635" s="697"/>
      <c r="F635" s="698"/>
      <c r="G635" s="698"/>
      <c r="H635" s="698"/>
      <c r="I635" s="697"/>
      <c r="J635" s="699"/>
      <c r="K635" s="695"/>
      <c r="L635" s="699"/>
      <c r="M635" s="700"/>
      <c r="N635" s="701"/>
      <c r="O635" s="701"/>
      <c r="P635" s="697"/>
      <c r="Q635" s="701"/>
      <c r="R635" s="701"/>
      <c r="S635" s="680"/>
      <c r="T635" s="680"/>
      <c r="U635" s="680"/>
      <c r="V635" s="680"/>
    </row>
    <row r="636" ht="15.75" customHeight="1">
      <c r="A636" s="695"/>
      <c r="B636" s="696"/>
      <c r="C636" s="696"/>
      <c r="D636" s="696"/>
      <c r="E636" s="697"/>
      <c r="F636" s="698"/>
      <c r="G636" s="698"/>
      <c r="H636" s="698"/>
      <c r="I636" s="697"/>
      <c r="J636" s="699"/>
      <c r="K636" s="695"/>
      <c r="L636" s="699"/>
      <c r="M636" s="700"/>
      <c r="N636" s="701"/>
      <c r="O636" s="701"/>
      <c r="P636" s="697"/>
      <c r="Q636" s="701"/>
      <c r="R636" s="701"/>
      <c r="S636" s="680"/>
      <c r="T636" s="680"/>
      <c r="U636" s="680"/>
      <c r="V636" s="680"/>
    </row>
    <row r="637" ht="15.75" customHeight="1">
      <c r="A637" s="695"/>
      <c r="B637" s="696"/>
      <c r="C637" s="696"/>
      <c r="D637" s="696"/>
      <c r="E637" s="697"/>
      <c r="F637" s="698"/>
      <c r="G637" s="698"/>
      <c r="H637" s="698"/>
      <c r="I637" s="697"/>
      <c r="J637" s="699"/>
      <c r="K637" s="695"/>
      <c r="L637" s="699"/>
      <c r="M637" s="700"/>
      <c r="N637" s="701"/>
      <c r="O637" s="701"/>
      <c r="P637" s="697"/>
      <c r="Q637" s="701"/>
      <c r="R637" s="701"/>
      <c r="S637" s="680"/>
      <c r="T637" s="680"/>
      <c r="U637" s="680"/>
      <c r="V637" s="680"/>
    </row>
    <row r="638" ht="15.75" customHeight="1">
      <c r="A638" s="695"/>
      <c r="B638" s="696"/>
      <c r="C638" s="696"/>
      <c r="D638" s="696"/>
      <c r="E638" s="697"/>
      <c r="F638" s="698"/>
      <c r="G638" s="698"/>
      <c r="H638" s="698"/>
      <c r="I638" s="697"/>
      <c r="J638" s="699"/>
      <c r="K638" s="695"/>
      <c r="L638" s="699"/>
      <c r="M638" s="700"/>
      <c r="N638" s="701"/>
      <c r="O638" s="701"/>
      <c r="P638" s="697"/>
      <c r="Q638" s="701"/>
      <c r="R638" s="701"/>
      <c r="S638" s="680"/>
      <c r="T638" s="680"/>
      <c r="U638" s="680"/>
      <c r="V638" s="680"/>
    </row>
    <row r="639" ht="15.75" customHeight="1">
      <c r="A639" s="695"/>
      <c r="B639" s="696"/>
      <c r="C639" s="696"/>
      <c r="D639" s="696"/>
      <c r="E639" s="697"/>
      <c r="F639" s="698"/>
      <c r="G639" s="698"/>
      <c r="H639" s="698"/>
      <c r="I639" s="697"/>
      <c r="J639" s="699"/>
      <c r="K639" s="695"/>
      <c r="L639" s="699"/>
      <c r="M639" s="700"/>
      <c r="N639" s="701"/>
      <c r="O639" s="701"/>
      <c r="P639" s="697"/>
      <c r="Q639" s="701"/>
      <c r="R639" s="701"/>
      <c r="S639" s="680"/>
      <c r="T639" s="680"/>
      <c r="U639" s="680"/>
      <c r="V639" s="680"/>
    </row>
    <row r="640" ht="15.75" customHeight="1">
      <c r="A640" s="695"/>
      <c r="B640" s="696"/>
      <c r="C640" s="696"/>
      <c r="D640" s="696"/>
      <c r="E640" s="697"/>
      <c r="F640" s="698"/>
      <c r="G640" s="698"/>
      <c r="H640" s="698"/>
      <c r="I640" s="697"/>
      <c r="J640" s="699"/>
      <c r="K640" s="695"/>
      <c r="L640" s="699"/>
      <c r="M640" s="700"/>
      <c r="N640" s="701"/>
      <c r="O640" s="701"/>
      <c r="P640" s="697"/>
      <c r="Q640" s="701"/>
      <c r="R640" s="701"/>
      <c r="S640" s="680"/>
      <c r="T640" s="680"/>
      <c r="U640" s="680"/>
      <c r="V640" s="680"/>
    </row>
    <row r="641" ht="15.75" customHeight="1">
      <c r="A641" s="695"/>
      <c r="B641" s="696"/>
      <c r="C641" s="696"/>
      <c r="D641" s="696"/>
      <c r="E641" s="697"/>
      <c r="F641" s="698"/>
      <c r="G641" s="698"/>
      <c r="H641" s="698"/>
      <c r="I641" s="697"/>
      <c r="J641" s="699"/>
      <c r="K641" s="695"/>
      <c r="L641" s="699"/>
      <c r="M641" s="700"/>
      <c r="N641" s="701"/>
      <c r="O641" s="701"/>
      <c r="P641" s="697"/>
      <c r="Q641" s="701"/>
      <c r="R641" s="701"/>
      <c r="S641" s="680"/>
      <c r="T641" s="680"/>
      <c r="U641" s="680"/>
      <c r="V641" s="680"/>
    </row>
    <row r="642" ht="15.75" customHeight="1">
      <c r="A642" s="695"/>
      <c r="B642" s="696"/>
      <c r="C642" s="696"/>
      <c r="D642" s="696"/>
      <c r="E642" s="697"/>
      <c r="F642" s="698"/>
      <c r="G642" s="698"/>
      <c r="H642" s="698"/>
      <c r="I642" s="697"/>
      <c r="J642" s="699"/>
      <c r="K642" s="695"/>
      <c r="L642" s="699"/>
      <c r="M642" s="700"/>
      <c r="N642" s="701"/>
      <c r="O642" s="701"/>
      <c r="P642" s="697"/>
      <c r="Q642" s="701"/>
      <c r="R642" s="701"/>
      <c r="S642" s="680"/>
      <c r="T642" s="680"/>
      <c r="U642" s="680"/>
      <c r="V642" s="680"/>
    </row>
    <row r="643" ht="15.75" customHeight="1">
      <c r="A643" s="695"/>
      <c r="B643" s="696"/>
      <c r="C643" s="696"/>
      <c r="D643" s="696"/>
      <c r="E643" s="697"/>
      <c r="F643" s="698"/>
      <c r="G643" s="698"/>
      <c r="H643" s="698"/>
      <c r="I643" s="697"/>
      <c r="J643" s="699"/>
      <c r="K643" s="695"/>
      <c r="L643" s="699"/>
      <c r="M643" s="700"/>
      <c r="N643" s="701"/>
      <c r="O643" s="701"/>
      <c r="P643" s="697"/>
      <c r="Q643" s="701"/>
      <c r="R643" s="701"/>
      <c r="S643" s="680"/>
      <c r="T643" s="680"/>
      <c r="U643" s="680"/>
      <c r="V643" s="680"/>
    </row>
    <row r="644" ht="15.75" customHeight="1">
      <c r="A644" s="695"/>
      <c r="B644" s="696"/>
      <c r="C644" s="696"/>
      <c r="D644" s="696"/>
      <c r="E644" s="697"/>
      <c r="F644" s="698"/>
      <c r="G644" s="698"/>
      <c r="H644" s="698"/>
      <c r="I644" s="697"/>
      <c r="J644" s="699"/>
      <c r="K644" s="695"/>
      <c r="L644" s="699"/>
      <c r="M644" s="700"/>
      <c r="N644" s="701"/>
      <c r="O644" s="701"/>
      <c r="P644" s="697"/>
      <c r="Q644" s="701"/>
      <c r="R644" s="701"/>
      <c r="S644" s="680"/>
      <c r="T644" s="680"/>
      <c r="U644" s="680"/>
      <c r="V644" s="680"/>
    </row>
    <row r="645" ht="15.75" customHeight="1">
      <c r="A645" s="695"/>
      <c r="B645" s="696"/>
      <c r="C645" s="696"/>
      <c r="D645" s="696"/>
      <c r="E645" s="697"/>
      <c r="F645" s="698"/>
      <c r="G645" s="698"/>
      <c r="H645" s="698"/>
      <c r="I645" s="697"/>
      <c r="J645" s="699"/>
      <c r="K645" s="695"/>
      <c r="L645" s="699"/>
      <c r="M645" s="700"/>
      <c r="N645" s="701"/>
      <c r="O645" s="701"/>
      <c r="P645" s="697"/>
      <c r="Q645" s="701"/>
      <c r="R645" s="701"/>
      <c r="S645" s="680"/>
      <c r="T645" s="680"/>
      <c r="U645" s="680"/>
      <c r="V645" s="680"/>
    </row>
    <row r="646" ht="15.75" customHeight="1">
      <c r="A646" s="695"/>
      <c r="B646" s="696"/>
      <c r="C646" s="696"/>
      <c r="D646" s="696"/>
      <c r="E646" s="697"/>
      <c r="F646" s="698"/>
      <c r="G646" s="698"/>
      <c r="H646" s="698"/>
      <c r="I646" s="697"/>
      <c r="J646" s="699"/>
      <c r="K646" s="695"/>
      <c r="L646" s="699"/>
      <c r="M646" s="700"/>
      <c r="N646" s="701"/>
      <c r="O646" s="701"/>
      <c r="P646" s="697"/>
      <c r="Q646" s="701"/>
      <c r="R646" s="701"/>
      <c r="S646" s="680"/>
      <c r="T646" s="680"/>
      <c r="U646" s="680"/>
      <c r="V646" s="680"/>
    </row>
    <row r="647" ht="15.75" customHeight="1">
      <c r="A647" s="695"/>
      <c r="B647" s="696"/>
      <c r="C647" s="696"/>
      <c r="D647" s="696"/>
      <c r="E647" s="697"/>
      <c r="F647" s="698"/>
      <c r="G647" s="698"/>
      <c r="H647" s="698"/>
      <c r="I647" s="697"/>
      <c r="J647" s="699"/>
      <c r="K647" s="695"/>
      <c r="L647" s="699"/>
      <c r="M647" s="700"/>
      <c r="N647" s="701"/>
      <c r="O647" s="701"/>
      <c r="P647" s="697"/>
      <c r="Q647" s="701"/>
      <c r="R647" s="701"/>
      <c r="S647" s="680"/>
      <c r="T647" s="680"/>
      <c r="U647" s="680"/>
      <c r="V647" s="680"/>
    </row>
    <row r="648" ht="15.75" customHeight="1">
      <c r="A648" s="695"/>
      <c r="B648" s="696"/>
      <c r="C648" s="696"/>
      <c r="D648" s="696"/>
      <c r="E648" s="697"/>
      <c r="F648" s="698"/>
      <c r="G648" s="698"/>
      <c r="H648" s="698"/>
      <c r="I648" s="697"/>
      <c r="J648" s="699"/>
      <c r="K648" s="695"/>
      <c r="L648" s="699"/>
      <c r="M648" s="700"/>
      <c r="N648" s="701"/>
      <c r="O648" s="701"/>
      <c r="P648" s="697"/>
      <c r="Q648" s="701"/>
      <c r="R648" s="701"/>
      <c r="S648" s="680"/>
      <c r="T648" s="680"/>
      <c r="U648" s="680"/>
      <c r="V648" s="680"/>
    </row>
    <row r="649" ht="15.75" customHeight="1">
      <c r="A649" s="695"/>
      <c r="B649" s="696"/>
      <c r="C649" s="696"/>
      <c r="D649" s="696"/>
      <c r="E649" s="697"/>
      <c r="F649" s="698"/>
      <c r="G649" s="698"/>
      <c r="H649" s="698"/>
      <c r="I649" s="697"/>
      <c r="J649" s="699"/>
      <c r="K649" s="695"/>
      <c r="L649" s="699"/>
      <c r="M649" s="700"/>
      <c r="N649" s="701"/>
      <c r="O649" s="701"/>
      <c r="P649" s="697"/>
      <c r="Q649" s="701"/>
      <c r="R649" s="701"/>
      <c r="S649" s="680"/>
      <c r="T649" s="680"/>
      <c r="U649" s="680"/>
      <c r="V649" s="680"/>
    </row>
    <row r="650" ht="15.75" customHeight="1">
      <c r="A650" s="695"/>
      <c r="B650" s="696"/>
      <c r="C650" s="696"/>
      <c r="D650" s="696"/>
      <c r="E650" s="697"/>
      <c r="F650" s="698"/>
      <c r="G650" s="698"/>
      <c r="H650" s="698"/>
      <c r="I650" s="697"/>
      <c r="J650" s="699"/>
      <c r="K650" s="695"/>
      <c r="L650" s="699"/>
      <c r="M650" s="700"/>
      <c r="N650" s="701"/>
      <c r="O650" s="701"/>
      <c r="P650" s="697"/>
      <c r="Q650" s="701"/>
      <c r="R650" s="701"/>
      <c r="S650" s="680"/>
      <c r="T650" s="680"/>
      <c r="U650" s="680"/>
      <c r="V650" s="680"/>
    </row>
    <row r="651" ht="15.75" customHeight="1">
      <c r="A651" s="695"/>
      <c r="B651" s="696"/>
      <c r="C651" s="696"/>
      <c r="D651" s="696"/>
      <c r="E651" s="697"/>
      <c r="F651" s="698"/>
      <c r="G651" s="698"/>
      <c r="H651" s="698"/>
      <c r="I651" s="697"/>
      <c r="J651" s="699"/>
      <c r="K651" s="695"/>
      <c r="L651" s="699"/>
      <c r="M651" s="700"/>
      <c r="N651" s="701"/>
      <c r="O651" s="701"/>
      <c r="P651" s="697"/>
      <c r="Q651" s="701"/>
      <c r="R651" s="701"/>
      <c r="S651" s="680"/>
      <c r="T651" s="680"/>
      <c r="U651" s="680"/>
      <c r="V651" s="680"/>
    </row>
    <row r="652" ht="15.75" customHeight="1">
      <c r="A652" s="695"/>
      <c r="B652" s="696"/>
      <c r="C652" s="696"/>
      <c r="D652" s="696"/>
      <c r="E652" s="697"/>
      <c r="F652" s="698"/>
      <c r="G652" s="698"/>
      <c r="H652" s="698"/>
      <c r="I652" s="697"/>
      <c r="J652" s="699"/>
      <c r="K652" s="695"/>
      <c r="L652" s="699"/>
      <c r="M652" s="700"/>
      <c r="N652" s="701"/>
      <c r="O652" s="701"/>
      <c r="P652" s="697"/>
      <c r="Q652" s="701"/>
      <c r="R652" s="701"/>
      <c r="S652" s="680"/>
      <c r="T652" s="680"/>
      <c r="U652" s="680"/>
      <c r="V652" s="680"/>
    </row>
    <row r="653" ht="15.75" customHeight="1">
      <c r="A653" s="695"/>
      <c r="B653" s="696"/>
      <c r="C653" s="696"/>
      <c r="D653" s="696"/>
      <c r="E653" s="697"/>
      <c r="F653" s="698"/>
      <c r="G653" s="698"/>
      <c r="H653" s="698"/>
      <c r="I653" s="697"/>
      <c r="J653" s="699"/>
      <c r="K653" s="695"/>
      <c r="L653" s="699"/>
      <c r="M653" s="700"/>
      <c r="N653" s="701"/>
      <c r="O653" s="701"/>
      <c r="P653" s="697"/>
      <c r="Q653" s="701"/>
      <c r="R653" s="701"/>
      <c r="S653" s="680"/>
      <c r="T653" s="680"/>
      <c r="U653" s="680"/>
      <c r="V653" s="680"/>
    </row>
    <row r="654" ht="15.75" customHeight="1">
      <c r="A654" s="695"/>
      <c r="B654" s="696"/>
      <c r="C654" s="696"/>
      <c r="D654" s="696"/>
      <c r="E654" s="697"/>
      <c r="F654" s="698"/>
      <c r="G654" s="698"/>
      <c r="H654" s="698"/>
      <c r="I654" s="697"/>
      <c r="J654" s="699"/>
      <c r="K654" s="695"/>
      <c r="L654" s="699"/>
      <c r="M654" s="700"/>
      <c r="N654" s="701"/>
      <c r="O654" s="701"/>
      <c r="P654" s="697"/>
      <c r="Q654" s="701"/>
      <c r="R654" s="701"/>
      <c r="S654" s="680"/>
      <c r="T654" s="680"/>
      <c r="U654" s="680"/>
      <c r="V654" s="680"/>
    </row>
    <row r="655" ht="15.75" customHeight="1">
      <c r="A655" s="695"/>
      <c r="B655" s="696"/>
      <c r="C655" s="696"/>
      <c r="D655" s="696"/>
      <c r="E655" s="697"/>
      <c r="F655" s="698"/>
      <c r="G655" s="698"/>
      <c r="H655" s="698"/>
      <c r="I655" s="697"/>
      <c r="J655" s="699"/>
      <c r="K655" s="695"/>
      <c r="L655" s="699"/>
      <c r="M655" s="700"/>
      <c r="N655" s="701"/>
      <c r="O655" s="701"/>
      <c r="P655" s="697"/>
      <c r="Q655" s="701"/>
      <c r="R655" s="701"/>
      <c r="S655" s="680"/>
      <c r="T655" s="680"/>
      <c r="U655" s="680"/>
      <c r="V655" s="680"/>
    </row>
    <row r="656" ht="15.75" customHeight="1">
      <c r="A656" s="695"/>
      <c r="B656" s="696"/>
      <c r="C656" s="696"/>
      <c r="D656" s="696"/>
      <c r="E656" s="697"/>
      <c r="F656" s="698"/>
      <c r="G656" s="698"/>
      <c r="H656" s="698"/>
      <c r="I656" s="697"/>
      <c r="J656" s="699"/>
      <c r="K656" s="695"/>
      <c r="L656" s="699"/>
      <c r="M656" s="700"/>
      <c r="N656" s="701"/>
      <c r="O656" s="701"/>
      <c r="P656" s="697"/>
      <c r="Q656" s="701"/>
      <c r="R656" s="701"/>
      <c r="S656" s="680"/>
      <c r="T656" s="680"/>
      <c r="U656" s="680"/>
      <c r="V656" s="680"/>
    </row>
    <row r="657" ht="15.75" customHeight="1">
      <c r="A657" s="695"/>
      <c r="B657" s="696"/>
      <c r="C657" s="696"/>
      <c r="D657" s="696"/>
      <c r="E657" s="697"/>
      <c r="F657" s="698"/>
      <c r="G657" s="698"/>
      <c r="H657" s="698"/>
      <c r="I657" s="697"/>
      <c r="J657" s="699"/>
      <c r="K657" s="695"/>
      <c r="L657" s="699"/>
      <c r="M657" s="700"/>
      <c r="N657" s="701"/>
      <c r="O657" s="701"/>
      <c r="P657" s="697"/>
      <c r="Q657" s="701"/>
      <c r="R657" s="701"/>
      <c r="S657" s="680"/>
      <c r="T657" s="680"/>
      <c r="U657" s="680"/>
      <c r="V657" s="680"/>
    </row>
    <row r="658" ht="15.75" customHeight="1">
      <c r="A658" s="695"/>
      <c r="B658" s="696"/>
      <c r="C658" s="696"/>
      <c r="D658" s="696"/>
      <c r="E658" s="697"/>
      <c r="F658" s="698"/>
      <c r="G658" s="698"/>
      <c r="H658" s="698"/>
      <c r="I658" s="697"/>
      <c r="J658" s="699"/>
      <c r="K658" s="695"/>
      <c r="L658" s="699"/>
      <c r="M658" s="700"/>
      <c r="N658" s="701"/>
      <c r="O658" s="701"/>
      <c r="P658" s="697"/>
      <c r="Q658" s="701"/>
      <c r="R658" s="701"/>
      <c r="S658" s="680"/>
      <c r="T658" s="680"/>
      <c r="U658" s="680"/>
      <c r="V658" s="680"/>
    </row>
    <row r="659" ht="15.75" customHeight="1">
      <c r="A659" s="695"/>
      <c r="B659" s="696"/>
      <c r="C659" s="696"/>
      <c r="D659" s="696"/>
      <c r="E659" s="697"/>
      <c r="F659" s="698"/>
      <c r="G659" s="698"/>
      <c r="H659" s="698"/>
      <c r="I659" s="697"/>
      <c r="J659" s="699"/>
      <c r="K659" s="695"/>
      <c r="L659" s="699"/>
      <c r="M659" s="700"/>
      <c r="N659" s="701"/>
      <c r="O659" s="701"/>
      <c r="P659" s="697"/>
      <c r="Q659" s="701"/>
      <c r="R659" s="701"/>
      <c r="S659" s="680"/>
      <c r="T659" s="680"/>
      <c r="U659" s="680"/>
      <c r="V659" s="680"/>
    </row>
    <row r="660" ht="15.75" customHeight="1">
      <c r="A660" s="695"/>
      <c r="B660" s="696"/>
      <c r="C660" s="696"/>
      <c r="D660" s="696"/>
      <c r="E660" s="697"/>
      <c r="F660" s="698"/>
      <c r="G660" s="698"/>
      <c r="H660" s="698"/>
      <c r="I660" s="697"/>
      <c r="J660" s="699"/>
      <c r="K660" s="695"/>
      <c r="L660" s="699"/>
      <c r="M660" s="700"/>
      <c r="N660" s="701"/>
      <c r="O660" s="701"/>
      <c r="P660" s="697"/>
      <c r="Q660" s="701"/>
      <c r="R660" s="701"/>
      <c r="S660" s="680"/>
      <c r="T660" s="680"/>
      <c r="U660" s="680"/>
      <c r="V660" s="680"/>
    </row>
    <row r="661" ht="15.75" customHeight="1">
      <c r="A661" s="695"/>
      <c r="B661" s="696"/>
      <c r="C661" s="696"/>
      <c r="D661" s="696"/>
      <c r="E661" s="697"/>
      <c r="F661" s="698"/>
      <c r="G661" s="698"/>
      <c r="H661" s="698"/>
      <c r="I661" s="697"/>
      <c r="J661" s="699"/>
      <c r="K661" s="695"/>
      <c r="L661" s="699"/>
      <c r="M661" s="700"/>
      <c r="N661" s="701"/>
      <c r="O661" s="701"/>
      <c r="P661" s="697"/>
      <c r="Q661" s="701"/>
      <c r="R661" s="701"/>
      <c r="S661" s="680"/>
      <c r="T661" s="680"/>
      <c r="U661" s="680"/>
      <c r="V661" s="680"/>
    </row>
    <row r="662" ht="15.75" customHeight="1">
      <c r="A662" s="695"/>
      <c r="B662" s="696"/>
      <c r="C662" s="696"/>
      <c r="D662" s="696"/>
      <c r="E662" s="697"/>
      <c r="F662" s="698"/>
      <c r="G662" s="698"/>
      <c r="H662" s="698"/>
      <c r="I662" s="697"/>
      <c r="J662" s="699"/>
      <c r="K662" s="695"/>
      <c r="L662" s="699"/>
      <c r="M662" s="700"/>
      <c r="N662" s="701"/>
      <c r="O662" s="701"/>
      <c r="P662" s="697"/>
      <c r="Q662" s="701"/>
      <c r="R662" s="701"/>
      <c r="S662" s="680"/>
      <c r="T662" s="680"/>
      <c r="U662" s="680"/>
      <c r="V662" s="680"/>
    </row>
    <row r="663" ht="15.75" customHeight="1">
      <c r="A663" s="695"/>
      <c r="B663" s="696"/>
      <c r="C663" s="696"/>
      <c r="D663" s="696"/>
      <c r="E663" s="697"/>
      <c r="F663" s="698"/>
      <c r="G663" s="698"/>
      <c r="H663" s="698"/>
      <c r="I663" s="697"/>
      <c r="J663" s="699"/>
      <c r="K663" s="695"/>
      <c r="L663" s="699"/>
      <c r="M663" s="700"/>
      <c r="N663" s="701"/>
      <c r="O663" s="701"/>
      <c r="P663" s="697"/>
      <c r="Q663" s="701"/>
      <c r="R663" s="701"/>
      <c r="S663" s="680"/>
      <c r="T663" s="680"/>
      <c r="U663" s="680"/>
      <c r="V663" s="680"/>
    </row>
    <row r="664" ht="15.75" customHeight="1">
      <c r="A664" s="695"/>
      <c r="B664" s="696"/>
      <c r="C664" s="696"/>
      <c r="D664" s="696"/>
      <c r="E664" s="697"/>
      <c r="F664" s="698"/>
      <c r="G664" s="698"/>
      <c r="H664" s="698"/>
      <c r="I664" s="697"/>
      <c r="J664" s="699"/>
      <c r="K664" s="695"/>
      <c r="L664" s="699"/>
      <c r="M664" s="700"/>
      <c r="N664" s="701"/>
      <c r="O664" s="701"/>
      <c r="P664" s="697"/>
      <c r="Q664" s="701"/>
      <c r="R664" s="701"/>
      <c r="S664" s="680"/>
      <c r="T664" s="680"/>
      <c r="U664" s="680"/>
      <c r="V664" s="680"/>
    </row>
    <row r="665" ht="15.75" customHeight="1">
      <c r="A665" s="695"/>
      <c r="B665" s="696"/>
      <c r="C665" s="696"/>
      <c r="D665" s="696"/>
      <c r="E665" s="697"/>
      <c r="F665" s="698"/>
      <c r="G665" s="698"/>
      <c r="H665" s="698"/>
      <c r="I665" s="697"/>
      <c r="J665" s="699"/>
      <c r="K665" s="695"/>
      <c r="L665" s="699"/>
      <c r="M665" s="700"/>
      <c r="N665" s="701"/>
      <c r="O665" s="701"/>
      <c r="P665" s="697"/>
      <c r="Q665" s="701"/>
      <c r="R665" s="701"/>
      <c r="S665" s="680"/>
      <c r="T665" s="680"/>
      <c r="U665" s="680"/>
      <c r="V665" s="680"/>
    </row>
    <row r="666" ht="15.75" customHeight="1">
      <c r="A666" s="695"/>
      <c r="B666" s="696"/>
      <c r="C666" s="696"/>
      <c r="D666" s="696"/>
      <c r="E666" s="697"/>
      <c r="F666" s="698"/>
      <c r="G666" s="698"/>
      <c r="H666" s="698"/>
      <c r="I666" s="697"/>
      <c r="J666" s="699"/>
      <c r="K666" s="695"/>
      <c r="L666" s="699"/>
      <c r="M666" s="700"/>
      <c r="N666" s="701"/>
      <c r="O666" s="701"/>
      <c r="P666" s="697"/>
      <c r="Q666" s="701"/>
      <c r="R666" s="701"/>
      <c r="S666" s="680"/>
      <c r="T666" s="680"/>
      <c r="U666" s="680"/>
      <c r="V666" s="680"/>
    </row>
    <row r="667" ht="15.75" customHeight="1">
      <c r="A667" s="695"/>
      <c r="B667" s="696"/>
      <c r="C667" s="696"/>
      <c r="D667" s="696"/>
      <c r="E667" s="697"/>
      <c r="F667" s="698"/>
      <c r="G667" s="698"/>
      <c r="H667" s="698"/>
      <c r="I667" s="697"/>
      <c r="J667" s="699"/>
      <c r="K667" s="695"/>
      <c r="L667" s="699"/>
      <c r="M667" s="700"/>
      <c r="N667" s="701"/>
      <c r="O667" s="701"/>
      <c r="P667" s="697"/>
      <c r="Q667" s="701"/>
      <c r="R667" s="701"/>
      <c r="S667" s="680"/>
      <c r="T667" s="680"/>
      <c r="U667" s="680"/>
      <c r="V667" s="680"/>
    </row>
    <row r="668" ht="15.75" customHeight="1">
      <c r="A668" s="695"/>
      <c r="B668" s="696"/>
      <c r="C668" s="696"/>
      <c r="D668" s="696"/>
      <c r="E668" s="697"/>
      <c r="F668" s="698"/>
      <c r="G668" s="698"/>
      <c r="H668" s="698"/>
      <c r="I668" s="697"/>
      <c r="J668" s="699"/>
      <c r="K668" s="695"/>
      <c r="L668" s="699"/>
      <c r="M668" s="700"/>
      <c r="N668" s="701"/>
      <c r="O668" s="701"/>
      <c r="P668" s="697"/>
      <c r="Q668" s="701"/>
      <c r="R668" s="701"/>
      <c r="S668" s="680"/>
      <c r="T668" s="680"/>
      <c r="U668" s="680"/>
      <c r="V668" s="680"/>
    </row>
    <row r="669" ht="15.75" customHeight="1">
      <c r="A669" s="695"/>
      <c r="B669" s="696"/>
      <c r="C669" s="696"/>
      <c r="D669" s="696"/>
      <c r="E669" s="697"/>
      <c r="F669" s="698"/>
      <c r="G669" s="698"/>
      <c r="H669" s="698"/>
      <c r="I669" s="697"/>
      <c r="J669" s="699"/>
      <c r="K669" s="695"/>
      <c r="L669" s="699"/>
      <c r="M669" s="700"/>
      <c r="N669" s="701"/>
      <c r="O669" s="701"/>
      <c r="P669" s="697"/>
      <c r="Q669" s="701"/>
      <c r="R669" s="701"/>
      <c r="S669" s="680"/>
      <c r="T669" s="680"/>
      <c r="U669" s="680"/>
      <c r="V669" s="680"/>
    </row>
    <row r="670" ht="15.75" customHeight="1">
      <c r="A670" s="695"/>
      <c r="B670" s="696"/>
      <c r="C670" s="696"/>
      <c r="D670" s="696"/>
      <c r="E670" s="697"/>
      <c r="F670" s="698"/>
      <c r="G670" s="698"/>
      <c r="H670" s="698"/>
      <c r="I670" s="697"/>
      <c r="J670" s="699"/>
      <c r="K670" s="695"/>
      <c r="L670" s="699"/>
      <c r="M670" s="700"/>
      <c r="N670" s="701"/>
      <c r="O670" s="701"/>
      <c r="P670" s="697"/>
      <c r="Q670" s="701"/>
      <c r="R670" s="701"/>
      <c r="S670" s="680"/>
      <c r="T670" s="680"/>
      <c r="U670" s="680"/>
      <c r="V670" s="680"/>
    </row>
    <row r="671" ht="15.75" customHeight="1">
      <c r="A671" s="695"/>
      <c r="B671" s="696"/>
      <c r="C671" s="696"/>
      <c r="D671" s="696"/>
      <c r="E671" s="697"/>
      <c r="F671" s="698"/>
      <c r="G671" s="698"/>
      <c r="H671" s="698"/>
      <c r="I671" s="697"/>
      <c r="J671" s="699"/>
      <c r="K671" s="695"/>
      <c r="L671" s="699"/>
      <c r="M671" s="700"/>
      <c r="N671" s="701"/>
      <c r="O671" s="701"/>
      <c r="P671" s="697"/>
      <c r="Q671" s="701"/>
      <c r="R671" s="701"/>
      <c r="S671" s="680"/>
      <c r="T671" s="680"/>
      <c r="U671" s="680"/>
      <c r="V671" s="680"/>
    </row>
    <row r="672" ht="15.75" customHeight="1">
      <c r="A672" s="695"/>
      <c r="B672" s="696"/>
      <c r="C672" s="696"/>
      <c r="D672" s="696"/>
      <c r="E672" s="697"/>
      <c r="F672" s="698"/>
      <c r="G672" s="698"/>
      <c r="H672" s="698"/>
      <c r="I672" s="697"/>
      <c r="J672" s="699"/>
      <c r="K672" s="695"/>
      <c r="L672" s="699"/>
      <c r="M672" s="700"/>
      <c r="N672" s="701"/>
      <c r="O672" s="701"/>
      <c r="P672" s="697"/>
      <c r="Q672" s="701"/>
      <c r="R672" s="701"/>
      <c r="S672" s="680"/>
      <c r="T672" s="680"/>
      <c r="U672" s="680"/>
      <c r="V672" s="680"/>
    </row>
    <row r="673" ht="15.75" customHeight="1">
      <c r="A673" s="695"/>
      <c r="B673" s="696"/>
      <c r="C673" s="696"/>
      <c r="D673" s="696"/>
      <c r="E673" s="697"/>
      <c r="F673" s="698"/>
      <c r="G673" s="698"/>
      <c r="H673" s="698"/>
      <c r="I673" s="697"/>
      <c r="J673" s="699"/>
      <c r="K673" s="695"/>
      <c r="L673" s="699"/>
      <c r="M673" s="700"/>
      <c r="N673" s="701"/>
      <c r="O673" s="701"/>
      <c r="P673" s="697"/>
      <c r="Q673" s="701"/>
      <c r="R673" s="701"/>
      <c r="S673" s="680"/>
      <c r="T673" s="680"/>
      <c r="U673" s="680"/>
      <c r="V673" s="680"/>
    </row>
    <row r="674" ht="15.75" customHeight="1">
      <c r="A674" s="695"/>
      <c r="B674" s="696"/>
      <c r="C674" s="696"/>
      <c r="D674" s="696"/>
      <c r="E674" s="697"/>
      <c r="F674" s="698"/>
      <c r="G674" s="698"/>
      <c r="H674" s="698"/>
      <c r="I674" s="697"/>
      <c r="J674" s="699"/>
      <c r="K674" s="695"/>
      <c r="L674" s="699"/>
      <c r="M674" s="700"/>
      <c r="N674" s="701"/>
      <c r="O674" s="701"/>
      <c r="P674" s="697"/>
      <c r="Q674" s="701"/>
      <c r="R674" s="701"/>
      <c r="S674" s="680"/>
      <c r="T674" s="680"/>
      <c r="U674" s="680"/>
      <c r="V674" s="680"/>
    </row>
    <row r="675" ht="15.75" customHeight="1">
      <c r="A675" s="695"/>
      <c r="B675" s="696"/>
      <c r="C675" s="696"/>
      <c r="D675" s="696"/>
      <c r="E675" s="697"/>
      <c r="F675" s="698"/>
      <c r="G675" s="698"/>
      <c r="H675" s="698"/>
      <c r="I675" s="697"/>
      <c r="J675" s="699"/>
      <c r="K675" s="695"/>
      <c r="L675" s="699"/>
      <c r="M675" s="700"/>
      <c r="N675" s="701"/>
      <c r="O675" s="701"/>
      <c r="P675" s="697"/>
      <c r="Q675" s="701"/>
      <c r="R675" s="701"/>
      <c r="S675" s="680"/>
      <c r="T675" s="680"/>
      <c r="U675" s="680"/>
      <c r="V675" s="680"/>
    </row>
    <row r="676" ht="15.75" customHeight="1">
      <c r="A676" s="695"/>
      <c r="B676" s="696"/>
      <c r="C676" s="696"/>
      <c r="D676" s="696"/>
      <c r="E676" s="697"/>
      <c r="F676" s="698"/>
      <c r="G676" s="698"/>
      <c r="H676" s="698"/>
      <c r="I676" s="697"/>
      <c r="J676" s="699"/>
      <c r="K676" s="695"/>
      <c r="L676" s="699"/>
      <c r="M676" s="700"/>
      <c r="N676" s="701"/>
      <c r="O676" s="701"/>
      <c r="P676" s="697"/>
      <c r="Q676" s="701"/>
      <c r="R676" s="701"/>
      <c r="S676" s="680"/>
      <c r="T676" s="680"/>
      <c r="U676" s="680"/>
      <c r="V676" s="680"/>
    </row>
    <row r="677" ht="15.75" customHeight="1">
      <c r="A677" s="695"/>
      <c r="B677" s="696"/>
      <c r="C677" s="696"/>
      <c r="D677" s="696"/>
      <c r="E677" s="697"/>
      <c r="F677" s="698"/>
      <c r="G677" s="698"/>
      <c r="H677" s="698"/>
      <c r="I677" s="697"/>
      <c r="J677" s="699"/>
      <c r="K677" s="695"/>
      <c r="L677" s="699"/>
      <c r="M677" s="700"/>
      <c r="N677" s="701"/>
      <c r="O677" s="701"/>
      <c r="P677" s="697"/>
      <c r="Q677" s="701"/>
      <c r="R677" s="701"/>
      <c r="S677" s="680"/>
      <c r="T677" s="680"/>
      <c r="U677" s="680"/>
      <c r="V677" s="680"/>
    </row>
    <row r="678" ht="15.75" customHeight="1">
      <c r="A678" s="695"/>
      <c r="B678" s="696"/>
      <c r="C678" s="696"/>
      <c r="D678" s="696"/>
      <c r="E678" s="697"/>
      <c r="F678" s="698"/>
      <c r="G678" s="698"/>
      <c r="H678" s="698"/>
      <c r="I678" s="697"/>
      <c r="J678" s="699"/>
      <c r="K678" s="695"/>
      <c r="L678" s="699"/>
      <c r="M678" s="700"/>
      <c r="N678" s="701"/>
      <c r="O678" s="701"/>
      <c r="P678" s="697"/>
      <c r="Q678" s="701"/>
      <c r="R678" s="701"/>
      <c r="S678" s="680"/>
      <c r="T678" s="680"/>
      <c r="U678" s="680"/>
      <c r="V678" s="680"/>
    </row>
    <row r="679" ht="15.75" customHeight="1">
      <c r="A679" s="695"/>
      <c r="B679" s="696"/>
      <c r="C679" s="696"/>
      <c r="D679" s="696"/>
      <c r="E679" s="697"/>
      <c r="F679" s="698"/>
      <c r="G679" s="698"/>
      <c r="H679" s="698"/>
      <c r="I679" s="697"/>
      <c r="J679" s="699"/>
      <c r="K679" s="695"/>
      <c r="L679" s="699"/>
      <c r="M679" s="700"/>
      <c r="N679" s="701"/>
      <c r="O679" s="701"/>
      <c r="P679" s="697"/>
      <c r="Q679" s="701"/>
      <c r="R679" s="701"/>
      <c r="S679" s="680"/>
      <c r="T679" s="680"/>
      <c r="U679" s="680"/>
      <c r="V679" s="680"/>
    </row>
    <row r="680" ht="15.75" customHeight="1">
      <c r="A680" s="695"/>
      <c r="B680" s="696"/>
      <c r="C680" s="696"/>
      <c r="D680" s="696"/>
      <c r="E680" s="697"/>
      <c r="F680" s="698"/>
      <c r="G680" s="698"/>
      <c r="H680" s="698"/>
      <c r="I680" s="697"/>
      <c r="J680" s="699"/>
      <c r="K680" s="695"/>
      <c r="L680" s="699"/>
      <c r="M680" s="700"/>
      <c r="N680" s="701"/>
      <c r="O680" s="701"/>
      <c r="P680" s="697"/>
      <c r="Q680" s="701"/>
      <c r="R680" s="701"/>
      <c r="S680" s="680"/>
      <c r="T680" s="680"/>
      <c r="U680" s="680"/>
      <c r="V680" s="680"/>
    </row>
    <row r="681" ht="15.75" customHeight="1">
      <c r="A681" s="695"/>
      <c r="B681" s="696"/>
      <c r="C681" s="696"/>
      <c r="D681" s="696"/>
      <c r="E681" s="697"/>
      <c r="F681" s="698"/>
      <c r="G681" s="698"/>
      <c r="H681" s="698"/>
      <c r="I681" s="697"/>
      <c r="J681" s="699"/>
      <c r="K681" s="695"/>
      <c r="L681" s="699"/>
      <c r="M681" s="700"/>
      <c r="N681" s="701"/>
      <c r="O681" s="701"/>
      <c r="P681" s="697"/>
      <c r="Q681" s="701"/>
      <c r="R681" s="701"/>
      <c r="S681" s="680"/>
      <c r="T681" s="680"/>
      <c r="U681" s="680"/>
      <c r="V681" s="680"/>
    </row>
    <row r="682" ht="15.75" customHeight="1">
      <c r="A682" s="695"/>
      <c r="B682" s="696"/>
      <c r="C682" s="696"/>
      <c r="D682" s="696"/>
      <c r="E682" s="697"/>
      <c r="F682" s="698"/>
      <c r="G682" s="698"/>
      <c r="H682" s="698"/>
      <c r="I682" s="697"/>
      <c r="J682" s="699"/>
      <c r="K682" s="695"/>
      <c r="L682" s="699"/>
      <c r="M682" s="700"/>
      <c r="N682" s="701"/>
      <c r="O682" s="701"/>
      <c r="P682" s="697"/>
      <c r="Q682" s="701"/>
      <c r="R682" s="701"/>
      <c r="S682" s="680"/>
      <c r="T682" s="680"/>
      <c r="U682" s="680"/>
      <c r="V682" s="680"/>
    </row>
    <row r="683" ht="15.75" customHeight="1">
      <c r="A683" s="695"/>
      <c r="B683" s="696"/>
      <c r="C683" s="696"/>
      <c r="D683" s="696"/>
      <c r="E683" s="697"/>
      <c r="F683" s="698"/>
      <c r="G683" s="698"/>
      <c r="H683" s="698"/>
      <c r="I683" s="697"/>
      <c r="J683" s="699"/>
      <c r="K683" s="695"/>
      <c r="L683" s="699"/>
      <c r="M683" s="700"/>
      <c r="N683" s="701"/>
      <c r="O683" s="701"/>
      <c r="P683" s="697"/>
      <c r="Q683" s="701"/>
      <c r="R683" s="701"/>
      <c r="S683" s="680"/>
      <c r="T683" s="680"/>
      <c r="U683" s="680"/>
      <c r="V683" s="680"/>
    </row>
    <row r="684" ht="15.75" customHeight="1">
      <c r="A684" s="695"/>
      <c r="B684" s="696"/>
      <c r="C684" s="696"/>
      <c r="D684" s="696"/>
      <c r="E684" s="697"/>
      <c r="F684" s="698"/>
      <c r="G684" s="698"/>
      <c r="H684" s="698"/>
      <c r="I684" s="697"/>
      <c r="J684" s="699"/>
      <c r="K684" s="695"/>
      <c r="L684" s="699"/>
      <c r="M684" s="700"/>
      <c r="N684" s="701"/>
      <c r="O684" s="701"/>
      <c r="P684" s="697"/>
      <c r="Q684" s="701"/>
      <c r="R684" s="701"/>
      <c r="S684" s="680"/>
      <c r="T684" s="680"/>
      <c r="U684" s="680"/>
      <c r="V684" s="680"/>
    </row>
    <row r="685" ht="15.75" customHeight="1">
      <c r="A685" s="695"/>
      <c r="B685" s="696"/>
      <c r="C685" s="696"/>
      <c r="D685" s="696"/>
      <c r="E685" s="697"/>
      <c r="F685" s="698"/>
      <c r="G685" s="698"/>
      <c r="H685" s="698"/>
      <c r="I685" s="697"/>
      <c r="J685" s="699"/>
      <c r="K685" s="695"/>
      <c r="L685" s="699"/>
      <c r="M685" s="700"/>
      <c r="N685" s="701"/>
      <c r="O685" s="701"/>
      <c r="P685" s="697"/>
      <c r="Q685" s="701"/>
      <c r="R685" s="701"/>
      <c r="S685" s="680"/>
      <c r="T685" s="680"/>
      <c r="U685" s="680"/>
      <c r="V685" s="680"/>
    </row>
    <row r="686" ht="15.75" customHeight="1">
      <c r="A686" s="695"/>
      <c r="B686" s="696"/>
      <c r="C686" s="696"/>
      <c r="D686" s="696"/>
      <c r="E686" s="697"/>
      <c r="F686" s="698"/>
      <c r="G686" s="698"/>
      <c r="H686" s="698"/>
      <c r="I686" s="697"/>
      <c r="J686" s="699"/>
      <c r="K686" s="695"/>
      <c r="L686" s="699"/>
      <c r="M686" s="700"/>
      <c r="N686" s="701"/>
      <c r="O686" s="701"/>
      <c r="P686" s="697"/>
      <c r="Q686" s="701"/>
      <c r="R686" s="701"/>
      <c r="S686" s="680"/>
      <c r="T686" s="680"/>
      <c r="U686" s="680"/>
      <c r="V686" s="680"/>
    </row>
    <row r="687" ht="15.75" customHeight="1">
      <c r="A687" s="695"/>
      <c r="B687" s="696"/>
      <c r="C687" s="696"/>
      <c r="D687" s="696"/>
      <c r="E687" s="697"/>
      <c r="F687" s="698"/>
      <c r="G687" s="698"/>
      <c r="H687" s="698"/>
      <c r="I687" s="697"/>
      <c r="J687" s="699"/>
      <c r="K687" s="695"/>
      <c r="L687" s="699"/>
      <c r="M687" s="700"/>
      <c r="N687" s="701"/>
      <c r="O687" s="701"/>
      <c r="P687" s="697"/>
      <c r="Q687" s="701"/>
      <c r="R687" s="701"/>
      <c r="S687" s="680"/>
      <c r="T687" s="680"/>
      <c r="U687" s="680"/>
      <c r="V687" s="680"/>
    </row>
    <row r="688" ht="15.75" customHeight="1">
      <c r="A688" s="695"/>
      <c r="B688" s="696"/>
      <c r="C688" s="696"/>
      <c r="D688" s="696"/>
      <c r="E688" s="697"/>
      <c r="F688" s="698"/>
      <c r="G688" s="698"/>
      <c r="H688" s="698"/>
      <c r="I688" s="697"/>
      <c r="J688" s="699"/>
      <c r="K688" s="695"/>
      <c r="L688" s="699"/>
      <c r="M688" s="700"/>
      <c r="N688" s="701"/>
      <c r="O688" s="701"/>
      <c r="P688" s="697"/>
      <c r="Q688" s="701"/>
      <c r="R688" s="701"/>
      <c r="S688" s="680"/>
      <c r="T688" s="680"/>
      <c r="U688" s="680"/>
      <c r="V688" s="680"/>
    </row>
    <row r="689" ht="15.75" customHeight="1">
      <c r="A689" s="695"/>
      <c r="B689" s="696"/>
      <c r="C689" s="696"/>
      <c r="D689" s="696"/>
      <c r="E689" s="697"/>
      <c r="F689" s="698"/>
      <c r="G689" s="698"/>
      <c r="H689" s="698"/>
      <c r="I689" s="697"/>
      <c r="J689" s="699"/>
      <c r="K689" s="695"/>
      <c r="L689" s="699"/>
      <c r="M689" s="700"/>
      <c r="N689" s="701"/>
      <c r="O689" s="701"/>
      <c r="P689" s="697"/>
      <c r="Q689" s="701"/>
      <c r="R689" s="701"/>
      <c r="S689" s="680"/>
      <c r="T689" s="680"/>
      <c r="U689" s="680"/>
      <c r="V689" s="680"/>
    </row>
    <row r="690" ht="15.75" customHeight="1">
      <c r="A690" s="695"/>
      <c r="B690" s="696"/>
      <c r="C690" s="696"/>
      <c r="D690" s="696"/>
      <c r="E690" s="697"/>
      <c r="F690" s="698"/>
      <c r="G690" s="698"/>
      <c r="H690" s="698"/>
      <c r="I690" s="697"/>
      <c r="J690" s="699"/>
      <c r="K690" s="695"/>
      <c r="L690" s="699"/>
      <c r="M690" s="700"/>
      <c r="N690" s="701"/>
      <c r="O690" s="701"/>
      <c r="P690" s="697"/>
      <c r="Q690" s="701"/>
      <c r="R690" s="701"/>
      <c r="S690" s="680"/>
      <c r="T690" s="680"/>
      <c r="U690" s="680"/>
      <c r="V690" s="680"/>
    </row>
    <row r="691" ht="15.75" customHeight="1">
      <c r="A691" s="695"/>
      <c r="B691" s="696"/>
      <c r="C691" s="696"/>
      <c r="D691" s="696"/>
      <c r="E691" s="697"/>
      <c r="F691" s="698"/>
      <c r="G691" s="698"/>
      <c r="H691" s="698"/>
      <c r="I691" s="697"/>
      <c r="J691" s="699"/>
      <c r="K691" s="695"/>
      <c r="L691" s="699"/>
      <c r="M691" s="700"/>
      <c r="N691" s="701"/>
      <c r="O691" s="701"/>
      <c r="P691" s="697"/>
      <c r="Q691" s="701"/>
      <c r="R691" s="701"/>
      <c r="S691" s="680"/>
      <c r="T691" s="680"/>
      <c r="U691" s="680"/>
      <c r="V691" s="680"/>
    </row>
    <row r="692" ht="15.75" customHeight="1">
      <c r="A692" s="695"/>
      <c r="B692" s="696"/>
      <c r="C692" s="696"/>
      <c r="D692" s="696"/>
      <c r="E692" s="697"/>
      <c r="F692" s="698"/>
      <c r="G692" s="698"/>
      <c r="H692" s="698"/>
      <c r="I692" s="697"/>
      <c r="J692" s="699"/>
      <c r="K692" s="695"/>
      <c r="L692" s="699"/>
      <c r="M692" s="700"/>
      <c r="N692" s="701"/>
      <c r="O692" s="701"/>
      <c r="P692" s="697"/>
      <c r="Q692" s="701"/>
      <c r="R692" s="701"/>
      <c r="S692" s="680"/>
      <c r="T692" s="680"/>
      <c r="U692" s="680"/>
      <c r="V692" s="680"/>
    </row>
    <row r="693" ht="15.75" customHeight="1">
      <c r="A693" s="695"/>
      <c r="B693" s="696"/>
      <c r="C693" s="696"/>
      <c r="D693" s="696"/>
      <c r="E693" s="697"/>
      <c r="F693" s="698"/>
      <c r="G693" s="698"/>
      <c r="H693" s="698"/>
      <c r="I693" s="697"/>
      <c r="J693" s="699"/>
      <c r="K693" s="695"/>
      <c r="L693" s="699"/>
      <c r="M693" s="700"/>
      <c r="N693" s="701"/>
      <c r="O693" s="701"/>
      <c r="P693" s="697"/>
      <c r="Q693" s="701"/>
      <c r="R693" s="701"/>
      <c r="S693" s="680"/>
      <c r="T693" s="680"/>
      <c r="U693" s="680"/>
      <c r="V693" s="680"/>
    </row>
    <row r="694" ht="15.75" customHeight="1">
      <c r="A694" s="695"/>
      <c r="B694" s="696"/>
      <c r="C694" s="696"/>
      <c r="D694" s="696"/>
      <c r="E694" s="697"/>
      <c r="F694" s="698"/>
      <c r="G694" s="698"/>
      <c r="H694" s="698"/>
      <c r="I694" s="697"/>
      <c r="J694" s="699"/>
      <c r="K694" s="695"/>
      <c r="L694" s="699"/>
      <c r="M694" s="700"/>
      <c r="N694" s="701"/>
      <c r="O694" s="701"/>
      <c r="P694" s="697"/>
      <c r="Q694" s="701"/>
      <c r="R694" s="701"/>
      <c r="S694" s="680"/>
      <c r="T694" s="680"/>
      <c r="U694" s="680"/>
      <c r="V694" s="680"/>
    </row>
    <row r="695" ht="15.75" customHeight="1">
      <c r="A695" s="695"/>
      <c r="B695" s="696"/>
      <c r="C695" s="696"/>
      <c r="D695" s="696"/>
      <c r="E695" s="697"/>
      <c r="F695" s="698"/>
      <c r="G695" s="698"/>
      <c r="H695" s="698"/>
      <c r="I695" s="697"/>
      <c r="J695" s="699"/>
      <c r="K695" s="695"/>
      <c r="L695" s="699"/>
      <c r="M695" s="700"/>
      <c r="N695" s="701"/>
      <c r="O695" s="701"/>
      <c r="P695" s="697"/>
      <c r="Q695" s="701"/>
      <c r="R695" s="701"/>
      <c r="S695" s="680"/>
      <c r="T695" s="680"/>
      <c r="U695" s="680"/>
      <c r="V695" s="680"/>
    </row>
    <row r="696" ht="15.75" customHeight="1">
      <c r="A696" s="695"/>
      <c r="B696" s="696"/>
      <c r="C696" s="696"/>
      <c r="D696" s="696"/>
      <c r="E696" s="697"/>
      <c r="F696" s="698"/>
      <c r="G696" s="698"/>
      <c r="H696" s="698"/>
      <c r="I696" s="697"/>
      <c r="J696" s="699"/>
      <c r="K696" s="695"/>
      <c r="L696" s="699"/>
      <c r="M696" s="700"/>
      <c r="N696" s="701"/>
      <c r="O696" s="701"/>
      <c r="P696" s="697"/>
      <c r="Q696" s="701"/>
      <c r="R696" s="701"/>
      <c r="S696" s="680"/>
      <c r="T696" s="680"/>
      <c r="U696" s="680"/>
      <c r="V696" s="680"/>
    </row>
    <row r="697" ht="15.75" customHeight="1">
      <c r="A697" s="695"/>
      <c r="B697" s="696"/>
      <c r="C697" s="696"/>
      <c r="D697" s="696"/>
      <c r="E697" s="697"/>
      <c r="F697" s="698"/>
      <c r="G697" s="698"/>
      <c r="H697" s="698"/>
      <c r="I697" s="697"/>
      <c r="J697" s="699"/>
      <c r="K697" s="695"/>
      <c r="L697" s="699"/>
      <c r="M697" s="700"/>
      <c r="N697" s="701"/>
      <c r="O697" s="701"/>
      <c r="P697" s="697"/>
      <c r="Q697" s="701"/>
      <c r="R697" s="701"/>
      <c r="S697" s="680"/>
      <c r="T697" s="680"/>
      <c r="U697" s="680"/>
      <c r="V697" s="680"/>
    </row>
    <row r="698" ht="15.75" customHeight="1">
      <c r="A698" s="695"/>
      <c r="B698" s="696"/>
      <c r="C698" s="696"/>
      <c r="D698" s="696"/>
      <c r="E698" s="697"/>
      <c r="F698" s="698"/>
      <c r="G698" s="698"/>
      <c r="H698" s="698"/>
      <c r="I698" s="697"/>
      <c r="J698" s="699"/>
      <c r="K698" s="695"/>
      <c r="L698" s="699"/>
      <c r="M698" s="700"/>
      <c r="N698" s="701"/>
      <c r="O698" s="701"/>
      <c r="P698" s="697"/>
      <c r="Q698" s="701"/>
      <c r="R698" s="701"/>
      <c r="S698" s="680"/>
      <c r="T698" s="680"/>
      <c r="U698" s="680"/>
      <c r="V698" s="680"/>
    </row>
    <row r="699" ht="15.75" customHeight="1">
      <c r="A699" s="695"/>
      <c r="B699" s="696"/>
      <c r="C699" s="696"/>
      <c r="D699" s="696"/>
      <c r="E699" s="697"/>
      <c r="F699" s="698"/>
      <c r="G699" s="698"/>
      <c r="H699" s="698"/>
      <c r="I699" s="697"/>
      <c r="J699" s="699"/>
      <c r="K699" s="695"/>
      <c r="L699" s="699"/>
      <c r="M699" s="700"/>
      <c r="N699" s="701"/>
      <c r="O699" s="701"/>
      <c r="P699" s="697"/>
      <c r="Q699" s="701"/>
      <c r="R699" s="701"/>
      <c r="S699" s="680"/>
      <c r="T699" s="680"/>
      <c r="U699" s="680"/>
      <c r="V699" s="680"/>
    </row>
    <row r="700" ht="15.75" customHeight="1">
      <c r="A700" s="695"/>
      <c r="B700" s="696"/>
      <c r="C700" s="696"/>
      <c r="D700" s="696"/>
      <c r="E700" s="697"/>
      <c r="F700" s="698"/>
      <c r="G700" s="698"/>
      <c r="H700" s="698"/>
      <c r="I700" s="697"/>
      <c r="J700" s="699"/>
      <c r="K700" s="695"/>
      <c r="L700" s="699"/>
      <c r="M700" s="700"/>
      <c r="N700" s="701"/>
      <c r="O700" s="701"/>
      <c r="P700" s="697"/>
      <c r="Q700" s="701"/>
      <c r="R700" s="701"/>
      <c r="S700" s="680"/>
      <c r="T700" s="680"/>
      <c r="U700" s="680"/>
      <c r="V700" s="680"/>
    </row>
    <row r="701" ht="15.75" customHeight="1">
      <c r="A701" s="695"/>
      <c r="B701" s="696"/>
      <c r="C701" s="696"/>
      <c r="D701" s="696"/>
      <c r="E701" s="697"/>
      <c r="F701" s="698"/>
      <c r="G701" s="698"/>
      <c r="H701" s="698"/>
      <c r="I701" s="697"/>
      <c r="J701" s="699"/>
      <c r="K701" s="695"/>
      <c r="L701" s="699"/>
      <c r="M701" s="700"/>
      <c r="N701" s="701"/>
      <c r="O701" s="701"/>
      <c r="P701" s="697"/>
      <c r="Q701" s="701"/>
      <c r="R701" s="701"/>
      <c r="S701" s="680"/>
      <c r="T701" s="680"/>
      <c r="U701" s="680"/>
      <c r="V701" s="680"/>
    </row>
    <row r="702" ht="15.75" customHeight="1">
      <c r="A702" s="695"/>
      <c r="B702" s="696"/>
      <c r="C702" s="696"/>
      <c r="D702" s="696"/>
      <c r="E702" s="697"/>
      <c r="F702" s="698"/>
      <c r="G702" s="698"/>
      <c r="H702" s="698"/>
      <c r="I702" s="697"/>
      <c r="J702" s="699"/>
      <c r="K702" s="695"/>
      <c r="L702" s="699"/>
      <c r="M702" s="700"/>
      <c r="N702" s="701"/>
      <c r="O702" s="701"/>
      <c r="P702" s="697"/>
      <c r="Q702" s="701"/>
      <c r="R702" s="701"/>
      <c r="S702" s="680"/>
      <c r="T702" s="680"/>
      <c r="U702" s="680"/>
      <c r="V702" s="680"/>
    </row>
    <row r="703" ht="15.75" customHeight="1">
      <c r="A703" s="695"/>
      <c r="B703" s="696"/>
      <c r="C703" s="696"/>
      <c r="D703" s="696"/>
      <c r="E703" s="697"/>
      <c r="F703" s="698"/>
      <c r="G703" s="698"/>
      <c r="H703" s="698"/>
      <c r="I703" s="697"/>
      <c r="J703" s="699"/>
      <c r="K703" s="695"/>
      <c r="L703" s="699"/>
      <c r="M703" s="700"/>
      <c r="N703" s="701"/>
      <c r="O703" s="701"/>
      <c r="P703" s="697"/>
      <c r="Q703" s="701"/>
      <c r="R703" s="701"/>
      <c r="S703" s="680"/>
      <c r="T703" s="680"/>
      <c r="U703" s="680"/>
      <c r="V703" s="680"/>
    </row>
    <row r="704" ht="15.75" customHeight="1">
      <c r="A704" s="695"/>
      <c r="B704" s="696"/>
      <c r="C704" s="696"/>
      <c r="D704" s="696"/>
      <c r="E704" s="697"/>
      <c r="F704" s="698"/>
      <c r="G704" s="698"/>
      <c r="H704" s="698"/>
      <c r="I704" s="697"/>
      <c r="J704" s="699"/>
      <c r="K704" s="695"/>
      <c r="L704" s="699"/>
      <c r="M704" s="700"/>
      <c r="N704" s="701"/>
      <c r="O704" s="701"/>
      <c r="P704" s="697"/>
      <c r="Q704" s="701"/>
      <c r="R704" s="701"/>
      <c r="S704" s="680"/>
      <c r="T704" s="680"/>
      <c r="U704" s="680"/>
      <c r="V704" s="680"/>
    </row>
    <row r="705" ht="15.75" customHeight="1">
      <c r="A705" s="695"/>
      <c r="B705" s="696"/>
      <c r="C705" s="696"/>
      <c r="D705" s="696"/>
      <c r="E705" s="697"/>
      <c r="F705" s="698"/>
      <c r="G705" s="698"/>
      <c r="H705" s="698"/>
      <c r="I705" s="697"/>
      <c r="J705" s="699"/>
      <c r="K705" s="695"/>
      <c r="L705" s="699"/>
      <c r="M705" s="700"/>
      <c r="N705" s="701"/>
      <c r="O705" s="701"/>
      <c r="P705" s="697"/>
      <c r="Q705" s="701"/>
      <c r="R705" s="701"/>
      <c r="S705" s="680"/>
      <c r="T705" s="680"/>
      <c r="U705" s="680"/>
      <c r="V705" s="680"/>
    </row>
    <row r="706" ht="15.75" customHeight="1">
      <c r="A706" s="695"/>
      <c r="B706" s="696"/>
      <c r="C706" s="696"/>
      <c r="D706" s="696"/>
      <c r="E706" s="697"/>
      <c r="F706" s="698"/>
      <c r="G706" s="698"/>
      <c r="H706" s="698"/>
      <c r="I706" s="697"/>
      <c r="J706" s="699"/>
      <c r="K706" s="695"/>
      <c r="L706" s="699"/>
      <c r="M706" s="700"/>
      <c r="N706" s="701"/>
      <c r="O706" s="701"/>
      <c r="P706" s="697"/>
      <c r="Q706" s="701"/>
      <c r="R706" s="701"/>
      <c r="S706" s="680"/>
      <c r="T706" s="680"/>
      <c r="U706" s="680"/>
      <c r="V706" s="680"/>
    </row>
    <row r="707" ht="15.75" customHeight="1">
      <c r="A707" s="695"/>
      <c r="B707" s="696"/>
      <c r="C707" s="696"/>
      <c r="D707" s="696"/>
      <c r="E707" s="697"/>
      <c r="F707" s="698"/>
      <c r="G707" s="698"/>
      <c r="H707" s="698"/>
      <c r="I707" s="697"/>
      <c r="J707" s="699"/>
      <c r="K707" s="695"/>
      <c r="L707" s="699"/>
      <c r="M707" s="700"/>
      <c r="N707" s="701"/>
      <c r="O707" s="701"/>
      <c r="P707" s="697"/>
      <c r="Q707" s="701"/>
      <c r="R707" s="701"/>
      <c r="S707" s="680"/>
      <c r="T707" s="680"/>
      <c r="U707" s="680"/>
      <c r="V707" s="680"/>
    </row>
    <row r="708" ht="15.75" customHeight="1">
      <c r="A708" s="695"/>
      <c r="B708" s="696"/>
      <c r="C708" s="696"/>
      <c r="D708" s="696"/>
      <c r="E708" s="697"/>
      <c r="F708" s="698"/>
      <c r="G708" s="698"/>
      <c r="H708" s="698"/>
      <c r="I708" s="697"/>
      <c r="J708" s="699"/>
      <c r="K708" s="695"/>
      <c r="L708" s="699"/>
      <c r="M708" s="700"/>
      <c r="N708" s="701"/>
      <c r="O708" s="701"/>
      <c r="P708" s="697"/>
      <c r="Q708" s="701"/>
      <c r="R708" s="701"/>
      <c r="S708" s="680"/>
      <c r="T708" s="680"/>
      <c r="U708" s="680"/>
      <c r="V708" s="680"/>
    </row>
    <row r="709" ht="15.75" customHeight="1">
      <c r="A709" s="695"/>
      <c r="B709" s="696"/>
      <c r="C709" s="696"/>
      <c r="D709" s="696"/>
      <c r="E709" s="697"/>
      <c r="F709" s="698"/>
      <c r="G709" s="698"/>
      <c r="H709" s="698"/>
      <c r="I709" s="697"/>
      <c r="J709" s="699"/>
      <c r="K709" s="695"/>
      <c r="L709" s="699"/>
      <c r="M709" s="700"/>
      <c r="N709" s="701"/>
      <c r="O709" s="701"/>
      <c r="P709" s="697"/>
      <c r="Q709" s="701"/>
      <c r="R709" s="701"/>
      <c r="S709" s="680"/>
      <c r="T709" s="680"/>
      <c r="U709" s="680"/>
      <c r="V709" s="680"/>
    </row>
    <row r="710" ht="15.75" customHeight="1">
      <c r="A710" s="695"/>
      <c r="B710" s="696"/>
      <c r="C710" s="696"/>
      <c r="D710" s="696"/>
      <c r="E710" s="697"/>
      <c r="F710" s="698"/>
      <c r="G710" s="698"/>
      <c r="H710" s="698"/>
      <c r="I710" s="697"/>
      <c r="J710" s="699"/>
      <c r="K710" s="695"/>
      <c r="L710" s="699"/>
      <c r="M710" s="700"/>
      <c r="N710" s="701"/>
      <c r="O710" s="701"/>
      <c r="P710" s="697"/>
      <c r="Q710" s="701"/>
      <c r="R710" s="701"/>
      <c r="S710" s="680"/>
      <c r="T710" s="680"/>
      <c r="U710" s="680"/>
      <c r="V710" s="680"/>
    </row>
    <row r="711" ht="15.75" customHeight="1">
      <c r="A711" s="695"/>
      <c r="B711" s="696"/>
      <c r="C711" s="696"/>
      <c r="D711" s="696"/>
      <c r="E711" s="697"/>
      <c r="F711" s="698"/>
      <c r="G711" s="698"/>
      <c r="H711" s="698"/>
      <c r="I711" s="697"/>
      <c r="J711" s="699"/>
      <c r="K711" s="695"/>
      <c r="L711" s="699"/>
      <c r="M711" s="700"/>
      <c r="N711" s="701"/>
      <c r="O711" s="701"/>
      <c r="P711" s="697"/>
      <c r="Q711" s="701"/>
      <c r="R711" s="701"/>
      <c r="S711" s="680"/>
      <c r="T711" s="680"/>
      <c r="U711" s="680"/>
      <c r="V711" s="680"/>
    </row>
    <row r="712" ht="15.75" customHeight="1">
      <c r="A712" s="695"/>
      <c r="B712" s="696"/>
      <c r="C712" s="696"/>
      <c r="D712" s="696"/>
      <c r="E712" s="697"/>
      <c r="F712" s="698"/>
      <c r="G712" s="698"/>
      <c r="H712" s="698"/>
      <c r="I712" s="697"/>
      <c r="J712" s="699"/>
      <c r="K712" s="695"/>
      <c r="L712" s="699"/>
      <c r="M712" s="700"/>
      <c r="N712" s="701"/>
      <c r="O712" s="701"/>
      <c r="P712" s="697"/>
      <c r="Q712" s="701"/>
      <c r="R712" s="701"/>
      <c r="S712" s="680"/>
      <c r="T712" s="680"/>
      <c r="U712" s="680"/>
      <c r="V712" s="680"/>
    </row>
    <row r="713" ht="15.75" customHeight="1">
      <c r="A713" s="695"/>
      <c r="B713" s="696"/>
      <c r="C713" s="696"/>
      <c r="D713" s="696"/>
      <c r="E713" s="697"/>
      <c r="F713" s="698"/>
      <c r="G713" s="698"/>
      <c r="H713" s="698"/>
      <c r="I713" s="697"/>
      <c r="J713" s="699"/>
      <c r="K713" s="695"/>
      <c r="L713" s="699"/>
      <c r="M713" s="700"/>
      <c r="N713" s="701"/>
      <c r="O713" s="701"/>
      <c r="P713" s="697"/>
      <c r="Q713" s="701"/>
      <c r="R713" s="701"/>
      <c r="S713" s="680"/>
      <c r="T713" s="680"/>
      <c r="U713" s="680"/>
      <c r="V713" s="680"/>
    </row>
    <row r="714" ht="15.75" customHeight="1">
      <c r="A714" s="695"/>
      <c r="B714" s="696"/>
      <c r="C714" s="696"/>
      <c r="D714" s="696"/>
      <c r="E714" s="697"/>
      <c r="F714" s="698"/>
      <c r="G714" s="698"/>
      <c r="H714" s="698"/>
      <c r="I714" s="697"/>
      <c r="J714" s="699"/>
      <c r="K714" s="695"/>
      <c r="L714" s="699"/>
      <c r="M714" s="700"/>
      <c r="N714" s="701"/>
      <c r="O714" s="701"/>
      <c r="P714" s="697"/>
      <c r="Q714" s="701"/>
      <c r="R714" s="701"/>
      <c r="S714" s="680"/>
      <c r="T714" s="680"/>
      <c r="U714" s="680"/>
      <c r="V714" s="680"/>
    </row>
    <row r="715" ht="15.75" customHeight="1">
      <c r="A715" s="695"/>
      <c r="B715" s="696"/>
      <c r="C715" s="696"/>
      <c r="D715" s="696"/>
      <c r="E715" s="697"/>
      <c r="F715" s="698"/>
      <c r="G715" s="698"/>
      <c r="H715" s="698"/>
      <c r="I715" s="697"/>
      <c r="J715" s="699"/>
      <c r="K715" s="695"/>
      <c r="L715" s="699"/>
      <c r="M715" s="700"/>
      <c r="N715" s="701"/>
      <c r="O715" s="701"/>
      <c r="P715" s="697"/>
      <c r="Q715" s="701"/>
      <c r="R715" s="701"/>
      <c r="S715" s="680"/>
      <c r="T715" s="680"/>
      <c r="U715" s="680"/>
      <c r="V715" s="680"/>
    </row>
    <row r="716" ht="15.75" customHeight="1">
      <c r="A716" s="695"/>
      <c r="B716" s="696"/>
      <c r="C716" s="696"/>
      <c r="D716" s="696"/>
      <c r="E716" s="697"/>
      <c r="F716" s="698"/>
      <c r="G716" s="698"/>
      <c r="H716" s="698"/>
      <c r="I716" s="697"/>
      <c r="J716" s="699"/>
      <c r="K716" s="695"/>
      <c r="L716" s="699"/>
      <c r="M716" s="700"/>
      <c r="N716" s="701"/>
      <c r="O716" s="701"/>
      <c r="P716" s="697"/>
      <c r="Q716" s="701"/>
      <c r="R716" s="701"/>
      <c r="S716" s="680"/>
      <c r="T716" s="680"/>
      <c r="U716" s="680"/>
      <c r="V716" s="680"/>
    </row>
    <row r="717" ht="15.75" customHeight="1">
      <c r="A717" s="695"/>
      <c r="B717" s="696"/>
      <c r="C717" s="696"/>
      <c r="D717" s="696"/>
      <c r="E717" s="697"/>
      <c r="F717" s="698"/>
      <c r="G717" s="698"/>
      <c r="H717" s="698"/>
      <c r="I717" s="697"/>
      <c r="J717" s="699"/>
      <c r="K717" s="695"/>
      <c r="L717" s="699"/>
      <c r="M717" s="700"/>
      <c r="N717" s="701"/>
      <c r="O717" s="701"/>
      <c r="P717" s="697"/>
      <c r="Q717" s="701"/>
      <c r="R717" s="701"/>
      <c r="S717" s="680"/>
      <c r="T717" s="680"/>
      <c r="U717" s="680"/>
      <c r="V717" s="680"/>
    </row>
    <row r="718" ht="15.75" customHeight="1">
      <c r="A718" s="695"/>
      <c r="B718" s="696"/>
      <c r="C718" s="696"/>
      <c r="D718" s="696"/>
      <c r="E718" s="697"/>
      <c r="F718" s="698"/>
      <c r="G718" s="698"/>
      <c r="H718" s="698"/>
      <c r="I718" s="697"/>
      <c r="J718" s="699"/>
      <c r="K718" s="695"/>
      <c r="L718" s="699"/>
      <c r="M718" s="700"/>
      <c r="N718" s="701"/>
      <c r="O718" s="701"/>
      <c r="P718" s="697"/>
      <c r="Q718" s="701"/>
      <c r="R718" s="701"/>
      <c r="S718" s="680"/>
      <c r="T718" s="680"/>
      <c r="U718" s="680"/>
      <c r="V718" s="680"/>
    </row>
    <row r="719" ht="15.75" customHeight="1">
      <c r="A719" s="695"/>
      <c r="B719" s="696"/>
      <c r="C719" s="696"/>
      <c r="D719" s="696"/>
      <c r="E719" s="697"/>
      <c r="F719" s="698"/>
      <c r="G719" s="698"/>
      <c r="H719" s="698"/>
      <c r="I719" s="697"/>
      <c r="J719" s="699"/>
      <c r="K719" s="695"/>
      <c r="L719" s="699"/>
      <c r="M719" s="700"/>
      <c r="N719" s="701"/>
      <c r="O719" s="701"/>
      <c r="P719" s="697"/>
      <c r="Q719" s="701"/>
      <c r="R719" s="701"/>
      <c r="S719" s="680"/>
      <c r="T719" s="680"/>
      <c r="U719" s="680"/>
      <c r="V719" s="680"/>
    </row>
    <row r="720" ht="15.75" customHeight="1">
      <c r="A720" s="695"/>
      <c r="B720" s="696"/>
      <c r="C720" s="696"/>
      <c r="D720" s="696"/>
      <c r="E720" s="697"/>
      <c r="F720" s="698"/>
      <c r="G720" s="698"/>
      <c r="H720" s="698"/>
      <c r="I720" s="697"/>
      <c r="J720" s="699"/>
      <c r="K720" s="695"/>
      <c r="L720" s="699"/>
      <c r="M720" s="700"/>
      <c r="N720" s="701"/>
      <c r="O720" s="701"/>
      <c r="P720" s="697"/>
      <c r="Q720" s="701"/>
      <c r="R720" s="701"/>
      <c r="S720" s="680"/>
      <c r="T720" s="680"/>
      <c r="U720" s="680"/>
      <c r="V720" s="680"/>
    </row>
    <row r="721" ht="15.75" customHeight="1">
      <c r="A721" s="695"/>
      <c r="B721" s="696"/>
      <c r="C721" s="696"/>
      <c r="D721" s="696"/>
      <c r="E721" s="697"/>
      <c r="F721" s="698"/>
      <c r="G721" s="698"/>
      <c r="H721" s="698"/>
      <c r="I721" s="697"/>
      <c r="J721" s="699"/>
      <c r="K721" s="695"/>
      <c r="L721" s="699"/>
      <c r="M721" s="700"/>
      <c r="N721" s="701"/>
      <c r="O721" s="701"/>
      <c r="P721" s="697"/>
      <c r="Q721" s="701"/>
      <c r="R721" s="701"/>
      <c r="S721" s="680"/>
      <c r="T721" s="680"/>
      <c r="U721" s="680"/>
      <c r="V721" s="680"/>
    </row>
    <row r="722" ht="15.75" customHeight="1">
      <c r="A722" s="695"/>
      <c r="B722" s="696"/>
      <c r="C722" s="696"/>
      <c r="D722" s="696"/>
      <c r="E722" s="697"/>
      <c r="F722" s="698"/>
      <c r="G722" s="698"/>
      <c r="H722" s="698"/>
      <c r="I722" s="697"/>
      <c r="J722" s="699"/>
      <c r="K722" s="695"/>
      <c r="L722" s="699"/>
      <c r="M722" s="700"/>
      <c r="N722" s="701"/>
      <c r="O722" s="701"/>
      <c r="P722" s="697"/>
      <c r="Q722" s="701"/>
      <c r="R722" s="701"/>
      <c r="S722" s="680"/>
      <c r="T722" s="680"/>
      <c r="U722" s="680"/>
      <c r="V722" s="680"/>
    </row>
    <row r="723" ht="15.75" customHeight="1">
      <c r="A723" s="695"/>
      <c r="B723" s="696"/>
      <c r="C723" s="696"/>
      <c r="D723" s="696"/>
      <c r="E723" s="697"/>
      <c r="F723" s="698"/>
      <c r="G723" s="698"/>
      <c r="H723" s="698"/>
      <c r="I723" s="697"/>
      <c r="J723" s="699"/>
      <c r="K723" s="695"/>
      <c r="L723" s="699"/>
      <c r="M723" s="700"/>
      <c r="N723" s="701"/>
      <c r="O723" s="701"/>
      <c r="P723" s="697"/>
      <c r="Q723" s="701"/>
      <c r="R723" s="701"/>
      <c r="S723" s="680"/>
      <c r="T723" s="680"/>
      <c r="U723" s="680"/>
      <c r="V723" s="680"/>
    </row>
    <row r="724" ht="15.75" customHeight="1">
      <c r="A724" s="695"/>
      <c r="B724" s="696"/>
      <c r="C724" s="696"/>
      <c r="D724" s="696"/>
      <c r="E724" s="697"/>
      <c r="F724" s="698"/>
      <c r="G724" s="698"/>
      <c r="H724" s="698"/>
      <c r="I724" s="697"/>
      <c r="J724" s="699"/>
      <c r="K724" s="695"/>
      <c r="L724" s="699"/>
      <c r="M724" s="700"/>
      <c r="N724" s="701"/>
      <c r="O724" s="701"/>
      <c r="P724" s="697"/>
      <c r="Q724" s="701"/>
      <c r="R724" s="701"/>
      <c r="S724" s="680"/>
      <c r="T724" s="680"/>
      <c r="U724" s="680"/>
      <c r="V724" s="680"/>
    </row>
    <row r="725" ht="15.75" customHeight="1">
      <c r="A725" s="695"/>
      <c r="B725" s="696"/>
      <c r="C725" s="696"/>
      <c r="D725" s="696"/>
      <c r="E725" s="697"/>
      <c r="F725" s="698"/>
      <c r="G725" s="698"/>
      <c r="H725" s="698"/>
      <c r="I725" s="697"/>
      <c r="J725" s="699"/>
      <c r="K725" s="695"/>
      <c r="L725" s="699"/>
      <c r="M725" s="700"/>
      <c r="N725" s="701"/>
      <c r="O725" s="701"/>
      <c r="P725" s="697"/>
      <c r="Q725" s="701"/>
      <c r="R725" s="701"/>
      <c r="S725" s="680"/>
      <c r="T725" s="680"/>
      <c r="U725" s="680"/>
      <c r="V725" s="680"/>
    </row>
    <row r="726" ht="15.75" customHeight="1">
      <c r="A726" s="695"/>
      <c r="B726" s="696"/>
      <c r="C726" s="696"/>
      <c r="D726" s="696"/>
      <c r="E726" s="697"/>
      <c r="F726" s="698"/>
      <c r="G726" s="698"/>
      <c r="H726" s="698"/>
      <c r="I726" s="697"/>
      <c r="J726" s="699"/>
      <c r="K726" s="695"/>
      <c r="L726" s="699"/>
      <c r="M726" s="700"/>
      <c r="N726" s="701"/>
      <c r="O726" s="701"/>
      <c r="P726" s="697"/>
      <c r="Q726" s="701"/>
      <c r="R726" s="701"/>
      <c r="S726" s="680"/>
      <c r="T726" s="680"/>
      <c r="U726" s="680"/>
      <c r="V726" s="680"/>
    </row>
    <row r="727" ht="15.75" customHeight="1">
      <c r="A727" s="695"/>
      <c r="B727" s="696"/>
      <c r="C727" s="696"/>
      <c r="D727" s="696"/>
      <c r="E727" s="697"/>
      <c r="F727" s="698"/>
      <c r="G727" s="698"/>
      <c r="H727" s="698"/>
      <c r="I727" s="697"/>
      <c r="J727" s="699"/>
      <c r="K727" s="695"/>
      <c r="L727" s="699"/>
      <c r="M727" s="700"/>
      <c r="N727" s="701"/>
      <c r="O727" s="701"/>
      <c r="P727" s="697"/>
      <c r="Q727" s="701"/>
      <c r="R727" s="701"/>
      <c r="S727" s="680"/>
      <c r="T727" s="680"/>
      <c r="U727" s="680"/>
      <c r="V727" s="680"/>
    </row>
    <row r="728" ht="15.75" customHeight="1">
      <c r="A728" s="695"/>
      <c r="B728" s="696"/>
      <c r="C728" s="696"/>
      <c r="D728" s="696"/>
      <c r="E728" s="697"/>
      <c r="F728" s="698"/>
      <c r="G728" s="698"/>
      <c r="H728" s="698"/>
      <c r="I728" s="697"/>
      <c r="J728" s="699"/>
      <c r="K728" s="695"/>
      <c r="L728" s="699"/>
      <c r="M728" s="700"/>
      <c r="N728" s="701"/>
      <c r="O728" s="701"/>
      <c r="P728" s="697"/>
      <c r="Q728" s="701"/>
      <c r="R728" s="701"/>
      <c r="S728" s="680"/>
      <c r="T728" s="680"/>
      <c r="U728" s="680"/>
      <c r="V728" s="680"/>
    </row>
    <row r="729" ht="15.75" customHeight="1">
      <c r="A729" s="695"/>
      <c r="B729" s="696"/>
      <c r="C729" s="696"/>
      <c r="D729" s="696"/>
      <c r="E729" s="697"/>
      <c r="F729" s="698"/>
      <c r="G729" s="698"/>
      <c r="H729" s="698"/>
      <c r="I729" s="697"/>
      <c r="J729" s="699"/>
      <c r="K729" s="695"/>
      <c r="L729" s="699"/>
      <c r="M729" s="700"/>
      <c r="N729" s="701"/>
      <c r="O729" s="701"/>
      <c r="P729" s="697"/>
      <c r="Q729" s="701"/>
      <c r="R729" s="701"/>
      <c r="S729" s="680"/>
      <c r="T729" s="680"/>
      <c r="U729" s="680"/>
      <c r="V729" s="680"/>
    </row>
    <row r="730" ht="15.75" customHeight="1">
      <c r="A730" s="695"/>
      <c r="B730" s="696"/>
      <c r="C730" s="696"/>
      <c r="D730" s="696"/>
      <c r="E730" s="697"/>
      <c r="F730" s="698"/>
      <c r="G730" s="698"/>
      <c r="H730" s="698"/>
      <c r="I730" s="697"/>
      <c r="J730" s="699"/>
      <c r="K730" s="695"/>
      <c r="L730" s="699"/>
      <c r="M730" s="700"/>
      <c r="N730" s="701"/>
      <c r="O730" s="701"/>
      <c r="P730" s="697"/>
      <c r="Q730" s="701"/>
      <c r="R730" s="701"/>
      <c r="S730" s="680"/>
      <c r="T730" s="680"/>
      <c r="U730" s="680"/>
      <c r="V730" s="680"/>
    </row>
    <row r="731" ht="15.75" customHeight="1">
      <c r="A731" s="695"/>
      <c r="B731" s="696"/>
      <c r="C731" s="696"/>
      <c r="D731" s="696"/>
      <c r="E731" s="697"/>
      <c r="F731" s="698"/>
      <c r="G731" s="698"/>
      <c r="H731" s="698"/>
      <c r="I731" s="697"/>
      <c r="J731" s="699"/>
      <c r="K731" s="695"/>
      <c r="L731" s="699"/>
      <c r="M731" s="700"/>
      <c r="N731" s="701"/>
      <c r="O731" s="701"/>
      <c r="P731" s="697"/>
      <c r="Q731" s="701"/>
      <c r="R731" s="701"/>
      <c r="S731" s="680"/>
      <c r="T731" s="680"/>
      <c r="U731" s="680"/>
      <c r="V731" s="680"/>
    </row>
    <row r="732" ht="15.75" customHeight="1">
      <c r="A732" s="695"/>
      <c r="B732" s="696"/>
      <c r="C732" s="696"/>
      <c r="D732" s="696"/>
      <c r="E732" s="697"/>
      <c r="F732" s="698"/>
      <c r="G732" s="698"/>
      <c r="H732" s="698"/>
      <c r="I732" s="697"/>
      <c r="J732" s="699"/>
      <c r="K732" s="695"/>
      <c r="L732" s="699"/>
      <c r="M732" s="700"/>
      <c r="N732" s="701"/>
      <c r="O732" s="701"/>
      <c r="P732" s="697"/>
      <c r="Q732" s="701"/>
      <c r="R732" s="701"/>
      <c r="S732" s="680"/>
      <c r="T732" s="680"/>
      <c r="U732" s="680"/>
      <c r="V732" s="680"/>
    </row>
    <row r="733" ht="15.75" customHeight="1">
      <c r="A733" s="695"/>
      <c r="B733" s="696"/>
      <c r="C733" s="696"/>
      <c r="D733" s="696"/>
      <c r="E733" s="697"/>
      <c r="F733" s="698"/>
      <c r="G733" s="698"/>
      <c r="H733" s="698"/>
      <c r="I733" s="697"/>
      <c r="J733" s="699"/>
      <c r="K733" s="695"/>
      <c r="L733" s="699"/>
      <c r="M733" s="700"/>
      <c r="N733" s="701"/>
      <c r="O733" s="701"/>
      <c r="P733" s="697"/>
      <c r="Q733" s="701"/>
      <c r="R733" s="701"/>
      <c r="S733" s="680"/>
      <c r="T733" s="680"/>
      <c r="U733" s="680"/>
      <c r="V733" s="680"/>
    </row>
    <row r="734" ht="15.75" customHeight="1">
      <c r="A734" s="695"/>
      <c r="B734" s="696"/>
      <c r="C734" s="696"/>
      <c r="D734" s="696"/>
      <c r="E734" s="697"/>
      <c r="F734" s="698"/>
      <c r="G734" s="698"/>
      <c r="H734" s="698"/>
      <c r="I734" s="697"/>
      <c r="J734" s="699"/>
      <c r="K734" s="695"/>
      <c r="L734" s="699"/>
      <c r="M734" s="700"/>
      <c r="N734" s="701"/>
      <c r="O734" s="701"/>
      <c r="P734" s="697"/>
      <c r="Q734" s="701"/>
      <c r="R734" s="701"/>
      <c r="S734" s="680"/>
      <c r="T734" s="680"/>
      <c r="U734" s="680"/>
      <c r="V734" s="680"/>
    </row>
    <row r="735" ht="15.75" customHeight="1">
      <c r="A735" s="695"/>
      <c r="B735" s="696"/>
      <c r="C735" s="696"/>
      <c r="D735" s="696"/>
      <c r="E735" s="697"/>
      <c r="F735" s="698"/>
      <c r="G735" s="698"/>
      <c r="H735" s="698"/>
      <c r="I735" s="697"/>
      <c r="J735" s="699"/>
      <c r="K735" s="695"/>
      <c r="L735" s="699"/>
      <c r="M735" s="700"/>
      <c r="N735" s="701"/>
      <c r="O735" s="701"/>
      <c r="P735" s="697"/>
      <c r="Q735" s="701"/>
      <c r="R735" s="701"/>
      <c r="S735" s="680"/>
      <c r="T735" s="680"/>
      <c r="U735" s="680"/>
      <c r="V735" s="680"/>
    </row>
    <row r="736" ht="15.75" customHeight="1">
      <c r="A736" s="695"/>
      <c r="B736" s="696"/>
      <c r="C736" s="696"/>
      <c r="D736" s="696"/>
      <c r="E736" s="697"/>
      <c r="F736" s="698"/>
      <c r="G736" s="698"/>
      <c r="H736" s="698"/>
      <c r="I736" s="697"/>
      <c r="J736" s="699"/>
      <c r="K736" s="695"/>
      <c r="L736" s="699"/>
      <c r="M736" s="700"/>
      <c r="N736" s="701"/>
      <c r="O736" s="701"/>
      <c r="P736" s="697"/>
      <c r="Q736" s="701"/>
      <c r="R736" s="701"/>
      <c r="S736" s="680"/>
      <c r="T736" s="680"/>
      <c r="U736" s="680"/>
      <c r="V736" s="680"/>
    </row>
    <row r="737" ht="15.75" customHeight="1">
      <c r="A737" s="695"/>
      <c r="B737" s="696"/>
      <c r="C737" s="696"/>
      <c r="D737" s="696"/>
      <c r="E737" s="697"/>
      <c r="F737" s="698"/>
      <c r="G737" s="698"/>
      <c r="H737" s="698"/>
      <c r="I737" s="697"/>
      <c r="J737" s="699"/>
      <c r="K737" s="695"/>
      <c r="L737" s="699"/>
      <c r="M737" s="700"/>
      <c r="N737" s="701"/>
      <c r="O737" s="701"/>
      <c r="P737" s="697"/>
      <c r="Q737" s="701"/>
      <c r="R737" s="701"/>
      <c r="S737" s="680"/>
      <c r="T737" s="680"/>
      <c r="U737" s="680"/>
      <c r="V737" s="680"/>
    </row>
    <row r="738" ht="15.75" customHeight="1">
      <c r="A738" s="695"/>
      <c r="B738" s="696"/>
      <c r="C738" s="696"/>
      <c r="D738" s="696"/>
      <c r="E738" s="697"/>
      <c r="F738" s="698"/>
      <c r="G738" s="698"/>
      <c r="H738" s="698"/>
      <c r="I738" s="697"/>
      <c r="J738" s="699"/>
      <c r="K738" s="695"/>
      <c r="L738" s="699"/>
      <c r="M738" s="700"/>
      <c r="N738" s="701"/>
      <c r="O738" s="701"/>
      <c r="P738" s="697"/>
      <c r="Q738" s="701"/>
      <c r="R738" s="701"/>
      <c r="S738" s="680"/>
      <c r="T738" s="680"/>
      <c r="U738" s="680"/>
      <c r="V738" s="680"/>
    </row>
    <row r="739" ht="15.75" customHeight="1">
      <c r="A739" s="695"/>
      <c r="B739" s="696"/>
      <c r="C739" s="696"/>
      <c r="D739" s="696"/>
      <c r="E739" s="697"/>
      <c r="F739" s="698"/>
      <c r="G739" s="698"/>
      <c r="H739" s="698"/>
      <c r="I739" s="697"/>
      <c r="J739" s="699"/>
      <c r="K739" s="695"/>
      <c r="L739" s="699"/>
      <c r="M739" s="700"/>
      <c r="N739" s="701"/>
      <c r="O739" s="701"/>
      <c r="P739" s="697"/>
      <c r="Q739" s="701"/>
      <c r="R739" s="701"/>
      <c r="S739" s="680"/>
      <c r="T739" s="680"/>
      <c r="U739" s="680"/>
      <c r="V739" s="680"/>
    </row>
    <row r="740" ht="15.75" customHeight="1">
      <c r="A740" s="695"/>
      <c r="B740" s="696"/>
      <c r="C740" s="696"/>
      <c r="D740" s="696"/>
      <c r="E740" s="697"/>
      <c r="F740" s="698"/>
      <c r="G740" s="698"/>
      <c r="H740" s="698"/>
      <c r="I740" s="697"/>
      <c r="J740" s="699"/>
      <c r="K740" s="695"/>
      <c r="L740" s="699"/>
      <c r="M740" s="700"/>
      <c r="N740" s="701"/>
      <c r="O740" s="701"/>
      <c r="P740" s="697"/>
      <c r="Q740" s="701"/>
      <c r="R740" s="701"/>
      <c r="S740" s="680"/>
      <c r="T740" s="680"/>
      <c r="U740" s="680"/>
      <c r="V740" s="680"/>
    </row>
    <row r="741" ht="15.75" customHeight="1">
      <c r="A741" s="695"/>
      <c r="B741" s="696"/>
      <c r="C741" s="696"/>
      <c r="D741" s="696"/>
      <c r="E741" s="697"/>
      <c r="F741" s="698"/>
      <c r="G741" s="698"/>
      <c r="H741" s="698"/>
      <c r="I741" s="697"/>
      <c r="J741" s="699"/>
      <c r="K741" s="695"/>
      <c r="L741" s="699"/>
      <c r="M741" s="700"/>
      <c r="N741" s="701"/>
      <c r="O741" s="701"/>
      <c r="P741" s="697"/>
      <c r="Q741" s="701"/>
      <c r="R741" s="701"/>
      <c r="S741" s="680"/>
      <c r="T741" s="680"/>
      <c r="U741" s="680"/>
      <c r="V741" s="680"/>
    </row>
    <row r="742" ht="15.75" customHeight="1">
      <c r="A742" s="695"/>
      <c r="B742" s="696"/>
      <c r="C742" s="696"/>
      <c r="D742" s="696"/>
      <c r="E742" s="697"/>
      <c r="F742" s="698"/>
      <c r="G742" s="698"/>
      <c r="H742" s="698"/>
      <c r="I742" s="697"/>
      <c r="J742" s="699"/>
      <c r="K742" s="695"/>
      <c r="L742" s="699"/>
      <c r="M742" s="700"/>
      <c r="N742" s="701"/>
      <c r="O742" s="701"/>
      <c r="P742" s="697"/>
      <c r="Q742" s="701"/>
      <c r="R742" s="701"/>
      <c r="S742" s="680"/>
      <c r="T742" s="680"/>
      <c r="U742" s="680"/>
      <c r="V742" s="680"/>
    </row>
    <row r="743" ht="15.75" customHeight="1">
      <c r="A743" s="695"/>
      <c r="B743" s="696"/>
      <c r="C743" s="696"/>
      <c r="D743" s="696"/>
      <c r="E743" s="697"/>
      <c r="F743" s="698"/>
      <c r="G743" s="698"/>
      <c r="H743" s="698"/>
      <c r="I743" s="697"/>
      <c r="J743" s="699"/>
      <c r="K743" s="695"/>
      <c r="L743" s="699"/>
      <c r="M743" s="700"/>
      <c r="N743" s="701"/>
      <c r="O743" s="701"/>
      <c r="P743" s="697"/>
      <c r="Q743" s="701"/>
      <c r="R743" s="701"/>
      <c r="S743" s="680"/>
      <c r="T743" s="680"/>
      <c r="U743" s="680"/>
      <c r="V743" s="680"/>
    </row>
    <row r="744" ht="15.75" customHeight="1">
      <c r="A744" s="695"/>
      <c r="B744" s="696"/>
      <c r="C744" s="696"/>
      <c r="D744" s="696"/>
      <c r="E744" s="697"/>
      <c r="F744" s="698"/>
      <c r="G744" s="698"/>
      <c r="H744" s="698"/>
      <c r="I744" s="697"/>
      <c r="J744" s="699"/>
      <c r="K744" s="695"/>
      <c r="L744" s="699"/>
      <c r="M744" s="700"/>
      <c r="N744" s="701"/>
      <c r="O744" s="701"/>
      <c r="P744" s="697"/>
      <c r="Q744" s="701"/>
      <c r="R744" s="701"/>
      <c r="S744" s="680"/>
      <c r="T744" s="680"/>
      <c r="U744" s="680"/>
      <c r="V744" s="680"/>
    </row>
    <row r="745" ht="15.75" customHeight="1">
      <c r="A745" s="695"/>
      <c r="B745" s="696"/>
      <c r="C745" s="696"/>
      <c r="D745" s="696"/>
      <c r="E745" s="697"/>
      <c r="F745" s="698"/>
      <c r="G745" s="698"/>
      <c r="H745" s="698"/>
      <c r="I745" s="697"/>
      <c r="J745" s="699"/>
      <c r="K745" s="695"/>
      <c r="L745" s="699"/>
      <c r="M745" s="700"/>
      <c r="N745" s="701"/>
      <c r="O745" s="701"/>
      <c r="P745" s="697"/>
      <c r="Q745" s="701"/>
      <c r="R745" s="701"/>
      <c r="S745" s="680"/>
      <c r="T745" s="680"/>
      <c r="U745" s="680"/>
      <c r="V745" s="680"/>
    </row>
    <row r="746" ht="15.75" customHeight="1">
      <c r="A746" s="695"/>
      <c r="B746" s="696"/>
      <c r="C746" s="696"/>
      <c r="D746" s="696"/>
      <c r="E746" s="697"/>
      <c r="F746" s="698"/>
      <c r="G746" s="698"/>
      <c r="H746" s="698"/>
      <c r="I746" s="697"/>
      <c r="J746" s="699"/>
      <c r="K746" s="695"/>
      <c r="L746" s="699"/>
      <c r="M746" s="700"/>
      <c r="N746" s="701"/>
      <c r="O746" s="701"/>
      <c r="P746" s="697"/>
      <c r="Q746" s="701"/>
      <c r="R746" s="701"/>
      <c r="S746" s="680"/>
      <c r="T746" s="680"/>
      <c r="U746" s="680"/>
      <c r="V746" s="680"/>
    </row>
    <row r="747" ht="15.75" customHeight="1">
      <c r="A747" s="695"/>
      <c r="B747" s="696"/>
      <c r="C747" s="696"/>
      <c r="D747" s="696"/>
      <c r="E747" s="697"/>
      <c r="F747" s="698"/>
      <c r="G747" s="698"/>
      <c r="H747" s="698"/>
      <c r="I747" s="697"/>
      <c r="J747" s="699"/>
      <c r="K747" s="695"/>
      <c r="L747" s="699"/>
      <c r="M747" s="700"/>
      <c r="N747" s="701"/>
      <c r="O747" s="701"/>
      <c r="P747" s="697"/>
      <c r="Q747" s="701"/>
      <c r="R747" s="701"/>
      <c r="S747" s="680"/>
      <c r="T747" s="680"/>
      <c r="U747" s="680"/>
      <c r="V747" s="680"/>
    </row>
    <row r="748" ht="15.75" customHeight="1">
      <c r="A748" s="695"/>
      <c r="B748" s="696"/>
      <c r="C748" s="696"/>
      <c r="D748" s="696"/>
      <c r="E748" s="697"/>
      <c r="F748" s="698"/>
      <c r="G748" s="698"/>
      <c r="H748" s="698"/>
      <c r="I748" s="697"/>
      <c r="J748" s="699"/>
      <c r="K748" s="695"/>
      <c r="L748" s="699"/>
      <c r="M748" s="700"/>
      <c r="N748" s="701"/>
      <c r="O748" s="701"/>
      <c r="P748" s="697"/>
      <c r="Q748" s="701"/>
      <c r="R748" s="701"/>
      <c r="S748" s="680"/>
      <c r="T748" s="680"/>
      <c r="U748" s="680"/>
      <c r="V748" s="680"/>
    </row>
    <row r="749" ht="15.75" customHeight="1">
      <c r="A749" s="695"/>
      <c r="B749" s="696"/>
      <c r="C749" s="696"/>
      <c r="D749" s="696"/>
      <c r="E749" s="697"/>
      <c r="F749" s="698"/>
      <c r="G749" s="698"/>
      <c r="H749" s="698"/>
      <c r="I749" s="697"/>
      <c r="J749" s="699"/>
      <c r="K749" s="695"/>
      <c r="L749" s="699"/>
      <c r="M749" s="700"/>
      <c r="N749" s="701"/>
      <c r="O749" s="701"/>
      <c r="P749" s="697"/>
      <c r="Q749" s="701"/>
      <c r="R749" s="701"/>
      <c r="S749" s="680"/>
      <c r="T749" s="680"/>
      <c r="U749" s="680"/>
      <c r="V749" s="680"/>
    </row>
    <row r="750" ht="15.75" customHeight="1">
      <c r="A750" s="695"/>
      <c r="B750" s="696"/>
      <c r="C750" s="696"/>
      <c r="D750" s="696"/>
      <c r="E750" s="697"/>
      <c r="F750" s="698"/>
      <c r="G750" s="698"/>
      <c r="H750" s="698"/>
      <c r="I750" s="697"/>
      <c r="J750" s="699"/>
      <c r="K750" s="695"/>
      <c r="L750" s="699"/>
      <c r="M750" s="700"/>
      <c r="N750" s="701"/>
      <c r="O750" s="701"/>
      <c r="P750" s="697"/>
      <c r="Q750" s="701"/>
      <c r="R750" s="701"/>
      <c r="S750" s="680"/>
      <c r="T750" s="680"/>
      <c r="U750" s="680"/>
      <c r="V750" s="680"/>
    </row>
    <row r="751" ht="15.75" customHeight="1">
      <c r="A751" s="695"/>
      <c r="B751" s="696"/>
      <c r="C751" s="696"/>
      <c r="D751" s="696"/>
      <c r="E751" s="697"/>
      <c r="F751" s="698"/>
      <c r="G751" s="698"/>
      <c r="H751" s="698"/>
      <c r="I751" s="697"/>
      <c r="J751" s="699"/>
      <c r="K751" s="695"/>
      <c r="L751" s="699"/>
      <c r="M751" s="700"/>
      <c r="N751" s="701"/>
      <c r="O751" s="701"/>
      <c r="P751" s="697"/>
      <c r="Q751" s="701"/>
      <c r="R751" s="701"/>
      <c r="S751" s="680"/>
      <c r="T751" s="680"/>
      <c r="U751" s="680"/>
      <c r="V751" s="680"/>
    </row>
    <row r="752" ht="15.75" customHeight="1">
      <c r="A752" s="695"/>
      <c r="B752" s="696"/>
      <c r="C752" s="696"/>
      <c r="D752" s="696"/>
      <c r="E752" s="697"/>
      <c r="F752" s="698"/>
      <c r="G752" s="698"/>
      <c r="H752" s="698"/>
      <c r="I752" s="697"/>
      <c r="J752" s="699"/>
      <c r="K752" s="695"/>
      <c r="L752" s="699"/>
      <c r="M752" s="700"/>
      <c r="N752" s="701"/>
      <c r="O752" s="701"/>
      <c r="P752" s="697"/>
      <c r="Q752" s="701"/>
      <c r="R752" s="701"/>
      <c r="S752" s="680"/>
      <c r="T752" s="680"/>
      <c r="U752" s="680"/>
      <c r="V752" s="680"/>
    </row>
    <row r="753" ht="15.75" customHeight="1">
      <c r="A753" s="695"/>
      <c r="B753" s="696"/>
      <c r="C753" s="696"/>
      <c r="D753" s="696"/>
      <c r="E753" s="697"/>
      <c r="F753" s="698"/>
      <c r="G753" s="698"/>
      <c r="H753" s="698"/>
      <c r="I753" s="697"/>
      <c r="J753" s="699"/>
      <c r="K753" s="695"/>
      <c r="L753" s="699"/>
      <c r="M753" s="700"/>
      <c r="N753" s="701"/>
      <c r="O753" s="701"/>
      <c r="P753" s="697"/>
      <c r="Q753" s="701"/>
      <c r="R753" s="701"/>
      <c r="S753" s="680"/>
      <c r="T753" s="680"/>
      <c r="U753" s="680"/>
      <c r="V753" s="680"/>
    </row>
    <row r="754" ht="15.75" customHeight="1">
      <c r="A754" s="695"/>
      <c r="B754" s="696"/>
      <c r="C754" s="696"/>
      <c r="D754" s="696"/>
      <c r="E754" s="697"/>
      <c r="F754" s="698"/>
      <c r="G754" s="698"/>
      <c r="H754" s="698"/>
      <c r="I754" s="697"/>
      <c r="J754" s="699"/>
      <c r="K754" s="695"/>
      <c r="L754" s="699"/>
      <c r="M754" s="700"/>
      <c r="N754" s="701"/>
      <c r="O754" s="701"/>
      <c r="P754" s="697"/>
      <c r="Q754" s="701"/>
      <c r="R754" s="701"/>
      <c r="S754" s="680"/>
      <c r="T754" s="680"/>
      <c r="U754" s="680"/>
      <c r="V754" s="680"/>
    </row>
    <row r="755" ht="15.75" customHeight="1">
      <c r="A755" s="695"/>
      <c r="B755" s="696"/>
      <c r="C755" s="696"/>
      <c r="D755" s="696"/>
      <c r="E755" s="697"/>
      <c r="F755" s="698"/>
      <c r="G755" s="698"/>
      <c r="H755" s="698"/>
      <c r="I755" s="697"/>
      <c r="J755" s="699"/>
      <c r="K755" s="695"/>
      <c r="L755" s="699"/>
      <c r="M755" s="700"/>
      <c r="N755" s="701"/>
      <c r="O755" s="701"/>
      <c r="P755" s="697"/>
      <c r="Q755" s="701"/>
      <c r="R755" s="701"/>
      <c r="S755" s="680"/>
      <c r="T755" s="680"/>
      <c r="U755" s="680"/>
      <c r="V755" s="680"/>
    </row>
    <row r="756" ht="15.75" customHeight="1">
      <c r="A756" s="695"/>
      <c r="B756" s="696"/>
      <c r="C756" s="696"/>
      <c r="D756" s="696"/>
      <c r="E756" s="697"/>
      <c r="F756" s="698"/>
      <c r="G756" s="698"/>
      <c r="H756" s="698"/>
      <c r="I756" s="697"/>
      <c r="J756" s="699"/>
      <c r="K756" s="695"/>
      <c r="L756" s="699"/>
      <c r="M756" s="700"/>
      <c r="N756" s="701"/>
      <c r="O756" s="701"/>
      <c r="P756" s="697"/>
      <c r="Q756" s="701"/>
      <c r="R756" s="701"/>
      <c r="S756" s="680"/>
      <c r="T756" s="680"/>
      <c r="U756" s="680"/>
      <c r="V756" s="680"/>
    </row>
    <row r="757" ht="15.75" customHeight="1">
      <c r="A757" s="695"/>
      <c r="B757" s="696"/>
      <c r="C757" s="696"/>
      <c r="D757" s="696"/>
      <c r="E757" s="697"/>
      <c r="F757" s="698"/>
      <c r="G757" s="698"/>
      <c r="H757" s="698"/>
      <c r="I757" s="697"/>
      <c r="J757" s="699"/>
      <c r="K757" s="695"/>
      <c r="L757" s="699"/>
      <c r="M757" s="700"/>
      <c r="N757" s="701"/>
      <c r="O757" s="701"/>
      <c r="P757" s="697"/>
      <c r="Q757" s="701"/>
      <c r="R757" s="701"/>
      <c r="S757" s="680"/>
      <c r="T757" s="680"/>
      <c r="U757" s="680"/>
      <c r="V757" s="680"/>
    </row>
    <row r="758" ht="15.75" customHeight="1">
      <c r="A758" s="695"/>
      <c r="B758" s="696"/>
      <c r="C758" s="696"/>
      <c r="D758" s="696"/>
      <c r="E758" s="697"/>
      <c r="F758" s="698"/>
      <c r="G758" s="698"/>
      <c r="H758" s="698"/>
      <c r="I758" s="697"/>
      <c r="J758" s="699"/>
      <c r="K758" s="695"/>
      <c r="L758" s="699"/>
      <c r="M758" s="700"/>
      <c r="N758" s="701"/>
      <c r="O758" s="701"/>
      <c r="P758" s="697"/>
      <c r="Q758" s="701"/>
      <c r="R758" s="701"/>
      <c r="S758" s="680"/>
      <c r="T758" s="680"/>
      <c r="U758" s="680"/>
      <c r="V758" s="680"/>
    </row>
    <row r="759" ht="15.75" customHeight="1">
      <c r="A759" s="695"/>
      <c r="B759" s="696"/>
      <c r="C759" s="696"/>
      <c r="D759" s="696"/>
      <c r="E759" s="697"/>
      <c r="F759" s="698"/>
      <c r="G759" s="698"/>
      <c r="H759" s="698"/>
      <c r="I759" s="697"/>
      <c r="J759" s="699"/>
      <c r="K759" s="695"/>
      <c r="L759" s="699"/>
      <c r="M759" s="700"/>
      <c r="N759" s="701"/>
      <c r="O759" s="701"/>
      <c r="P759" s="697"/>
      <c r="Q759" s="701"/>
      <c r="R759" s="701"/>
      <c r="S759" s="680"/>
      <c r="T759" s="680"/>
      <c r="U759" s="680"/>
      <c r="V759" s="680"/>
    </row>
    <row r="760" ht="15.75" customHeight="1">
      <c r="A760" s="695"/>
      <c r="B760" s="696"/>
      <c r="C760" s="696"/>
      <c r="D760" s="696"/>
      <c r="E760" s="697"/>
      <c r="F760" s="698"/>
      <c r="G760" s="698"/>
      <c r="H760" s="698"/>
      <c r="I760" s="697"/>
      <c r="J760" s="699"/>
      <c r="K760" s="695"/>
      <c r="L760" s="699"/>
      <c r="M760" s="700"/>
      <c r="N760" s="701"/>
      <c r="O760" s="701"/>
      <c r="P760" s="697"/>
      <c r="Q760" s="701"/>
      <c r="R760" s="701"/>
      <c r="S760" s="680"/>
      <c r="T760" s="680"/>
      <c r="U760" s="680"/>
      <c r="V760" s="680"/>
    </row>
    <row r="761" ht="15.75" customHeight="1">
      <c r="A761" s="695"/>
      <c r="B761" s="696"/>
      <c r="C761" s="696"/>
      <c r="D761" s="696"/>
      <c r="E761" s="697"/>
      <c r="F761" s="698"/>
      <c r="G761" s="698"/>
      <c r="H761" s="698"/>
      <c r="I761" s="697"/>
      <c r="J761" s="699"/>
      <c r="K761" s="695"/>
      <c r="L761" s="699"/>
      <c r="M761" s="700"/>
      <c r="N761" s="701"/>
      <c r="O761" s="701"/>
      <c r="P761" s="697"/>
      <c r="Q761" s="701"/>
      <c r="R761" s="701"/>
      <c r="S761" s="680"/>
      <c r="T761" s="680"/>
      <c r="U761" s="680"/>
      <c r="V761" s="680"/>
    </row>
    <row r="762" ht="15.75" customHeight="1">
      <c r="A762" s="695"/>
      <c r="B762" s="696"/>
      <c r="C762" s="696"/>
      <c r="D762" s="696"/>
      <c r="E762" s="697"/>
      <c r="F762" s="698"/>
      <c r="G762" s="698"/>
      <c r="H762" s="698"/>
      <c r="I762" s="697"/>
      <c r="J762" s="699"/>
      <c r="K762" s="695"/>
      <c r="L762" s="699"/>
      <c r="M762" s="700"/>
      <c r="N762" s="701"/>
      <c r="O762" s="701"/>
      <c r="P762" s="697"/>
      <c r="Q762" s="701"/>
      <c r="R762" s="701"/>
      <c r="S762" s="680"/>
      <c r="T762" s="680"/>
      <c r="U762" s="680"/>
      <c r="V762" s="680"/>
    </row>
    <row r="763" ht="15.75" customHeight="1">
      <c r="A763" s="695"/>
      <c r="B763" s="696"/>
      <c r="C763" s="696"/>
      <c r="D763" s="696"/>
      <c r="E763" s="697"/>
      <c r="F763" s="698"/>
      <c r="G763" s="698"/>
      <c r="H763" s="698"/>
      <c r="I763" s="697"/>
      <c r="J763" s="699"/>
      <c r="K763" s="695"/>
      <c r="L763" s="699"/>
      <c r="M763" s="700"/>
      <c r="N763" s="701"/>
      <c r="O763" s="701"/>
      <c r="P763" s="697"/>
      <c r="Q763" s="701"/>
      <c r="R763" s="701"/>
      <c r="S763" s="680"/>
      <c r="T763" s="680"/>
      <c r="U763" s="680"/>
      <c r="V763" s="680"/>
    </row>
    <row r="764" ht="15.75" customHeight="1">
      <c r="A764" s="695"/>
      <c r="B764" s="696"/>
      <c r="C764" s="696"/>
      <c r="D764" s="696"/>
      <c r="E764" s="697"/>
      <c r="F764" s="698"/>
      <c r="G764" s="698"/>
      <c r="H764" s="698"/>
      <c r="I764" s="697"/>
      <c r="J764" s="699"/>
      <c r="K764" s="695"/>
      <c r="L764" s="699"/>
      <c r="M764" s="700"/>
      <c r="N764" s="701"/>
      <c r="O764" s="701"/>
      <c r="P764" s="697"/>
      <c r="Q764" s="701"/>
      <c r="R764" s="701"/>
      <c r="S764" s="680"/>
      <c r="T764" s="680"/>
      <c r="U764" s="680"/>
      <c r="V764" s="680"/>
    </row>
    <row r="765" ht="15.75" customHeight="1">
      <c r="A765" s="695"/>
      <c r="B765" s="696"/>
      <c r="C765" s="696"/>
      <c r="D765" s="696"/>
      <c r="E765" s="697"/>
      <c r="F765" s="698"/>
      <c r="G765" s="698"/>
      <c r="H765" s="698"/>
      <c r="I765" s="697"/>
      <c r="J765" s="699"/>
      <c r="K765" s="695"/>
      <c r="L765" s="699"/>
      <c r="M765" s="700"/>
      <c r="N765" s="701"/>
      <c r="O765" s="701"/>
      <c r="P765" s="697"/>
      <c r="Q765" s="701"/>
      <c r="R765" s="701"/>
      <c r="S765" s="680"/>
      <c r="T765" s="680"/>
      <c r="U765" s="680"/>
      <c r="V765" s="680"/>
    </row>
    <row r="766" ht="15.75" customHeight="1">
      <c r="A766" s="695"/>
      <c r="B766" s="696"/>
      <c r="C766" s="696"/>
      <c r="D766" s="696"/>
      <c r="E766" s="697"/>
      <c r="F766" s="698"/>
      <c r="G766" s="698"/>
      <c r="H766" s="698"/>
      <c r="I766" s="697"/>
      <c r="J766" s="699"/>
      <c r="K766" s="695"/>
      <c r="L766" s="699"/>
      <c r="M766" s="700"/>
      <c r="N766" s="701"/>
      <c r="O766" s="701"/>
      <c r="P766" s="697"/>
      <c r="Q766" s="701"/>
      <c r="R766" s="701"/>
      <c r="S766" s="680"/>
      <c r="T766" s="680"/>
      <c r="U766" s="680"/>
      <c r="V766" s="680"/>
    </row>
    <row r="767" ht="15.75" customHeight="1">
      <c r="A767" s="695"/>
      <c r="B767" s="696"/>
      <c r="C767" s="696"/>
      <c r="D767" s="696"/>
      <c r="E767" s="697"/>
      <c r="F767" s="698"/>
      <c r="G767" s="698"/>
      <c r="H767" s="698"/>
      <c r="I767" s="697"/>
      <c r="J767" s="699"/>
      <c r="K767" s="695"/>
      <c r="L767" s="699"/>
      <c r="M767" s="700"/>
      <c r="N767" s="701"/>
      <c r="O767" s="701"/>
      <c r="P767" s="697"/>
      <c r="Q767" s="701"/>
      <c r="R767" s="701"/>
      <c r="S767" s="680"/>
      <c r="T767" s="680"/>
      <c r="U767" s="680"/>
      <c r="V767" s="680"/>
    </row>
    <row r="768" ht="15.75" customHeight="1">
      <c r="A768" s="695"/>
      <c r="B768" s="696"/>
      <c r="C768" s="696"/>
      <c r="D768" s="696"/>
      <c r="E768" s="697"/>
      <c r="F768" s="698"/>
      <c r="G768" s="698"/>
      <c r="H768" s="698"/>
      <c r="I768" s="697"/>
      <c r="J768" s="699"/>
      <c r="K768" s="695"/>
      <c r="L768" s="699"/>
      <c r="M768" s="700"/>
      <c r="N768" s="701"/>
      <c r="O768" s="701"/>
      <c r="P768" s="697"/>
      <c r="Q768" s="701"/>
      <c r="R768" s="701"/>
      <c r="S768" s="680"/>
      <c r="T768" s="680"/>
      <c r="U768" s="680"/>
      <c r="V768" s="680"/>
    </row>
    <row r="769" ht="15.75" customHeight="1">
      <c r="A769" s="695"/>
      <c r="B769" s="696"/>
      <c r="C769" s="696"/>
      <c r="D769" s="696"/>
      <c r="E769" s="697"/>
      <c r="F769" s="698"/>
      <c r="G769" s="698"/>
      <c r="H769" s="698"/>
      <c r="I769" s="697"/>
      <c r="J769" s="699"/>
      <c r="K769" s="695"/>
      <c r="L769" s="699"/>
      <c r="M769" s="700"/>
      <c r="N769" s="701"/>
      <c r="O769" s="701"/>
      <c r="P769" s="697"/>
      <c r="Q769" s="701"/>
      <c r="R769" s="701"/>
      <c r="S769" s="680"/>
      <c r="T769" s="680"/>
      <c r="U769" s="680"/>
      <c r="V769" s="680"/>
    </row>
    <row r="770" ht="15.75" customHeight="1">
      <c r="A770" s="695"/>
      <c r="B770" s="696"/>
      <c r="C770" s="696"/>
      <c r="D770" s="696"/>
      <c r="E770" s="697"/>
      <c r="F770" s="698"/>
      <c r="G770" s="698"/>
      <c r="H770" s="698"/>
      <c r="I770" s="697"/>
      <c r="J770" s="699"/>
      <c r="K770" s="695"/>
      <c r="L770" s="699"/>
      <c r="M770" s="700"/>
      <c r="N770" s="701"/>
      <c r="O770" s="701"/>
      <c r="P770" s="697"/>
      <c r="Q770" s="701"/>
      <c r="R770" s="701"/>
      <c r="S770" s="680"/>
      <c r="T770" s="680"/>
      <c r="U770" s="680"/>
      <c r="V770" s="680"/>
    </row>
    <row r="771" ht="15.75" customHeight="1">
      <c r="A771" s="695"/>
      <c r="B771" s="696"/>
      <c r="C771" s="696"/>
      <c r="D771" s="696"/>
      <c r="E771" s="697"/>
      <c r="F771" s="698"/>
      <c r="G771" s="698"/>
      <c r="H771" s="698"/>
      <c r="I771" s="697"/>
      <c r="J771" s="699"/>
      <c r="K771" s="695"/>
      <c r="L771" s="699"/>
      <c r="M771" s="700"/>
      <c r="N771" s="701"/>
      <c r="O771" s="701"/>
      <c r="P771" s="697"/>
      <c r="Q771" s="701"/>
      <c r="R771" s="701"/>
      <c r="S771" s="680"/>
      <c r="T771" s="680"/>
      <c r="U771" s="680"/>
      <c r="V771" s="680"/>
    </row>
    <row r="772" ht="15.75" customHeight="1">
      <c r="A772" s="695"/>
      <c r="B772" s="696"/>
      <c r="C772" s="696"/>
      <c r="D772" s="696"/>
      <c r="E772" s="697"/>
      <c r="F772" s="698"/>
      <c r="G772" s="698"/>
      <c r="H772" s="698"/>
      <c r="I772" s="697"/>
      <c r="J772" s="699"/>
      <c r="K772" s="695"/>
      <c r="L772" s="699"/>
      <c r="M772" s="700"/>
      <c r="N772" s="701"/>
      <c r="O772" s="701"/>
      <c r="P772" s="697"/>
      <c r="Q772" s="701"/>
      <c r="R772" s="701"/>
      <c r="S772" s="680"/>
      <c r="T772" s="680"/>
      <c r="U772" s="680"/>
      <c r="V772" s="680"/>
    </row>
    <row r="773" ht="15.75" customHeight="1">
      <c r="A773" s="695"/>
      <c r="B773" s="696"/>
      <c r="C773" s="696"/>
      <c r="D773" s="696"/>
      <c r="E773" s="697"/>
      <c r="F773" s="698"/>
      <c r="G773" s="698"/>
      <c r="H773" s="698"/>
      <c r="I773" s="697"/>
      <c r="J773" s="699"/>
      <c r="K773" s="695"/>
      <c r="L773" s="699"/>
      <c r="M773" s="700"/>
      <c r="N773" s="701"/>
      <c r="O773" s="701"/>
      <c r="P773" s="697"/>
      <c r="Q773" s="701"/>
      <c r="R773" s="701"/>
      <c r="S773" s="680"/>
      <c r="T773" s="680"/>
      <c r="U773" s="680"/>
      <c r="V773" s="680"/>
    </row>
    <row r="774" ht="15.75" customHeight="1">
      <c r="A774" s="695"/>
      <c r="B774" s="696"/>
      <c r="C774" s="696"/>
      <c r="D774" s="696"/>
      <c r="E774" s="697"/>
      <c r="F774" s="698"/>
      <c r="G774" s="698"/>
      <c r="H774" s="698"/>
      <c r="I774" s="697"/>
      <c r="J774" s="699"/>
      <c r="K774" s="695"/>
      <c r="L774" s="699"/>
      <c r="M774" s="700"/>
      <c r="N774" s="701"/>
      <c r="O774" s="701"/>
      <c r="P774" s="697"/>
      <c r="Q774" s="701"/>
      <c r="R774" s="701"/>
      <c r="S774" s="680"/>
      <c r="T774" s="680"/>
      <c r="U774" s="680"/>
      <c r="V774" s="680"/>
    </row>
    <row r="775" ht="15.75" customHeight="1">
      <c r="A775" s="695"/>
      <c r="B775" s="696"/>
      <c r="C775" s="696"/>
      <c r="D775" s="696"/>
      <c r="E775" s="697"/>
      <c r="F775" s="698"/>
      <c r="G775" s="698"/>
      <c r="H775" s="698"/>
      <c r="I775" s="697"/>
      <c r="J775" s="699"/>
      <c r="K775" s="695"/>
      <c r="L775" s="699"/>
      <c r="M775" s="700"/>
      <c r="N775" s="701"/>
      <c r="O775" s="701"/>
      <c r="P775" s="697"/>
      <c r="Q775" s="701"/>
      <c r="R775" s="701"/>
      <c r="S775" s="680"/>
      <c r="T775" s="680"/>
      <c r="U775" s="680"/>
      <c r="V775" s="680"/>
    </row>
    <row r="776" ht="15.75" customHeight="1">
      <c r="A776" s="695"/>
      <c r="B776" s="696"/>
      <c r="C776" s="696"/>
      <c r="D776" s="696"/>
      <c r="E776" s="697"/>
      <c r="F776" s="698"/>
      <c r="G776" s="698"/>
      <c r="H776" s="698"/>
      <c r="I776" s="697"/>
      <c r="J776" s="699"/>
      <c r="K776" s="695"/>
      <c r="L776" s="699"/>
      <c r="M776" s="700"/>
      <c r="N776" s="701"/>
      <c r="O776" s="701"/>
      <c r="P776" s="697"/>
      <c r="Q776" s="701"/>
      <c r="R776" s="701"/>
      <c r="S776" s="680"/>
      <c r="T776" s="680"/>
      <c r="U776" s="680"/>
      <c r="V776" s="680"/>
    </row>
    <row r="777" ht="15.75" customHeight="1">
      <c r="A777" s="695"/>
      <c r="B777" s="696"/>
      <c r="C777" s="696"/>
      <c r="D777" s="696"/>
      <c r="E777" s="697"/>
      <c r="F777" s="698"/>
      <c r="G777" s="698"/>
      <c r="H777" s="698"/>
      <c r="I777" s="697"/>
      <c r="J777" s="699"/>
      <c r="K777" s="695"/>
      <c r="L777" s="699"/>
      <c r="M777" s="700"/>
      <c r="N777" s="701"/>
      <c r="O777" s="701"/>
      <c r="P777" s="697"/>
      <c r="Q777" s="701"/>
      <c r="R777" s="701"/>
      <c r="S777" s="680"/>
      <c r="T777" s="680"/>
      <c r="U777" s="680"/>
      <c r="V777" s="680"/>
    </row>
    <row r="778" ht="15.75" customHeight="1">
      <c r="A778" s="695"/>
      <c r="B778" s="696"/>
      <c r="C778" s="696"/>
      <c r="D778" s="696"/>
      <c r="E778" s="697"/>
      <c r="F778" s="698"/>
      <c r="G778" s="698"/>
      <c r="H778" s="698"/>
      <c r="I778" s="697"/>
      <c r="J778" s="699"/>
      <c r="K778" s="695"/>
      <c r="L778" s="699"/>
      <c r="M778" s="700"/>
      <c r="N778" s="701"/>
      <c r="O778" s="701"/>
      <c r="P778" s="697"/>
      <c r="Q778" s="701"/>
      <c r="R778" s="701"/>
      <c r="S778" s="680"/>
      <c r="T778" s="680"/>
      <c r="U778" s="680"/>
      <c r="V778" s="680"/>
    </row>
    <row r="779" ht="15.75" customHeight="1">
      <c r="A779" s="695"/>
      <c r="B779" s="696"/>
      <c r="C779" s="696"/>
      <c r="D779" s="696"/>
      <c r="E779" s="697"/>
      <c r="F779" s="698"/>
      <c r="G779" s="698"/>
      <c r="H779" s="698"/>
      <c r="I779" s="697"/>
      <c r="J779" s="699"/>
      <c r="K779" s="695"/>
      <c r="L779" s="699"/>
      <c r="M779" s="700"/>
      <c r="N779" s="701"/>
      <c r="O779" s="701"/>
      <c r="P779" s="697"/>
      <c r="Q779" s="701"/>
      <c r="R779" s="701"/>
      <c r="S779" s="680"/>
      <c r="T779" s="680"/>
      <c r="U779" s="680"/>
      <c r="V779" s="680"/>
    </row>
    <row r="780" ht="15.75" customHeight="1">
      <c r="A780" s="695"/>
      <c r="B780" s="696"/>
      <c r="C780" s="696"/>
      <c r="D780" s="696"/>
      <c r="E780" s="697"/>
      <c r="F780" s="698"/>
      <c r="G780" s="698"/>
      <c r="H780" s="698"/>
      <c r="I780" s="697"/>
      <c r="J780" s="699"/>
      <c r="K780" s="695"/>
      <c r="L780" s="699"/>
      <c r="M780" s="700"/>
      <c r="N780" s="701"/>
      <c r="O780" s="701"/>
      <c r="P780" s="697"/>
      <c r="Q780" s="701"/>
      <c r="R780" s="701"/>
      <c r="S780" s="680"/>
      <c r="T780" s="680"/>
      <c r="U780" s="680"/>
      <c r="V780" s="680"/>
    </row>
    <row r="781" ht="15.75" customHeight="1">
      <c r="A781" s="695"/>
      <c r="B781" s="696"/>
      <c r="C781" s="696"/>
      <c r="D781" s="696"/>
      <c r="E781" s="697"/>
      <c r="F781" s="698"/>
      <c r="G781" s="698"/>
      <c r="H781" s="698"/>
      <c r="I781" s="697"/>
      <c r="J781" s="699"/>
      <c r="K781" s="695"/>
      <c r="L781" s="699"/>
      <c r="M781" s="700"/>
      <c r="N781" s="701"/>
      <c r="O781" s="701"/>
      <c r="P781" s="697"/>
      <c r="Q781" s="701"/>
      <c r="R781" s="701"/>
      <c r="S781" s="680"/>
      <c r="T781" s="680"/>
      <c r="U781" s="680"/>
      <c r="V781" s="680"/>
    </row>
    <row r="782" ht="15.75" customHeight="1">
      <c r="A782" s="695"/>
      <c r="B782" s="696"/>
      <c r="C782" s="696"/>
      <c r="D782" s="696"/>
      <c r="E782" s="697"/>
      <c r="F782" s="698"/>
      <c r="G782" s="698"/>
      <c r="H782" s="698"/>
      <c r="I782" s="697"/>
      <c r="J782" s="699"/>
      <c r="K782" s="695"/>
      <c r="L782" s="699"/>
      <c r="M782" s="700"/>
      <c r="N782" s="701"/>
      <c r="O782" s="701"/>
      <c r="P782" s="697"/>
      <c r="Q782" s="701"/>
      <c r="R782" s="701"/>
      <c r="S782" s="680"/>
      <c r="T782" s="680"/>
      <c r="U782" s="680"/>
      <c r="V782" s="680"/>
    </row>
    <row r="783" ht="15.75" customHeight="1">
      <c r="A783" s="695"/>
      <c r="B783" s="696"/>
      <c r="C783" s="696"/>
      <c r="D783" s="696"/>
      <c r="E783" s="697"/>
      <c r="F783" s="698"/>
      <c r="G783" s="698"/>
      <c r="H783" s="698"/>
      <c r="I783" s="697"/>
      <c r="J783" s="699"/>
      <c r="K783" s="695"/>
      <c r="L783" s="699"/>
      <c r="M783" s="700"/>
      <c r="N783" s="701"/>
      <c r="O783" s="701"/>
      <c r="P783" s="697"/>
      <c r="Q783" s="701"/>
      <c r="R783" s="701"/>
      <c r="S783" s="680"/>
      <c r="T783" s="680"/>
      <c r="U783" s="680"/>
      <c r="V783" s="680"/>
    </row>
    <row r="784" ht="15.75" customHeight="1">
      <c r="A784" s="695"/>
      <c r="B784" s="696"/>
      <c r="C784" s="696"/>
      <c r="D784" s="696"/>
      <c r="E784" s="697"/>
      <c r="F784" s="698"/>
      <c r="G784" s="698"/>
      <c r="H784" s="698"/>
      <c r="I784" s="697"/>
      <c r="J784" s="699"/>
      <c r="K784" s="695"/>
      <c r="L784" s="699"/>
      <c r="M784" s="700"/>
      <c r="N784" s="701"/>
      <c r="O784" s="701"/>
      <c r="P784" s="697"/>
      <c r="Q784" s="701"/>
      <c r="R784" s="701"/>
      <c r="S784" s="680"/>
      <c r="T784" s="680"/>
      <c r="U784" s="680"/>
      <c r="V784" s="680"/>
    </row>
    <row r="785" ht="15.75" customHeight="1">
      <c r="A785" s="695"/>
      <c r="B785" s="696"/>
      <c r="C785" s="696"/>
      <c r="D785" s="696"/>
      <c r="E785" s="697"/>
      <c r="F785" s="698"/>
      <c r="G785" s="698"/>
      <c r="H785" s="698"/>
      <c r="I785" s="697"/>
      <c r="J785" s="699"/>
      <c r="K785" s="695"/>
      <c r="L785" s="699"/>
      <c r="M785" s="700"/>
      <c r="N785" s="701"/>
      <c r="O785" s="701"/>
      <c r="P785" s="697"/>
      <c r="Q785" s="701"/>
      <c r="R785" s="701"/>
      <c r="S785" s="680"/>
      <c r="T785" s="680"/>
      <c r="U785" s="680"/>
      <c r="V785" s="680"/>
    </row>
    <row r="786" ht="15.75" customHeight="1">
      <c r="A786" s="695"/>
      <c r="B786" s="696"/>
      <c r="C786" s="696"/>
      <c r="D786" s="696"/>
      <c r="E786" s="697"/>
      <c r="F786" s="698"/>
      <c r="G786" s="698"/>
      <c r="H786" s="698"/>
      <c r="I786" s="697"/>
      <c r="J786" s="699"/>
      <c r="K786" s="695"/>
      <c r="L786" s="699"/>
      <c r="M786" s="700"/>
      <c r="N786" s="701"/>
      <c r="O786" s="701"/>
      <c r="P786" s="697"/>
      <c r="Q786" s="701"/>
      <c r="R786" s="701"/>
      <c r="S786" s="680"/>
      <c r="T786" s="680"/>
      <c r="U786" s="680"/>
      <c r="V786" s="680"/>
    </row>
    <row r="787" ht="15.75" customHeight="1">
      <c r="A787" s="695"/>
      <c r="B787" s="696"/>
      <c r="C787" s="696"/>
      <c r="D787" s="696"/>
      <c r="E787" s="697"/>
      <c r="F787" s="698"/>
      <c r="G787" s="698"/>
      <c r="H787" s="698"/>
      <c r="I787" s="697"/>
      <c r="J787" s="699"/>
      <c r="K787" s="695"/>
      <c r="L787" s="699"/>
      <c r="M787" s="700"/>
      <c r="N787" s="701"/>
      <c r="O787" s="701"/>
      <c r="P787" s="697"/>
      <c r="Q787" s="701"/>
      <c r="R787" s="701"/>
      <c r="S787" s="680"/>
      <c r="T787" s="680"/>
      <c r="U787" s="680"/>
      <c r="V787" s="680"/>
    </row>
    <row r="788" ht="15.75" customHeight="1">
      <c r="A788" s="695"/>
      <c r="B788" s="696"/>
      <c r="C788" s="696"/>
      <c r="D788" s="696"/>
      <c r="E788" s="697"/>
      <c r="F788" s="698"/>
      <c r="G788" s="698"/>
      <c r="H788" s="698"/>
      <c r="I788" s="697"/>
      <c r="J788" s="699"/>
      <c r="K788" s="695"/>
      <c r="L788" s="699"/>
      <c r="M788" s="700"/>
      <c r="N788" s="701"/>
      <c r="O788" s="701"/>
      <c r="P788" s="697"/>
      <c r="Q788" s="701"/>
      <c r="R788" s="701"/>
      <c r="S788" s="680"/>
      <c r="T788" s="680"/>
      <c r="U788" s="680"/>
      <c r="V788" s="680"/>
    </row>
    <row r="789" ht="15.75" customHeight="1">
      <c r="A789" s="695"/>
      <c r="B789" s="696"/>
      <c r="C789" s="696"/>
      <c r="D789" s="696"/>
      <c r="E789" s="697"/>
      <c r="F789" s="698"/>
      <c r="G789" s="698"/>
      <c r="H789" s="698"/>
      <c r="I789" s="697"/>
      <c r="J789" s="699"/>
      <c r="K789" s="695"/>
      <c r="L789" s="699"/>
      <c r="M789" s="700"/>
      <c r="N789" s="701"/>
      <c r="O789" s="701"/>
      <c r="P789" s="697"/>
      <c r="Q789" s="701"/>
      <c r="R789" s="701"/>
      <c r="S789" s="680"/>
      <c r="T789" s="680"/>
      <c r="U789" s="680"/>
      <c r="V789" s="680"/>
    </row>
    <row r="790" ht="15.75" customHeight="1">
      <c r="A790" s="695"/>
      <c r="B790" s="696"/>
      <c r="C790" s="696"/>
      <c r="D790" s="696"/>
      <c r="E790" s="697"/>
      <c r="F790" s="698"/>
      <c r="G790" s="698"/>
      <c r="H790" s="698"/>
      <c r="I790" s="697"/>
      <c r="J790" s="699"/>
      <c r="K790" s="695"/>
      <c r="L790" s="699"/>
      <c r="M790" s="700"/>
      <c r="N790" s="701"/>
      <c r="O790" s="701"/>
      <c r="P790" s="697"/>
      <c r="Q790" s="701"/>
      <c r="R790" s="701"/>
      <c r="S790" s="680"/>
      <c r="T790" s="680"/>
      <c r="U790" s="680"/>
      <c r="V790" s="680"/>
    </row>
    <row r="791" ht="15.75" customHeight="1">
      <c r="A791" s="695"/>
      <c r="B791" s="696"/>
      <c r="C791" s="696"/>
      <c r="D791" s="696"/>
      <c r="E791" s="697"/>
      <c r="F791" s="698"/>
      <c r="G791" s="698"/>
      <c r="H791" s="698"/>
      <c r="I791" s="697"/>
      <c r="J791" s="699"/>
      <c r="K791" s="695"/>
      <c r="L791" s="699"/>
      <c r="M791" s="700"/>
      <c r="N791" s="701"/>
      <c r="O791" s="701"/>
      <c r="P791" s="697"/>
      <c r="Q791" s="701"/>
      <c r="R791" s="701"/>
      <c r="S791" s="680"/>
      <c r="T791" s="680"/>
      <c r="U791" s="680"/>
      <c r="V791" s="680"/>
    </row>
    <row r="792" ht="15.75" customHeight="1">
      <c r="A792" s="695"/>
      <c r="B792" s="696"/>
      <c r="C792" s="696"/>
      <c r="D792" s="696"/>
      <c r="E792" s="697"/>
      <c r="F792" s="698"/>
      <c r="G792" s="698"/>
      <c r="H792" s="698"/>
      <c r="I792" s="697"/>
      <c r="J792" s="699"/>
      <c r="K792" s="695"/>
      <c r="L792" s="699"/>
      <c r="M792" s="700"/>
      <c r="N792" s="701"/>
      <c r="O792" s="701"/>
      <c r="P792" s="697"/>
      <c r="Q792" s="701"/>
      <c r="R792" s="701"/>
      <c r="S792" s="680"/>
      <c r="T792" s="680"/>
      <c r="U792" s="680"/>
      <c r="V792" s="680"/>
    </row>
    <row r="793" ht="15.75" customHeight="1">
      <c r="A793" s="695"/>
      <c r="B793" s="696"/>
      <c r="C793" s="696"/>
      <c r="D793" s="696"/>
      <c r="E793" s="697"/>
      <c r="F793" s="698"/>
      <c r="G793" s="698"/>
      <c r="H793" s="698"/>
      <c r="I793" s="697"/>
      <c r="J793" s="699"/>
      <c r="K793" s="695"/>
      <c r="L793" s="699"/>
      <c r="M793" s="700"/>
      <c r="N793" s="701"/>
      <c r="O793" s="701"/>
      <c r="P793" s="697"/>
      <c r="Q793" s="701"/>
      <c r="R793" s="701"/>
      <c r="S793" s="680"/>
      <c r="T793" s="680"/>
      <c r="U793" s="680"/>
      <c r="V793" s="680"/>
    </row>
    <row r="794" ht="15.75" customHeight="1">
      <c r="A794" s="695"/>
      <c r="B794" s="696"/>
      <c r="C794" s="696"/>
      <c r="D794" s="696"/>
      <c r="E794" s="697"/>
      <c r="F794" s="698"/>
      <c r="G794" s="698"/>
      <c r="H794" s="698"/>
      <c r="I794" s="697"/>
      <c r="J794" s="699"/>
      <c r="K794" s="695"/>
      <c r="L794" s="699"/>
      <c r="M794" s="700"/>
      <c r="N794" s="701"/>
      <c r="O794" s="701"/>
      <c r="P794" s="697"/>
      <c r="Q794" s="701"/>
      <c r="R794" s="701"/>
      <c r="S794" s="680"/>
      <c r="T794" s="680"/>
      <c r="U794" s="680"/>
      <c r="V794" s="680"/>
    </row>
    <row r="795" ht="15.75" customHeight="1">
      <c r="A795" s="695"/>
      <c r="B795" s="696"/>
      <c r="C795" s="696"/>
      <c r="D795" s="696"/>
      <c r="E795" s="697"/>
      <c r="F795" s="698"/>
      <c r="G795" s="698"/>
      <c r="H795" s="698"/>
      <c r="I795" s="697"/>
      <c r="J795" s="699"/>
      <c r="K795" s="695"/>
      <c r="L795" s="699"/>
      <c r="M795" s="700"/>
      <c r="N795" s="701"/>
      <c r="O795" s="701"/>
      <c r="P795" s="697"/>
      <c r="Q795" s="701"/>
      <c r="R795" s="701"/>
      <c r="S795" s="680"/>
      <c r="T795" s="680"/>
      <c r="U795" s="680"/>
      <c r="V795" s="680"/>
    </row>
    <row r="796" ht="15.75" customHeight="1">
      <c r="A796" s="695"/>
      <c r="B796" s="696"/>
      <c r="C796" s="696"/>
      <c r="D796" s="696"/>
      <c r="E796" s="697"/>
      <c r="F796" s="698"/>
      <c r="G796" s="698"/>
      <c r="H796" s="698"/>
      <c r="I796" s="697"/>
      <c r="J796" s="699"/>
      <c r="K796" s="695"/>
      <c r="L796" s="699"/>
      <c r="M796" s="700"/>
      <c r="N796" s="701"/>
      <c r="O796" s="701"/>
      <c r="P796" s="697"/>
      <c r="Q796" s="701"/>
      <c r="R796" s="701"/>
      <c r="S796" s="680"/>
      <c r="T796" s="680"/>
      <c r="U796" s="680"/>
      <c r="V796" s="680"/>
    </row>
    <row r="797" ht="15.75" customHeight="1">
      <c r="A797" s="695"/>
      <c r="B797" s="696"/>
      <c r="C797" s="696"/>
      <c r="D797" s="696"/>
      <c r="E797" s="697"/>
      <c r="F797" s="698"/>
      <c r="G797" s="698"/>
      <c r="H797" s="698"/>
      <c r="I797" s="697"/>
      <c r="J797" s="699"/>
      <c r="K797" s="695"/>
      <c r="L797" s="699"/>
      <c r="M797" s="700"/>
      <c r="N797" s="701"/>
      <c r="O797" s="701"/>
      <c r="P797" s="697"/>
      <c r="Q797" s="701"/>
      <c r="R797" s="701"/>
      <c r="S797" s="680"/>
      <c r="T797" s="680"/>
      <c r="U797" s="680"/>
      <c r="V797" s="680"/>
    </row>
    <row r="798" ht="15.75" customHeight="1">
      <c r="A798" s="695"/>
      <c r="B798" s="696"/>
      <c r="C798" s="696"/>
      <c r="D798" s="696"/>
      <c r="E798" s="697"/>
      <c r="F798" s="698"/>
      <c r="G798" s="698"/>
      <c r="H798" s="698"/>
      <c r="I798" s="697"/>
      <c r="J798" s="699"/>
      <c r="K798" s="695"/>
      <c r="L798" s="699"/>
      <c r="M798" s="700"/>
      <c r="N798" s="701"/>
      <c r="O798" s="701"/>
      <c r="P798" s="697"/>
      <c r="Q798" s="701"/>
      <c r="R798" s="701"/>
      <c r="S798" s="680"/>
      <c r="T798" s="680"/>
      <c r="U798" s="680"/>
      <c r="V798" s="680"/>
    </row>
    <row r="799" ht="15.75" customHeight="1">
      <c r="A799" s="695"/>
      <c r="B799" s="696"/>
      <c r="C799" s="696"/>
      <c r="D799" s="696"/>
      <c r="E799" s="697"/>
      <c r="F799" s="698"/>
      <c r="G799" s="698"/>
      <c r="H799" s="698"/>
      <c r="I799" s="697"/>
      <c r="J799" s="699"/>
      <c r="K799" s="695"/>
      <c r="L799" s="699"/>
      <c r="M799" s="700"/>
      <c r="N799" s="701"/>
      <c r="O799" s="701"/>
      <c r="P799" s="697"/>
      <c r="Q799" s="701"/>
      <c r="R799" s="701"/>
      <c r="S799" s="680"/>
      <c r="T799" s="680"/>
      <c r="U799" s="680"/>
      <c r="V799" s="680"/>
    </row>
    <row r="800" ht="15.75" customHeight="1">
      <c r="A800" s="695"/>
      <c r="B800" s="696"/>
      <c r="C800" s="696"/>
      <c r="D800" s="696"/>
      <c r="E800" s="697"/>
      <c r="F800" s="698"/>
      <c r="G800" s="698"/>
      <c r="H800" s="698"/>
      <c r="I800" s="697"/>
      <c r="J800" s="699"/>
      <c r="K800" s="695"/>
      <c r="L800" s="699"/>
      <c r="M800" s="700"/>
      <c r="N800" s="701"/>
      <c r="O800" s="701"/>
      <c r="P800" s="697"/>
      <c r="Q800" s="701"/>
      <c r="R800" s="701"/>
      <c r="S800" s="680"/>
      <c r="T800" s="680"/>
      <c r="U800" s="680"/>
      <c r="V800" s="680"/>
    </row>
    <row r="801" ht="15.75" customHeight="1">
      <c r="A801" s="695"/>
      <c r="B801" s="696"/>
      <c r="C801" s="696"/>
      <c r="D801" s="696"/>
      <c r="E801" s="697"/>
      <c r="F801" s="698"/>
      <c r="G801" s="698"/>
      <c r="H801" s="698"/>
      <c r="I801" s="697"/>
      <c r="J801" s="699"/>
      <c r="K801" s="695"/>
      <c r="L801" s="699"/>
      <c r="M801" s="700"/>
      <c r="N801" s="701"/>
      <c r="O801" s="701"/>
      <c r="P801" s="697"/>
      <c r="Q801" s="701"/>
      <c r="R801" s="701"/>
      <c r="S801" s="680"/>
      <c r="T801" s="680"/>
      <c r="U801" s="680"/>
      <c r="V801" s="680"/>
    </row>
    <row r="802" ht="15.75" customHeight="1">
      <c r="A802" s="695"/>
      <c r="B802" s="696"/>
      <c r="C802" s="696"/>
      <c r="D802" s="696"/>
      <c r="E802" s="697"/>
      <c r="F802" s="698"/>
      <c r="G802" s="698"/>
      <c r="H802" s="698"/>
      <c r="I802" s="697"/>
      <c r="J802" s="699"/>
      <c r="K802" s="695"/>
      <c r="L802" s="699"/>
      <c r="M802" s="700"/>
      <c r="N802" s="701"/>
      <c r="O802" s="701"/>
      <c r="P802" s="697"/>
      <c r="Q802" s="701"/>
      <c r="R802" s="701"/>
      <c r="S802" s="680"/>
      <c r="T802" s="680"/>
      <c r="U802" s="680"/>
      <c r="V802" s="680"/>
    </row>
    <row r="803" ht="15.75" customHeight="1">
      <c r="A803" s="695"/>
      <c r="B803" s="696"/>
      <c r="C803" s="696"/>
      <c r="D803" s="696"/>
      <c r="E803" s="697"/>
      <c r="F803" s="698"/>
      <c r="G803" s="698"/>
      <c r="H803" s="698"/>
      <c r="I803" s="697"/>
      <c r="J803" s="699"/>
      <c r="K803" s="695"/>
      <c r="L803" s="699"/>
      <c r="M803" s="700"/>
      <c r="N803" s="701"/>
      <c r="O803" s="701"/>
      <c r="P803" s="697"/>
      <c r="Q803" s="701"/>
      <c r="R803" s="701"/>
      <c r="S803" s="680"/>
      <c r="T803" s="680"/>
      <c r="U803" s="680"/>
      <c r="V803" s="680"/>
    </row>
    <row r="804" ht="15.75" customHeight="1">
      <c r="A804" s="695"/>
      <c r="B804" s="696"/>
      <c r="C804" s="696"/>
      <c r="D804" s="696"/>
      <c r="E804" s="697"/>
      <c r="F804" s="698"/>
      <c r="G804" s="698"/>
      <c r="H804" s="698"/>
      <c r="I804" s="697"/>
      <c r="J804" s="699"/>
      <c r="K804" s="695"/>
      <c r="L804" s="699"/>
      <c r="M804" s="700"/>
      <c r="N804" s="701"/>
      <c r="O804" s="701"/>
      <c r="P804" s="697"/>
      <c r="Q804" s="701"/>
      <c r="R804" s="701"/>
      <c r="S804" s="680"/>
      <c r="T804" s="680"/>
      <c r="U804" s="680"/>
      <c r="V804" s="680"/>
    </row>
    <row r="805" ht="15.75" customHeight="1">
      <c r="A805" s="695"/>
      <c r="B805" s="696"/>
      <c r="C805" s="696"/>
      <c r="D805" s="696"/>
      <c r="E805" s="697"/>
      <c r="F805" s="698"/>
      <c r="G805" s="698"/>
      <c r="H805" s="698"/>
      <c r="I805" s="697"/>
      <c r="J805" s="699"/>
      <c r="K805" s="695"/>
      <c r="L805" s="699"/>
      <c r="M805" s="700"/>
      <c r="N805" s="701"/>
      <c r="O805" s="701"/>
      <c r="P805" s="697"/>
      <c r="Q805" s="701"/>
      <c r="R805" s="701"/>
      <c r="S805" s="680"/>
      <c r="T805" s="680"/>
      <c r="U805" s="680"/>
      <c r="V805" s="680"/>
    </row>
    <row r="806" ht="15.75" customHeight="1">
      <c r="A806" s="695"/>
      <c r="B806" s="696"/>
      <c r="C806" s="696"/>
      <c r="D806" s="696"/>
      <c r="E806" s="697"/>
      <c r="F806" s="698"/>
      <c r="G806" s="698"/>
      <c r="H806" s="698"/>
      <c r="I806" s="697"/>
      <c r="J806" s="699"/>
      <c r="K806" s="695"/>
      <c r="L806" s="699"/>
      <c r="M806" s="700"/>
      <c r="N806" s="701"/>
      <c r="O806" s="701"/>
      <c r="P806" s="697"/>
      <c r="Q806" s="701"/>
      <c r="R806" s="701"/>
      <c r="S806" s="680"/>
      <c r="T806" s="680"/>
      <c r="U806" s="680"/>
      <c r="V806" s="680"/>
    </row>
    <row r="807" ht="15.75" customHeight="1">
      <c r="A807" s="695"/>
      <c r="B807" s="696"/>
      <c r="C807" s="696"/>
      <c r="D807" s="696"/>
      <c r="E807" s="697"/>
      <c r="F807" s="698"/>
      <c r="G807" s="698"/>
      <c r="H807" s="698"/>
      <c r="I807" s="697"/>
      <c r="J807" s="699"/>
      <c r="K807" s="695"/>
      <c r="L807" s="699"/>
      <c r="M807" s="700"/>
      <c r="N807" s="701"/>
      <c r="O807" s="701"/>
      <c r="P807" s="697"/>
      <c r="Q807" s="701"/>
      <c r="R807" s="701"/>
      <c r="S807" s="680"/>
      <c r="T807" s="680"/>
      <c r="U807" s="680"/>
      <c r="V807" s="680"/>
    </row>
    <row r="808" ht="15.75" customHeight="1">
      <c r="A808" s="695"/>
      <c r="B808" s="696"/>
      <c r="C808" s="696"/>
      <c r="D808" s="696"/>
      <c r="E808" s="697"/>
      <c r="F808" s="698"/>
      <c r="G808" s="698"/>
      <c r="H808" s="698"/>
      <c r="I808" s="697"/>
      <c r="J808" s="699"/>
      <c r="K808" s="695"/>
      <c r="L808" s="699"/>
      <c r="M808" s="700"/>
      <c r="N808" s="701"/>
      <c r="O808" s="701"/>
      <c r="P808" s="697"/>
      <c r="Q808" s="701"/>
      <c r="R808" s="701"/>
      <c r="S808" s="680"/>
      <c r="T808" s="680"/>
      <c r="U808" s="680"/>
      <c r="V808" s="680"/>
    </row>
    <row r="809" ht="15.75" customHeight="1">
      <c r="A809" s="695"/>
      <c r="B809" s="696"/>
      <c r="C809" s="696"/>
      <c r="D809" s="696"/>
      <c r="E809" s="697"/>
      <c r="F809" s="698"/>
      <c r="G809" s="698"/>
      <c r="H809" s="698"/>
      <c r="I809" s="697"/>
      <c r="J809" s="699"/>
      <c r="K809" s="695"/>
      <c r="L809" s="699"/>
      <c r="M809" s="700"/>
      <c r="N809" s="701"/>
      <c r="O809" s="701"/>
      <c r="P809" s="697"/>
      <c r="Q809" s="701"/>
      <c r="R809" s="701"/>
      <c r="S809" s="680"/>
      <c r="T809" s="680"/>
      <c r="U809" s="680"/>
      <c r="V809" s="680"/>
    </row>
    <row r="810" ht="15.75" customHeight="1">
      <c r="A810" s="695"/>
      <c r="B810" s="696"/>
      <c r="C810" s="696"/>
      <c r="D810" s="696"/>
      <c r="E810" s="697"/>
      <c r="F810" s="698"/>
      <c r="G810" s="698"/>
      <c r="H810" s="698"/>
      <c r="I810" s="697"/>
      <c r="J810" s="699"/>
      <c r="K810" s="695"/>
      <c r="L810" s="699"/>
      <c r="M810" s="700"/>
      <c r="N810" s="701"/>
      <c r="O810" s="701"/>
      <c r="P810" s="697"/>
      <c r="Q810" s="701"/>
      <c r="R810" s="701"/>
      <c r="S810" s="680"/>
      <c r="T810" s="680"/>
      <c r="U810" s="680"/>
      <c r="V810" s="680"/>
    </row>
    <row r="811" ht="15.75" customHeight="1">
      <c r="A811" s="695"/>
      <c r="B811" s="696"/>
      <c r="C811" s="696"/>
      <c r="D811" s="696"/>
      <c r="E811" s="697"/>
      <c r="F811" s="698"/>
      <c r="G811" s="698"/>
      <c r="H811" s="698"/>
      <c r="I811" s="697"/>
      <c r="J811" s="699"/>
      <c r="K811" s="695"/>
      <c r="L811" s="699"/>
      <c r="M811" s="700"/>
      <c r="N811" s="701"/>
      <c r="O811" s="701"/>
      <c r="P811" s="697"/>
      <c r="Q811" s="701"/>
      <c r="R811" s="701"/>
      <c r="S811" s="680"/>
      <c r="T811" s="680"/>
      <c r="U811" s="680"/>
      <c r="V811" s="680"/>
    </row>
    <row r="812" ht="15.75" customHeight="1">
      <c r="A812" s="695"/>
      <c r="B812" s="696"/>
      <c r="C812" s="696"/>
      <c r="D812" s="696"/>
      <c r="E812" s="697"/>
      <c r="F812" s="698"/>
      <c r="G812" s="698"/>
      <c r="H812" s="698"/>
      <c r="I812" s="697"/>
      <c r="J812" s="699"/>
      <c r="K812" s="695"/>
      <c r="L812" s="699"/>
      <c r="M812" s="700"/>
      <c r="N812" s="701"/>
      <c r="O812" s="701"/>
      <c r="P812" s="697"/>
      <c r="Q812" s="701"/>
      <c r="R812" s="701"/>
      <c r="S812" s="680"/>
      <c r="T812" s="680"/>
      <c r="U812" s="680"/>
      <c r="V812" s="680"/>
    </row>
    <row r="813" ht="15.75" customHeight="1">
      <c r="A813" s="695"/>
      <c r="B813" s="696"/>
      <c r="C813" s="696"/>
      <c r="D813" s="696"/>
      <c r="E813" s="697"/>
      <c r="F813" s="698"/>
      <c r="G813" s="698"/>
      <c r="H813" s="698"/>
      <c r="I813" s="697"/>
      <c r="J813" s="699"/>
      <c r="K813" s="695"/>
      <c r="L813" s="699"/>
      <c r="M813" s="700"/>
      <c r="N813" s="701"/>
      <c r="O813" s="701"/>
      <c r="P813" s="697"/>
      <c r="Q813" s="701"/>
      <c r="R813" s="701"/>
      <c r="S813" s="680"/>
      <c r="T813" s="680"/>
      <c r="U813" s="680"/>
      <c r="V813" s="680"/>
    </row>
    <row r="814" ht="15.75" customHeight="1">
      <c r="A814" s="695"/>
      <c r="B814" s="696"/>
      <c r="C814" s="696"/>
      <c r="D814" s="696"/>
      <c r="E814" s="697"/>
      <c r="F814" s="698"/>
      <c r="G814" s="698"/>
      <c r="H814" s="698"/>
      <c r="I814" s="697"/>
      <c r="J814" s="699"/>
      <c r="K814" s="695"/>
      <c r="L814" s="699"/>
      <c r="M814" s="700"/>
      <c r="N814" s="701"/>
      <c r="O814" s="701"/>
      <c r="P814" s="697"/>
      <c r="Q814" s="701"/>
      <c r="R814" s="701"/>
      <c r="S814" s="680"/>
      <c r="T814" s="680"/>
      <c r="U814" s="680"/>
      <c r="V814" s="680"/>
    </row>
    <row r="815" ht="15.75" customHeight="1">
      <c r="A815" s="695"/>
      <c r="B815" s="696"/>
      <c r="C815" s="696"/>
      <c r="D815" s="696"/>
      <c r="E815" s="697"/>
      <c r="F815" s="698"/>
      <c r="G815" s="698"/>
      <c r="H815" s="698"/>
      <c r="I815" s="697"/>
      <c r="J815" s="699"/>
      <c r="K815" s="695"/>
      <c r="L815" s="699"/>
      <c r="M815" s="700"/>
      <c r="N815" s="701"/>
      <c r="O815" s="701"/>
      <c r="P815" s="697"/>
      <c r="Q815" s="701"/>
      <c r="R815" s="701"/>
      <c r="S815" s="680"/>
      <c r="T815" s="680"/>
      <c r="U815" s="680"/>
      <c r="V815" s="680"/>
    </row>
    <row r="816" ht="15.75" customHeight="1">
      <c r="A816" s="695"/>
      <c r="B816" s="696"/>
      <c r="C816" s="696"/>
      <c r="D816" s="696"/>
      <c r="E816" s="697"/>
      <c r="F816" s="698"/>
      <c r="G816" s="698"/>
      <c r="H816" s="698"/>
      <c r="I816" s="697"/>
      <c r="J816" s="699"/>
      <c r="K816" s="695"/>
      <c r="L816" s="699"/>
      <c r="M816" s="700"/>
      <c r="N816" s="701"/>
      <c r="O816" s="701"/>
      <c r="P816" s="697"/>
      <c r="Q816" s="701"/>
      <c r="R816" s="701"/>
      <c r="S816" s="680"/>
      <c r="T816" s="680"/>
      <c r="U816" s="680"/>
      <c r="V816" s="680"/>
    </row>
    <row r="817" ht="15.75" customHeight="1">
      <c r="A817" s="695"/>
      <c r="B817" s="696"/>
      <c r="C817" s="696"/>
      <c r="D817" s="696"/>
      <c r="E817" s="697"/>
      <c r="F817" s="698"/>
      <c r="G817" s="698"/>
      <c r="H817" s="698"/>
      <c r="I817" s="697"/>
      <c r="J817" s="699"/>
      <c r="K817" s="695"/>
      <c r="L817" s="699"/>
      <c r="M817" s="700"/>
      <c r="N817" s="701"/>
      <c r="O817" s="701"/>
      <c r="P817" s="697"/>
      <c r="Q817" s="701"/>
      <c r="R817" s="701"/>
      <c r="S817" s="680"/>
      <c r="T817" s="680"/>
      <c r="U817" s="680"/>
      <c r="V817" s="680"/>
    </row>
    <row r="818" ht="15.75" customHeight="1">
      <c r="A818" s="695"/>
      <c r="B818" s="696"/>
      <c r="C818" s="696"/>
      <c r="D818" s="696"/>
      <c r="E818" s="697"/>
      <c r="F818" s="698"/>
      <c r="G818" s="698"/>
      <c r="H818" s="698"/>
      <c r="I818" s="697"/>
      <c r="J818" s="699"/>
      <c r="K818" s="695"/>
      <c r="L818" s="699"/>
      <c r="M818" s="700"/>
      <c r="N818" s="701"/>
      <c r="O818" s="701"/>
      <c r="P818" s="697"/>
      <c r="Q818" s="701"/>
      <c r="R818" s="701"/>
      <c r="S818" s="680"/>
      <c r="T818" s="680"/>
      <c r="U818" s="680"/>
      <c r="V818" s="680"/>
    </row>
    <row r="819" ht="15.75" customHeight="1">
      <c r="A819" s="695"/>
      <c r="B819" s="696"/>
      <c r="C819" s="696"/>
      <c r="D819" s="696"/>
      <c r="E819" s="697"/>
      <c r="F819" s="698"/>
      <c r="G819" s="698"/>
      <c r="H819" s="698"/>
      <c r="I819" s="697"/>
      <c r="J819" s="699"/>
      <c r="K819" s="695"/>
      <c r="L819" s="699"/>
      <c r="M819" s="700"/>
      <c r="N819" s="701"/>
      <c r="O819" s="701"/>
      <c r="P819" s="697"/>
      <c r="Q819" s="701"/>
      <c r="R819" s="701"/>
      <c r="S819" s="680"/>
      <c r="T819" s="680"/>
      <c r="U819" s="680"/>
      <c r="V819" s="680"/>
    </row>
    <row r="820" ht="15.75" customHeight="1">
      <c r="A820" s="695"/>
      <c r="B820" s="696"/>
      <c r="C820" s="696"/>
      <c r="D820" s="696"/>
      <c r="E820" s="697"/>
      <c r="F820" s="698"/>
      <c r="G820" s="698"/>
      <c r="H820" s="698"/>
      <c r="I820" s="697"/>
      <c r="J820" s="699"/>
      <c r="K820" s="695"/>
      <c r="L820" s="699"/>
      <c r="M820" s="700"/>
      <c r="N820" s="701"/>
      <c r="O820" s="701"/>
      <c r="P820" s="697"/>
      <c r="Q820" s="701"/>
      <c r="R820" s="701"/>
      <c r="S820" s="680"/>
      <c r="T820" s="680"/>
      <c r="U820" s="680"/>
      <c r="V820" s="680"/>
    </row>
    <row r="821" ht="15.75" customHeight="1">
      <c r="A821" s="695"/>
      <c r="B821" s="696"/>
      <c r="C821" s="696"/>
      <c r="D821" s="696"/>
      <c r="E821" s="697"/>
      <c r="F821" s="698"/>
      <c r="G821" s="698"/>
      <c r="H821" s="698"/>
      <c r="I821" s="697"/>
      <c r="J821" s="699"/>
      <c r="K821" s="695"/>
      <c r="L821" s="699"/>
      <c r="M821" s="700"/>
      <c r="N821" s="701"/>
      <c r="O821" s="701"/>
      <c r="P821" s="697"/>
      <c r="Q821" s="701"/>
      <c r="R821" s="701"/>
      <c r="S821" s="680"/>
      <c r="T821" s="680"/>
      <c r="U821" s="680"/>
      <c r="V821" s="680"/>
    </row>
    <row r="822" ht="15.75" customHeight="1">
      <c r="A822" s="695"/>
      <c r="B822" s="696"/>
      <c r="C822" s="696"/>
      <c r="D822" s="696"/>
      <c r="E822" s="697"/>
      <c r="F822" s="698"/>
      <c r="G822" s="698"/>
      <c r="H822" s="698"/>
      <c r="I822" s="697"/>
      <c r="J822" s="699"/>
      <c r="K822" s="695"/>
      <c r="L822" s="699"/>
      <c r="M822" s="700"/>
      <c r="N822" s="701"/>
      <c r="O822" s="701"/>
      <c r="P822" s="697"/>
      <c r="Q822" s="701"/>
      <c r="R822" s="701"/>
      <c r="S822" s="680"/>
      <c r="T822" s="680"/>
      <c r="U822" s="680"/>
      <c r="V822" s="680"/>
    </row>
    <row r="823" ht="15.75" customHeight="1">
      <c r="A823" s="695"/>
      <c r="B823" s="696"/>
      <c r="C823" s="696"/>
      <c r="D823" s="696"/>
      <c r="E823" s="697"/>
      <c r="F823" s="698"/>
      <c r="G823" s="698"/>
      <c r="H823" s="698"/>
      <c r="I823" s="697"/>
      <c r="J823" s="699"/>
      <c r="K823" s="695"/>
      <c r="L823" s="699"/>
      <c r="M823" s="700"/>
      <c r="N823" s="701"/>
      <c r="O823" s="701"/>
      <c r="P823" s="697"/>
      <c r="Q823" s="701"/>
      <c r="R823" s="701"/>
      <c r="S823" s="680"/>
      <c r="T823" s="680"/>
      <c r="U823" s="680"/>
      <c r="V823" s="680"/>
    </row>
    <row r="824" ht="15.75" customHeight="1">
      <c r="A824" s="695"/>
      <c r="B824" s="696"/>
      <c r="C824" s="696"/>
      <c r="D824" s="696"/>
      <c r="E824" s="697"/>
      <c r="F824" s="698"/>
      <c r="G824" s="698"/>
      <c r="H824" s="698"/>
      <c r="I824" s="697"/>
      <c r="J824" s="699"/>
      <c r="K824" s="695"/>
      <c r="L824" s="699"/>
      <c r="M824" s="700"/>
      <c r="N824" s="701"/>
      <c r="O824" s="701"/>
      <c r="P824" s="697"/>
      <c r="Q824" s="701"/>
      <c r="R824" s="701"/>
      <c r="S824" s="680"/>
      <c r="T824" s="680"/>
      <c r="U824" s="680"/>
      <c r="V824" s="680"/>
    </row>
    <row r="825" ht="15.75" customHeight="1">
      <c r="A825" s="695"/>
      <c r="B825" s="696"/>
      <c r="C825" s="696"/>
      <c r="D825" s="696"/>
      <c r="E825" s="697"/>
      <c r="F825" s="698"/>
      <c r="G825" s="698"/>
      <c r="H825" s="698"/>
      <c r="I825" s="697"/>
      <c r="J825" s="699"/>
      <c r="K825" s="695"/>
      <c r="L825" s="699"/>
      <c r="M825" s="700"/>
      <c r="N825" s="701"/>
      <c r="O825" s="701"/>
      <c r="P825" s="697"/>
      <c r="Q825" s="701"/>
      <c r="R825" s="701"/>
      <c r="S825" s="680"/>
      <c r="T825" s="680"/>
      <c r="U825" s="680"/>
      <c r="V825" s="680"/>
    </row>
    <row r="826" ht="15.75" customHeight="1">
      <c r="A826" s="695"/>
      <c r="B826" s="696"/>
      <c r="C826" s="696"/>
      <c r="D826" s="696"/>
      <c r="E826" s="697"/>
      <c r="F826" s="698"/>
      <c r="G826" s="698"/>
      <c r="H826" s="698"/>
      <c r="I826" s="697"/>
      <c r="J826" s="699"/>
      <c r="K826" s="695"/>
      <c r="L826" s="699"/>
      <c r="M826" s="700"/>
      <c r="N826" s="701"/>
      <c r="O826" s="701"/>
      <c r="P826" s="697"/>
      <c r="Q826" s="701"/>
      <c r="R826" s="701"/>
      <c r="S826" s="680"/>
      <c r="T826" s="680"/>
      <c r="U826" s="680"/>
      <c r="V826" s="680"/>
    </row>
    <row r="827" ht="15.75" customHeight="1">
      <c r="A827" s="695"/>
      <c r="B827" s="696"/>
      <c r="C827" s="696"/>
      <c r="D827" s="696"/>
      <c r="E827" s="697"/>
      <c r="F827" s="698"/>
      <c r="G827" s="698"/>
      <c r="H827" s="698"/>
      <c r="I827" s="697"/>
      <c r="J827" s="699"/>
      <c r="K827" s="695"/>
      <c r="L827" s="699"/>
      <c r="M827" s="700"/>
      <c r="N827" s="701"/>
      <c r="O827" s="701"/>
      <c r="P827" s="697"/>
      <c r="Q827" s="701"/>
      <c r="R827" s="701"/>
      <c r="S827" s="680"/>
      <c r="T827" s="680"/>
      <c r="U827" s="680"/>
      <c r="V827" s="680"/>
    </row>
    <row r="828" ht="15.75" customHeight="1">
      <c r="A828" s="695"/>
      <c r="B828" s="696"/>
      <c r="C828" s="696"/>
      <c r="D828" s="696"/>
      <c r="E828" s="697"/>
      <c r="F828" s="698"/>
      <c r="G828" s="698"/>
      <c r="H828" s="698"/>
      <c r="I828" s="697"/>
      <c r="J828" s="699"/>
      <c r="K828" s="695"/>
      <c r="L828" s="699"/>
      <c r="M828" s="700"/>
      <c r="N828" s="701"/>
      <c r="O828" s="701"/>
      <c r="P828" s="697"/>
      <c r="Q828" s="701"/>
      <c r="R828" s="701"/>
      <c r="S828" s="680"/>
      <c r="T828" s="680"/>
      <c r="U828" s="680"/>
      <c r="V828" s="680"/>
    </row>
    <row r="829" ht="15.75" customHeight="1">
      <c r="A829" s="695"/>
      <c r="B829" s="696"/>
      <c r="C829" s="696"/>
      <c r="D829" s="696"/>
      <c r="E829" s="697"/>
      <c r="F829" s="698"/>
      <c r="G829" s="698"/>
      <c r="H829" s="698"/>
      <c r="I829" s="697"/>
      <c r="J829" s="699"/>
      <c r="K829" s="695"/>
      <c r="L829" s="699"/>
      <c r="M829" s="700"/>
      <c r="N829" s="701"/>
      <c r="O829" s="701"/>
      <c r="P829" s="697"/>
      <c r="Q829" s="701"/>
      <c r="R829" s="701"/>
      <c r="S829" s="680"/>
      <c r="T829" s="680"/>
      <c r="U829" s="680"/>
      <c r="V829" s="680"/>
    </row>
    <row r="830" ht="15.75" customHeight="1">
      <c r="A830" s="695"/>
      <c r="B830" s="696"/>
      <c r="C830" s="696"/>
      <c r="D830" s="696"/>
      <c r="E830" s="697"/>
      <c r="F830" s="698"/>
      <c r="G830" s="698"/>
      <c r="H830" s="698"/>
      <c r="I830" s="697"/>
      <c r="J830" s="699"/>
      <c r="K830" s="695"/>
      <c r="L830" s="699"/>
      <c r="M830" s="700"/>
      <c r="N830" s="701"/>
      <c r="O830" s="701"/>
      <c r="P830" s="697"/>
      <c r="Q830" s="701"/>
      <c r="R830" s="701"/>
      <c r="S830" s="680"/>
      <c r="T830" s="680"/>
      <c r="U830" s="680"/>
      <c r="V830" s="680"/>
    </row>
    <row r="831" ht="15.75" customHeight="1">
      <c r="A831" s="695"/>
      <c r="B831" s="696"/>
      <c r="C831" s="696"/>
      <c r="D831" s="696"/>
      <c r="E831" s="697"/>
      <c r="F831" s="698"/>
      <c r="G831" s="698"/>
      <c r="H831" s="698"/>
      <c r="I831" s="697"/>
      <c r="J831" s="699"/>
      <c r="K831" s="695"/>
      <c r="L831" s="699"/>
      <c r="M831" s="700"/>
      <c r="N831" s="701"/>
      <c r="O831" s="701"/>
      <c r="P831" s="697"/>
      <c r="Q831" s="701"/>
      <c r="R831" s="701"/>
      <c r="S831" s="680"/>
      <c r="T831" s="680"/>
      <c r="U831" s="680"/>
      <c r="V831" s="680"/>
    </row>
    <row r="832" ht="15.75" customHeight="1">
      <c r="A832" s="695"/>
      <c r="B832" s="696"/>
      <c r="C832" s="696"/>
      <c r="D832" s="696"/>
      <c r="E832" s="697"/>
      <c r="F832" s="698"/>
      <c r="G832" s="698"/>
      <c r="H832" s="698"/>
      <c r="I832" s="697"/>
      <c r="J832" s="699"/>
      <c r="K832" s="695"/>
      <c r="L832" s="699"/>
      <c r="M832" s="700"/>
      <c r="N832" s="701"/>
      <c r="O832" s="701"/>
      <c r="P832" s="697"/>
      <c r="Q832" s="701"/>
      <c r="R832" s="701"/>
      <c r="S832" s="680"/>
      <c r="T832" s="680"/>
      <c r="U832" s="680"/>
      <c r="V832" s="680"/>
    </row>
    <row r="833" ht="15.75" customHeight="1">
      <c r="A833" s="695"/>
      <c r="B833" s="696"/>
      <c r="C833" s="696"/>
      <c r="D833" s="696"/>
      <c r="E833" s="697"/>
      <c r="F833" s="698"/>
      <c r="G833" s="698"/>
      <c r="H833" s="698"/>
      <c r="I833" s="697"/>
      <c r="J833" s="699"/>
      <c r="K833" s="695"/>
      <c r="L833" s="699"/>
      <c r="M833" s="700"/>
      <c r="N833" s="701"/>
      <c r="O833" s="701"/>
      <c r="P833" s="697"/>
      <c r="Q833" s="701"/>
      <c r="R833" s="701"/>
      <c r="S833" s="680"/>
      <c r="T833" s="680"/>
      <c r="U833" s="680"/>
      <c r="V833" s="680"/>
    </row>
    <row r="834" ht="15.75" customHeight="1">
      <c r="A834" s="695"/>
      <c r="B834" s="696"/>
      <c r="C834" s="696"/>
      <c r="D834" s="696"/>
      <c r="E834" s="697"/>
      <c r="F834" s="698"/>
      <c r="G834" s="698"/>
      <c r="H834" s="698"/>
      <c r="I834" s="697"/>
      <c r="J834" s="699"/>
      <c r="K834" s="695"/>
      <c r="L834" s="699"/>
      <c r="M834" s="700"/>
      <c r="N834" s="701"/>
      <c r="O834" s="701"/>
      <c r="P834" s="697"/>
      <c r="Q834" s="701"/>
      <c r="R834" s="701"/>
      <c r="S834" s="680"/>
      <c r="T834" s="680"/>
      <c r="U834" s="680"/>
      <c r="V834" s="680"/>
    </row>
    <row r="835" ht="15.75" customHeight="1">
      <c r="A835" s="695"/>
      <c r="B835" s="696"/>
      <c r="C835" s="696"/>
      <c r="D835" s="696"/>
      <c r="E835" s="697"/>
      <c r="F835" s="698"/>
      <c r="G835" s="698"/>
      <c r="H835" s="698"/>
      <c r="I835" s="697"/>
      <c r="J835" s="699"/>
      <c r="K835" s="695"/>
      <c r="L835" s="699"/>
      <c r="M835" s="700"/>
      <c r="N835" s="701"/>
      <c r="O835" s="701"/>
      <c r="P835" s="697"/>
      <c r="Q835" s="701"/>
      <c r="R835" s="701"/>
      <c r="S835" s="680"/>
      <c r="T835" s="680"/>
      <c r="U835" s="680"/>
      <c r="V835" s="680"/>
    </row>
    <row r="836" ht="15.75" customHeight="1">
      <c r="A836" s="695"/>
      <c r="B836" s="696"/>
      <c r="C836" s="696"/>
      <c r="D836" s="696"/>
      <c r="E836" s="697"/>
      <c r="F836" s="698"/>
      <c r="G836" s="698"/>
      <c r="H836" s="698"/>
      <c r="I836" s="697"/>
      <c r="J836" s="699"/>
      <c r="K836" s="695"/>
      <c r="L836" s="699"/>
      <c r="M836" s="700"/>
      <c r="N836" s="701"/>
      <c r="O836" s="701"/>
      <c r="P836" s="697"/>
      <c r="Q836" s="701"/>
      <c r="R836" s="701"/>
      <c r="S836" s="680"/>
      <c r="T836" s="680"/>
      <c r="U836" s="680"/>
      <c r="V836" s="680"/>
    </row>
    <row r="837" ht="15.75" customHeight="1">
      <c r="A837" s="695"/>
      <c r="B837" s="696"/>
      <c r="C837" s="696"/>
      <c r="D837" s="696"/>
      <c r="E837" s="697"/>
      <c r="F837" s="698"/>
      <c r="G837" s="698"/>
      <c r="H837" s="698"/>
      <c r="I837" s="697"/>
      <c r="J837" s="699"/>
      <c r="K837" s="695"/>
      <c r="L837" s="699"/>
      <c r="M837" s="700"/>
      <c r="N837" s="701"/>
      <c r="O837" s="701"/>
      <c r="P837" s="697"/>
      <c r="Q837" s="701"/>
      <c r="R837" s="701"/>
      <c r="S837" s="680"/>
      <c r="T837" s="680"/>
      <c r="U837" s="680"/>
      <c r="V837" s="680"/>
    </row>
    <row r="838" ht="15.75" customHeight="1">
      <c r="A838" s="695"/>
      <c r="B838" s="696"/>
      <c r="C838" s="696"/>
      <c r="D838" s="696"/>
      <c r="E838" s="697"/>
      <c r="F838" s="698"/>
      <c r="G838" s="698"/>
      <c r="H838" s="698"/>
      <c r="I838" s="697"/>
      <c r="J838" s="699"/>
      <c r="K838" s="695"/>
      <c r="L838" s="699"/>
      <c r="M838" s="700"/>
      <c r="N838" s="701"/>
      <c r="O838" s="701"/>
      <c r="P838" s="697"/>
      <c r="Q838" s="701"/>
      <c r="R838" s="701"/>
      <c r="S838" s="680"/>
      <c r="T838" s="680"/>
      <c r="U838" s="680"/>
      <c r="V838" s="680"/>
    </row>
    <row r="839" ht="15.75" customHeight="1">
      <c r="A839" s="695"/>
      <c r="B839" s="696"/>
      <c r="C839" s="696"/>
      <c r="D839" s="696"/>
      <c r="E839" s="697"/>
      <c r="F839" s="698"/>
      <c r="G839" s="698"/>
      <c r="H839" s="698"/>
      <c r="I839" s="697"/>
      <c r="J839" s="699"/>
      <c r="K839" s="695"/>
      <c r="L839" s="699"/>
      <c r="M839" s="700"/>
      <c r="N839" s="701"/>
      <c r="O839" s="701"/>
      <c r="P839" s="697"/>
      <c r="Q839" s="701"/>
      <c r="R839" s="701"/>
      <c r="S839" s="680"/>
      <c r="T839" s="680"/>
      <c r="U839" s="680"/>
      <c r="V839" s="680"/>
    </row>
    <row r="840" ht="15.75" customHeight="1">
      <c r="A840" s="695"/>
      <c r="B840" s="696"/>
      <c r="C840" s="696"/>
      <c r="D840" s="696"/>
      <c r="E840" s="697"/>
      <c r="F840" s="698"/>
      <c r="G840" s="698"/>
      <c r="H840" s="698"/>
      <c r="I840" s="697"/>
      <c r="J840" s="699"/>
      <c r="K840" s="695"/>
      <c r="L840" s="699"/>
      <c r="M840" s="700"/>
      <c r="N840" s="701"/>
      <c r="O840" s="701"/>
      <c r="P840" s="697"/>
      <c r="Q840" s="701"/>
      <c r="R840" s="701"/>
      <c r="S840" s="680"/>
      <c r="T840" s="680"/>
      <c r="U840" s="680"/>
      <c r="V840" s="680"/>
    </row>
    <row r="841" ht="15.75" customHeight="1">
      <c r="A841" s="695"/>
      <c r="B841" s="696"/>
      <c r="C841" s="696"/>
      <c r="D841" s="696"/>
      <c r="E841" s="697"/>
      <c r="F841" s="698"/>
      <c r="G841" s="698"/>
      <c r="H841" s="698"/>
      <c r="I841" s="697"/>
      <c r="J841" s="699"/>
      <c r="K841" s="695"/>
      <c r="L841" s="699"/>
      <c r="M841" s="700"/>
      <c r="N841" s="701"/>
      <c r="O841" s="701"/>
      <c r="P841" s="697"/>
      <c r="Q841" s="701"/>
      <c r="R841" s="701"/>
      <c r="S841" s="680"/>
      <c r="T841" s="680"/>
      <c r="U841" s="680"/>
      <c r="V841" s="680"/>
    </row>
    <row r="842" ht="15.75" customHeight="1">
      <c r="A842" s="695"/>
      <c r="B842" s="696"/>
      <c r="C842" s="696"/>
      <c r="D842" s="696"/>
      <c r="E842" s="697"/>
      <c r="F842" s="698"/>
      <c r="G842" s="698"/>
      <c r="H842" s="698"/>
      <c r="I842" s="697"/>
      <c r="J842" s="699"/>
      <c r="K842" s="695"/>
      <c r="L842" s="699"/>
      <c r="M842" s="700"/>
      <c r="N842" s="701"/>
      <c r="O842" s="701"/>
      <c r="P842" s="697"/>
      <c r="Q842" s="701"/>
      <c r="R842" s="701"/>
      <c r="S842" s="680"/>
      <c r="T842" s="680"/>
      <c r="U842" s="680"/>
      <c r="V842" s="680"/>
    </row>
    <row r="843" ht="15.75" customHeight="1">
      <c r="A843" s="695"/>
      <c r="B843" s="696"/>
      <c r="C843" s="696"/>
      <c r="D843" s="696"/>
      <c r="E843" s="697"/>
      <c r="F843" s="698"/>
      <c r="G843" s="698"/>
      <c r="H843" s="698"/>
      <c r="I843" s="697"/>
      <c r="J843" s="699"/>
      <c r="K843" s="695"/>
      <c r="L843" s="699"/>
      <c r="M843" s="700"/>
      <c r="N843" s="701"/>
      <c r="O843" s="701"/>
      <c r="P843" s="697"/>
      <c r="Q843" s="701"/>
      <c r="R843" s="701"/>
      <c r="S843" s="680"/>
      <c r="T843" s="680"/>
      <c r="U843" s="680"/>
      <c r="V843" s="680"/>
    </row>
    <row r="844" ht="15.75" customHeight="1">
      <c r="A844" s="695"/>
      <c r="B844" s="696"/>
      <c r="C844" s="696"/>
      <c r="D844" s="696"/>
      <c r="E844" s="697"/>
      <c r="F844" s="698"/>
      <c r="G844" s="698"/>
      <c r="H844" s="698"/>
      <c r="I844" s="697"/>
      <c r="J844" s="699"/>
      <c r="K844" s="695"/>
      <c r="L844" s="699"/>
      <c r="M844" s="700"/>
      <c r="N844" s="701"/>
      <c r="O844" s="701"/>
      <c r="P844" s="697"/>
      <c r="Q844" s="701"/>
      <c r="R844" s="701"/>
      <c r="S844" s="680"/>
      <c r="T844" s="680"/>
      <c r="U844" s="680"/>
      <c r="V844" s="680"/>
    </row>
    <row r="845" ht="15.75" customHeight="1">
      <c r="A845" s="695"/>
      <c r="B845" s="696"/>
      <c r="C845" s="696"/>
      <c r="D845" s="696"/>
      <c r="E845" s="697"/>
      <c r="F845" s="698"/>
      <c r="G845" s="698"/>
      <c r="H845" s="698"/>
      <c r="I845" s="697"/>
      <c r="J845" s="699"/>
      <c r="K845" s="695"/>
      <c r="L845" s="699"/>
      <c r="M845" s="700"/>
      <c r="N845" s="701"/>
      <c r="O845" s="701"/>
      <c r="P845" s="697"/>
      <c r="Q845" s="701"/>
      <c r="R845" s="701"/>
      <c r="S845" s="680"/>
      <c r="T845" s="680"/>
      <c r="U845" s="680"/>
      <c r="V845" s="680"/>
    </row>
    <row r="846" ht="15.75" customHeight="1">
      <c r="A846" s="695"/>
      <c r="B846" s="696"/>
      <c r="C846" s="696"/>
      <c r="D846" s="696"/>
      <c r="E846" s="697"/>
      <c r="F846" s="698"/>
      <c r="G846" s="698"/>
      <c r="H846" s="698"/>
      <c r="I846" s="697"/>
      <c r="J846" s="699"/>
      <c r="K846" s="695"/>
      <c r="L846" s="699"/>
      <c r="M846" s="700"/>
      <c r="N846" s="701"/>
      <c r="O846" s="701"/>
      <c r="P846" s="697"/>
      <c r="Q846" s="701"/>
      <c r="R846" s="701"/>
      <c r="S846" s="680"/>
      <c r="T846" s="680"/>
      <c r="U846" s="680"/>
      <c r="V846" s="680"/>
    </row>
    <row r="847" ht="15.75" customHeight="1">
      <c r="A847" s="695"/>
      <c r="B847" s="696"/>
      <c r="C847" s="696"/>
      <c r="D847" s="696"/>
      <c r="E847" s="697"/>
      <c r="F847" s="698"/>
      <c r="G847" s="698"/>
      <c r="H847" s="698"/>
      <c r="I847" s="697"/>
      <c r="J847" s="699"/>
      <c r="K847" s="695"/>
      <c r="L847" s="699"/>
      <c r="M847" s="700"/>
      <c r="N847" s="701"/>
      <c r="O847" s="701"/>
      <c r="P847" s="697"/>
      <c r="Q847" s="701"/>
      <c r="R847" s="701"/>
      <c r="S847" s="680"/>
      <c r="T847" s="680"/>
      <c r="U847" s="680"/>
      <c r="V847" s="680"/>
    </row>
    <row r="848" ht="15.75" customHeight="1">
      <c r="A848" s="695"/>
      <c r="B848" s="696"/>
      <c r="C848" s="696"/>
      <c r="D848" s="696"/>
      <c r="E848" s="697"/>
      <c r="F848" s="698"/>
      <c r="G848" s="698"/>
      <c r="H848" s="698"/>
      <c r="I848" s="697"/>
      <c r="J848" s="699"/>
      <c r="K848" s="695"/>
      <c r="L848" s="699"/>
      <c r="M848" s="700"/>
      <c r="N848" s="701"/>
      <c r="O848" s="701"/>
      <c r="P848" s="697"/>
      <c r="Q848" s="701"/>
      <c r="R848" s="701"/>
      <c r="S848" s="680"/>
      <c r="T848" s="680"/>
      <c r="U848" s="680"/>
      <c r="V848" s="680"/>
    </row>
    <row r="849" ht="15.75" customHeight="1">
      <c r="A849" s="695"/>
      <c r="B849" s="696"/>
      <c r="C849" s="696"/>
      <c r="D849" s="696"/>
      <c r="E849" s="697"/>
      <c r="F849" s="698"/>
      <c r="G849" s="698"/>
      <c r="H849" s="698"/>
      <c r="I849" s="697"/>
      <c r="J849" s="699"/>
      <c r="K849" s="695"/>
      <c r="L849" s="699"/>
      <c r="M849" s="700"/>
      <c r="N849" s="701"/>
      <c r="O849" s="701"/>
      <c r="P849" s="697"/>
      <c r="Q849" s="701"/>
      <c r="R849" s="701"/>
      <c r="S849" s="680"/>
      <c r="T849" s="680"/>
      <c r="U849" s="680"/>
      <c r="V849" s="680"/>
    </row>
    <row r="850" ht="15.75" customHeight="1">
      <c r="A850" s="695"/>
      <c r="B850" s="696"/>
      <c r="C850" s="696"/>
      <c r="D850" s="696"/>
      <c r="E850" s="697"/>
      <c r="F850" s="698"/>
      <c r="G850" s="698"/>
      <c r="H850" s="698"/>
      <c r="I850" s="697"/>
      <c r="J850" s="699"/>
      <c r="K850" s="695"/>
      <c r="L850" s="699"/>
      <c r="M850" s="700"/>
      <c r="N850" s="701"/>
      <c r="O850" s="701"/>
      <c r="P850" s="697"/>
      <c r="Q850" s="701"/>
      <c r="R850" s="701"/>
      <c r="S850" s="680"/>
      <c r="T850" s="680"/>
      <c r="U850" s="680"/>
      <c r="V850" s="680"/>
    </row>
    <row r="851" ht="15.75" customHeight="1">
      <c r="A851" s="695"/>
      <c r="B851" s="696"/>
      <c r="C851" s="696"/>
      <c r="D851" s="696"/>
      <c r="E851" s="697"/>
      <c r="F851" s="698"/>
      <c r="G851" s="698"/>
      <c r="H851" s="698"/>
      <c r="I851" s="697"/>
      <c r="J851" s="699"/>
      <c r="K851" s="695"/>
      <c r="L851" s="699"/>
      <c r="M851" s="700"/>
      <c r="N851" s="701"/>
      <c r="O851" s="701"/>
      <c r="P851" s="697"/>
      <c r="Q851" s="701"/>
      <c r="R851" s="701"/>
      <c r="S851" s="680"/>
      <c r="T851" s="680"/>
      <c r="U851" s="680"/>
      <c r="V851" s="680"/>
    </row>
    <row r="852" ht="15.75" customHeight="1">
      <c r="A852" s="695"/>
      <c r="B852" s="696"/>
      <c r="C852" s="696"/>
      <c r="D852" s="696"/>
      <c r="E852" s="697"/>
      <c r="F852" s="698"/>
      <c r="G852" s="698"/>
      <c r="H852" s="698"/>
      <c r="I852" s="697"/>
      <c r="J852" s="699"/>
      <c r="K852" s="695"/>
      <c r="L852" s="699"/>
      <c r="M852" s="700"/>
      <c r="N852" s="701"/>
      <c r="O852" s="701"/>
      <c r="P852" s="697"/>
      <c r="Q852" s="701"/>
      <c r="R852" s="701"/>
      <c r="S852" s="680"/>
      <c r="T852" s="680"/>
      <c r="U852" s="680"/>
      <c r="V852" s="680"/>
    </row>
    <row r="853" ht="15.75" customHeight="1">
      <c r="A853" s="695"/>
      <c r="B853" s="696"/>
      <c r="C853" s="696"/>
      <c r="D853" s="696"/>
      <c r="E853" s="697"/>
      <c r="F853" s="698"/>
      <c r="G853" s="698"/>
      <c r="H853" s="698"/>
      <c r="I853" s="697"/>
      <c r="J853" s="699"/>
      <c r="K853" s="695"/>
      <c r="L853" s="699"/>
      <c r="M853" s="700"/>
      <c r="N853" s="701"/>
      <c r="O853" s="701"/>
      <c r="P853" s="697"/>
      <c r="Q853" s="701"/>
      <c r="R853" s="701"/>
      <c r="S853" s="680"/>
      <c r="T853" s="680"/>
      <c r="U853" s="680"/>
      <c r="V853" s="680"/>
    </row>
    <row r="854" ht="15.75" customHeight="1">
      <c r="A854" s="695"/>
      <c r="B854" s="696"/>
      <c r="C854" s="696"/>
      <c r="D854" s="696"/>
      <c r="E854" s="697"/>
      <c r="F854" s="698"/>
      <c r="G854" s="698"/>
      <c r="H854" s="698"/>
      <c r="I854" s="697"/>
      <c r="J854" s="699"/>
      <c r="K854" s="695"/>
      <c r="L854" s="699"/>
      <c r="M854" s="700"/>
      <c r="N854" s="701"/>
      <c r="O854" s="701"/>
      <c r="P854" s="697"/>
      <c r="Q854" s="701"/>
      <c r="R854" s="701"/>
      <c r="S854" s="680"/>
      <c r="T854" s="680"/>
      <c r="U854" s="680"/>
      <c r="V854" s="680"/>
    </row>
    <row r="855" ht="15.75" customHeight="1">
      <c r="A855" s="695"/>
      <c r="B855" s="696"/>
      <c r="C855" s="696"/>
      <c r="D855" s="696"/>
      <c r="E855" s="697"/>
      <c r="F855" s="698"/>
      <c r="G855" s="698"/>
      <c r="H855" s="698"/>
      <c r="I855" s="697"/>
      <c r="J855" s="699"/>
      <c r="K855" s="695"/>
      <c r="L855" s="699"/>
      <c r="M855" s="700"/>
      <c r="N855" s="701"/>
      <c r="O855" s="701"/>
      <c r="P855" s="697"/>
      <c r="Q855" s="701"/>
      <c r="R855" s="701"/>
      <c r="S855" s="680"/>
      <c r="T855" s="680"/>
      <c r="U855" s="680"/>
      <c r="V855" s="680"/>
    </row>
    <row r="856" ht="15.75" customHeight="1">
      <c r="A856" s="695"/>
      <c r="B856" s="696"/>
      <c r="C856" s="696"/>
      <c r="D856" s="696"/>
      <c r="E856" s="697"/>
      <c r="F856" s="698"/>
      <c r="G856" s="698"/>
      <c r="H856" s="698"/>
      <c r="I856" s="697"/>
      <c r="J856" s="699"/>
      <c r="K856" s="695"/>
      <c r="L856" s="699"/>
      <c r="M856" s="700"/>
      <c r="N856" s="701"/>
      <c r="O856" s="701"/>
      <c r="P856" s="697"/>
      <c r="Q856" s="701"/>
      <c r="R856" s="701"/>
      <c r="S856" s="680"/>
      <c r="T856" s="680"/>
      <c r="U856" s="680"/>
      <c r="V856" s="680"/>
    </row>
    <row r="857" ht="15.75" customHeight="1">
      <c r="A857" s="695"/>
      <c r="B857" s="696"/>
      <c r="C857" s="696"/>
      <c r="D857" s="696"/>
      <c r="E857" s="697"/>
      <c r="F857" s="698"/>
      <c r="G857" s="698"/>
      <c r="H857" s="698"/>
      <c r="I857" s="697"/>
      <c r="J857" s="699"/>
      <c r="K857" s="695"/>
      <c r="L857" s="699"/>
      <c r="M857" s="700"/>
      <c r="N857" s="701"/>
      <c r="O857" s="701"/>
      <c r="P857" s="697"/>
      <c r="Q857" s="701"/>
      <c r="R857" s="701"/>
      <c r="S857" s="680"/>
      <c r="T857" s="680"/>
      <c r="U857" s="680"/>
      <c r="V857" s="680"/>
    </row>
    <row r="858" ht="15.75" customHeight="1">
      <c r="A858" s="695"/>
      <c r="B858" s="696"/>
      <c r="C858" s="696"/>
      <c r="D858" s="696"/>
      <c r="E858" s="697"/>
      <c r="F858" s="698"/>
      <c r="G858" s="698"/>
      <c r="H858" s="698"/>
      <c r="I858" s="697"/>
      <c r="J858" s="699"/>
      <c r="K858" s="695"/>
      <c r="L858" s="699"/>
      <c r="M858" s="700"/>
      <c r="N858" s="701"/>
      <c r="O858" s="701"/>
      <c r="P858" s="697"/>
      <c r="Q858" s="701"/>
      <c r="R858" s="701"/>
      <c r="S858" s="680"/>
      <c r="T858" s="680"/>
      <c r="U858" s="680"/>
      <c r="V858" s="680"/>
    </row>
    <row r="859" ht="15.75" customHeight="1">
      <c r="A859" s="695"/>
      <c r="B859" s="696"/>
      <c r="C859" s="696"/>
      <c r="D859" s="696"/>
      <c r="E859" s="697"/>
      <c r="F859" s="698"/>
      <c r="G859" s="698"/>
      <c r="H859" s="698"/>
      <c r="I859" s="697"/>
      <c r="J859" s="699"/>
      <c r="K859" s="695"/>
      <c r="L859" s="699"/>
      <c r="M859" s="700"/>
      <c r="N859" s="701"/>
      <c r="O859" s="701"/>
      <c r="P859" s="697"/>
      <c r="Q859" s="701"/>
      <c r="R859" s="701"/>
      <c r="S859" s="680"/>
      <c r="T859" s="680"/>
      <c r="U859" s="680"/>
      <c r="V859" s="680"/>
    </row>
    <row r="860" ht="15.75" customHeight="1">
      <c r="A860" s="695"/>
      <c r="B860" s="696"/>
      <c r="C860" s="696"/>
      <c r="D860" s="696"/>
      <c r="E860" s="697"/>
      <c r="F860" s="698"/>
      <c r="G860" s="698"/>
      <c r="H860" s="698"/>
      <c r="I860" s="697"/>
      <c r="J860" s="699"/>
      <c r="K860" s="695"/>
      <c r="L860" s="699"/>
      <c r="M860" s="700"/>
      <c r="N860" s="701"/>
      <c r="O860" s="701"/>
      <c r="P860" s="697"/>
      <c r="Q860" s="701"/>
      <c r="R860" s="701"/>
      <c r="S860" s="680"/>
      <c r="T860" s="680"/>
      <c r="U860" s="680"/>
      <c r="V860" s="680"/>
    </row>
    <row r="861" ht="15.75" customHeight="1">
      <c r="A861" s="695"/>
      <c r="B861" s="696"/>
      <c r="C861" s="696"/>
      <c r="D861" s="696"/>
      <c r="E861" s="697"/>
      <c r="F861" s="698"/>
      <c r="G861" s="698"/>
      <c r="H861" s="698"/>
      <c r="I861" s="697"/>
      <c r="J861" s="699"/>
      <c r="K861" s="695"/>
      <c r="L861" s="699"/>
      <c r="M861" s="700"/>
      <c r="N861" s="701"/>
      <c r="O861" s="701"/>
      <c r="P861" s="697"/>
      <c r="Q861" s="701"/>
      <c r="R861" s="701"/>
      <c r="S861" s="680"/>
      <c r="T861" s="680"/>
      <c r="U861" s="680"/>
      <c r="V861" s="680"/>
    </row>
  </sheetData>
  <autoFilter ref="$E$1:$E$861"/>
  <mergeCells count="9">
    <mergeCell ref="L31:L32"/>
    <mergeCell ref="Q31:Q32"/>
    <mergeCell ref="P2:Q2"/>
    <mergeCell ref="A31:A32"/>
    <mergeCell ref="D31:D32"/>
    <mergeCell ref="H31:H32"/>
    <mergeCell ref="I31:I32"/>
    <mergeCell ref="J31:J32"/>
    <mergeCell ref="K31:K32"/>
  </mergeCells>
  <conditionalFormatting sqref="L109">
    <cfRule type="notContainsBlanks" dxfId="3" priority="1">
      <formula>LEN(TRIM(L109))&gt;0</formula>
    </cfRule>
  </conditionalFormatting>
  <conditionalFormatting sqref="L2:L108 L110:L861">
    <cfRule type="notContainsBlanks" dxfId="3" priority="2">
      <formula>LEN(TRIM(L2))&gt;0</formula>
    </cfRule>
  </conditionalFormatting>
  <printOptions/>
  <pageMargins bottom="0.2362204724409449" footer="0.0" header="0.0" left="0.1178721107442215" right="0.21220472440944882" top="0.2362204724409449"/>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86"/>
    <col customWidth="1" min="2" max="2" width="7.71"/>
    <col customWidth="1" min="3" max="3" width="31.71"/>
    <col customWidth="1" min="4" max="4" width="20.14"/>
    <col customWidth="1" min="5" max="6" width="11.57"/>
    <col customWidth="1" min="7" max="7" width="40.71"/>
    <col customWidth="1" min="8" max="8" width="13.43"/>
    <col customWidth="1" min="9" max="9" width="9.29"/>
    <col customWidth="1" min="10" max="10" width="10.86"/>
    <col customWidth="1" min="11" max="11" width="15.71"/>
    <col customWidth="1" min="12" max="12" width="14.71"/>
    <col customWidth="1" min="13" max="13" width="14.57"/>
    <col customWidth="1" min="14" max="14" width="14.43"/>
    <col customWidth="1" min="15" max="15" width="10.71"/>
    <col customWidth="1" min="16" max="16" width="11.57"/>
    <col customWidth="1" min="17" max="22" width="9.14"/>
  </cols>
  <sheetData>
    <row r="1" ht="27.75" customHeight="1">
      <c r="A1" s="702">
        <f>TODAY()</f>
        <v>46167</v>
      </c>
      <c r="B1" s="703" t="s">
        <v>3263</v>
      </c>
      <c r="C1" s="704"/>
      <c r="D1" s="704"/>
      <c r="E1" s="704"/>
      <c r="F1" s="704"/>
      <c r="G1" s="704"/>
      <c r="H1" s="704"/>
      <c r="I1" s="704"/>
      <c r="J1" s="704"/>
      <c r="K1" s="704"/>
      <c r="L1" s="704"/>
      <c r="M1" s="704"/>
      <c r="N1" s="704"/>
      <c r="O1" s="704"/>
      <c r="P1" s="704"/>
      <c r="Q1" s="446"/>
      <c r="R1" s="446"/>
      <c r="S1" s="446"/>
    </row>
    <row r="2" ht="30.0" customHeight="1">
      <c r="A2" s="705"/>
      <c r="B2" s="706" t="s">
        <v>2598</v>
      </c>
      <c r="C2" s="706" t="s">
        <v>2599</v>
      </c>
      <c r="D2" s="707" t="s">
        <v>2600</v>
      </c>
      <c r="E2" s="707" t="s">
        <v>2601</v>
      </c>
      <c r="F2" s="707" t="s">
        <v>2602</v>
      </c>
      <c r="G2" s="706" t="s">
        <v>2603</v>
      </c>
      <c r="H2" s="706" t="s">
        <v>2604</v>
      </c>
      <c r="I2" s="706" t="s">
        <v>3264</v>
      </c>
      <c r="J2" s="706" t="s">
        <v>2606</v>
      </c>
      <c r="K2" s="708" t="s">
        <v>3265</v>
      </c>
      <c r="L2" s="709" t="s">
        <v>2608</v>
      </c>
      <c r="M2" s="709" t="s">
        <v>2609</v>
      </c>
      <c r="N2" s="710" t="s">
        <v>2610</v>
      </c>
      <c r="O2" s="711" t="s">
        <v>2611</v>
      </c>
      <c r="P2" s="207"/>
      <c r="Q2" s="712"/>
      <c r="R2" s="712"/>
    </row>
    <row r="3" ht="15.75" customHeight="1">
      <c r="A3" s="660">
        <f>P3-'ATAS VIGENTES'!$A$1</f>
        <v>-31</v>
      </c>
      <c r="B3" s="713" t="s">
        <v>697</v>
      </c>
      <c r="C3" s="663" t="s">
        <v>3266</v>
      </c>
      <c r="D3" s="403" t="s">
        <v>40</v>
      </c>
      <c r="E3" s="403" t="s">
        <v>3267</v>
      </c>
      <c r="F3" s="403" t="s">
        <v>2624</v>
      </c>
      <c r="G3" s="664" t="s">
        <v>3268</v>
      </c>
      <c r="H3" s="403" t="s">
        <v>3269</v>
      </c>
      <c r="I3" s="665" t="s">
        <v>3270</v>
      </c>
      <c r="J3" s="665" t="s">
        <v>3271</v>
      </c>
      <c r="K3" s="666" t="s">
        <v>3272</v>
      </c>
      <c r="L3" s="674">
        <v>40300.0</v>
      </c>
      <c r="M3" s="668">
        <v>45764.0</v>
      </c>
      <c r="N3" s="668">
        <v>45771.0</v>
      </c>
      <c r="O3" s="676" t="s">
        <v>3273</v>
      </c>
      <c r="P3" s="670">
        <v>46136.0</v>
      </c>
      <c r="Q3" s="672"/>
      <c r="R3" s="672"/>
      <c r="S3" s="673"/>
      <c r="T3" s="673"/>
      <c r="U3" s="673"/>
    </row>
    <row r="4" ht="15.75" customHeight="1">
      <c r="A4" s="660">
        <f>P4-'ATAS VIGENTES'!$A$1</f>
        <v>-39</v>
      </c>
      <c r="B4" s="713" t="s">
        <v>1276</v>
      </c>
      <c r="C4" s="663" t="s">
        <v>3274</v>
      </c>
      <c r="D4" s="403" t="s">
        <v>25</v>
      </c>
      <c r="E4" s="403" t="s">
        <v>3275</v>
      </c>
      <c r="F4" s="403" t="s">
        <v>2912</v>
      </c>
      <c r="G4" s="664" t="s">
        <v>3276</v>
      </c>
      <c r="H4" s="403" t="s">
        <v>3277</v>
      </c>
      <c r="I4" s="665" t="s">
        <v>3278</v>
      </c>
      <c r="J4" s="665" t="s">
        <v>3279</v>
      </c>
      <c r="K4" s="666" t="s">
        <v>3280</v>
      </c>
      <c r="L4" s="674" t="s">
        <v>3281</v>
      </c>
      <c r="M4" s="668">
        <v>45754.0</v>
      </c>
      <c r="N4" s="675">
        <v>45763.0</v>
      </c>
      <c r="O4" s="676" t="s">
        <v>3282</v>
      </c>
      <c r="P4" s="670">
        <v>46128.0</v>
      </c>
      <c r="Q4" s="672"/>
      <c r="R4" s="672"/>
      <c r="S4" s="673"/>
      <c r="T4" s="673"/>
      <c r="U4" s="673"/>
    </row>
    <row r="5" ht="15.75" customHeight="1">
      <c r="A5" s="660">
        <f>P5-'ATAS VIGENTES'!$A$1</f>
        <v>-45</v>
      </c>
      <c r="B5" s="713" t="s">
        <v>1278</v>
      </c>
      <c r="C5" s="663" t="s">
        <v>3283</v>
      </c>
      <c r="D5" s="403" t="s">
        <v>25</v>
      </c>
      <c r="E5" s="403" t="s">
        <v>3275</v>
      </c>
      <c r="F5" s="403" t="s">
        <v>2912</v>
      </c>
      <c r="G5" s="664" t="s">
        <v>3276</v>
      </c>
      <c r="H5" s="403" t="s">
        <v>3277</v>
      </c>
      <c r="I5" s="665" t="s">
        <v>3278</v>
      </c>
      <c r="J5" s="665" t="s">
        <v>3284</v>
      </c>
      <c r="K5" s="666" t="s">
        <v>3280</v>
      </c>
      <c r="L5" s="674">
        <v>594.0</v>
      </c>
      <c r="M5" s="668">
        <v>45750.0</v>
      </c>
      <c r="N5" s="675">
        <v>45757.0</v>
      </c>
      <c r="O5" s="676" t="s">
        <v>3285</v>
      </c>
      <c r="P5" s="690">
        <v>46122.0</v>
      </c>
      <c r="Q5" s="672"/>
      <c r="R5" s="672"/>
      <c r="S5" s="673"/>
      <c r="T5" s="673"/>
      <c r="U5" s="673"/>
    </row>
    <row r="6" ht="15.75" customHeight="1">
      <c r="A6" s="660">
        <f>P6-'ATAS VIGENTES'!$A$1</f>
        <v>-45</v>
      </c>
      <c r="B6" s="713" t="s">
        <v>1266</v>
      </c>
      <c r="C6" s="663" t="s">
        <v>2730</v>
      </c>
      <c r="D6" s="403" t="s">
        <v>25</v>
      </c>
      <c r="E6" s="403" t="s">
        <v>3275</v>
      </c>
      <c r="F6" s="403" t="s">
        <v>2912</v>
      </c>
      <c r="G6" s="664" t="s">
        <v>3276</v>
      </c>
      <c r="H6" s="403" t="s">
        <v>3277</v>
      </c>
      <c r="I6" s="665" t="s">
        <v>3278</v>
      </c>
      <c r="J6" s="665" t="s">
        <v>3286</v>
      </c>
      <c r="K6" s="666" t="s">
        <v>3280</v>
      </c>
      <c r="L6" s="674">
        <v>2952.0</v>
      </c>
      <c r="M6" s="668">
        <v>45750.0</v>
      </c>
      <c r="N6" s="675">
        <v>45757.0</v>
      </c>
      <c r="O6" s="676" t="s">
        <v>3285</v>
      </c>
      <c r="P6" s="690">
        <v>46122.0</v>
      </c>
      <c r="Q6" s="672"/>
      <c r="R6" s="672"/>
      <c r="S6" s="673"/>
      <c r="T6" s="673"/>
      <c r="U6" s="673"/>
    </row>
    <row r="7" ht="15.75" customHeight="1">
      <c r="A7" s="660">
        <f>P7-'ATAS VIGENTES'!$A$1</f>
        <v>-45</v>
      </c>
      <c r="B7" s="713" t="s">
        <v>1280</v>
      </c>
      <c r="C7" s="663" t="s">
        <v>3287</v>
      </c>
      <c r="D7" s="403" t="s">
        <v>25</v>
      </c>
      <c r="E7" s="403" t="s">
        <v>3275</v>
      </c>
      <c r="F7" s="403" t="s">
        <v>2912</v>
      </c>
      <c r="G7" s="664" t="s">
        <v>3276</v>
      </c>
      <c r="H7" s="403" t="s">
        <v>3277</v>
      </c>
      <c r="I7" s="665" t="s">
        <v>3278</v>
      </c>
      <c r="J7" s="665" t="s">
        <v>3288</v>
      </c>
      <c r="K7" s="666" t="s">
        <v>3280</v>
      </c>
      <c r="L7" s="674">
        <v>2620.8</v>
      </c>
      <c r="M7" s="668">
        <v>45750.0</v>
      </c>
      <c r="N7" s="675">
        <v>45757.0</v>
      </c>
      <c r="O7" s="676" t="s">
        <v>3285</v>
      </c>
      <c r="P7" s="690">
        <v>46122.0</v>
      </c>
      <c r="Q7" s="672"/>
      <c r="R7" s="673"/>
      <c r="S7" s="673"/>
      <c r="T7" s="673"/>
      <c r="U7" s="673"/>
    </row>
    <row r="8" ht="15.75" customHeight="1">
      <c r="A8" s="660">
        <f>P8-'ATAS VIGENTES'!$A$1</f>
        <v>-219</v>
      </c>
      <c r="B8" s="713" t="s">
        <v>3289</v>
      </c>
      <c r="C8" s="663" t="s">
        <v>2982</v>
      </c>
      <c r="D8" s="403" t="s">
        <v>25</v>
      </c>
      <c r="E8" s="403" t="s">
        <v>3016</v>
      </c>
      <c r="F8" s="403" t="s">
        <v>2911</v>
      </c>
      <c r="G8" s="664" t="s">
        <v>2913</v>
      </c>
      <c r="H8" s="403" t="s">
        <v>2914</v>
      </c>
      <c r="I8" s="665" t="s">
        <v>2915</v>
      </c>
      <c r="J8" s="665" t="s">
        <v>3290</v>
      </c>
      <c r="K8" s="666" t="s">
        <v>2917</v>
      </c>
      <c r="L8" s="674">
        <v>7378.26</v>
      </c>
      <c r="M8" s="668">
        <v>45580.0</v>
      </c>
      <c r="N8" s="669">
        <v>45583.0</v>
      </c>
      <c r="O8" s="403" t="s">
        <v>3291</v>
      </c>
      <c r="P8" s="670">
        <v>45948.0</v>
      </c>
      <c r="Q8" s="673"/>
      <c r="R8" s="673"/>
      <c r="S8" s="673"/>
      <c r="T8" s="673"/>
      <c r="U8" s="673"/>
    </row>
    <row r="9" ht="15.75" customHeight="1">
      <c r="A9" s="660">
        <f>P9-'ATAS VIGENTES'!$A$1</f>
        <v>-80</v>
      </c>
      <c r="B9" s="713" t="s">
        <v>3292</v>
      </c>
      <c r="C9" s="663" t="s">
        <v>3293</v>
      </c>
      <c r="D9" s="403" t="s">
        <v>40</v>
      </c>
      <c r="E9" s="403" t="s">
        <v>3267</v>
      </c>
      <c r="F9" s="403" t="s">
        <v>2624</v>
      </c>
      <c r="G9" s="664" t="s">
        <v>3268</v>
      </c>
      <c r="H9" s="403" t="s">
        <v>3269</v>
      </c>
      <c r="I9" s="665" t="s">
        <v>3270</v>
      </c>
      <c r="J9" s="665" t="s">
        <v>3294</v>
      </c>
      <c r="K9" s="666" t="s">
        <v>3272</v>
      </c>
      <c r="L9" s="674">
        <v>3488.0</v>
      </c>
      <c r="M9" s="675">
        <v>45706.0</v>
      </c>
      <c r="N9" s="675">
        <v>45722.0</v>
      </c>
      <c r="O9" s="676" t="s">
        <v>3295</v>
      </c>
      <c r="P9" s="670">
        <v>46087.0</v>
      </c>
      <c r="Q9" s="672"/>
      <c r="R9" s="672"/>
      <c r="S9" s="673"/>
      <c r="T9" s="673"/>
      <c r="U9" s="673"/>
    </row>
    <row r="10" ht="15.75" customHeight="1">
      <c r="A10" s="660">
        <f>P10-'ATAS VIGENTES'!$A$1</f>
        <v>-80</v>
      </c>
      <c r="B10" s="713" t="s">
        <v>638</v>
      </c>
      <c r="C10" s="663" t="s">
        <v>3296</v>
      </c>
      <c r="D10" s="403" t="s">
        <v>40</v>
      </c>
      <c r="E10" s="403" t="s">
        <v>3267</v>
      </c>
      <c r="F10" s="403" t="s">
        <v>2624</v>
      </c>
      <c r="G10" s="664" t="s">
        <v>3268</v>
      </c>
      <c r="H10" s="403" t="s">
        <v>3269</v>
      </c>
      <c r="I10" s="665" t="s">
        <v>3270</v>
      </c>
      <c r="J10" s="665" t="s">
        <v>3297</v>
      </c>
      <c r="K10" s="666" t="s">
        <v>3272</v>
      </c>
      <c r="L10" s="674">
        <v>32805.0</v>
      </c>
      <c r="M10" s="668">
        <v>45705.0</v>
      </c>
      <c r="N10" s="675">
        <v>45722.0</v>
      </c>
      <c r="O10" s="676" t="s">
        <v>3295</v>
      </c>
      <c r="P10" s="670">
        <v>46087.0</v>
      </c>
      <c r="Q10" s="672"/>
      <c r="R10" s="672"/>
      <c r="S10" s="673"/>
      <c r="T10" s="673"/>
      <c r="U10" s="673"/>
    </row>
    <row r="11" ht="15.75" customHeight="1">
      <c r="A11" s="660">
        <f>P11-'ATAS VIGENTES'!$A$1</f>
        <v>-87</v>
      </c>
      <c r="B11" s="713" t="s">
        <v>967</v>
      </c>
      <c r="C11" s="663" t="s">
        <v>3298</v>
      </c>
      <c r="D11" s="403" t="s">
        <v>40</v>
      </c>
      <c r="E11" s="403" t="s">
        <v>3267</v>
      </c>
      <c r="F11" s="403" t="s">
        <v>2624</v>
      </c>
      <c r="G11" s="664" t="s">
        <v>3268</v>
      </c>
      <c r="H11" s="403" t="s">
        <v>3269</v>
      </c>
      <c r="I11" s="665" t="s">
        <v>3270</v>
      </c>
      <c r="J11" s="665" t="s">
        <v>3299</v>
      </c>
      <c r="K11" s="666" t="s">
        <v>3272</v>
      </c>
      <c r="L11" s="674">
        <v>10175.5</v>
      </c>
      <c r="M11" s="675">
        <v>45715.0</v>
      </c>
      <c r="N11" s="675">
        <v>45715.0</v>
      </c>
      <c r="O11" s="676" t="s">
        <v>3300</v>
      </c>
      <c r="P11" s="670">
        <v>46080.0</v>
      </c>
      <c r="Q11" s="672"/>
      <c r="R11" s="672"/>
      <c r="S11" s="673"/>
      <c r="T11" s="673"/>
      <c r="U11" s="673"/>
    </row>
    <row r="12" ht="15.75" customHeight="1">
      <c r="A12" s="660">
        <f>P12-'ATAS VIGENTES'!$A$1</f>
        <v>-93</v>
      </c>
      <c r="B12" s="713" t="s">
        <v>3301</v>
      </c>
      <c r="C12" s="663" t="s">
        <v>3302</v>
      </c>
      <c r="D12" s="403" t="s">
        <v>40</v>
      </c>
      <c r="E12" s="403" t="s">
        <v>2624</v>
      </c>
      <c r="F12" s="403" t="s">
        <v>3267</v>
      </c>
      <c r="G12" s="664" t="s">
        <v>3127</v>
      </c>
      <c r="H12" s="403" t="s">
        <v>3128</v>
      </c>
      <c r="I12" s="665" t="s">
        <v>3129</v>
      </c>
      <c r="J12" s="665" t="s">
        <v>3303</v>
      </c>
      <c r="K12" s="666" t="s">
        <v>3131</v>
      </c>
      <c r="L12" s="674">
        <v>12565.6</v>
      </c>
      <c r="M12" s="668">
        <v>45706.0</v>
      </c>
      <c r="N12" s="675">
        <v>45709.0</v>
      </c>
      <c r="O12" s="676" t="s">
        <v>3304</v>
      </c>
      <c r="P12" s="670">
        <v>46074.0</v>
      </c>
      <c r="Q12" s="672"/>
      <c r="R12" s="672"/>
      <c r="S12" s="673"/>
      <c r="T12" s="673"/>
      <c r="U12" s="673"/>
    </row>
    <row r="13" ht="15.75" customHeight="1">
      <c r="A13" s="660">
        <f>P13-'ATAS VIGENTES'!$A$1</f>
        <v>-101</v>
      </c>
      <c r="B13" s="713" t="s">
        <v>3305</v>
      </c>
      <c r="C13" s="663" t="s">
        <v>3306</v>
      </c>
      <c r="D13" s="403" t="s">
        <v>40</v>
      </c>
      <c r="E13" s="403" t="s">
        <v>2624</v>
      </c>
      <c r="F13" s="403" t="s">
        <v>3267</v>
      </c>
      <c r="G13" s="664" t="s">
        <v>3127</v>
      </c>
      <c r="H13" s="403" t="s">
        <v>3128</v>
      </c>
      <c r="I13" s="665" t="s">
        <v>3129</v>
      </c>
      <c r="J13" s="665" t="s">
        <v>3307</v>
      </c>
      <c r="K13" s="666" t="s">
        <v>3131</v>
      </c>
      <c r="L13" s="674">
        <v>16967.5</v>
      </c>
      <c r="M13" s="668">
        <v>45699.0</v>
      </c>
      <c r="N13" s="675">
        <v>45701.0</v>
      </c>
      <c r="O13" s="676" t="s">
        <v>3308</v>
      </c>
      <c r="P13" s="670">
        <v>46066.0</v>
      </c>
      <c r="Q13" s="672"/>
      <c r="R13" s="672"/>
      <c r="S13" s="673"/>
      <c r="T13" s="673"/>
      <c r="U13" s="673"/>
    </row>
    <row r="15" ht="15.75" customHeight="1">
      <c r="A15" s="660">
        <f>P15-'ATAS VIGENTES'!$A$1</f>
        <v>-101</v>
      </c>
      <c r="B15" s="713" t="s">
        <v>77</v>
      </c>
      <c r="C15" s="663" t="s">
        <v>3309</v>
      </c>
      <c r="D15" s="403" t="s">
        <v>40</v>
      </c>
      <c r="E15" s="403" t="s">
        <v>2624</v>
      </c>
      <c r="F15" s="403" t="s">
        <v>3267</v>
      </c>
      <c r="G15" s="664" t="s">
        <v>3127</v>
      </c>
      <c r="H15" s="403" t="s">
        <v>3128</v>
      </c>
      <c r="I15" s="665" t="s">
        <v>3129</v>
      </c>
      <c r="J15" s="665" t="s">
        <v>3310</v>
      </c>
      <c r="K15" s="666" t="s">
        <v>3131</v>
      </c>
      <c r="L15" s="674">
        <v>349.7</v>
      </c>
      <c r="M15" s="668">
        <v>45700.0</v>
      </c>
      <c r="N15" s="675">
        <v>45702.0</v>
      </c>
      <c r="O15" s="676" t="s">
        <v>3311</v>
      </c>
      <c r="P15" s="670">
        <v>46066.0</v>
      </c>
      <c r="Q15" s="672"/>
      <c r="R15" s="672"/>
      <c r="S15" s="673"/>
      <c r="T15" s="673"/>
      <c r="U15" s="673"/>
    </row>
    <row r="16" ht="15.75" customHeight="1">
      <c r="A16" s="660">
        <f>P16-'ATAS VIGENTES'!$A$1</f>
        <v>-101</v>
      </c>
      <c r="B16" s="713" t="s">
        <v>51</v>
      </c>
      <c r="C16" s="663" t="s">
        <v>3312</v>
      </c>
      <c r="D16" s="403" t="s">
        <v>40</v>
      </c>
      <c r="E16" s="403" t="s">
        <v>2624</v>
      </c>
      <c r="F16" s="403" t="s">
        <v>3267</v>
      </c>
      <c r="G16" s="664" t="s">
        <v>3127</v>
      </c>
      <c r="H16" s="403" t="s">
        <v>3128</v>
      </c>
      <c r="I16" s="665" t="s">
        <v>3129</v>
      </c>
      <c r="J16" s="665" t="s">
        <v>3313</v>
      </c>
      <c r="K16" s="666" t="s">
        <v>3131</v>
      </c>
      <c r="L16" s="674">
        <v>2640.0</v>
      </c>
      <c r="M16" s="668">
        <v>45699.0</v>
      </c>
      <c r="N16" s="675">
        <v>45701.0</v>
      </c>
      <c r="O16" s="676" t="s">
        <v>3308</v>
      </c>
      <c r="P16" s="670">
        <v>46066.0</v>
      </c>
      <c r="Q16" s="672"/>
      <c r="R16" s="672"/>
      <c r="S16" s="673"/>
      <c r="T16" s="673"/>
      <c r="U16" s="673"/>
    </row>
    <row r="17" ht="15.75" customHeight="1">
      <c r="A17" s="660">
        <f>P17-'ATAS VIGENTES'!$A$1</f>
        <v>-101</v>
      </c>
      <c r="B17" s="713" t="s">
        <v>985</v>
      </c>
      <c r="C17" s="663" t="s">
        <v>3314</v>
      </c>
      <c r="D17" s="403" t="s">
        <v>40</v>
      </c>
      <c r="E17" s="403" t="s">
        <v>2624</v>
      </c>
      <c r="F17" s="403" t="s">
        <v>3267</v>
      </c>
      <c r="G17" s="664" t="s">
        <v>3127</v>
      </c>
      <c r="H17" s="403" t="s">
        <v>3128</v>
      </c>
      <c r="I17" s="665" t="s">
        <v>3129</v>
      </c>
      <c r="J17" s="665" t="s">
        <v>3315</v>
      </c>
      <c r="K17" s="666" t="s">
        <v>3316</v>
      </c>
      <c r="L17" s="674">
        <v>27553.04</v>
      </c>
      <c r="M17" s="668">
        <v>45699.0</v>
      </c>
      <c r="N17" s="675">
        <v>45701.0</v>
      </c>
      <c r="O17" s="676" t="s">
        <v>3308</v>
      </c>
      <c r="P17" s="670">
        <v>46066.0</v>
      </c>
      <c r="Q17" s="672"/>
      <c r="R17" s="672"/>
      <c r="S17" s="673"/>
      <c r="T17" s="673"/>
      <c r="U17" s="673"/>
    </row>
    <row r="18" ht="15.75" customHeight="1">
      <c r="A18" s="660">
        <f>P18-'ATAS VIGENTES'!$A$1</f>
        <v>-96</v>
      </c>
      <c r="B18" s="713" t="s">
        <v>904</v>
      </c>
      <c r="C18" s="663" t="s">
        <v>3317</v>
      </c>
      <c r="D18" s="403" t="s">
        <v>40</v>
      </c>
      <c r="E18" s="403" t="s">
        <v>3267</v>
      </c>
      <c r="F18" s="403" t="s">
        <v>2624</v>
      </c>
      <c r="G18" s="664" t="s">
        <v>3268</v>
      </c>
      <c r="H18" s="403" t="s">
        <v>3269</v>
      </c>
      <c r="I18" s="665" t="s">
        <v>3270</v>
      </c>
      <c r="J18" s="665" t="s">
        <v>3318</v>
      </c>
      <c r="K18" s="666" t="s">
        <v>3272</v>
      </c>
      <c r="L18" s="674">
        <v>21692.0</v>
      </c>
      <c r="M18" s="675">
        <v>45705.0</v>
      </c>
      <c r="N18" s="675">
        <v>45706.0</v>
      </c>
      <c r="O18" s="676" t="s">
        <v>3319</v>
      </c>
      <c r="P18" s="670">
        <v>46071.0</v>
      </c>
      <c r="Q18" s="672"/>
      <c r="R18" s="672"/>
      <c r="S18" s="673"/>
      <c r="T18" s="673"/>
      <c r="U18" s="673"/>
    </row>
    <row r="19" ht="15.75" customHeight="1">
      <c r="A19" s="660">
        <f>P19-'ATAS VIGENTES'!$A$1</f>
        <v>-96</v>
      </c>
      <c r="B19" s="713" t="s">
        <v>3320</v>
      </c>
      <c r="C19" s="663" t="s">
        <v>3321</v>
      </c>
      <c r="D19" s="403" t="s">
        <v>40</v>
      </c>
      <c r="E19" s="403" t="s">
        <v>3267</v>
      </c>
      <c r="F19" s="403" t="s">
        <v>2624</v>
      </c>
      <c r="G19" s="664" t="s">
        <v>3268</v>
      </c>
      <c r="H19" s="403" t="s">
        <v>3269</v>
      </c>
      <c r="I19" s="665" t="s">
        <v>3270</v>
      </c>
      <c r="J19" s="665" t="s">
        <v>3322</v>
      </c>
      <c r="K19" s="666" t="s">
        <v>3272</v>
      </c>
      <c r="L19" s="674">
        <v>44211.5</v>
      </c>
      <c r="M19" s="675">
        <v>45705.0</v>
      </c>
      <c r="N19" s="675">
        <v>45706.0</v>
      </c>
      <c r="O19" s="676" t="s">
        <v>3319</v>
      </c>
      <c r="P19" s="670">
        <v>46071.0</v>
      </c>
      <c r="Q19" s="672"/>
      <c r="R19" s="672"/>
      <c r="S19" s="673"/>
      <c r="T19" s="673"/>
      <c r="U19" s="673"/>
    </row>
    <row r="20" ht="15.75" customHeight="1">
      <c r="A20" s="660">
        <f>P20-'ATAS VIGENTES'!$A$1</f>
        <v>-96</v>
      </c>
      <c r="B20" s="713" t="s">
        <v>3323</v>
      </c>
      <c r="C20" s="663" t="s">
        <v>3324</v>
      </c>
      <c r="D20" s="403" t="s">
        <v>40</v>
      </c>
      <c r="E20" s="403" t="s">
        <v>3267</v>
      </c>
      <c r="F20" s="403" t="s">
        <v>2624</v>
      </c>
      <c r="G20" s="664" t="s">
        <v>3268</v>
      </c>
      <c r="H20" s="403" t="s">
        <v>3269</v>
      </c>
      <c r="I20" s="665" t="s">
        <v>3270</v>
      </c>
      <c r="J20" s="665" t="s">
        <v>3325</v>
      </c>
      <c r="K20" s="666" t="s">
        <v>3272</v>
      </c>
      <c r="L20" s="674">
        <v>35690.4</v>
      </c>
      <c r="M20" s="675">
        <v>45706.0</v>
      </c>
      <c r="N20" s="675">
        <v>45706.0</v>
      </c>
      <c r="O20" s="676" t="s">
        <v>3319</v>
      </c>
      <c r="P20" s="670">
        <v>46071.0</v>
      </c>
      <c r="Q20" s="672"/>
      <c r="R20" s="672"/>
      <c r="S20" s="673"/>
      <c r="T20" s="673"/>
      <c r="U20" s="673"/>
    </row>
    <row r="21" ht="15.75" customHeight="1">
      <c r="A21" s="660">
        <f>P21-'ATAS VIGENTES'!$A$1</f>
        <v>-96</v>
      </c>
      <c r="B21" s="713" t="s">
        <v>3326</v>
      </c>
      <c r="C21" s="663" t="s">
        <v>3327</v>
      </c>
      <c r="D21" s="403" t="s">
        <v>40</v>
      </c>
      <c r="E21" s="403" t="s">
        <v>3267</v>
      </c>
      <c r="F21" s="403" t="s">
        <v>2624</v>
      </c>
      <c r="G21" s="664" t="s">
        <v>3268</v>
      </c>
      <c r="H21" s="403" t="s">
        <v>3269</v>
      </c>
      <c r="I21" s="665" t="s">
        <v>3270</v>
      </c>
      <c r="J21" s="665" t="s">
        <v>3328</v>
      </c>
      <c r="K21" s="666" t="s">
        <v>3272</v>
      </c>
      <c r="L21" s="674">
        <v>11218.0</v>
      </c>
      <c r="M21" s="668">
        <v>45702.0</v>
      </c>
      <c r="N21" s="675">
        <v>45706.0</v>
      </c>
      <c r="O21" s="676" t="s">
        <v>3319</v>
      </c>
      <c r="P21" s="670">
        <v>46071.0</v>
      </c>
      <c r="Q21" s="672"/>
      <c r="R21" s="672"/>
      <c r="S21" s="673"/>
      <c r="T21" s="673"/>
      <c r="U21" s="673"/>
    </row>
    <row r="22" ht="15.75" customHeight="1">
      <c r="A22" s="660">
        <f>P22-'ATAS VIGENTES'!$A$1</f>
        <v>-93</v>
      </c>
      <c r="B22" s="713" t="s">
        <v>3329</v>
      </c>
      <c r="C22" s="663" t="s">
        <v>3330</v>
      </c>
      <c r="D22" s="403" t="s">
        <v>40</v>
      </c>
      <c r="E22" s="403" t="s">
        <v>3267</v>
      </c>
      <c r="F22" s="403" t="s">
        <v>2624</v>
      </c>
      <c r="G22" s="664" t="s">
        <v>3268</v>
      </c>
      <c r="H22" s="403" t="s">
        <v>3269</v>
      </c>
      <c r="I22" s="665" t="s">
        <v>3270</v>
      </c>
      <c r="J22" s="665" t="s">
        <v>3331</v>
      </c>
      <c r="K22" s="666" t="s">
        <v>3272</v>
      </c>
      <c r="L22" s="674">
        <v>2640.0</v>
      </c>
      <c r="M22" s="675">
        <v>45706.0</v>
      </c>
      <c r="N22" s="675">
        <v>45709.0</v>
      </c>
      <c r="O22" s="676" t="s">
        <v>3304</v>
      </c>
      <c r="P22" s="670">
        <v>46074.0</v>
      </c>
      <c r="Q22" s="672"/>
      <c r="R22" s="672"/>
      <c r="S22" s="673"/>
      <c r="T22" s="673"/>
      <c r="U22" s="673"/>
    </row>
    <row r="23" ht="15.75" customHeight="1">
      <c r="A23" s="660">
        <f>P23-'ATAS VIGENTES'!$A$1</f>
        <v>-96</v>
      </c>
      <c r="B23" s="713" t="s">
        <v>650</v>
      </c>
      <c r="C23" s="663" t="s">
        <v>3332</v>
      </c>
      <c r="D23" s="403" t="s">
        <v>40</v>
      </c>
      <c r="E23" s="403" t="s">
        <v>3267</v>
      </c>
      <c r="F23" s="403" t="s">
        <v>2624</v>
      </c>
      <c r="G23" s="664" t="s">
        <v>3268</v>
      </c>
      <c r="H23" s="403" t="s">
        <v>3269</v>
      </c>
      <c r="I23" s="665" t="s">
        <v>3270</v>
      </c>
      <c r="J23" s="665" t="s">
        <v>3333</v>
      </c>
      <c r="K23" s="666" t="s">
        <v>3272</v>
      </c>
      <c r="L23" s="674">
        <v>6200.0</v>
      </c>
      <c r="M23" s="668">
        <v>45705.0</v>
      </c>
      <c r="N23" s="675">
        <v>45706.0</v>
      </c>
      <c r="O23" s="676" t="s">
        <v>3319</v>
      </c>
      <c r="P23" s="670">
        <v>46071.0</v>
      </c>
      <c r="Q23" s="672"/>
      <c r="R23" s="672"/>
      <c r="S23" s="673"/>
      <c r="T23" s="673"/>
      <c r="U23" s="673"/>
    </row>
    <row r="24" ht="15.75" customHeight="1">
      <c r="A24" s="660">
        <f>P24-'ATAS VIGENTES'!$A$1</f>
        <v>-90</v>
      </c>
      <c r="B24" s="713" t="s">
        <v>3334</v>
      </c>
      <c r="C24" s="663" t="s">
        <v>3335</v>
      </c>
      <c r="D24" s="403" t="s">
        <v>40</v>
      </c>
      <c r="E24" s="403" t="s">
        <v>3267</v>
      </c>
      <c r="F24" s="403" t="s">
        <v>2624</v>
      </c>
      <c r="G24" s="664" t="s">
        <v>3268</v>
      </c>
      <c r="H24" s="403" t="s">
        <v>3269</v>
      </c>
      <c r="I24" s="665" t="s">
        <v>3270</v>
      </c>
      <c r="J24" s="665" t="s">
        <v>3336</v>
      </c>
      <c r="K24" s="666" t="s">
        <v>3272</v>
      </c>
      <c r="L24" s="674">
        <v>15840.0</v>
      </c>
      <c r="M24" s="668">
        <v>45709.0</v>
      </c>
      <c r="N24" s="675">
        <v>45712.0</v>
      </c>
      <c r="O24" s="676" t="s">
        <v>3337</v>
      </c>
      <c r="P24" s="670">
        <v>46077.0</v>
      </c>
      <c r="Q24" s="672"/>
      <c r="R24" s="672"/>
      <c r="S24" s="673"/>
      <c r="T24" s="673"/>
      <c r="U24" s="673"/>
    </row>
    <row r="25" ht="84.0" customHeight="1">
      <c r="A25" s="660">
        <f>P25-'ATAS VIGENTES'!$A$1</f>
        <v>-97</v>
      </c>
      <c r="B25" s="713" t="s">
        <v>625</v>
      </c>
      <c r="C25" s="663" t="s">
        <v>3338</v>
      </c>
      <c r="D25" s="403" t="s">
        <v>40</v>
      </c>
      <c r="E25" s="403" t="s">
        <v>3267</v>
      </c>
      <c r="F25" s="403" t="s">
        <v>2624</v>
      </c>
      <c r="G25" s="664" t="s">
        <v>3268</v>
      </c>
      <c r="H25" s="403" t="s">
        <v>3269</v>
      </c>
      <c r="I25" s="665" t="s">
        <v>3270</v>
      </c>
      <c r="J25" s="665" t="s">
        <v>3339</v>
      </c>
      <c r="K25" s="666" t="s">
        <v>3272</v>
      </c>
      <c r="L25" s="674">
        <v>47600.0</v>
      </c>
      <c r="M25" s="668">
        <v>45705.0</v>
      </c>
      <c r="N25" s="675">
        <v>45705.0</v>
      </c>
      <c r="O25" s="676" t="s">
        <v>3340</v>
      </c>
      <c r="P25" s="670">
        <v>46070.0</v>
      </c>
      <c r="Q25" s="672"/>
      <c r="R25" s="672"/>
      <c r="S25" s="673"/>
      <c r="T25" s="673"/>
      <c r="U25" s="673"/>
    </row>
    <row r="26" ht="15.75" customHeight="1">
      <c r="A26" s="660">
        <f>P26-'ATAS VIGENTES'!$A$1</f>
        <v>-130</v>
      </c>
      <c r="B26" s="713" t="s">
        <v>528</v>
      </c>
      <c r="C26" s="663" t="s">
        <v>3341</v>
      </c>
      <c r="D26" s="403" t="s">
        <v>25</v>
      </c>
      <c r="E26" s="403" t="s">
        <v>2912</v>
      </c>
      <c r="F26" s="403" t="s">
        <v>104</v>
      </c>
      <c r="G26" s="664" t="s">
        <v>3342</v>
      </c>
      <c r="H26" s="403" t="s">
        <v>3343</v>
      </c>
      <c r="I26" s="665" t="s">
        <v>3344</v>
      </c>
      <c r="J26" s="665" t="s">
        <v>3345</v>
      </c>
      <c r="K26" s="666" t="s">
        <v>3346</v>
      </c>
      <c r="L26" s="674">
        <v>41083.2</v>
      </c>
      <c r="M26" s="668">
        <v>45667.0</v>
      </c>
      <c r="N26" s="675">
        <v>45672.0</v>
      </c>
      <c r="O26" s="676" t="s">
        <v>3347</v>
      </c>
      <c r="P26" s="670">
        <v>46037.0</v>
      </c>
      <c r="Q26" s="672"/>
      <c r="R26" s="672"/>
      <c r="S26" s="673"/>
      <c r="T26" s="673"/>
      <c r="U26" s="673"/>
    </row>
    <row r="27" ht="47.25" customHeight="1">
      <c r="A27" s="660">
        <f>P27-'ATAS VIGENTES'!$A$1</f>
        <v>-159</v>
      </c>
      <c r="B27" s="713" t="s">
        <v>3348</v>
      </c>
      <c r="C27" s="663" t="s">
        <v>3349</v>
      </c>
      <c r="D27" s="403" t="s">
        <v>40</v>
      </c>
      <c r="E27" s="403" t="s">
        <v>3267</v>
      </c>
      <c r="F27" s="403" t="s">
        <v>2624</v>
      </c>
      <c r="G27" s="664" t="s">
        <v>3350</v>
      </c>
      <c r="H27" s="403" t="s">
        <v>3351</v>
      </c>
      <c r="I27" s="665" t="s">
        <v>3352</v>
      </c>
      <c r="J27" s="714" t="s">
        <v>3353</v>
      </c>
      <c r="K27" s="666" t="s">
        <v>3354</v>
      </c>
      <c r="L27" s="674">
        <v>9740.0</v>
      </c>
      <c r="M27" s="668">
        <v>45643.0</v>
      </c>
      <c r="N27" s="675">
        <v>45695.0</v>
      </c>
      <c r="O27" s="676" t="s">
        <v>3355</v>
      </c>
      <c r="P27" s="670">
        <v>46008.0</v>
      </c>
      <c r="Q27" s="672"/>
      <c r="R27" s="672"/>
      <c r="S27" s="673"/>
      <c r="T27" s="673"/>
      <c r="U27" s="673"/>
    </row>
    <row r="28" ht="15.75" customHeight="1">
      <c r="A28" s="660">
        <f>P28-'ATAS VIGENTES'!$A$1</f>
        <v>-159</v>
      </c>
      <c r="B28" s="713" t="s">
        <v>3356</v>
      </c>
      <c r="C28" s="663" t="s">
        <v>3357</v>
      </c>
      <c r="D28" s="403" t="s">
        <v>40</v>
      </c>
      <c r="E28" s="403" t="s">
        <v>3267</v>
      </c>
      <c r="F28" s="403" t="s">
        <v>2624</v>
      </c>
      <c r="G28" s="664" t="s">
        <v>3350</v>
      </c>
      <c r="H28" s="403" t="s">
        <v>3351</v>
      </c>
      <c r="I28" s="665" t="s">
        <v>3352</v>
      </c>
      <c r="J28" s="665" t="s">
        <v>3358</v>
      </c>
      <c r="K28" s="666" t="s">
        <v>3354</v>
      </c>
      <c r="L28" s="674">
        <v>2444.1</v>
      </c>
      <c r="M28" s="668">
        <v>45643.0</v>
      </c>
      <c r="N28" s="675">
        <v>45695.0</v>
      </c>
      <c r="O28" s="676" t="s">
        <v>3359</v>
      </c>
      <c r="P28" s="670">
        <v>46008.0</v>
      </c>
      <c r="Q28" s="672"/>
      <c r="R28" s="672"/>
      <c r="S28" s="673"/>
      <c r="T28" s="673"/>
      <c r="U28" s="673"/>
    </row>
    <row r="29" ht="15.75" customHeight="1">
      <c r="A29" s="660">
        <f>P29-'ATAS VIGENTES'!$A$1</f>
        <v>-156</v>
      </c>
      <c r="B29" s="713" t="s">
        <v>3360</v>
      </c>
      <c r="C29" s="663" t="s">
        <v>3361</v>
      </c>
      <c r="D29" s="403" t="s">
        <v>40</v>
      </c>
      <c r="E29" s="403" t="s">
        <v>3267</v>
      </c>
      <c r="F29" s="403" t="s">
        <v>2624</v>
      </c>
      <c r="G29" s="664" t="s">
        <v>3350</v>
      </c>
      <c r="H29" s="403" t="s">
        <v>3351</v>
      </c>
      <c r="I29" s="665" t="s">
        <v>3352</v>
      </c>
      <c r="J29" s="665" t="s">
        <v>3362</v>
      </c>
      <c r="K29" s="666" t="s">
        <v>3354</v>
      </c>
      <c r="L29" s="674">
        <v>331521.98</v>
      </c>
      <c r="M29" s="668">
        <v>45646.0</v>
      </c>
      <c r="N29" s="675">
        <v>45695.0</v>
      </c>
      <c r="O29" s="676" t="s">
        <v>3363</v>
      </c>
      <c r="P29" s="670">
        <v>46011.0</v>
      </c>
      <c r="Q29" s="672"/>
      <c r="R29" s="672"/>
      <c r="S29" s="673"/>
      <c r="T29" s="673"/>
      <c r="U29" s="673"/>
    </row>
    <row r="30" ht="15.75" customHeight="1">
      <c r="A30" s="660">
        <f>P30-'ATAS VIGENTES'!$A$1</f>
        <v>-173</v>
      </c>
      <c r="B30" s="713" t="s">
        <v>3364</v>
      </c>
      <c r="C30" s="663" t="s">
        <v>3365</v>
      </c>
      <c r="D30" s="403" t="s">
        <v>40</v>
      </c>
      <c r="E30" s="403" t="s">
        <v>3267</v>
      </c>
      <c r="F30" s="403" t="s">
        <v>2624</v>
      </c>
      <c r="G30" s="664" t="s">
        <v>3366</v>
      </c>
      <c r="H30" s="403" t="s">
        <v>3367</v>
      </c>
      <c r="I30" s="665" t="s">
        <v>3368</v>
      </c>
      <c r="J30" s="665" t="s">
        <v>3369</v>
      </c>
      <c r="K30" s="666" t="s">
        <v>3370</v>
      </c>
      <c r="L30" s="674">
        <v>9600.0</v>
      </c>
      <c r="M30" s="668">
        <v>45628.0</v>
      </c>
      <c r="N30" s="675">
        <v>45629.0</v>
      </c>
      <c r="O30" s="676" t="s">
        <v>3371</v>
      </c>
      <c r="P30" s="670">
        <v>45994.0</v>
      </c>
      <c r="Q30" s="672"/>
      <c r="R30" s="672"/>
      <c r="S30" s="673"/>
      <c r="T30" s="673"/>
      <c r="U30" s="673"/>
    </row>
    <row r="31" ht="15.75" customHeight="1">
      <c r="A31" s="660">
        <f>P31-'ATAS VIGENTES'!$A$1</f>
        <v>-170</v>
      </c>
      <c r="B31" s="713" t="s">
        <v>3372</v>
      </c>
      <c r="C31" s="663" t="s">
        <v>3373</v>
      </c>
      <c r="D31" s="403" t="s">
        <v>40</v>
      </c>
      <c r="E31" s="403" t="s">
        <v>3267</v>
      </c>
      <c r="F31" s="403" t="s">
        <v>2624</v>
      </c>
      <c r="G31" s="664" t="s">
        <v>3366</v>
      </c>
      <c r="H31" s="403" t="s">
        <v>3367</v>
      </c>
      <c r="I31" s="665" t="s">
        <v>3368</v>
      </c>
      <c r="J31" s="665" t="s">
        <v>3374</v>
      </c>
      <c r="K31" s="666" t="s">
        <v>3370</v>
      </c>
      <c r="L31" s="674">
        <v>204000.0</v>
      </c>
      <c r="M31" s="668">
        <v>45631.0</v>
      </c>
      <c r="N31" s="675">
        <v>45632.0</v>
      </c>
      <c r="O31" s="676" t="s">
        <v>3375</v>
      </c>
      <c r="P31" s="670">
        <v>45997.0</v>
      </c>
      <c r="Q31" s="672"/>
      <c r="R31" s="672"/>
      <c r="S31" s="673"/>
      <c r="T31" s="673"/>
      <c r="U31" s="673"/>
    </row>
    <row r="32" ht="15.75" customHeight="1">
      <c r="A32" s="660">
        <f>P32-'ATAS VIGENTES'!$A$1</f>
        <v>-181</v>
      </c>
      <c r="B32" s="713" t="s">
        <v>3376</v>
      </c>
      <c r="C32" s="663" t="s">
        <v>3377</v>
      </c>
      <c r="D32" s="403" t="s">
        <v>40</v>
      </c>
      <c r="E32" s="403" t="s">
        <v>3267</v>
      </c>
      <c r="F32" s="403" t="s">
        <v>2624</v>
      </c>
      <c r="G32" s="664" t="s">
        <v>3378</v>
      </c>
      <c r="H32" s="403" t="s">
        <v>3379</v>
      </c>
      <c r="I32" s="665" t="s">
        <v>3380</v>
      </c>
      <c r="J32" s="665" t="s">
        <v>3381</v>
      </c>
      <c r="K32" s="666" t="s">
        <v>3382</v>
      </c>
      <c r="L32" s="674">
        <v>5015.5</v>
      </c>
      <c r="M32" s="668">
        <v>45621.0</v>
      </c>
      <c r="N32" s="675">
        <v>45623.0</v>
      </c>
      <c r="O32" s="676" t="s">
        <v>3383</v>
      </c>
      <c r="P32" s="670">
        <v>45986.0</v>
      </c>
      <c r="Q32" s="672"/>
      <c r="R32" s="672"/>
      <c r="S32" s="673"/>
      <c r="T32" s="673"/>
      <c r="U32" s="673"/>
    </row>
    <row r="33" ht="15.75" customHeight="1">
      <c r="A33" s="660">
        <f>P33-'ATAS VIGENTES'!$A$1</f>
        <v>-180</v>
      </c>
      <c r="B33" s="713" t="s">
        <v>3384</v>
      </c>
      <c r="C33" s="663" t="s">
        <v>3385</v>
      </c>
      <c r="D33" s="403" t="s">
        <v>40</v>
      </c>
      <c r="E33" s="403" t="s">
        <v>3267</v>
      </c>
      <c r="F33" s="403" t="s">
        <v>2624</v>
      </c>
      <c r="G33" s="664" t="s">
        <v>3378</v>
      </c>
      <c r="H33" s="403" t="s">
        <v>3379</v>
      </c>
      <c r="I33" s="665" t="s">
        <v>3380</v>
      </c>
      <c r="J33" s="665" t="s">
        <v>3386</v>
      </c>
      <c r="K33" s="666" t="s">
        <v>3382</v>
      </c>
      <c r="L33" s="674">
        <v>45000.0</v>
      </c>
      <c r="M33" s="668">
        <v>45622.0</v>
      </c>
      <c r="N33" s="675">
        <v>45623.0</v>
      </c>
      <c r="O33" s="676" t="s">
        <v>3387</v>
      </c>
      <c r="P33" s="670">
        <v>45987.0</v>
      </c>
      <c r="Q33" s="672"/>
      <c r="R33" s="672"/>
      <c r="S33" s="673"/>
      <c r="T33" s="673"/>
      <c r="U33" s="673"/>
    </row>
    <row r="34" ht="15.75" customHeight="1">
      <c r="A34" s="660">
        <f>P34-'ATAS VIGENTES'!$A$1</f>
        <v>-181</v>
      </c>
      <c r="B34" s="713" t="s">
        <v>3388</v>
      </c>
      <c r="C34" s="663" t="s">
        <v>3389</v>
      </c>
      <c r="D34" s="403" t="s">
        <v>40</v>
      </c>
      <c r="E34" s="403" t="s">
        <v>3267</v>
      </c>
      <c r="F34" s="403" t="s">
        <v>2624</v>
      </c>
      <c r="G34" s="664" t="s">
        <v>3378</v>
      </c>
      <c r="H34" s="403" t="s">
        <v>3379</v>
      </c>
      <c r="I34" s="665" t="s">
        <v>3380</v>
      </c>
      <c r="J34" s="665" t="s">
        <v>3390</v>
      </c>
      <c r="K34" s="666" t="s">
        <v>3382</v>
      </c>
      <c r="L34" s="674">
        <v>91500.0</v>
      </c>
      <c r="M34" s="668">
        <v>45621.0</v>
      </c>
      <c r="N34" s="675">
        <v>45623.0</v>
      </c>
      <c r="O34" s="676" t="s">
        <v>3383</v>
      </c>
      <c r="P34" s="670">
        <v>45986.0</v>
      </c>
      <c r="Q34" s="672"/>
      <c r="R34" s="672"/>
      <c r="S34" s="673"/>
      <c r="T34" s="673"/>
      <c r="U34" s="673"/>
    </row>
    <row r="35" ht="15.75" customHeight="1">
      <c r="A35" s="660">
        <f>P35-'ATAS VIGENTES'!$A$1</f>
        <v>-181</v>
      </c>
      <c r="B35" s="713" t="s">
        <v>3391</v>
      </c>
      <c r="C35" s="663" t="s">
        <v>3392</v>
      </c>
      <c r="D35" s="403" t="s">
        <v>40</v>
      </c>
      <c r="E35" s="403" t="s">
        <v>3267</v>
      </c>
      <c r="F35" s="403" t="s">
        <v>2624</v>
      </c>
      <c r="G35" s="664" t="s">
        <v>3378</v>
      </c>
      <c r="H35" s="403" t="s">
        <v>3379</v>
      </c>
      <c r="I35" s="665" t="s">
        <v>3380</v>
      </c>
      <c r="J35" s="665" t="s">
        <v>3393</v>
      </c>
      <c r="K35" s="666" t="s">
        <v>3382</v>
      </c>
      <c r="L35" s="674">
        <v>283480.0</v>
      </c>
      <c r="M35" s="668">
        <v>45621.0</v>
      </c>
      <c r="N35" s="675">
        <v>45623.0</v>
      </c>
      <c r="O35" s="676" t="s">
        <v>3383</v>
      </c>
      <c r="P35" s="670">
        <v>45986.0</v>
      </c>
      <c r="Q35" s="672"/>
      <c r="R35" s="672"/>
      <c r="S35" s="673"/>
      <c r="T35" s="673"/>
      <c r="U35" s="673"/>
    </row>
    <row r="36" ht="15.75" customHeight="1">
      <c r="A36" s="660">
        <f>P36-'ATAS VIGENTES'!$A$1</f>
        <v>-195</v>
      </c>
      <c r="B36" s="713" t="s">
        <v>3394</v>
      </c>
      <c r="C36" s="663" t="s">
        <v>3395</v>
      </c>
      <c r="D36" s="403" t="s">
        <v>3051</v>
      </c>
      <c r="E36" s="403" t="s">
        <v>3016</v>
      </c>
      <c r="F36" s="403" t="s">
        <v>2911</v>
      </c>
      <c r="G36" s="664" t="s">
        <v>3041</v>
      </c>
      <c r="H36" s="403" t="s">
        <v>3042</v>
      </c>
      <c r="I36" s="665" t="s">
        <v>3043</v>
      </c>
      <c r="J36" s="665" t="s">
        <v>3396</v>
      </c>
      <c r="K36" s="666" t="s">
        <v>2998</v>
      </c>
      <c r="L36" s="674">
        <v>7176.0</v>
      </c>
      <c r="M36" s="668">
        <v>45601.0</v>
      </c>
      <c r="N36" s="669">
        <v>45607.0</v>
      </c>
      <c r="O36" s="403" t="s">
        <v>3397</v>
      </c>
      <c r="P36" s="670">
        <v>45972.0</v>
      </c>
      <c r="Q36" s="672"/>
      <c r="R36" s="672"/>
      <c r="S36" s="673"/>
      <c r="T36" s="673"/>
      <c r="U36" s="673"/>
    </row>
    <row r="37" ht="15.75" customHeight="1">
      <c r="A37" s="660">
        <f>P37-'ATAS VIGENTES'!$A$1</f>
        <v>-195</v>
      </c>
      <c r="B37" s="713" t="s">
        <v>3398</v>
      </c>
      <c r="C37" s="663" t="s">
        <v>3399</v>
      </c>
      <c r="D37" s="403" t="s">
        <v>3051</v>
      </c>
      <c r="E37" s="403" t="s">
        <v>3016</v>
      </c>
      <c r="F37" s="403" t="s">
        <v>2911</v>
      </c>
      <c r="G37" s="664" t="s">
        <v>3041</v>
      </c>
      <c r="H37" s="403" t="s">
        <v>3042</v>
      </c>
      <c r="I37" s="665" t="s">
        <v>3043</v>
      </c>
      <c r="J37" s="665" t="s">
        <v>3400</v>
      </c>
      <c r="K37" s="666" t="s">
        <v>2998</v>
      </c>
      <c r="L37" s="674">
        <v>15600.0</v>
      </c>
      <c r="M37" s="668">
        <v>45601.0</v>
      </c>
      <c r="N37" s="669">
        <v>45607.0</v>
      </c>
      <c r="O37" s="403" t="s">
        <v>3397</v>
      </c>
      <c r="P37" s="670">
        <v>45972.0</v>
      </c>
      <c r="Q37" s="672"/>
      <c r="R37" s="672"/>
      <c r="S37" s="673"/>
      <c r="T37" s="673"/>
      <c r="U37" s="673"/>
    </row>
    <row r="38" ht="15.75" customHeight="1">
      <c r="A38" s="660">
        <f>P38-'ATAS VIGENTES'!$A$1</f>
        <v>-188</v>
      </c>
      <c r="B38" s="713" t="s">
        <v>3401</v>
      </c>
      <c r="C38" s="663" t="s">
        <v>3402</v>
      </c>
      <c r="D38" s="403" t="s">
        <v>3051</v>
      </c>
      <c r="E38" s="403" t="s">
        <v>3016</v>
      </c>
      <c r="F38" s="403" t="s">
        <v>2911</v>
      </c>
      <c r="G38" s="664" t="s">
        <v>3041</v>
      </c>
      <c r="H38" s="403" t="s">
        <v>3042</v>
      </c>
      <c r="I38" s="665" t="s">
        <v>3043</v>
      </c>
      <c r="J38" s="665" t="s">
        <v>3403</v>
      </c>
      <c r="K38" s="666" t="s">
        <v>2998</v>
      </c>
      <c r="L38" s="674">
        <v>8113.2</v>
      </c>
      <c r="M38" s="668">
        <v>45604.0</v>
      </c>
      <c r="N38" s="669">
        <v>45614.0</v>
      </c>
      <c r="O38" s="403" t="s">
        <v>3404</v>
      </c>
      <c r="P38" s="670">
        <v>45979.0</v>
      </c>
      <c r="Q38" s="672"/>
      <c r="R38" s="672"/>
      <c r="S38" s="673"/>
      <c r="T38" s="673"/>
      <c r="U38" s="673"/>
    </row>
    <row r="39" ht="15.75" customHeight="1">
      <c r="A39" s="660">
        <f>P39-'ATAS VIGENTES'!$A$1</f>
        <v>-195</v>
      </c>
      <c r="B39" s="713" t="s">
        <v>3405</v>
      </c>
      <c r="C39" s="663" t="s">
        <v>3406</v>
      </c>
      <c r="D39" s="403" t="s">
        <v>3051</v>
      </c>
      <c r="E39" s="403" t="s">
        <v>3016</v>
      </c>
      <c r="F39" s="403" t="s">
        <v>2911</v>
      </c>
      <c r="G39" s="664" t="s">
        <v>3041</v>
      </c>
      <c r="H39" s="403" t="s">
        <v>3042</v>
      </c>
      <c r="I39" s="665" t="s">
        <v>3043</v>
      </c>
      <c r="J39" s="665" t="s">
        <v>3407</v>
      </c>
      <c r="K39" s="666" t="s">
        <v>2998</v>
      </c>
      <c r="L39" s="674">
        <v>17976.0</v>
      </c>
      <c r="M39" s="668">
        <v>45603.0</v>
      </c>
      <c r="N39" s="669">
        <v>45607.0</v>
      </c>
      <c r="O39" s="403" t="s">
        <v>3397</v>
      </c>
      <c r="P39" s="670">
        <v>45972.0</v>
      </c>
      <c r="Q39" s="672"/>
      <c r="R39" s="672"/>
      <c r="S39" s="673"/>
      <c r="T39" s="673"/>
      <c r="U39" s="673"/>
    </row>
    <row r="40" ht="15.75" customHeight="1">
      <c r="A40" s="660">
        <f>P40-'ATAS VIGENTES'!$A$1</f>
        <v>-179</v>
      </c>
      <c r="B40" s="713" t="s">
        <v>3408</v>
      </c>
      <c r="C40" s="663" t="s">
        <v>3409</v>
      </c>
      <c r="D40" s="403" t="s">
        <v>3051</v>
      </c>
      <c r="E40" s="403" t="s">
        <v>3016</v>
      </c>
      <c r="F40" s="403" t="s">
        <v>2911</v>
      </c>
      <c r="G40" s="664" t="s">
        <v>3041</v>
      </c>
      <c r="H40" s="403" t="s">
        <v>3042</v>
      </c>
      <c r="I40" s="665" t="s">
        <v>3043</v>
      </c>
      <c r="J40" s="665" t="s">
        <v>3410</v>
      </c>
      <c r="K40" s="666" t="s">
        <v>2998</v>
      </c>
      <c r="L40" s="674">
        <v>16827.0</v>
      </c>
      <c r="M40" s="668">
        <v>45615.0</v>
      </c>
      <c r="N40" s="669">
        <v>45623.0</v>
      </c>
      <c r="O40" s="403" t="s">
        <v>3411</v>
      </c>
      <c r="P40" s="670">
        <v>45988.0</v>
      </c>
      <c r="Q40" s="672"/>
      <c r="R40" s="672"/>
      <c r="S40" s="673"/>
      <c r="T40" s="673"/>
      <c r="U40" s="673"/>
    </row>
    <row r="41" ht="15.75" customHeight="1">
      <c r="A41" s="660">
        <f>P41-'ATAS VIGENTES'!$A$1</f>
        <v>-195</v>
      </c>
      <c r="B41" s="713" t="s">
        <v>3412</v>
      </c>
      <c r="C41" s="663" t="s">
        <v>3413</v>
      </c>
      <c r="D41" s="403" t="s">
        <v>25</v>
      </c>
      <c r="E41" s="403" t="s">
        <v>3016</v>
      </c>
      <c r="F41" s="403" t="s">
        <v>2911</v>
      </c>
      <c r="G41" s="664" t="s">
        <v>3041</v>
      </c>
      <c r="H41" s="403" t="s">
        <v>3042</v>
      </c>
      <c r="I41" s="665" t="s">
        <v>3043</v>
      </c>
      <c r="J41" s="665" t="s">
        <v>3414</v>
      </c>
      <c r="K41" s="666" t="s">
        <v>2998</v>
      </c>
      <c r="L41" s="674">
        <v>5327.88</v>
      </c>
      <c r="M41" s="668">
        <v>45600.0</v>
      </c>
      <c r="N41" s="669">
        <v>45607.0</v>
      </c>
      <c r="O41" s="403" t="s">
        <v>3397</v>
      </c>
      <c r="P41" s="670">
        <v>45972.0</v>
      </c>
      <c r="Q41" s="672"/>
      <c r="R41" s="672"/>
      <c r="S41" s="673"/>
      <c r="T41" s="673"/>
      <c r="U41" s="673"/>
    </row>
    <row r="42" ht="117.75" customHeight="1">
      <c r="A42" s="660">
        <f>P42-'ATAS VIGENTES'!$A$1</f>
        <v>-208</v>
      </c>
      <c r="B42" s="715" t="s">
        <v>3014</v>
      </c>
      <c r="C42" s="663" t="s">
        <v>3015</v>
      </c>
      <c r="D42" s="403" t="s">
        <v>25</v>
      </c>
      <c r="E42" s="403" t="s">
        <v>3016</v>
      </c>
      <c r="F42" s="403" t="s">
        <v>2911</v>
      </c>
      <c r="G42" s="664" t="s">
        <v>2995</v>
      </c>
      <c r="H42" s="403" t="s">
        <v>2715</v>
      </c>
      <c r="I42" s="665" t="s">
        <v>3017</v>
      </c>
      <c r="J42" s="665" t="s">
        <v>3018</v>
      </c>
      <c r="K42" s="666" t="s">
        <v>3019</v>
      </c>
      <c r="L42" s="674">
        <v>4620.0</v>
      </c>
      <c r="M42" s="668">
        <v>45588.0</v>
      </c>
      <c r="N42" s="669">
        <v>45594.0</v>
      </c>
      <c r="O42" s="403" t="s">
        <v>3415</v>
      </c>
      <c r="P42" s="670">
        <v>45959.0</v>
      </c>
      <c r="Q42" s="673"/>
      <c r="R42" s="673"/>
    </row>
    <row r="43" ht="117.75" customHeight="1">
      <c r="A43" s="660">
        <f>P43-'ATAS VIGENTES'!$A$1</f>
        <v>-208</v>
      </c>
      <c r="B43" s="713" t="s">
        <v>3416</v>
      </c>
      <c r="C43" s="663" t="s">
        <v>3417</v>
      </c>
      <c r="D43" s="403" t="s">
        <v>25</v>
      </c>
      <c r="E43" s="403" t="s">
        <v>3016</v>
      </c>
      <c r="F43" s="403" t="s">
        <v>2911</v>
      </c>
      <c r="G43" s="664" t="s">
        <v>2995</v>
      </c>
      <c r="H43" s="403" t="s">
        <v>3418</v>
      </c>
      <c r="I43" s="665" t="s">
        <v>3419</v>
      </c>
      <c r="J43" s="665" t="s">
        <v>3420</v>
      </c>
      <c r="K43" s="666" t="s">
        <v>3421</v>
      </c>
      <c r="L43" s="674">
        <v>11894.4</v>
      </c>
      <c r="M43" s="668">
        <v>45589.0</v>
      </c>
      <c r="N43" s="669">
        <v>45594.0</v>
      </c>
      <c r="O43" s="403" t="s">
        <v>3415</v>
      </c>
      <c r="P43" s="670">
        <v>45959.0</v>
      </c>
      <c r="Q43" s="672"/>
      <c r="R43" s="672"/>
    </row>
    <row r="44" ht="15.75" customHeight="1">
      <c r="A44" s="660">
        <f>P44-'ATAS VIGENTES'!$A$1</f>
        <v>-208</v>
      </c>
      <c r="B44" s="713" t="s">
        <v>3422</v>
      </c>
      <c r="C44" s="663" t="s">
        <v>3423</v>
      </c>
      <c r="D44" s="403" t="s">
        <v>25</v>
      </c>
      <c r="E44" s="403" t="s">
        <v>3016</v>
      </c>
      <c r="F44" s="403" t="s">
        <v>2911</v>
      </c>
      <c r="G44" s="664" t="s">
        <v>2995</v>
      </c>
      <c r="H44" s="403" t="s">
        <v>2715</v>
      </c>
      <c r="I44" s="665" t="s">
        <v>3424</v>
      </c>
      <c r="J44" s="665" t="s">
        <v>3425</v>
      </c>
      <c r="K44" s="666" t="s">
        <v>3426</v>
      </c>
      <c r="L44" s="674">
        <v>21696.0</v>
      </c>
      <c r="M44" s="668">
        <v>45588.0</v>
      </c>
      <c r="N44" s="669">
        <v>45594.0</v>
      </c>
      <c r="O44" s="403" t="s">
        <v>3415</v>
      </c>
      <c r="P44" s="670">
        <v>45959.0</v>
      </c>
      <c r="Q44" s="672"/>
      <c r="R44" s="672"/>
    </row>
    <row r="45" ht="15.75" customHeight="1">
      <c r="A45" s="660">
        <f>P45-'ATAS VIGENTES'!$A$1</f>
        <v>-208</v>
      </c>
      <c r="B45" s="713" t="s">
        <v>3427</v>
      </c>
      <c r="C45" s="663" t="s">
        <v>3428</v>
      </c>
      <c r="D45" s="403" t="s">
        <v>25</v>
      </c>
      <c r="E45" s="403" t="s">
        <v>3016</v>
      </c>
      <c r="F45" s="403" t="s">
        <v>2911</v>
      </c>
      <c r="G45" s="664" t="s">
        <v>2995</v>
      </c>
      <c r="H45" s="403" t="s">
        <v>2715</v>
      </c>
      <c r="I45" s="665" t="s">
        <v>3429</v>
      </c>
      <c r="J45" s="665" t="s">
        <v>3430</v>
      </c>
      <c r="K45" s="666" t="s">
        <v>3431</v>
      </c>
      <c r="L45" s="674">
        <v>1242.0</v>
      </c>
      <c r="M45" s="668">
        <v>45589.0</v>
      </c>
      <c r="N45" s="669">
        <v>45594.0</v>
      </c>
      <c r="O45" s="403" t="s">
        <v>3415</v>
      </c>
      <c r="P45" s="670">
        <v>45959.0</v>
      </c>
      <c r="Q45" s="672"/>
      <c r="R45" s="672"/>
    </row>
    <row r="46" ht="15.75" customHeight="1">
      <c r="A46" s="660">
        <f>P46-'ATAS VIGENTES'!$A$1</f>
        <v>-207</v>
      </c>
      <c r="B46" s="713" t="s">
        <v>3432</v>
      </c>
      <c r="C46" s="663" t="s">
        <v>3433</v>
      </c>
      <c r="D46" s="403" t="s">
        <v>25</v>
      </c>
      <c r="E46" s="403" t="s">
        <v>3016</v>
      </c>
      <c r="F46" s="403" t="s">
        <v>2911</v>
      </c>
      <c r="G46" s="664" t="s">
        <v>2995</v>
      </c>
      <c r="H46" s="403" t="s">
        <v>2715</v>
      </c>
      <c r="I46" s="665" t="s">
        <v>3434</v>
      </c>
      <c r="J46" s="665" t="s">
        <v>3435</v>
      </c>
      <c r="K46" s="666" t="s">
        <v>3436</v>
      </c>
      <c r="L46" s="674">
        <v>28248.0</v>
      </c>
      <c r="M46" s="668">
        <v>45593.0</v>
      </c>
      <c r="N46" s="669">
        <v>45595.0</v>
      </c>
      <c r="O46" s="403" t="s">
        <v>3437</v>
      </c>
      <c r="P46" s="670">
        <v>45960.0</v>
      </c>
      <c r="Q46" s="672"/>
      <c r="R46" s="672"/>
    </row>
    <row r="47" ht="15.75" customHeight="1">
      <c r="A47" s="660">
        <f>P47-'ATAS VIGENTES'!$A$1</f>
        <v>-208</v>
      </c>
      <c r="B47" s="713" t="s">
        <v>3438</v>
      </c>
      <c r="C47" s="663" t="s">
        <v>3439</v>
      </c>
      <c r="D47" s="403" t="s">
        <v>25</v>
      </c>
      <c r="E47" s="403" t="s">
        <v>3016</v>
      </c>
      <c r="F47" s="403" t="s">
        <v>2911</v>
      </c>
      <c r="G47" s="664" t="s">
        <v>2995</v>
      </c>
      <c r="H47" s="403" t="s">
        <v>2715</v>
      </c>
      <c r="I47" s="665" t="s">
        <v>3440</v>
      </c>
      <c r="J47" s="665" t="s">
        <v>3441</v>
      </c>
      <c r="K47" s="666" t="s">
        <v>3442</v>
      </c>
      <c r="L47" s="674">
        <v>19948.8</v>
      </c>
      <c r="M47" s="668">
        <v>45588.0</v>
      </c>
      <c r="N47" s="669">
        <v>45594.0</v>
      </c>
      <c r="O47" s="403" t="s">
        <v>3415</v>
      </c>
      <c r="P47" s="670">
        <v>45959.0</v>
      </c>
      <c r="Q47" s="672"/>
      <c r="R47" s="672"/>
    </row>
    <row r="48" ht="15.75" customHeight="1">
      <c r="A48" s="660">
        <f>P48-'ATAS VIGENTES'!$A$1</f>
        <v>-201</v>
      </c>
      <c r="B48" s="713" t="s">
        <v>1196</v>
      </c>
      <c r="C48" s="663" t="s">
        <v>3443</v>
      </c>
      <c r="D48" s="403" t="s">
        <v>25</v>
      </c>
      <c r="E48" s="403" t="s">
        <v>3016</v>
      </c>
      <c r="F48" s="403" t="s">
        <v>2911</v>
      </c>
      <c r="G48" s="664" t="s">
        <v>2995</v>
      </c>
      <c r="H48" s="403" t="s">
        <v>2715</v>
      </c>
      <c r="I48" s="665" t="s">
        <v>3444</v>
      </c>
      <c r="J48" s="665" t="s">
        <v>3445</v>
      </c>
      <c r="K48" s="666" t="s">
        <v>3446</v>
      </c>
      <c r="L48" s="674">
        <v>3790.32</v>
      </c>
      <c r="M48" s="668">
        <v>45595.0</v>
      </c>
      <c r="N48" s="669">
        <v>45601.0</v>
      </c>
      <c r="O48" s="403" t="s">
        <v>3447</v>
      </c>
      <c r="P48" s="670">
        <v>45966.0</v>
      </c>
      <c r="Q48" s="672"/>
      <c r="R48" s="672"/>
    </row>
    <row r="49" ht="15.75" customHeight="1">
      <c r="A49" s="660">
        <f>P49-'ATAS VIGENTES'!$A$1</f>
        <v>-207</v>
      </c>
      <c r="B49" s="713" t="s">
        <v>3448</v>
      </c>
      <c r="C49" s="663" t="s">
        <v>3449</v>
      </c>
      <c r="D49" s="403" t="s">
        <v>25</v>
      </c>
      <c r="E49" s="403" t="s">
        <v>3016</v>
      </c>
      <c r="F49" s="403" t="s">
        <v>2911</v>
      </c>
      <c r="G49" s="664" t="s">
        <v>2995</v>
      </c>
      <c r="H49" s="403" t="s">
        <v>3450</v>
      </c>
      <c r="I49" s="665" t="s">
        <v>3451</v>
      </c>
      <c r="J49" s="665" t="s">
        <v>3452</v>
      </c>
      <c r="K49" s="666" t="s">
        <v>3453</v>
      </c>
      <c r="L49" s="674">
        <v>147461.4</v>
      </c>
      <c r="M49" s="668">
        <v>45593.0</v>
      </c>
      <c r="N49" s="669">
        <v>45595.0</v>
      </c>
      <c r="O49" s="403" t="s">
        <v>3437</v>
      </c>
      <c r="P49" s="670">
        <v>45960.0</v>
      </c>
      <c r="Q49" s="672"/>
      <c r="R49" s="672"/>
    </row>
    <row r="50" ht="15.75" customHeight="1">
      <c r="A50" s="660">
        <f>P50-'ATAS VIGENTES'!$A$1</f>
        <v>-220</v>
      </c>
      <c r="B50" s="713" t="s">
        <v>3454</v>
      </c>
      <c r="C50" s="663" t="s">
        <v>3455</v>
      </c>
      <c r="D50" s="403" t="s">
        <v>25</v>
      </c>
      <c r="E50" s="403" t="s">
        <v>3016</v>
      </c>
      <c r="F50" s="403" t="s">
        <v>2911</v>
      </c>
      <c r="G50" s="664" t="s">
        <v>2964</v>
      </c>
      <c r="H50" s="403" t="s">
        <v>2965</v>
      </c>
      <c r="I50" s="665" t="s">
        <v>2966</v>
      </c>
      <c r="J50" s="665" t="s">
        <v>3456</v>
      </c>
      <c r="K50" s="666" t="s">
        <v>2968</v>
      </c>
      <c r="L50" s="674">
        <v>9474.0</v>
      </c>
      <c r="M50" s="668">
        <v>45581.0</v>
      </c>
      <c r="N50" s="669">
        <v>45582.0</v>
      </c>
      <c r="O50" s="403" t="s">
        <v>3457</v>
      </c>
      <c r="P50" s="670">
        <v>45947.0</v>
      </c>
      <c r="Q50" s="672"/>
      <c r="R50" s="672"/>
    </row>
    <row r="51" ht="15.75" customHeight="1">
      <c r="A51" s="660">
        <f>P51-'ATAS VIGENTES'!$A$1</f>
        <v>-229</v>
      </c>
      <c r="B51" s="713" t="s">
        <v>3458</v>
      </c>
      <c r="C51" s="663" t="s">
        <v>3459</v>
      </c>
      <c r="D51" s="403" t="s">
        <v>25</v>
      </c>
      <c r="E51" s="403" t="s">
        <v>3016</v>
      </c>
      <c r="F51" s="403" t="s">
        <v>2911</v>
      </c>
      <c r="G51" s="664" t="s">
        <v>2964</v>
      </c>
      <c r="H51" s="403" t="s">
        <v>2965</v>
      </c>
      <c r="I51" s="665" t="s">
        <v>2966</v>
      </c>
      <c r="J51" s="665" t="s">
        <v>3460</v>
      </c>
      <c r="K51" s="666" t="s">
        <v>2968</v>
      </c>
      <c r="L51" s="674">
        <v>2040.0</v>
      </c>
      <c r="M51" s="668">
        <v>45569.0</v>
      </c>
      <c r="N51" s="669">
        <v>45573.0</v>
      </c>
      <c r="O51" s="403" t="s">
        <v>3461</v>
      </c>
      <c r="P51" s="670">
        <v>45938.0</v>
      </c>
      <c r="Q51" s="672"/>
      <c r="R51" s="672"/>
    </row>
    <row r="52" ht="15.75" customHeight="1">
      <c r="A52" s="660">
        <f>P52-'ATAS VIGENTES'!$A$1</f>
        <v>-229</v>
      </c>
      <c r="B52" s="713" t="s">
        <v>3462</v>
      </c>
      <c r="C52" s="663" t="s">
        <v>3463</v>
      </c>
      <c r="D52" s="403" t="s">
        <v>25</v>
      </c>
      <c r="E52" s="403" t="s">
        <v>3016</v>
      </c>
      <c r="F52" s="403" t="s">
        <v>2911</v>
      </c>
      <c r="G52" s="664" t="s">
        <v>2964</v>
      </c>
      <c r="H52" s="403" t="s">
        <v>2965</v>
      </c>
      <c r="I52" s="665" t="s">
        <v>2966</v>
      </c>
      <c r="J52" s="665" t="s">
        <v>3464</v>
      </c>
      <c r="K52" s="666" t="s">
        <v>2968</v>
      </c>
      <c r="L52" s="674">
        <v>12180.0</v>
      </c>
      <c r="M52" s="668">
        <v>45569.0</v>
      </c>
      <c r="N52" s="669">
        <v>45573.0</v>
      </c>
      <c r="O52" s="403" t="s">
        <v>3461</v>
      </c>
      <c r="P52" s="670">
        <v>45938.0</v>
      </c>
      <c r="Q52" s="672"/>
      <c r="R52" s="672"/>
    </row>
    <row r="53" ht="15.75" customHeight="1">
      <c r="A53" s="660">
        <f>P53-'ATAS VIGENTES'!$A$1</f>
        <v>-227</v>
      </c>
      <c r="B53" s="713" t="s">
        <v>3465</v>
      </c>
      <c r="C53" s="663" t="s">
        <v>3466</v>
      </c>
      <c r="D53" s="403" t="s">
        <v>25</v>
      </c>
      <c r="E53" s="403" t="s">
        <v>3016</v>
      </c>
      <c r="F53" s="403" t="s">
        <v>2911</v>
      </c>
      <c r="G53" s="664" t="s">
        <v>2964</v>
      </c>
      <c r="H53" s="403" t="s">
        <v>2965</v>
      </c>
      <c r="I53" s="665" t="s">
        <v>2966</v>
      </c>
      <c r="J53" s="665" t="s">
        <v>3467</v>
      </c>
      <c r="K53" s="666" t="s">
        <v>2968</v>
      </c>
      <c r="L53" s="674">
        <v>22380.0</v>
      </c>
      <c r="M53" s="668">
        <v>45572.0</v>
      </c>
      <c r="N53" s="669">
        <v>45575.0</v>
      </c>
      <c r="O53" s="403" t="s">
        <v>3468</v>
      </c>
      <c r="P53" s="670">
        <v>45940.0</v>
      </c>
      <c r="Q53" s="672"/>
      <c r="R53" s="672"/>
    </row>
    <row r="54" ht="15.75" customHeight="1">
      <c r="A54" s="660">
        <f>P54-'ATAS VIGENTES'!$A$1</f>
        <v>-227</v>
      </c>
      <c r="B54" s="713" t="s">
        <v>3469</v>
      </c>
      <c r="C54" s="663" t="s">
        <v>3470</v>
      </c>
      <c r="D54" s="403" t="s">
        <v>25</v>
      </c>
      <c r="E54" s="403" t="s">
        <v>3016</v>
      </c>
      <c r="F54" s="403" t="s">
        <v>2911</v>
      </c>
      <c r="G54" s="664" t="s">
        <v>2964</v>
      </c>
      <c r="H54" s="403" t="s">
        <v>2965</v>
      </c>
      <c r="I54" s="665" t="s">
        <v>2966</v>
      </c>
      <c r="J54" s="665" t="s">
        <v>3471</v>
      </c>
      <c r="K54" s="666" t="s">
        <v>2968</v>
      </c>
      <c r="L54" s="674">
        <v>1008.0</v>
      </c>
      <c r="M54" s="668">
        <v>45572.0</v>
      </c>
      <c r="N54" s="669">
        <v>45575.0</v>
      </c>
      <c r="O54" s="403" t="s">
        <v>3468</v>
      </c>
      <c r="P54" s="670">
        <v>45940.0</v>
      </c>
      <c r="Q54" s="672"/>
      <c r="R54" s="672"/>
    </row>
    <row r="55" ht="15.75" customHeight="1">
      <c r="A55" s="660">
        <f>P55-'ATAS VIGENTES'!$A$1</f>
        <v>-227</v>
      </c>
      <c r="B55" s="713" t="s">
        <v>954</v>
      </c>
      <c r="C55" s="663" t="s">
        <v>3472</v>
      </c>
      <c r="D55" s="403" t="s">
        <v>25</v>
      </c>
      <c r="E55" s="403" t="s">
        <v>3016</v>
      </c>
      <c r="F55" s="403" t="s">
        <v>2911</v>
      </c>
      <c r="G55" s="664" t="s">
        <v>2964</v>
      </c>
      <c r="H55" s="403" t="s">
        <v>2965</v>
      </c>
      <c r="I55" s="665" t="s">
        <v>2966</v>
      </c>
      <c r="J55" s="665" t="s">
        <v>3473</v>
      </c>
      <c r="K55" s="666" t="s">
        <v>2968</v>
      </c>
      <c r="L55" s="674">
        <v>2786.4</v>
      </c>
      <c r="M55" s="668">
        <v>45572.0</v>
      </c>
      <c r="N55" s="669">
        <v>45575.0</v>
      </c>
      <c r="O55" s="403" t="s">
        <v>3468</v>
      </c>
      <c r="P55" s="670">
        <v>45940.0</v>
      </c>
      <c r="Q55" s="672"/>
      <c r="R55" s="672"/>
    </row>
    <row r="56" ht="15.75" customHeight="1">
      <c r="A56" s="660">
        <f>P56-'ATAS VIGENTES'!$A$1</f>
        <v>-220</v>
      </c>
      <c r="B56" s="713" t="s">
        <v>510</v>
      </c>
      <c r="C56" s="663" t="s">
        <v>3474</v>
      </c>
      <c r="D56" s="403" t="s">
        <v>25</v>
      </c>
      <c r="E56" s="403" t="s">
        <v>3016</v>
      </c>
      <c r="F56" s="403" t="s">
        <v>2911</v>
      </c>
      <c r="G56" s="664" t="s">
        <v>2964</v>
      </c>
      <c r="H56" s="403" t="s">
        <v>2965</v>
      </c>
      <c r="I56" s="665" t="s">
        <v>2966</v>
      </c>
      <c r="J56" s="665" t="s">
        <v>3475</v>
      </c>
      <c r="K56" s="666" t="s">
        <v>2968</v>
      </c>
      <c r="L56" s="674">
        <v>20160.0</v>
      </c>
      <c r="M56" s="668">
        <v>45580.0</v>
      </c>
      <c r="N56" s="669">
        <v>45582.0</v>
      </c>
      <c r="O56" s="403" t="s">
        <v>3457</v>
      </c>
      <c r="P56" s="670">
        <v>45947.0</v>
      </c>
      <c r="Q56" s="672"/>
      <c r="R56" s="672"/>
    </row>
    <row r="57" ht="15.75" customHeight="1">
      <c r="A57" s="660">
        <f>P57-'ATAS VIGENTES'!$A$1</f>
        <v>-229</v>
      </c>
      <c r="B57" s="713" t="s">
        <v>500</v>
      </c>
      <c r="C57" s="663" t="s">
        <v>3015</v>
      </c>
      <c r="D57" s="403" t="s">
        <v>25</v>
      </c>
      <c r="E57" s="403" t="s">
        <v>3016</v>
      </c>
      <c r="F57" s="403" t="s">
        <v>2911</v>
      </c>
      <c r="G57" s="664" t="s">
        <v>2964</v>
      </c>
      <c r="H57" s="403" t="s">
        <v>2965</v>
      </c>
      <c r="I57" s="665" t="s">
        <v>2966</v>
      </c>
      <c r="J57" s="665" t="s">
        <v>3476</v>
      </c>
      <c r="K57" s="666" t="s">
        <v>2968</v>
      </c>
      <c r="L57" s="674">
        <v>36684.0</v>
      </c>
      <c r="M57" s="668">
        <v>45569.0</v>
      </c>
      <c r="N57" s="669">
        <v>45573.0</v>
      </c>
      <c r="O57" s="403" t="s">
        <v>3461</v>
      </c>
      <c r="P57" s="670">
        <v>45938.0</v>
      </c>
      <c r="Q57" s="672"/>
      <c r="R57" s="672"/>
    </row>
    <row r="58" ht="15.75" customHeight="1">
      <c r="A58" s="660">
        <f>P58-'ATAS VIGENTES'!$A$1</f>
        <v>-220</v>
      </c>
      <c r="B58" s="713" t="s">
        <v>1096</v>
      </c>
      <c r="C58" s="663" t="s">
        <v>3428</v>
      </c>
      <c r="D58" s="403" t="s">
        <v>25</v>
      </c>
      <c r="E58" s="403" t="s">
        <v>3016</v>
      </c>
      <c r="F58" s="403" t="s">
        <v>2911</v>
      </c>
      <c r="G58" s="664" t="s">
        <v>2964</v>
      </c>
      <c r="H58" s="403" t="s">
        <v>2965</v>
      </c>
      <c r="I58" s="665" t="s">
        <v>2966</v>
      </c>
      <c r="J58" s="665" t="s">
        <v>3477</v>
      </c>
      <c r="K58" s="666" t="s">
        <v>2968</v>
      </c>
      <c r="L58" s="674">
        <v>54348.0</v>
      </c>
      <c r="M58" s="668">
        <v>45580.0</v>
      </c>
      <c r="N58" s="669">
        <v>45582.0</v>
      </c>
      <c r="O58" s="403" t="s">
        <v>3457</v>
      </c>
      <c r="P58" s="670">
        <v>45947.0</v>
      </c>
      <c r="Q58" s="672"/>
      <c r="R58" s="672"/>
    </row>
    <row r="59" ht="15.75" customHeight="1">
      <c r="A59" s="660">
        <f>P59-'ATAS VIGENTES'!$A$1</f>
        <v>-226</v>
      </c>
      <c r="B59" s="713" t="s">
        <v>1063</v>
      </c>
      <c r="C59" s="663" t="s">
        <v>3015</v>
      </c>
      <c r="D59" s="403" t="s">
        <v>25</v>
      </c>
      <c r="E59" s="403" t="s">
        <v>3016</v>
      </c>
      <c r="F59" s="403" t="s">
        <v>2911</v>
      </c>
      <c r="G59" s="664" t="s">
        <v>2913</v>
      </c>
      <c r="H59" s="403" t="s">
        <v>2914</v>
      </c>
      <c r="I59" s="665" t="s">
        <v>2915</v>
      </c>
      <c r="J59" s="665" t="s">
        <v>3478</v>
      </c>
      <c r="K59" s="666" t="s">
        <v>2917</v>
      </c>
      <c r="L59" s="674">
        <v>61740.0</v>
      </c>
      <c r="M59" s="668">
        <v>45573.0</v>
      </c>
      <c r="N59" s="669">
        <v>45576.0</v>
      </c>
      <c r="O59" s="403" t="s">
        <v>3479</v>
      </c>
      <c r="P59" s="670">
        <v>45941.0</v>
      </c>
      <c r="Q59" s="672"/>
      <c r="R59" s="672"/>
    </row>
    <row r="60" ht="15.75" customHeight="1">
      <c r="A60" s="660">
        <f>P60-'ATAS VIGENTES'!$A$1</f>
        <v>-226</v>
      </c>
      <c r="B60" s="713" t="s">
        <v>3480</v>
      </c>
      <c r="C60" s="663" t="s">
        <v>3481</v>
      </c>
      <c r="D60" s="403" t="s">
        <v>25</v>
      </c>
      <c r="E60" s="403" t="s">
        <v>3016</v>
      </c>
      <c r="F60" s="403" t="s">
        <v>2911</v>
      </c>
      <c r="G60" s="664" t="s">
        <v>2913</v>
      </c>
      <c r="H60" s="403" t="s">
        <v>2914</v>
      </c>
      <c r="I60" s="665" t="s">
        <v>2915</v>
      </c>
      <c r="J60" s="665" t="s">
        <v>3482</v>
      </c>
      <c r="K60" s="666" t="s">
        <v>2917</v>
      </c>
      <c r="L60" s="674">
        <v>130737.96</v>
      </c>
      <c r="M60" s="668">
        <v>45574.0</v>
      </c>
      <c r="N60" s="669">
        <v>45576.0</v>
      </c>
      <c r="O60" s="403" t="s">
        <v>3479</v>
      </c>
      <c r="P60" s="670">
        <v>45941.0</v>
      </c>
      <c r="Q60" s="672"/>
      <c r="R60" s="672"/>
    </row>
    <row r="61" ht="15.75" customHeight="1">
      <c r="A61" s="660">
        <f>P61-'ATAS VIGENTES'!$A$1</f>
        <v>-222</v>
      </c>
      <c r="B61" s="713" t="s">
        <v>1155</v>
      </c>
      <c r="C61" s="663" t="s">
        <v>3483</v>
      </c>
      <c r="D61" s="403" t="s">
        <v>25</v>
      </c>
      <c r="E61" s="403" t="s">
        <v>3016</v>
      </c>
      <c r="F61" s="403" t="s">
        <v>2911</v>
      </c>
      <c r="G61" s="664" t="s">
        <v>2913</v>
      </c>
      <c r="H61" s="403" t="s">
        <v>2914</v>
      </c>
      <c r="I61" s="665" t="s">
        <v>2915</v>
      </c>
      <c r="J61" s="665" t="s">
        <v>3484</v>
      </c>
      <c r="K61" s="666" t="s">
        <v>2917</v>
      </c>
      <c r="L61" s="674">
        <v>68902.8</v>
      </c>
      <c r="M61" s="668">
        <v>45575.0</v>
      </c>
      <c r="N61" s="669">
        <v>45580.0</v>
      </c>
      <c r="O61" s="403" t="s">
        <v>3485</v>
      </c>
      <c r="P61" s="670">
        <v>45945.0</v>
      </c>
      <c r="Q61" s="672"/>
      <c r="R61" s="672"/>
    </row>
    <row r="62" ht="117.75" customHeight="1">
      <c r="A62" s="660">
        <f>P62-'ATAS VIGENTES'!$A$1</f>
        <v>-227</v>
      </c>
      <c r="B62" s="713" t="s">
        <v>827</v>
      </c>
      <c r="C62" s="663" t="s">
        <v>3486</v>
      </c>
      <c r="D62" s="403" t="s">
        <v>25</v>
      </c>
      <c r="E62" s="403" t="s">
        <v>3016</v>
      </c>
      <c r="F62" s="403" t="s">
        <v>2911</v>
      </c>
      <c r="G62" s="664" t="s">
        <v>2913</v>
      </c>
      <c r="H62" s="403" t="s">
        <v>2914</v>
      </c>
      <c r="I62" s="665" t="s">
        <v>2915</v>
      </c>
      <c r="J62" s="665" t="s">
        <v>3487</v>
      </c>
      <c r="K62" s="666" t="s">
        <v>2917</v>
      </c>
      <c r="L62" s="674">
        <v>891.6</v>
      </c>
      <c r="M62" s="668">
        <v>45572.0</v>
      </c>
      <c r="N62" s="669">
        <v>45575.0</v>
      </c>
      <c r="O62" s="403" t="s">
        <v>3468</v>
      </c>
      <c r="P62" s="670">
        <v>45940.0</v>
      </c>
      <c r="Q62" s="673"/>
      <c r="R62" s="673"/>
    </row>
    <row r="63" ht="15.75" customHeight="1">
      <c r="A63" s="660">
        <f>P63-'ATAS VIGENTES'!$A$1</f>
        <v>-228</v>
      </c>
      <c r="B63" s="713" t="s">
        <v>1427</v>
      </c>
      <c r="C63" s="663" t="s">
        <v>3488</v>
      </c>
      <c r="D63" s="403" t="s">
        <v>40</v>
      </c>
      <c r="E63" s="403" t="s">
        <v>3267</v>
      </c>
      <c r="F63" s="403" t="s">
        <v>3489</v>
      </c>
      <c r="G63" s="664" t="s">
        <v>3490</v>
      </c>
      <c r="H63" s="403" t="s">
        <v>3491</v>
      </c>
      <c r="I63" s="665" t="s">
        <v>3492</v>
      </c>
      <c r="J63" s="665" t="s">
        <v>3493</v>
      </c>
      <c r="K63" s="666" t="s">
        <v>3494</v>
      </c>
      <c r="L63" s="674" t="s">
        <v>3495</v>
      </c>
      <c r="M63" s="668">
        <v>45569.0</v>
      </c>
      <c r="N63" s="669">
        <v>45574.0</v>
      </c>
      <c r="O63" s="403" t="s">
        <v>3496</v>
      </c>
      <c r="P63" s="670">
        <v>45939.0</v>
      </c>
      <c r="Q63" s="672"/>
      <c r="R63" s="670"/>
      <c r="S63" s="716"/>
      <c r="T63" s="716"/>
      <c r="U63" s="716"/>
    </row>
    <row r="64" ht="15.75" customHeight="1">
      <c r="A64" s="717">
        <f>P64-$A$1</f>
        <v>-234</v>
      </c>
      <c r="B64" s="713" t="s">
        <v>1182</v>
      </c>
      <c r="C64" s="663" t="s">
        <v>3497</v>
      </c>
      <c r="D64" s="403" t="s">
        <v>40</v>
      </c>
      <c r="E64" s="403" t="s">
        <v>3267</v>
      </c>
      <c r="F64" s="403" t="s">
        <v>3489</v>
      </c>
      <c r="G64" s="664" t="s">
        <v>3490</v>
      </c>
      <c r="H64" s="403" t="s">
        <v>3491</v>
      </c>
      <c r="I64" s="665" t="s">
        <v>3492</v>
      </c>
      <c r="J64" s="665" t="s">
        <v>3498</v>
      </c>
      <c r="K64" s="666" t="s">
        <v>3494</v>
      </c>
      <c r="L64" s="667">
        <v>295500.0</v>
      </c>
      <c r="M64" s="668">
        <v>45559.0</v>
      </c>
      <c r="N64" s="669">
        <v>45568.0</v>
      </c>
      <c r="O64" s="403" t="s">
        <v>3499</v>
      </c>
      <c r="P64" s="670">
        <v>45933.0</v>
      </c>
      <c r="Q64" s="670"/>
      <c r="R64" s="672"/>
    </row>
    <row r="65" ht="15.75" customHeight="1">
      <c r="A65" s="717">
        <f>P65-'ATAS VIGENTES'!$A$1</f>
        <v>-236</v>
      </c>
      <c r="B65" s="713" t="s">
        <v>1398</v>
      </c>
      <c r="C65" s="663" t="s">
        <v>3500</v>
      </c>
      <c r="D65" s="403" t="s">
        <v>25</v>
      </c>
      <c r="E65" s="403" t="s">
        <v>2911</v>
      </c>
      <c r="F65" s="403" t="s">
        <v>3501</v>
      </c>
      <c r="G65" s="664" t="s">
        <v>3502</v>
      </c>
      <c r="H65" s="403" t="s">
        <v>3503</v>
      </c>
      <c r="I65" s="665" t="s">
        <v>3504</v>
      </c>
      <c r="J65" s="665" t="s">
        <v>3505</v>
      </c>
      <c r="K65" s="666" t="s">
        <v>3506</v>
      </c>
      <c r="L65" s="667">
        <v>22080.0</v>
      </c>
      <c r="M65" s="668">
        <v>45586.0</v>
      </c>
      <c r="N65" s="669">
        <v>45566.0</v>
      </c>
      <c r="O65" s="403" t="s">
        <v>3507</v>
      </c>
      <c r="P65" s="670">
        <v>45931.0</v>
      </c>
      <c r="Q65" s="670"/>
      <c r="R65" s="672"/>
    </row>
    <row r="66" ht="126.0" customHeight="1">
      <c r="A66" s="717">
        <f>P66-'ATAS VIGENTES'!$A$1</f>
        <v>-236</v>
      </c>
      <c r="B66" s="713" t="s">
        <v>198</v>
      </c>
      <c r="C66" s="663" t="s">
        <v>3508</v>
      </c>
      <c r="D66" s="403" t="s">
        <v>25</v>
      </c>
      <c r="E66" s="403" t="s">
        <v>2911</v>
      </c>
      <c r="F66" s="403" t="s">
        <v>3501</v>
      </c>
      <c r="G66" s="664" t="s">
        <v>3502</v>
      </c>
      <c r="H66" s="403" t="s">
        <v>3503</v>
      </c>
      <c r="I66" s="665" t="s">
        <v>3504</v>
      </c>
      <c r="J66" s="665" t="s">
        <v>3509</v>
      </c>
      <c r="K66" s="666" t="s">
        <v>3506</v>
      </c>
      <c r="L66" s="667">
        <v>555828.0</v>
      </c>
      <c r="M66" s="668">
        <v>45585.0</v>
      </c>
      <c r="N66" s="669">
        <v>45566.0</v>
      </c>
      <c r="O66" s="403" t="s">
        <v>3507</v>
      </c>
      <c r="P66" s="670">
        <v>45931.0</v>
      </c>
      <c r="Q66" s="670"/>
      <c r="R66" s="672"/>
    </row>
    <row r="67" ht="15.75" customHeight="1">
      <c r="A67" s="717">
        <f>P67-'ATAS VIGENTES'!$A$1</f>
        <v>-263</v>
      </c>
      <c r="B67" s="713" t="s">
        <v>1199</v>
      </c>
      <c r="C67" s="663" t="s">
        <v>3510</v>
      </c>
      <c r="D67" s="403" t="s">
        <v>65</v>
      </c>
      <c r="E67" s="403" t="s">
        <v>67</v>
      </c>
      <c r="F67" s="403" t="s">
        <v>950</v>
      </c>
      <c r="G67" s="664" t="s">
        <v>3206</v>
      </c>
      <c r="H67" s="403" t="s">
        <v>3511</v>
      </c>
      <c r="I67" s="665" t="s">
        <v>3512</v>
      </c>
      <c r="J67" s="665" t="s">
        <v>3513</v>
      </c>
      <c r="K67" s="666" t="s">
        <v>3210</v>
      </c>
      <c r="L67" s="667">
        <v>8979278.72</v>
      </c>
      <c r="M67" s="668">
        <v>45539.0</v>
      </c>
      <c r="N67" s="669">
        <v>45545.0</v>
      </c>
      <c r="O67" s="403" t="s">
        <v>3514</v>
      </c>
      <c r="P67" s="670">
        <v>45904.0</v>
      </c>
      <c r="Q67" s="670"/>
      <c r="R67" s="672"/>
    </row>
    <row r="68" ht="15.75" customHeight="1">
      <c r="A68" s="717">
        <f>P68-'ATAS VIGENTES'!$A$1</f>
        <v>-263</v>
      </c>
      <c r="B68" s="713" t="s">
        <v>1042</v>
      </c>
      <c r="C68" s="663" t="s">
        <v>3515</v>
      </c>
      <c r="D68" s="403" t="s">
        <v>40</v>
      </c>
      <c r="E68" s="403" t="s">
        <v>3267</v>
      </c>
      <c r="F68" s="403" t="s">
        <v>3489</v>
      </c>
      <c r="G68" s="664" t="s">
        <v>3516</v>
      </c>
      <c r="H68" s="403" t="s">
        <v>3517</v>
      </c>
      <c r="I68" s="665" t="s">
        <v>3518</v>
      </c>
      <c r="J68" s="665" t="s">
        <v>3519</v>
      </c>
      <c r="K68" s="666" t="s">
        <v>3520</v>
      </c>
      <c r="L68" s="667">
        <v>2378.15</v>
      </c>
      <c r="M68" s="668">
        <v>45533.0</v>
      </c>
      <c r="N68" s="669">
        <v>45539.0</v>
      </c>
      <c r="O68" s="403" t="s">
        <v>3514</v>
      </c>
      <c r="P68" s="670">
        <v>45904.0</v>
      </c>
      <c r="Q68" s="670"/>
      <c r="R68" s="672"/>
    </row>
    <row r="69" ht="15.75" customHeight="1">
      <c r="A69" s="717">
        <f>P69-'ATAS VIGENTES'!$A$1</f>
        <v>-271</v>
      </c>
      <c r="B69" s="713" t="s">
        <v>1207</v>
      </c>
      <c r="C69" s="663" t="s">
        <v>3521</v>
      </c>
      <c r="D69" s="403" t="s">
        <v>40</v>
      </c>
      <c r="E69" s="403" t="s">
        <v>3267</v>
      </c>
      <c r="F69" s="403" t="s">
        <v>3489</v>
      </c>
      <c r="G69" s="664" t="s">
        <v>3516</v>
      </c>
      <c r="H69" s="403" t="s">
        <v>3517</v>
      </c>
      <c r="I69" s="665" t="s">
        <v>3518</v>
      </c>
      <c r="J69" s="665" t="s">
        <v>3522</v>
      </c>
      <c r="K69" s="666" t="s">
        <v>3520</v>
      </c>
      <c r="L69" s="667">
        <v>6441.85</v>
      </c>
      <c r="M69" s="668">
        <v>45531.0</v>
      </c>
      <c r="N69" s="669">
        <v>45531.0</v>
      </c>
      <c r="O69" s="403" t="s">
        <v>3523</v>
      </c>
      <c r="P69" s="670">
        <v>45896.0</v>
      </c>
      <c r="Q69" s="670"/>
      <c r="R69" s="672"/>
    </row>
    <row r="70" ht="15.75" customHeight="1">
      <c r="A70" s="717">
        <f>P70-'ATAS VIGENTES'!$A$1</f>
        <v>-257</v>
      </c>
      <c r="B70" s="713" t="s">
        <v>228</v>
      </c>
      <c r="C70" s="663" t="s">
        <v>3524</v>
      </c>
      <c r="D70" s="403" t="s">
        <v>40</v>
      </c>
      <c r="E70" s="403" t="s">
        <v>3525</v>
      </c>
      <c r="F70" s="403" t="s">
        <v>3489</v>
      </c>
      <c r="G70" s="664" t="s">
        <v>3516</v>
      </c>
      <c r="H70" s="403" t="s">
        <v>3517</v>
      </c>
      <c r="I70" s="665" t="s">
        <v>3518</v>
      </c>
      <c r="J70" s="665" t="s">
        <v>3526</v>
      </c>
      <c r="K70" s="666" t="s">
        <v>3520</v>
      </c>
      <c r="L70" s="667">
        <v>9134.6</v>
      </c>
      <c r="M70" s="668">
        <v>45544.0</v>
      </c>
      <c r="N70" s="669">
        <v>45545.0</v>
      </c>
      <c r="O70" s="403" t="s">
        <v>3527</v>
      </c>
      <c r="P70" s="670">
        <v>45910.0</v>
      </c>
      <c r="Q70" s="670"/>
      <c r="R70" s="672"/>
    </row>
    <row r="71" ht="15.75" customHeight="1">
      <c r="A71" s="717">
        <f>P71-'ATAS VIGENTES'!$A$1</f>
        <v>-271</v>
      </c>
      <c r="B71" s="713" t="s">
        <v>3528</v>
      </c>
      <c r="C71" s="663" t="s">
        <v>3529</v>
      </c>
      <c r="D71" s="403" t="s">
        <v>40</v>
      </c>
      <c r="E71" s="403" t="s">
        <v>3525</v>
      </c>
      <c r="F71" s="403" t="s">
        <v>3489</v>
      </c>
      <c r="G71" s="664" t="s">
        <v>3516</v>
      </c>
      <c r="H71" s="403" t="s">
        <v>3517</v>
      </c>
      <c r="I71" s="665" t="s">
        <v>3518</v>
      </c>
      <c r="J71" s="665" t="s">
        <v>3530</v>
      </c>
      <c r="K71" s="666" t="s">
        <v>3520</v>
      </c>
      <c r="L71" s="667">
        <v>90158.57</v>
      </c>
      <c r="M71" s="668">
        <v>45531.0</v>
      </c>
      <c r="N71" s="669">
        <v>45531.0</v>
      </c>
      <c r="O71" s="403" t="s">
        <v>3523</v>
      </c>
      <c r="P71" s="670">
        <v>45896.0</v>
      </c>
      <c r="Q71" s="670"/>
      <c r="R71" s="672"/>
    </row>
    <row r="72" ht="15.75" customHeight="1">
      <c r="A72" s="717">
        <f>P72-'ATAS VIGENTES'!$A$1</f>
        <v>-263</v>
      </c>
      <c r="B72" s="713" t="s">
        <v>815</v>
      </c>
      <c r="C72" s="663" t="s">
        <v>3531</v>
      </c>
      <c r="D72" s="403" t="s">
        <v>40</v>
      </c>
      <c r="E72" s="403" t="s">
        <v>3525</v>
      </c>
      <c r="F72" s="403" t="s">
        <v>3489</v>
      </c>
      <c r="G72" s="664" t="s">
        <v>3516</v>
      </c>
      <c r="H72" s="403" t="s">
        <v>3517</v>
      </c>
      <c r="I72" s="665" t="s">
        <v>3518</v>
      </c>
      <c r="J72" s="665" t="s">
        <v>3532</v>
      </c>
      <c r="K72" s="666" t="s">
        <v>3520</v>
      </c>
      <c r="L72" s="667">
        <v>126822.35</v>
      </c>
      <c r="M72" s="668">
        <v>45532.0</v>
      </c>
      <c r="N72" s="669">
        <v>45539.0</v>
      </c>
      <c r="O72" s="403" t="s">
        <v>3514</v>
      </c>
      <c r="P72" s="670">
        <v>45904.0</v>
      </c>
      <c r="Q72" s="670"/>
      <c r="R72" s="672"/>
    </row>
    <row r="73" ht="104.25" customHeight="1">
      <c r="A73" s="717">
        <f>P73-'ATAS VIGENTES'!$A$1</f>
        <v>-305</v>
      </c>
      <c r="B73" s="713" t="s">
        <v>1308</v>
      </c>
      <c r="C73" s="663" t="s">
        <v>3533</v>
      </c>
      <c r="D73" s="403" t="s">
        <v>40</v>
      </c>
      <c r="E73" s="403" t="s">
        <v>3267</v>
      </c>
      <c r="F73" s="403" t="s">
        <v>3489</v>
      </c>
      <c r="G73" s="664" t="s">
        <v>3534</v>
      </c>
      <c r="H73" s="403" t="s">
        <v>3535</v>
      </c>
      <c r="I73" s="665" t="s">
        <v>3536</v>
      </c>
      <c r="J73" s="665" t="s">
        <v>3537</v>
      </c>
      <c r="K73" s="666" t="s">
        <v>3538</v>
      </c>
      <c r="L73" s="667">
        <v>48800.0</v>
      </c>
      <c r="M73" s="668">
        <v>45496.0</v>
      </c>
      <c r="N73" s="669">
        <v>45497.0</v>
      </c>
      <c r="O73" s="403" t="s">
        <v>3539</v>
      </c>
      <c r="P73" s="670">
        <v>45862.0</v>
      </c>
      <c r="Q73" s="672"/>
    </row>
    <row r="74" ht="104.25" customHeight="1">
      <c r="A74" s="717">
        <f>P74-'ATAS VIGENTES'!$A$1</f>
        <v>-299</v>
      </c>
      <c r="B74" s="713" t="s">
        <v>1372</v>
      </c>
      <c r="C74" s="663" t="s">
        <v>3540</v>
      </c>
      <c r="D74" s="403" t="s">
        <v>40</v>
      </c>
      <c r="E74" s="403" t="s">
        <v>3267</v>
      </c>
      <c r="F74" s="403" t="s">
        <v>3489</v>
      </c>
      <c r="G74" s="664" t="s">
        <v>3534</v>
      </c>
      <c r="H74" s="403" t="s">
        <v>3535</v>
      </c>
      <c r="I74" s="665" t="s">
        <v>3536</v>
      </c>
      <c r="J74" s="665"/>
      <c r="K74" s="666" t="s">
        <v>3538</v>
      </c>
      <c r="L74" s="667">
        <v>6500.0</v>
      </c>
      <c r="M74" s="668">
        <v>45502.0</v>
      </c>
      <c r="N74" s="669">
        <v>45503.0</v>
      </c>
      <c r="O74" s="403" t="s">
        <v>3541</v>
      </c>
      <c r="P74" s="670">
        <v>45868.0</v>
      </c>
      <c r="Q74" s="672"/>
    </row>
    <row r="75" ht="104.25" customHeight="1">
      <c r="A75" s="717">
        <f>P75-'ATAS VIGENTES'!$A$1</f>
        <v>-305</v>
      </c>
      <c r="B75" s="713" t="s">
        <v>1191</v>
      </c>
      <c r="C75" s="663" t="s">
        <v>3542</v>
      </c>
      <c r="D75" s="403" t="s">
        <v>40</v>
      </c>
      <c r="E75" s="403" t="s">
        <v>3267</v>
      </c>
      <c r="F75" s="403" t="s">
        <v>3489</v>
      </c>
      <c r="G75" s="664" t="s">
        <v>3534</v>
      </c>
      <c r="H75" s="403" t="s">
        <v>3535</v>
      </c>
      <c r="I75" s="665" t="s">
        <v>3536</v>
      </c>
      <c r="J75" s="665" t="s">
        <v>3543</v>
      </c>
      <c r="K75" s="666" t="s">
        <v>3538</v>
      </c>
      <c r="L75" s="667">
        <v>27882.79</v>
      </c>
      <c r="M75" s="668">
        <v>45496.0</v>
      </c>
      <c r="N75" s="669">
        <v>45497.0</v>
      </c>
      <c r="O75" s="403" t="s">
        <v>3539</v>
      </c>
      <c r="P75" s="670">
        <v>45862.0</v>
      </c>
      <c r="Q75" s="672"/>
    </row>
    <row r="76" ht="104.25" customHeight="1">
      <c r="A76" s="717">
        <f>P76-'ATAS VIGENTES'!$A$1</f>
        <v>-305</v>
      </c>
      <c r="B76" s="713" t="s">
        <v>3544</v>
      </c>
      <c r="C76" s="663" t="s">
        <v>3545</v>
      </c>
      <c r="D76" s="403" t="s">
        <v>40</v>
      </c>
      <c r="E76" s="403" t="s">
        <v>3267</v>
      </c>
      <c r="F76" s="403" t="s">
        <v>3489</v>
      </c>
      <c r="G76" s="664" t="s">
        <v>3534</v>
      </c>
      <c r="H76" s="403" t="s">
        <v>3535</v>
      </c>
      <c r="I76" s="665" t="s">
        <v>3536</v>
      </c>
      <c r="J76" s="665" t="s">
        <v>3546</v>
      </c>
      <c r="K76" s="666" t="s">
        <v>3538</v>
      </c>
      <c r="L76" s="667">
        <v>32300.0</v>
      </c>
      <c r="M76" s="668">
        <v>45497.0</v>
      </c>
      <c r="N76" s="669">
        <v>45497.0</v>
      </c>
      <c r="O76" s="403" t="s">
        <v>3539</v>
      </c>
      <c r="P76" s="670">
        <v>45862.0</v>
      </c>
      <c r="Q76" s="672"/>
    </row>
    <row r="77" ht="104.25" customHeight="1">
      <c r="A77" s="717">
        <f>P77-'ATAS VIGENTES'!$A$1</f>
        <v>-305</v>
      </c>
      <c r="B77" s="713" t="s">
        <v>3547</v>
      </c>
      <c r="C77" s="663" t="s">
        <v>3548</v>
      </c>
      <c r="D77" s="403" t="s">
        <v>40</v>
      </c>
      <c r="E77" s="403" t="s">
        <v>3267</v>
      </c>
      <c r="F77" s="403" t="s">
        <v>3489</v>
      </c>
      <c r="G77" s="664" t="s">
        <v>3534</v>
      </c>
      <c r="H77" s="403" t="s">
        <v>3535</v>
      </c>
      <c r="I77" s="665" t="s">
        <v>3536</v>
      </c>
      <c r="J77" s="665" t="s">
        <v>3549</v>
      </c>
      <c r="K77" s="666" t="s">
        <v>3538</v>
      </c>
      <c r="L77" s="667">
        <v>11267.5</v>
      </c>
      <c r="M77" s="668">
        <v>45496.0</v>
      </c>
      <c r="N77" s="669">
        <v>45497.0</v>
      </c>
      <c r="O77" s="403" t="s">
        <v>3539</v>
      </c>
      <c r="P77" s="670">
        <v>45862.0</v>
      </c>
      <c r="Q77" s="672"/>
    </row>
    <row r="78" ht="104.25" customHeight="1">
      <c r="A78" s="717">
        <f>P78-'ATAS VIGENTES'!$A$1</f>
        <v>-305</v>
      </c>
      <c r="B78" s="713" t="s">
        <v>3550</v>
      </c>
      <c r="C78" s="663" t="s">
        <v>3551</v>
      </c>
      <c r="D78" s="403" t="s">
        <v>40</v>
      </c>
      <c r="E78" s="403" t="s">
        <v>3267</v>
      </c>
      <c r="F78" s="403" t="s">
        <v>3489</v>
      </c>
      <c r="G78" s="664" t="s">
        <v>3534</v>
      </c>
      <c r="H78" s="403" t="s">
        <v>3535</v>
      </c>
      <c r="I78" s="665" t="s">
        <v>3536</v>
      </c>
      <c r="J78" s="665" t="s">
        <v>3552</v>
      </c>
      <c r="K78" s="666" t="s">
        <v>3538</v>
      </c>
      <c r="L78" s="667">
        <v>40250.0</v>
      </c>
      <c r="M78" s="668">
        <v>45496.0</v>
      </c>
      <c r="N78" s="669">
        <v>45497.0</v>
      </c>
      <c r="O78" s="403" t="s">
        <v>3539</v>
      </c>
      <c r="P78" s="670">
        <v>45862.0</v>
      </c>
      <c r="Q78" s="672"/>
    </row>
    <row r="79" ht="104.25" customHeight="1">
      <c r="A79" s="717">
        <f>P79-'ATAS VIGENTES'!$A$1</f>
        <v>-305</v>
      </c>
      <c r="B79" s="713" t="s">
        <v>1487</v>
      </c>
      <c r="C79" s="663" t="s">
        <v>3553</v>
      </c>
      <c r="D79" s="403" t="s">
        <v>40</v>
      </c>
      <c r="E79" s="403" t="s">
        <v>3267</v>
      </c>
      <c r="F79" s="403" t="s">
        <v>3489</v>
      </c>
      <c r="G79" s="664" t="s">
        <v>3534</v>
      </c>
      <c r="H79" s="403" t="s">
        <v>3535</v>
      </c>
      <c r="I79" s="665" t="s">
        <v>3536</v>
      </c>
      <c r="J79" s="665" t="s">
        <v>3546</v>
      </c>
      <c r="K79" s="666" t="s">
        <v>3538</v>
      </c>
      <c r="L79" s="667">
        <v>22945.2</v>
      </c>
      <c r="M79" s="668">
        <v>45496.0</v>
      </c>
      <c r="N79" s="669">
        <v>45497.0</v>
      </c>
      <c r="O79" s="403" t="s">
        <v>3539</v>
      </c>
      <c r="P79" s="670">
        <v>45862.0</v>
      </c>
      <c r="Q79" s="672"/>
    </row>
    <row r="80" ht="104.25" customHeight="1">
      <c r="A80" s="717">
        <f>P80-'ATAS VIGENTES'!$A$1</f>
        <v>-305</v>
      </c>
      <c r="B80" s="713" t="s">
        <v>123</v>
      </c>
      <c r="C80" s="663" t="s">
        <v>3554</v>
      </c>
      <c r="D80" s="403" t="s">
        <v>40</v>
      </c>
      <c r="E80" s="403" t="s">
        <v>3267</v>
      </c>
      <c r="F80" s="403" t="s">
        <v>3489</v>
      </c>
      <c r="G80" s="664" t="s">
        <v>3534</v>
      </c>
      <c r="H80" s="403" t="s">
        <v>3535</v>
      </c>
      <c r="I80" s="665" t="s">
        <v>3536</v>
      </c>
      <c r="J80" s="665" t="s">
        <v>3555</v>
      </c>
      <c r="K80" s="666" t="s">
        <v>3538</v>
      </c>
      <c r="L80" s="667">
        <v>56290.0</v>
      </c>
      <c r="M80" s="668">
        <v>45496.0</v>
      </c>
      <c r="N80" s="669">
        <v>45497.0</v>
      </c>
      <c r="O80" s="403" t="s">
        <v>3539</v>
      </c>
      <c r="P80" s="670">
        <v>45862.0</v>
      </c>
      <c r="Q80" s="672"/>
    </row>
    <row r="81" ht="104.25" customHeight="1">
      <c r="A81" s="717">
        <f>P81-'ATAS VIGENTES'!$A$1</f>
        <v>-305</v>
      </c>
      <c r="B81" s="713" t="s">
        <v>728</v>
      </c>
      <c r="C81" s="663" t="s">
        <v>3556</v>
      </c>
      <c r="D81" s="403" t="s">
        <v>40</v>
      </c>
      <c r="E81" s="403" t="s">
        <v>3267</v>
      </c>
      <c r="F81" s="403" t="s">
        <v>3489</v>
      </c>
      <c r="G81" s="664" t="s">
        <v>3534</v>
      </c>
      <c r="H81" s="403" t="s">
        <v>3535</v>
      </c>
      <c r="I81" s="665" t="s">
        <v>3536</v>
      </c>
      <c r="J81" s="665" t="s">
        <v>3557</v>
      </c>
      <c r="K81" s="666" t="s">
        <v>3538</v>
      </c>
      <c r="L81" s="667">
        <v>71110.0</v>
      </c>
      <c r="M81" s="668">
        <v>45496.0</v>
      </c>
      <c r="N81" s="669">
        <v>45497.0</v>
      </c>
      <c r="O81" s="403" t="s">
        <v>3539</v>
      </c>
      <c r="P81" s="670">
        <v>45862.0</v>
      </c>
      <c r="Q81" s="672"/>
    </row>
    <row r="82" ht="104.25" customHeight="1">
      <c r="A82" s="717">
        <f>P82-'ATAS VIGENTES'!$A$1</f>
        <v>-306</v>
      </c>
      <c r="B82" s="713" t="s">
        <v>771</v>
      </c>
      <c r="C82" s="663" t="s">
        <v>3558</v>
      </c>
      <c r="D82" s="403" t="s">
        <v>40</v>
      </c>
      <c r="E82" s="403" t="s">
        <v>3267</v>
      </c>
      <c r="F82" s="403" t="s">
        <v>3489</v>
      </c>
      <c r="G82" s="664" t="s">
        <v>3559</v>
      </c>
      <c r="H82" s="403" t="s">
        <v>3560</v>
      </c>
      <c r="I82" s="665" t="s">
        <v>3561</v>
      </c>
      <c r="J82" s="665" t="s">
        <v>3562</v>
      </c>
      <c r="K82" s="666" t="s">
        <v>3563</v>
      </c>
      <c r="L82" s="667">
        <v>300000.0</v>
      </c>
      <c r="M82" s="668">
        <v>45496.0</v>
      </c>
      <c r="N82" s="669">
        <v>45497.0</v>
      </c>
      <c r="O82" s="403" t="s">
        <v>3564</v>
      </c>
      <c r="P82" s="670">
        <v>45861.0</v>
      </c>
      <c r="Q82" s="672"/>
    </row>
    <row r="83" ht="104.25" customHeight="1">
      <c r="A83" s="717">
        <f>P83-'ATAS VIGENTES'!$A$1</f>
        <v>-310</v>
      </c>
      <c r="B83" s="713" t="s">
        <v>1317</v>
      </c>
      <c r="C83" s="663" t="s">
        <v>3565</v>
      </c>
      <c r="D83" s="403" t="s">
        <v>40</v>
      </c>
      <c r="E83" s="403" t="s">
        <v>3267</v>
      </c>
      <c r="F83" s="403" t="s">
        <v>3489</v>
      </c>
      <c r="G83" s="664" t="s">
        <v>3559</v>
      </c>
      <c r="H83" s="403" t="s">
        <v>3560</v>
      </c>
      <c r="I83" s="665" t="s">
        <v>3561</v>
      </c>
      <c r="J83" s="665" t="s">
        <v>3566</v>
      </c>
      <c r="K83" s="666" t="s">
        <v>3563</v>
      </c>
      <c r="L83" s="667">
        <v>25982.88</v>
      </c>
      <c r="M83" s="668">
        <v>45492.0</v>
      </c>
      <c r="N83" s="669">
        <v>45497.0</v>
      </c>
      <c r="O83" s="403" t="s">
        <v>3567</v>
      </c>
      <c r="P83" s="670">
        <v>45857.0</v>
      </c>
      <c r="Q83" s="672"/>
    </row>
    <row r="84" ht="104.25" customHeight="1">
      <c r="A84" s="717">
        <f>P84-'ATAS VIGENTES'!$A$1</f>
        <v>-279</v>
      </c>
      <c r="B84" s="713" t="s">
        <v>750</v>
      </c>
      <c r="C84" s="663" t="s">
        <v>3568</v>
      </c>
      <c r="D84" s="403" t="s">
        <v>40</v>
      </c>
      <c r="E84" s="403" t="s">
        <v>3267</v>
      </c>
      <c r="F84" s="403" t="s">
        <v>3489</v>
      </c>
      <c r="G84" s="664" t="s">
        <v>3559</v>
      </c>
      <c r="H84" s="403" t="s">
        <v>3560</v>
      </c>
      <c r="I84" s="665" t="s">
        <v>3561</v>
      </c>
      <c r="J84" s="665" t="s">
        <v>3569</v>
      </c>
      <c r="K84" s="666" t="s">
        <v>3563</v>
      </c>
      <c r="L84" s="667">
        <v>73124.5</v>
      </c>
      <c r="M84" s="668">
        <v>45523.0</v>
      </c>
      <c r="N84" s="669">
        <v>45525.0</v>
      </c>
      <c r="O84" s="403" t="s">
        <v>3570</v>
      </c>
      <c r="P84" s="670">
        <v>45888.0</v>
      </c>
      <c r="Q84" s="672"/>
    </row>
    <row r="85" ht="85.5" customHeight="1">
      <c r="A85" s="717">
        <f>P85-'ATAS VIGENTES'!$A$1</f>
        <v>-381</v>
      </c>
      <c r="B85" s="713" t="s">
        <v>720</v>
      </c>
      <c r="C85" s="663" t="s">
        <v>3571</v>
      </c>
      <c r="D85" s="403" t="s">
        <v>40</v>
      </c>
      <c r="E85" s="403" t="s">
        <v>3572</v>
      </c>
      <c r="F85" s="403" t="s">
        <v>3573</v>
      </c>
      <c r="G85" s="664" t="s">
        <v>3574</v>
      </c>
      <c r="H85" s="403" t="s">
        <v>3575</v>
      </c>
      <c r="I85" s="665" t="s">
        <v>3576</v>
      </c>
      <c r="J85" s="665" t="s">
        <v>3577</v>
      </c>
      <c r="K85" s="666" t="s">
        <v>3578</v>
      </c>
      <c r="L85" s="667">
        <v>79400.0</v>
      </c>
      <c r="M85" s="668">
        <v>45419.0</v>
      </c>
      <c r="N85" s="669">
        <v>45421.0</v>
      </c>
      <c r="O85" s="403" t="s">
        <v>3579</v>
      </c>
      <c r="P85" s="670">
        <v>45786.0</v>
      </c>
      <c r="Q85" s="672"/>
    </row>
    <row r="86" ht="85.5" customHeight="1">
      <c r="A86" s="717">
        <f>P86-'ATAS VIGENTES'!$A$1</f>
        <v>-381</v>
      </c>
      <c r="B86" s="713" t="s">
        <v>659</v>
      </c>
      <c r="C86" s="663" t="s">
        <v>3580</v>
      </c>
      <c r="D86" s="403" t="s">
        <v>40</v>
      </c>
      <c r="E86" s="403" t="s">
        <v>3572</v>
      </c>
      <c r="F86" s="403" t="s">
        <v>3573</v>
      </c>
      <c r="G86" s="664" t="s">
        <v>3574</v>
      </c>
      <c r="H86" s="403" t="s">
        <v>3575</v>
      </c>
      <c r="I86" s="665" t="s">
        <v>3576</v>
      </c>
      <c r="J86" s="665" t="s">
        <v>3581</v>
      </c>
      <c r="K86" s="666" t="s">
        <v>3578</v>
      </c>
      <c r="L86" s="667">
        <v>160000.0</v>
      </c>
      <c r="M86" s="668">
        <v>45421.0</v>
      </c>
      <c r="N86" s="669">
        <v>45421.0</v>
      </c>
      <c r="O86" s="403" t="s">
        <v>3579</v>
      </c>
      <c r="P86" s="670">
        <v>45786.0</v>
      </c>
      <c r="Q86" s="672"/>
    </row>
    <row r="87" ht="85.5" customHeight="1">
      <c r="A87" s="717">
        <f>P87-'ATAS VIGENTES'!$A$1</f>
        <v>-381</v>
      </c>
      <c r="B87" s="713" t="s">
        <v>997</v>
      </c>
      <c r="C87" s="663" t="s">
        <v>3565</v>
      </c>
      <c r="D87" s="403" t="s">
        <v>40</v>
      </c>
      <c r="E87" s="403" t="s">
        <v>3572</v>
      </c>
      <c r="F87" s="403" t="s">
        <v>3573</v>
      </c>
      <c r="G87" s="664" t="s">
        <v>3574</v>
      </c>
      <c r="H87" s="403" t="s">
        <v>3575</v>
      </c>
      <c r="I87" s="665" t="s">
        <v>3576</v>
      </c>
      <c r="J87" s="665" t="s">
        <v>3582</v>
      </c>
      <c r="K87" s="666" t="s">
        <v>3578</v>
      </c>
      <c r="L87" s="667">
        <v>148000.0</v>
      </c>
      <c r="M87" s="668">
        <v>45419.0</v>
      </c>
      <c r="N87" s="669">
        <v>45421.0</v>
      </c>
      <c r="O87" s="403" t="s">
        <v>3579</v>
      </c>
      <c r="P87" s="670">
        <v>45786.0</v>
      </c>
      <c r="Q87" s="672"/>
    </row>
    <row r="88" ht="85.5" customHeight="1">
      <c r="A88" s="717">
        <f>P88-$A$1</f>
        <v>-380</v>
      </c>
      <c r="B88" s="713" t="s">
        <v>1519</v>
      </c>
      <c r="C88" s="663" t="s">
        <v>3583</v>
      </c>
      <c r="D88" s="403" t="s">
        <v>40</v>
      </c>
      <c r="E88" s="403" t="s">
        <v>3572</v>
      </c>
      <c r="F88" s="403" t="s">
        <v>3573</v>
      </c>
      <c r="G88" s="664" t="s">
        <v>3574</v>
      </c>
      <c r="H88" s="403" t="s">
        <v>3575</v>
      </c>
      <c r="I88" s="665" t="s">
        <v>3576</v>
      </c>
      <c r="J88" s="665" t="s">
        <v>3584</v>
      </c>
      <c r="K88" s="666" t="s">
        <v>3578</v>
      </c>
      <c r="L88" s="667">
        <v>530000.0</v>
      </c>
      <c r="M88" s="668">
        <v>45422.0</v>
      </c>
      <c r="N88" s="669">
        <v>45422.0</v>
      </c>
      <c r="O88" s="403" t="s">
        <v>3585</v>
      </c>
      <c r="P88" s="670">
        <v>45787.0</v>
      </c>
      <c r="Q88" s="672"/>
    </row>
    <row r="89" ht="85.5" customHeight="1">
      <c r="A89" s="717">
        <f>P89-'ATAS VIGENTES'!$A$1</f>
        <v>-424</v>
      </c>
      <c r="B89" s="713" t="s">
        <v>1510</v>
      </c>
      <c r="C89" s="663" t="s">
        <v>3565</v>
      </c>
      <c r="D89" s="403" t="s">
        <v>40</v>
      </c>
      <c r="E89" s="403" t="s">
        <v>3586</v>
      </c>
      <c r="F89" s="403" t="s">
        <v>3572</v>
      </c>
      <c r="G89" s="664" t="s">
        <v>3587</v>
      </c>
      <c r="H89" s="403" t="s">
        <v>3588</v>
      </c>
      <c r="I89" s="665" t="s">
        <v>3589</v>
      </c>
      <c r="J89" s="665" t="s">
        <v>3590</v>
      </c>
      <c r="K89" s="666" t="s">
        <v>3591</v>
      </c>
      <c r="L89" s="667">
        <v>303730.0</v>
      </c>
      <c r="M89" s="668">
        <v>45373.0</v>
      </c>
      <c r="N89" s="669">
        <v>45378.0</v>
      </c>
      <c r="O89" s="403" t="s">
        <v>3592</v>
      </c>
      <c r="P89" s="670">
        <v>45743.0</v>
      </c>
      <c r="Q89" s="672"/>
    </row>
    <row r="90" ht="165.75" customHeight="1">
      <c r="A90" s="717">
        <f>P90-'ATAS VIGENTES'!$A$1</f>
        <v>-424</v>
      </c>
      <c r="B90" s="713" t="s">
        <v>578</v>
      </c>
      <c r="C90" s="663" t="s">
        <v>772</v>
      </c>
      <c r="D90" s="403" t="s">
        <v>114</v>
      </c>
      <c r="E90" s="403" t="s">
        <v>1157</v>
      </c>
      <c r="F90" s="403" t="s">
        <v>1158</v>
      </c>
      <c r="G90" s="664" t="s">
        <v>3593</v>
      </c>
      <c r="H90" s="403" t="s">
        <v>3594</v>
      </c>
      <c r="I90" s="665" t="s">
        <v>3595</v>
      </c>
      <c r="J90" s="665" t="s">
        <v>3596</v>
      </c>
      <c r="K90" s="666" t="s">
        <v>3597</v>
      </c>
      <c r="L90" s="667">
        <v>1.1454E7</v>
      </c>
      <c r="M90" s="668">
        <v>45376.0</v>
      </c>
      <c r="N90" s="669">
        <v>45378.0</v>
      </c>
      <c r="O90" s="403" t="s">
        <v>3592</v>
      </c>
      <c r="P90" s="670">
        <v>45743.0</v>
      </c>
      <c r="Q90" s="672"/>
    </row>
    <row r="91" ht="81.0" customHeight="1">
      <c r="A91" s="717">
        <f>P91-'ATAS VIGENTES'!$A$1</f>
        <v>-430</v>
      </c>
      <c r="B91" s="713" t="s">
        <v>572</v>
      </c>
      <c r="C91" s="663" t="s">
        <v>3598</v>
      </c>
      <c r="D91" s="403" t="s">
        <v>40</v>
      </c>
      <c r="E91" s="403" t="s">
        <v>3599</v>
      </c>
      <c r="F91" s="403" t="s">
        <v>3599</v>
      </c>
      <c r="G91" s="664" t="s">
        <v>3600</v>
      </c>
      <c r="H91" s="403" t="s">
        <v>3601</v>
      </c>
      <c r="I91" s="665" t="s">
        <v>3602</v>
      </c>
      <c r="J91" s="665" t="s">
        <v>3603</v>
      </c>
      <c r="K91" s="666" t="s">
        <v>3604</v>
      </c>
      <c r="L91" s="667">
        <v>99930.0</v>
      </c>
      <c r="M91" s="668">
        <v>45370.0</v>
      </c>
      <c r="N91" s="669">
        <v>45372.0</v>
      </c>
      <c r="O91" s="403" t="s">
        <v>3605</v>
      </c>
      <c r="P91" s="670">
        <v>45737.0</v>
      </c>
      <c r="Q91" s="672"/>
    </row>
    <row r="92" ht="126.0" customHeight="1">
      <c r="A92" s="717">
        <f>P92-'ATAS VIGENTES'!$A$1</f>
        <v>-430</v>
      </c>
      <c r="B92" s="713" t="s">
        <v>559</v>
      </c>
      <c r="C92" s="663" t="s">
        <v>3606</v>
      </c>
      <c r="D92" s="403" t="s">
        <v>65</v>
      </c>
      <c r="E92" s="403" t="s">
        <v>1446</v>
      </c>
      <c r="F92" s="403" t="s">
        <v>1044</v>
      </c>
      <c r="G92" s="664" t="s">
        <v>3607</v>
      </c>
      <c r="H92" s="403" t="s">
        <v>3608</v>
      </c>
      <c r="I92" s="665" t="s">
        <v>3609</v>
      </c>
      <c r="J92" s="665" t="s">
        <v>3610</v>
      </c>
      <c r="K92" s="666" t="s">
        <v>3611</v>
      </c>
      <c r="L92" s="667">
        <v>4283761.1</v>
      </c>
      <c r="M92" s="668">
        <v>45371.0</v>
      </c>
      <c r="N92" s="669">
        <v>45372.0</v>
      </c>
      <c r="O92" s="403" t="s">
        <v>3605</v>
      </c>
      <c r="P92" s="670">
        <v>45737.0</v>
      </c>
      <c r="Q92" s="672"/>
    </row>
    <row r="93" ht="85.5" customHeight="1">
      <c r="A93" s="717">
        <f>P93-'ATAS VIGENTES'!$A$1</f>
        <v>-447</v>
      </c>
      <c r="B93" s="713" t="s">
        <v>3612</v>
      </c>
      <c r="C93" s="663" t="s">
        <v>3613</v>
      </c>
      <c r="D93" s="403" t="s">
        <v>25</v>
      </c>
      <c r="E93" s="403" t="s">
        <v>887</v>
      </c>
      <c r="F93" s="403" t="s">
        <v>3614</v>
      </c>
      <c r="G93" s="664" t="s">
        <v>3615</v>
      </c>
      <c r="H93" s="403" t="s">
        <v>3616</v>
      </c>
      <c r="I93" s="665" t="s">
        <v>3617</v>
      </c>
      <c r="J93" s="665" t="s">
        <v>3618</v>
      </c>
      <c r="K93" s="666" t="s">
        <v>3619</v>
      </c>
      <c r="L93" s="667">
        <v>11250.0</v>
      </c>
      <c r="M93" s="668">
        <v>45342.0</v>
      </c>
      <c r="N93" s="669">
        <v>45355.0</v>
      </c>
      <c r="O93" s="403" t="s">
        <v>3620</v>
      </c>
      <c r="P93" s="718">
        <v>45720.0</v>
      </c>
      <c r="Q93" s="719"/>
    </row>
    <row r="94" ht="83.25" customHeight="1">
      <c r="A94" s="717">
        <f>P94-'ATAS VIGENTES'!$A$1</f>
        <v>-447</v>
      </c>
      <c r="B94" s="713" t="s">
        <v>3621</v>
      </c>
      <c r="C94" s="663" t="s">
        <v>3622</v>
      </c>
      <c r="D94" s="403" t="s">
        <v>25</v>
      </c>
      <c r="E94" s="403" t="s">
        <v>887</v>
      </c>
      <c r="F94" s="403" t="s">
        <v>3614</v>
      </c>
      <c r="G94" s="664" t="s">
        <v>3615</v>
      </c>
      <c r="H94" s="403" t="s">
        <v>3616</v>
      </c>
      <c r="I94" s="665" t="s">
        <v>3617</v>
      </c>
      <c r="J94" s="665" t="s">
        <v>3623</v>
      </c>
      <c r="K94" s="666" t="s">
        <v>3619</v>
      </c>
      <c r="L94" s="667">
        <v>80049.9</v>
      </c>
      <c r="M94" s="668">
        <v>45342.0</v>
      </c>
      <c r="N94" s="669">
        <v>45355.0</v>
      </c>
      <c r="O94" s="403" t="s">
        <v>3620</v>
      </c>
      <c r="P94" s="718">
        <v>45720.0</v>
      </c>
      <c r="Q94" s="719"/>
    </row>
    <row r="95" ht="153.75" customHeight="1">
      <c r="A95" s="717">
        <f>P95-'ATAS VIGENTES'!$A$1</f>
        <v>-471</v>
      </c>
      <c r="B95" s="713" t="s">
        <v>1600</v>
      </c>
      <c r="C95" s="663" t="s">
        <v>3624</v>
      </c>
      <c r="D95" s="403" t="s">
        <v>561</v>
      </c>
      <c r="E95" s="403" t="s">
        <v>3625</v>
      </c>
      <c r="F95" s="403" t="s">
        <v>3626</v>
      </c>
      <c r="G95" s="664" t="s">
        <v>3627</v>
      </c>
      <c r="H95" s="403" t="s">
        <v>3628</v>
      </c>
      <c r="I95" s="665" t="s">
        <v>3629</v>
      </c>
      <c r="J95" s="665" t="s">
        <v>3630</v>
      </c>
      <c r="K95" s="666" t="s">
        <v>3631</v>
      </c>
      <c r="L95" s="667">
        <v>2787600.0</v>
      </c>
      <c r="M95" s="668">
        <v>45310.0</v>
      </c>
      <c r="N95" s="669">
        <v>45330.0</v>
      </c>
      <c r="O95" s="403" t="s">
        <v>3632</v>
      </c>
      <c r="P95" s="718">
        <v>45696.0</v>
      </c>
    </row>
    <row r="96" ht="15.75" customHeight="1">
      <c r="A96" s="717">
        <f>P96-'ATAS VIGENTES'!$A$1</f>
        <v>-526</v>
      </c>
      <c r="B96" s="713" t="s">
        <v>1025</v>
      </c>
      <c r="C96" s="663" t="s">
        <v>3633</v>
      </c>
      <c r="D96" s="403" t="s">
        <v>561</v>
      </c>
      <c r="E96" s="403" t="s">
        <v>3625</v>
      </c>
      <c r="F96" s="403" t="s">
        <v>3634</v>
      </c>
      <c r="G96" s="664" t="s">
        <v>3635</v>
      </c>
      <c r="H96" s="403" t="s">
        <v>3636</v>
      </c>
      <c r="I96" s="665" t="s">
        <v>3637</v>
      </c>
      <c r="J96" s="665" t="s">
        <v>3638</v>
      </c>
      <c r="K96" s="666" t="s">
        <v>3639</v>
      </c>
      <c r="L96" s="667">
        <v>179700.0</v>
      </c>
      <c r="M96" s="668">
        <v>45274.0</v>
      </c>
      <c r="N96" s="669">
        <v>45275.0</v>
      </c>
      <c r="O96" s="403" t="s">
        <v>3640</v>
      </c>
      <c r="P96" s="718">
        <v>45641.0</v>
      </c>
    </row>
    <row r="97" ht="15.75" customHeight="1">
      <c r="A97" s="717">
        <f>P97-'ATAS VIGENTES'!$A$1</f>
        <v>-534</v>
      </c>
      <c r="B97" s="713" t="s">
        <v>206</v>
      </c>
      <c r="C97" s="663" t="s">
        <v>3641</v>
      </c>
      <c r="D97" s="403" t="s">
        <v>561</v>
      </c>
      <c r="E97" s="403" t="s">
        <v>3625</v>
      </c>
      <c r="F97" s="403" t="s">
        <v>3634</v>
      </c>
      <c r="G97" s="664" t="s">
        <v>3635</v>
      </c>
      <c r="H97" s="403" t="s">
        <v>3636</v>
      </c>
      <c r="I97" s="665" t="s">
        <v>3637</v>
      </c>
      <c r="J97" s="665" t="s">
        <v>3642</v>
      </c>
      <c r="K97" s="666" t="s">
        <v>3639</v>
      </c>
      <c r="L97" s="667">
        <v>2012300.0</v>
      </c>
      <c r="M97" s="668">
        <v>45266.0</v>
      </c>
      <c r="N97" s="669">
        <v>45267.0</v>
      </c>
      <c r="O97" s="403" t="s">
        <v>3643</v>
      </c>
      <c r="P97" s="718">
        <v>45633.0</v>
      </c>
    </row>
    <row r="98" ht="15.75" customHeight="1">
      <c r="A98" s="717">
        <f>P98-'ATAS VIGENTES'!$A$1</f>
        <v>-523</v>
      </c>
      <c r="B98" s="713" t="s">
        <v>604</v>
      </c>
      <c r="C98" s="663" t="s">
        <v>3644</v>
      </c>
      <c r="D98" s="403" t="s">
        <v>3051</v>
      </c>
      <c r="E98" s="403" t="s">
        <v>2911</v>
      </c>
      <c r="F98" s="403" t="s">
        <v>3501</v>
      </c>
      <c r="G98" s="664" t="s">
        <v>3645</v>
      </c>
      <c r="H98" s="403" t="s">
        <v>3646</v>
      </c>
      <c r="I98" s="665" t="s">
        <v>3647</v>
      </c>
      <c r="J98" s="665" t="s">
        <v>3648</v>
      </c>
      <c r="K98" s="666" t="s">
        <v>3649</v>
      </c>
      <c r="L98" s="667">
        <v>3778.8</v>
      </c>
      <c r="M98" s="668">
        <v>45264.0</v>
      </c>
      <c r="N98" s="669">
        <v>45278.0</v>
      </c>
      <c r="O98" s="403" t="s">
        <v>3650</v>
      </c>
      <c r="P98" s="718">
        <v>45644.0</v>
      </c>
    </row>
    <row r="99" ht="15.75" customHeight="1">
      <c r="A99" s="717">
        <f>P99-'ATAS VIGENTES'!$A$1</f>
        <v>-523</v>
      </c>
      <c r="B99" s="713" t="s">
        <v>1626</v>
      </c>
      <c r="C99" s="663" t="s">
        <v>3474</v>
      </c>
      <c r="D99" s="403" t="s">
        <v>3051</v>
      </c>
      <c r="E99" s="403" t="s">
        <v>2911</v>
      </c>
      <c r="F99" s="403" t="s">
        <v>3501</v>
      </c>
      <c r="G99" s="664" t="s">
        <v>3645</v>
      </c>
      <c r="H99" s="403" t="s">
        <v>3646</v>
      </c>
      <c r="I99" s="665" t="s">
        <v>3647</v>
      </c>
      <c r="J99" s="665" t="s">
        <v>3651</v>
      </c>
      <c r="K99" s="666" t="s">
        <v>3649</v>
      </c>
      <c r="L99" s="667">
        <v>51320.0</v>
      </c>
      <c r="M99" s="668">
        <v>45266.0</v>
      </c>
      <c r="N99" s="669">
        <v>45278.0</v>
      </c>
      <c r="O99" s="403" t="s">
        <v>3650</v>
      </c>
      <c r="P99" s="718">
        <v>45644.0</v>
      </c>
    </row>
    <row r="100" ht="15.75" customHeight="1">
      <c r="A100" s="717">
        <f>P100-'ATAS VIGENTES'!$A$1</f>
        <v>-523</v>
      </c>
      <c r="B100" s="713" t="s">
        <v>1229</v>
      </c>
      <c r="C100" s="663" t="s">
        <v>2951</v>
      </c>
      <c r="D100" s="403" t="s">
        <v>3051</v>
      </c>
      <c r="E100" s="403" t="s">
        <v>2911</v>
      </c>
      <c r="F100" s="403" t="s">
        <v>3501</v>
      </c>
      <c r="G100" s="664" t="s">
        <v>3645</v>
      </c>
      <c r="H100" s="403" t="s">
        <v>3646</v>
      </c>
      <c r="I100" s="665" t="s">
        <v>3647</v>
      </c>
      <c r="J100" s="665" t="s">
        <v>3652</v>
      </c>
      <c r="K100" s="666" t="s">
        <v>3649</v>
      </c>
      <c r="L100" s="667">
        <v>31251.6</v>
      </c>
      <c r="M100" s="668">
        <v>45261.0</v>
      </c>
      <c r="N100" s="669">
        <v>45278.0</v>
      </c>
      <c r="O100" s="403" t="s">
        <v>3650</v>
      </c>
      <c r="P100" s="718">
        <v>45644.0</v>
      </c>
    </row>
    <row r="101" ht="15.75" customHeight="1">
      <c r="A101" s="717">
        <f>P101-'ATAS VIGENTES'!$A$1</f>
        <v>-523</v>
      </c>
      <c r="B101" s="713" t="s">
        <v>1237</v>
      </c>
      <c r="C101" s="663" t="s">
        <v>3417</v>
      </c>
      <c r="D101" s="403" t="s">
        <v>3051</v>
      </c>
      <c r="E101" s="403" t="s">
        <v>2911</v>
      </c>
      <c r="F101" s="403" t="s">
        <v>3501</v>
      </c>
      <c r="G101" s="664" t="s">
        <v>3645</v>
      </c>
      <c r="H101" s="403" t="s">
        <v>3646</v>
      </c>
      <c r="I101" s="665" t="s">
        <v>3647</v>
      </c>
      <c r="J101" s="665" t="s">
        <v>3653</v>
      </c>
      <c r="K101" s="666" t="s">
        <v>3649</v>
      </c>
      <c r="L101" s="667">
        <v>133320.0</v>
      </c>
      <c r="M101" s="668">
        <v>45274.0</v>
      </c>
      <c r="N101" s="669">
        <v>45278.0</v>
      </c>
      <c r="O101" s="403" t="s">
        <v>3650</v>
      </c>
      <c r="P101" s="718">
        <v>45644.0</v>
      </c>
    </row>
    <row r="102" ht="15.75" customHeight="1">
      <c r="A102" s="717">
        <f>P102-'ATAS VIGENTES'!$A$1</f>
        <v>-523</v>
      </c>
      <c r="B102" s="713" t="s">
        <v>926</v>
      </c>
      <c r="C102" s="663" t="s">
        <v>3654</v>
      </c>
      <c r="D102" s="403" t="s">
        <v>3051</v>
      </c>
      <c r="E102" s="403" t="s">
        <v>2911</v>
      </c>
      <c r="F102" s="403" t="s">
        <v>3501</v>
      </c>
      <c r="G102" s="664" t="s">
        <v>3645</v>
      </c>
      <c r="H102" s="403" t="s">
        <v>3646</v>
      </c>
      <c r="I102" s="665" t="s">
        <v>3647</v>
      </c>
      <c r="J102" s="665" t="s">
        <v>3655</v>
      </c>
      <c r="K102" s="666" t="s">
        <v>3649</v>
      </c>
      <c r="L102" s="667">
        <v>5400.0</v>
      </c>
      <c r="M102" s="668">
        <v>45261.0</v>
      </c>
      <c r="N102" s="669">
        <v>45278.0</v>
      </c>
      <c r="O102" s="403" t="s">
        <v>3650</v>
      </c>
      <c r="P102" s="718">
        <v>45644.0</v>
      </c>
    </row>
    <row r="103" ht="15.75" customHeight="1">
      <c r="A103" s="717">
        <f>P103-'ATAS VIGENTES'!$A$1</f>
        <v>-523</v>
      </c>
      <c r="B103" s="713" t="s">
        <v>1649</v>
      </c>
      <c r="C103" s="663" t="s">
        <v>3656</v>
      </c>
      <c r="D103" s="403" t="s">
        <v>3051</v>
      </c>
      <c r="E103" s="403" t="s">
        <v>2911</v>
      </c>
      <c r="F103" s="403" t="s">
        <v>3501</v>
      </c>
      <c r="G103" s="664" t="s">
        <v>3645</v>
      </c>
      <c r="H103" s="403" t="s">
        <v>3646</v>
      </c>
      <c r="I103" s="665" t="s">
        <v>3647</v>
      </c>
      <c r="J103" s="665" t="s">
        <v>3657</v>
      </c>
      <c r="K103" s="666" t="s">
        <v>3649</v>
      </c>
      <c r="L103" s="667">
        <v>6360.0</v>
      </c>
      <c r="M103" s="668">
        <v>45259.0</v>
      </c>
      <c r="N103" s="669">
        <v>45278.0</v>
      </c>
      <c r="O103" s="403" t="s">
        <v>3650</v>
      </c>
      <c r="P103" s="718">
        <v>45644.0</v>
      </c>
    </row>
    <row r="104" ht="15.75" customHeight="1">
      <c r="A104" s="717">
        <f>P104-'ATAS VIGENTES'!$A$1</f>
        <v>-583</v>
      </c>
      <c r="B104" s="713" t="s">
        <v>1664</v>
      </c>
      <c r="C104" s="663" t="s">
        <v>3658</v>
      </c>
      <c r="D104" s="403" t="s">
        <v>40</v>
      </c>
      <c r="E104" s="403" t="s">
        <v>3659</v>
      </c>
      <c r="F104" s="403" t="s">
        <v>3660</v>
      </c>
      <c r="G104" s="664" t="s">
        <v>3661</v>
      </c>
      <c r="H104" s="403" t="s">
        <v>3662</v>
      </c>
      <c r="I104" s="665" t="s">
        <v>3663</v>
      </c>
      <c r="J104" s="665" t="s">
        <v>3664</v>
      </c>
      <c r="K104" s="666" t="s">
        <v>3665</v>
      </c>
      <c r="L104" s="667">
        <v>144597.6</v>
      </c>
      <c r="M104" s="668">
        <v>45217.0</v>
      </c>
      <c r="N104" s="669">
        <v>45218.0</v>
      </c>
      <c r="O104" s="403" t="s">
        <v>3666</v>
      </c>
      <c r="P104" s="718">
        <v>45584.0</v>
      </c>
    </row>
    <row r="105" ht="67.5" customHeight="1">
      <c r="A105" s="717">
        <f>P105-'ATAS VIGENTES'!$A$1</f>
        <v>-596</v>
      </c>
      <c r="B105" s="713" t="s">
        <v>847</v>
      </c>
      <c r="C105" s="663" t="s">
        <v>3667</v>
      </c>
      <c r="D105" s="403" t="s">
        <v>40</v>
      </c>
      <c r="E105" s="403" t="s">
        <v>3668</v>
      </c>
      <c r="F105" s="403" t="s">
        <v>3660</v>
      </c>
      <c r="G105" s="664" t="s">
        <v>3669</v>
      </c>
      <c r="H105" s="403" t="s">
        <v>3670</v>
      </c>
      <c r="I105" s="665" t="s">
        <v>3671</v>
      </c>
      <c r="J105" s="665" t="s">
        <v>3672</v>
      </c>
      <c r="K105" s="666" t="s">
        <v>3673</v>
      </c>
      <c r="L105" s="667">
        <v>147500.0</v>
      </c>
      <c r="M105" s="668">
        <v>45203.0</v>
      </c>
      <c r="N105" s="669">
        <v>45205.0</v>
      </c>
      <c r="O105" s="403" t="s">
        <v>3674</v>
      </c>
      <c r="P105" s="718">
        <v>45571.0</v>
      </c>
    </row>
    <row r="106" ht="192.0" customHeight="1">
      <c r="A106" s="717">
        <f>P106-'ATAS VIGENTES'!$A$1</f>
        <v>-610</v>
      </c>
      <c r="B106" s="713" t="s">
        <v>3675</v>
      </c>
      <c r="C106" s="663" t="s">
        <v>3676</v>
      </c>
      <c r="D106" s="403" t="s">
        <v>40</v>
      </c>
      <c r="E106" s="403" t="s">
        <v>3677</v>
      </c>
      <c r="F106" s="403" t="s">
        <v>3678</v>
      </c>
      <c r="G106" s="664" t="s">
        <v>3679</v>
      </c>
      <c r="H106" s="403" t="s">
        <v>3680</v>
      </c>
      <c r="I106" s="665" t="s">
        <v>3681</v>
      </c>
      <c r="J106" s="665" t="s">
        <v>3682</v>
      </c>
      <c r="K106" s="666" t="s">
        <v>3683</v>
      </c>
      <c r="L106" s="720" t="s">
        <v>3684</v>
      </c>
      <c r="M106" s="668">
        <v>45191.0</v>
      </c>
      <c r="N106" s="669">
        <v>45191.0</v>
      </c>
      <c r="O106" s="403" t="s">
        <v>3685</v>
      </c>
      <c r="P106" s="718">
        <v>45557.0</v>
      </c>
    </row>
    <row r="107" ht="192.75" customHeight="1">
      <c r="A107" s="717">
        <f>P107-'ATAS VIGENTES'!$A$1</f>
        <v>-610</v>
      </c>
      <c r="B107" s="713" t="s">
        <v>1497</v>
      </c>
      <c r="C107" s="663" t="s">
        <v>3686</v>
      </c>
      <c r="D107" s="403" t="s">
        <v>40</v>
      </c>
      <c r="E107" s="403" t="s">
        <v>3677</v>
      </c>
      <c r="F107" s="403" t="s">
        <v>3687</v>
      </c>
      <c r="G107" s="664" t="s">
        <v>3679</v>
      </c>
      <c r="H107" s="403" t="s">
        <v>3680</v>
      </c>
      <c r="I107" s="665" t="s">
        <v>3681</v>
      </c>
      <c r="J107" s="665" t="s">
        <v>3688</v>
      </c>
      <c r="K107" s="666" t="s">
        <v>3683</v>
      </c>
      <c r="L107" s="720" t="s">
        <v>3689</v>
      </c>
      <c r="M107" s="668">
        <v>45191.0</v>
      </c>
      <c r="N107" s="669">
        <v>45191.0</v>
      </c>
      <c r="O107" s="403" t="s">
        <v>3685</v>
      </c>
      <c r="P107" s="718">
        <v>45557.0</v>
      </c>
    </row>
    <row r="108" ht="189.0" customHeight="1">
      <c r="A108" s="717">
        <f>P108-'ATAS VIGENTES'!$A$1</f>
        <v>-610</v>
      </c>
      <c r="B108" s="713" t="s">
        <v>1468</v>
      </c>
      <c r="C108" s="663" t="s">
        <v>3690</v>
      </c>
      <c r="D108" s="403" t="s">
        <v>40</v>
      </c>
      <c r="E108" s="403" t="s">
        <v>3677</v>
      </c>
      <c r="F108" s="403" t="s">
        <v>3691</v>
      </c>
      <c r="G108" s="664" t="s">
        <v>3679</v>
      </c>
      <c r="H108" s="403" t="s">
        <v>3680</v>
      </c>
      <c r="I108" s="665" t="s">
        <v>3681</v>
      </c>
      <c r="J108" s="665" t="s">
        <v>3692</v>
      </c>
      <c r="K108" s="666" t="s">
        <v>3683</v>
      </c>
      <c r="L108" s="720" t="s">
        <v>3693</v>
      </c>
      <c r="M108" s="668">
        <v>45189.0</v>
      </c>
      <c r="N108" s="669">
        <v>45191.0</v>
      </c>
      <c r="O108" s="403" t="s">
        <v>3685</v>
      </c>
      <c r="P108" s="718">
        <v>45557.0</v>
      </c>
    </row>
    <row r="109" ht="69.0" customHeight="1">
      <c r="A109" s="717">
        <f>P109-'ATAS VIGENTES'!$A$1</f>
        <v>-607</v>
      </c>
      <c r="B109" s="713" t="s">
        <v>1710</v>
      </c>
      <c r="C109" s="663" t="s">
        <v>3694</v>
      </c>
      <c r="D109" s="403" t="s">
        <v>40</v>
      </c>
      <c r="E109" s="403" t="s">
        <v>3586</v>
      </c>
      <c r="F109" s="403" t="s">
        <v>1341</v>
      </c>
      <c r="G109" s="664" t="s">
        <v>3695</v>
      </c>
      <c r="H109" s="403" t="s">
        <v>3696</v>
      </c>
      <c r="I109" s="665" t="s">
        <v>3697</v>
      </c>
      <c r="J109" s="665" t="s">
        <v>3698</v>
      </c>
      <c r="K109" s="666" t="s">
        <v>3370</v>
      </c>
      <c r="L109" s="667">
        <v>150000.0</v>
      </c>
      <c r="M109" s="668">
        <v>45190.0</v>
      </c>
      <c r="N109" s="669">
        <v>45194.0</v>
      </c>
      <c r="O109" s="403" t="s">
        <v>3699</v>
      </c>
      <c r="P109" s="670">
        <v>45560.0</v>
      </c>
    </row>
    <row r="110" ht="15.75" customHeight="1">
      <c r="A110" s="717">
        <f>P110-'ATAS VIGENTES'!$A$1</f>
        <v>-631</v>
      </c>
      <c r="B110" s="713" t="s">
        <v>1527</v>
      </c>
      <c r="C110" s="663" t="s">
        <v>3700</v>
      </c>
      <c r="D110" s="403" t="s">
        <v>188</v>
      </c>
      <c r="E110" s="403" t="s">
        <v>3701</v>
      </c>
      <c r="F110" s="403" t="s">
        <v>1651</v>
      </c>
      <c r="G110" s="664" t="s">
        <v>3702</v>
      </c>
      <c r="H110" s="403" t="s">
        <v>3703</v>
      </c>
      <c r="I110" s="665" t="s">
        <v>3704</v>
      </c>
      <c r="J110" s="665" t="s">
        <v>3705</v>
      </c>
      <c r="K110" s="666" t="s">
        <v>3706</v>
      </c>
      <c r="L110" s="667">
        <v>47031.0</v>
      </c>
      <c r="M110" s="668">
        <v>45170.0</v>
      </c>
      <c r="N110" s="669">
        <v>45170.0</v>
      </c>
      <c r="O110" s="403" t="s">
        <v>3707</v>
      </c>
      <c r="P110" s="670">
        <v>45536.0</v>
      </c>
    </row>
    <row r="111" ht="15.75" customHeight="1">
      <c r="A111" s="717">
        <f>P111-'ATAS VIGENTES'!$A$1</f>
        <v>-647</v>
      </c>
      <c r="B111" s="713" t="s">
        <v>37</v>
      </c>
      <c r="C111" s="663" t="s">
        <v>3708</v>
      </c>
      <c r="D111" s="403" t="s">
        <v>25</v>
      </c>
      <c r="E111" s="403" t="s">
        <v>2911</v>
      </c>
      <c r="F111" s="403" t="s">
        <v>3501</v>
      </c>
      <c r="G111" s="664" t="s">
        <v>3709</v>
      </c>
      <c r="H111" s="403" t="s">
        <v>3710</v>
      </c>
      <c r="I111" s="403" t="s">
        <v>3711</v>
      </c>
      <c r="J111" s="665" t="s">
        <v>3712</v>
      </c>
      <c r="K111" s="666" t="s">
        <v>3713</v>
      </c>
      <c r="L111" s="667">
        <v>584472.4</v>
      </c>
      <c r="M111" s="668">
        <v>45147.0</v>
      </c>
      <c r="N111" s="669">
        <v>45154.0</v>
      </c>
      <c r="O111" s="403" t="s">
        <v>3714</v>
      </c>
      <c r="P111" s="670">
        <v>45520.0</v>
      </c>
    </row>
    <row r="112" ht="15.75" customHeight="1">
      <c r="A112" s="717">
        <f>P112-'ATAS VIGENTES'!$A$1</f>
        <v>-647</v>
      </c>
      <c r="B112" s="713" t="s">
        <v>523</v>
      </c>
      <c r="C112" s="663" t="s">
        <v>3715</v>
      </c>
      <c r="D112" s="403" t="s">
        <v>25</v>
      </c>
      <c r="E112" s="403" t="s">
        <v>2911</v>
      </c>
      <c r="F112" s="403" t="s">
        <v>3501</v>
      </c>
      <c r="G112" s="664" t="s">
        <v>3709</v>
      </c>
      <c r="H112" s="403" t="s">
        <v>3710</v>
      </c>
      <c r="I112" s="403" t="s">
        <v>3711</v>
      </c>
      <c r="J112" s="665" t="s">
        <v>3716</v>
      </c>
      <c r="K112" s="666" t="s">
        <v>3713</v>
      </c>
      <c r="L112" s="667">
        <v>993325.0</v>
      </c>
      <c r="M112" s="668">
        <v>45149.0</v>
      </c>
      <c r="N112" s="669">
        <v>45154.0</v>
      </c>
      <c r="O112" s="403" t="s">
        <v>3714</v>
      </c>
      <c r="P112" s="670">
        <v>45520.0</v>
      </c>
    </row>
    <row r="113" ht="15.75" customHeight="1">
      <c r="A113" s="717">
        <f>P113-'ATAS VIGENTES'!$A$1</f>
        <v>-647</v>
      </c>
      <c r="B113" s="713" t="s">
        <v>1298</v>
      </c>
      <c r="C113" s="663" t="s">
        <v>3717</v>
      </c>
      <c r="D113" s="403" t="s">
        <v>25</v>
      </c>
      <c r="E113" s="403" t="s">
        <v>2911</v>
      </c>
      <c r="F113" s="403" t="s">
        <v>3501</v>
      </c>
      <c r="G113" s="664" t="s">
        <v>3709</v>
      </c>
      <c r="H113" s="403" t="s">
        <v>3710</v>
      </c>
      <c r="I113" s="403" t="s">
        <v>3711</v>
      </c>
      <c r="J113" s="665" t="s">
        <v>3718</v>
      </c>
      <c r="K113" s="666" t="s">
        <v>3713</v>
      </c>
      <c r="L113" s="667">
        <v>3334216.0</v>
      </c>
      <c r="M113" s="668">
        <v>45149.0</v>
      </c>
      <c r="N113" s="669">
        <v>45154.0</v>
      </c>
      <c r="O113" s="403" t="s">
        <v>3714</v>
      </c>
      <c r="P113" s="670">
        <v>45520.0</v>
      </c>
    </row>
    <row r="114" ht="15.75" customHeight="1">
      <c r="A114" s="717">
        <f>P114-'ATAS VIGENTES'!$A$1</f>
        <v>-647</v>
      </c>
      <c r="B114" s="713" t="s">
        <v>1780</v>
      </c>
      <c r="C114" s="663" t="s">
        <v>3719</v>
      </c>
      <c r="D114" s="403" t="s">
        <v>25</v>
      </c>
      <c r="E114" s="403" t="s">
        <v>2911</v>
      </c>
      <c r="F114" s="403" t="s">
        <v>3501</v>
      </c>
      <c r="G114" s="664" t="s">
        <v>3709</v>
      </c>
      <c r="H114" s="403" t="s">
        <v>3710</v>
      </c>
      <c r="I114" s="403" t="s">
        <v>3711</v>
      </c>
      <c r="J114" s="665" t="s">
        <v>3720</v>
      </c>
      <c r="K114" s="666" t="s">
        <v>3713</v>
      </c>
      <c r="L114" s="667">
        <v>623492.0</v>
      </c>
      <c r="M114" s="668">
        <v>45147.0</v>
      </c>
      <c r="N114" s="669">
        <v>45154.0</v>
      </c>
      <c r="O114" s="403" t="s">
        <v>3714</v>
      </c>
      <c r="P114" s="670">
        <v>45520.0</v>
      </c>
    </row>
    <row r="115" ht="15.75" customHeight="1">
      <c r="A115" s="717">
        <f>P115-'ATAS VIGENTES'!$A$1</f>
        <v>-647</v>
      </c>
      <c r="B115" s="713" t="s">
        <v>1747</v>
      </c>
      <c r="C115" s="663" t="s">
        <v>3721</v>
      </c>
      <c r="D115" s="403" t="s">
        <v>40</v>
      </c>
      <c r="E115" s="403" t="s">
        <v>2625</v>
      </c>
      <c r="F115" s="403" t="s">
        <v>3267</v>
      </c>
      <c r="G115" s="664" t="s">
        <v>3722</v>
      </c>
      <c r="H115" s="403" t="s">
        <v>3723</v>
      </c>
      <c r="I115" s="403" t="s">
        <v>3724</v>
      </c>
      <c r="J115" s="665" t="s">
        <v>3725</v>
      </c>
      <c r="K115" s="666" t="s">
        <v>3726</v>
      </c>
      <c r="L115" s="667">
        <v>5700000.0</v>
      </c>
      <c r="M115" s="668">
        <v>45149.0</v>
      </c>
      <c r="N115" s="669">
        <v>45154.0</v>
      </c>
      <c r="O115" s="403" t="s">
        <v>3714</v>
      </c>
      <c r="P115" s="670">
        <v>45520.0</v>
      </c>
    </row>
    <row r="116" ht="183.75" customHeight="1">
      <c r="A116" s="721">
        <f>P116-$A$1</f>
        <v>-645</v>
      </c>
      <c r="B116" s="722" t="s">
        <v>1352</v>
      </c>
      <c r="C116" s="723" t="s">
        <v>3727</v>
      </c>
      <c r="D116" s="724" t="s">
        <v>40</v>
      </c>
      <c r="E116" s="724" t="s">
        <v>2625</v>
      </c>
      <c r="F116" s="724" t="s">
        <v>3267</v>
      </c>
      <c r="G116" s="725" t="s">
        <v>3722</v>
      </c>
      <c r="H116" s="724" t="s">
        <v>3723</v>
      </c>
      <c r="I116" s="724" t="s">
        <v>3724</v>
      </c>
      <c r="J116" s="726" t="s">
        <v>3728</v>
      </c>
      <c r="K116" s="727" t="s">
        <v>3726</v>
      </c>
      <c r="L116" s="728">
        <v>376200.0</v>
      </c>
      <c r="M116" s="729">
        <v>45156.0</v>
      </c>
      <c r="N116" s="730">
        <v>45156.0</v>
      </c>
      <c r="O116" s="724" t="s">
        <v>3729</v>
      </c>
      <c r="P116" s="731">
        <v>45522.0</v>
      </c>
    </row>
    <row r="117" ht="183.75" customHeight="1">
      <c r="A117" s="717">
        <f>P117-'ATAS VIGENTES'!$A$1</f>
        <v>-653</v>
      </c>
      <c r="B117" s="713" t="s">
        <v>1807</v>
      </c>
      <c r="C117" s="663" t="s">
        <v>3730</v>
      </c>
      <c r="D117" s="403" t="s">
        <v>561</v>
      </c>
      <c r="E117" s="403" t="s">
        <v>662</v>
      </c>
      <c r="F117" s="403" t="s">
        <v>3731</v>
      </c>
      <c r="G117" s="664" t="s">
        <v>3732</v>
      </c>
      <c r="H117" s="403" t="s">
        <v>3733</v>
      </c>
      <c r="I117" s="403" t="s">
        <v>666</v>
      </c>
      <c r="J117" s="665" t="s">
        <v>3734</v>
      </c>
      <c r="K117" s="666" t="s">
        <v>3735</v>
      </c>
      <c r="L117" s="667">
        <v>8619000.0</v>
      </c>
      <c r="M117" s="668">
        <v>45142.0</v>
      </c>
      <c r="N117" s="669">
        <v>45148.0</v>
      </c>
      <c r="O117" s="403" t="s">
        <v>3736</v>
      </c>
      <c r="P117" s="670">
        <v>45514.0</v>
      </c>
    </row>
    <row r="118" ht="15.75" customHeight="1">
      <c r="A118" s="717">
        <f>P118-'ATAS VIGENTES'!$A$1</f>
        <v>-680</v>
      </c>
      <c r="B118" s="713" t="s">
        <v>3737</v>
      </c>
      <c r="C118" s="663" t="s">
        <v>3738</v>
      </c>
      <c r="D118" s="403" t="s">
        <v>25</v>
      </c>
      <c r="E118" s="403" t="s">
        <v>3739</v>
      </c>
      <c r="F118" s="403" t="s">
        <v>3740</v>
      </c>
      <c r="G118" s="664" t="s">
        <v>3741</v>
      </c>
      <c r="H118" s="403" t="s">
        <v>3742</v>
      </c>
      <c r="I118" s="403" t="s">
        <v>3743</v>
      </c>
      <c r="J118" s="665" t="s">
        <v>3744</v>
      </c>
      <c r="K118" s="666" t="s">
        <v>3745</v>
      </c>
      <c r="L118" s="667">
        <v>290000.0</v>
      </c>
      <c r="M118" s="668">
        <v>45114.0</v>
      </c>
      <c r="N118" s="669">
        <v>45121.0</v>
      </c>
      <c r="O118" s="403" t="s">
        <v>3746</v>
      </c>
      <c r="P118" s="670">
        <v>45487.0</v>
      </c>
    </row>
    <row r="119" ht="93.0" customHeight="1">
      <c r="A119" s="717">
        <f>P119-'ATAS VIGENTES'!$A$1</f>
        <v>-684</v>
      </c>
      <c r="B119" s="713" t="s">
        <v>1718</v>
      </c>
      <c r="C119" s="663" t="s">
        <v>3747</v>
      </c>
      <c r="D119" s="403" t="s">
        <v>114</v>
      </c>
      <c r="E119" s="403" t="s">
        <v>3748</v>
      </c>
      <c r="F119" s="403" t="s">
        <v>3749</v>
      </c>
      <c r="G119" s="664" t="s">
        <v>3750</v>
      </c>
      <c r="H119" s="403" t="s">
        <v>3751</v>
      </c>
      <c r="I119" s="403" t="s">
        <v>3752</v>
      </c>
      <c r="J119" s="665" t="s">
        <v>3753</v>
      </c>
      <c r="K119" s="666" t="s">
        <v>3754</v>
      </c>
      <c r="L119" s="667">
        <v>802022.0</v>
      </c>
      <c r="M119" s="668">
        <v>45110.0</v>
      </c>
      <c r="N119" s="669">
        <v>45117.0</v>
      </c>
      <c r="O119" s="403" t="s">
        <v>3755</v>
      </c>
      <c r="P119" s="670">
        <v>45483.0</v>
      </c>
    </row>
    <row r="120" ht="95.25" customHeight="1">
      <c r="A120" s="717">
        <f>P120-'ATAS VIGENTES'!$A$1</f>
        <v>-684</v>
      </c>
      <c r="B120" s="713" t="s">
        <v>1732</v>
      </c>
      <c r="C120" s="663" t="s">
        <v>3756</v>
      </c>
      <c r="D120" s="403" t="s">
        <v>114</v>
      </c>
      <c r="E120" s="403" t="s">
        <v>3748</v>
      </c>
      <c r="F120" s="403" t="s">
        <v>3749</v>
      </c>
      <c r="G120" s="664" t="s">
        <v>3750</v>
      </c>
      <c r="H120" s="403" t="s">
        <v>3751</v>
      </c>
      <c r="I120" s="403" t="s">
        <v>3752</v>
      </c>
      <c r="J120" s="665" t="s">
        <v>3757</v>
      </c>
      <c r="K120" s="666" t="s">
        <v>3754</v>
      </c>
      <c r="L120" s="667">
        <v>2092961.04</v>
      </c>
      <c r="M120" s="668">
        <v>45112.0</v>
      </c>
      <c r="N120" s="669">
        <v>45117.0</v>
      </c>
      <c r="O120" s="403" t="s">
        <v>3755</v>
      </c>
      <c r="P120" s="670">
        <v>45483.0</v>
      </c>
    </row>
    <row r="121" ht="15.75" customHeight="1">
      <c r="A121" s="717">
        <f>P121-'ATAS VIGENTES'!$A$1</f>
        <v>-736</v>
      </c>
      <c r="B121" s="713" t="s">
        <v>686</v>
      </c>
      <c r="C121" s="663" t="s">
        <v>3758</v>
      </c>
      <c r="D121" s="403" t="s">
        <v>25</v>
      </c>
      <c r="E121" s="403" t="s">
        <v>3759</v>
      </c>
      <c r="F121" s="403" t="s">
        <v>3739</v>
      </c>
      <c r="G121" s="664" t="s">
        <v>3760</v>
      </c>
      <c r="H121" s="403" t="s">
        <v>3761</v>
      </c>
      <c r="I121" s="403" t="s">
        <v>3762</v>
      </c>
      <c r="J121" s="665" t="s">
        <v>3763</v>
      </c>
      <c r="K121" s="666" t="s">
        <v>3764</v>
      </c>
      <c r="L121" s="667">
        <v>252600.0</v>
      </c>
      <c r="M121" s="668">
        <v>45063.0</v>
      </c>
      <c r="N121" s="669">
        <v>45065.0</v>
      </c>
      <c r="O121" s="403" t="s">
        <v>3765</v>
      </c>
      <c r="P121" s="670">
        <v>45431.0</v>
      </c>
    </row>
    <row r="122" ht="15.75" customHeight="1">
      <c r="A122" s="717">
        <f>P122-'ATAS VIGENTES'!$A$1</f>
        <v>-736</v>
      </c>
      <c r="B122" s="713" t="s">
        <v>1847</v>
      </c>
      <c r="C122" s="663" t="s">
        <v>3766</v>
      </c>
      <c r="D122" s="403" t="s">
        <v>25</v>
      </c>
      <c r="E122" s="403" t="s">
        <v>3759</v>
      </c>
      <c r="F122" s="403" t="s">
        <v>3739</v>
      </c>
      <c r="G122" s="664" t="s">
        <v>3760</v>
      </c>
      <c r="H122" s="403" t="s">
        <v>3761</v>
      </c>
      <c r="I122" s="403" t="s">
        <v>3762</v>
      </c>
      <c r="J122" s="665" t="s">
        <v>3767</v>
      </c>
      <c r="K122" s="666" t="s">
        <v>3764</v>
      </c>
      <c r="L122" s="667">
        <v>671840.0</v>
      </c>
      <c r="M122" s="668">
        <v>45064.0</v>
      </c>
      <c r="N122" s="669">
        <v>45065.0</v>
      </c>
      <c r="O122" s="403" t="s">
        <v>3765</v>
      </c>
      <c r="P122" s="670">
        <v>45431.0</v>
      </c>
    </row>
    <row r="123" ht="15.75" customHeight="1">
      <c r="A123" s="717">
        <f>P123-'ATAS VIGENTES'!$A$1</f>
        <v>-737</v>
      </c>
      <c r="B123" s="713" t="s">
        <v>1871</v>
      </c>
      <c r="C123" s="663" t="s">
        <v>3768</v>
      </c>
      <c r="D123" s="403" t="s">
        <v>25</v>
      </c>
      <c r="E123" s="403" t="s">
        <v>3759</v>
      </c>
      <c r="F123" s="403" t="s">
        <v>3739</v>
      </c>
      <c r="G123" s="664" t="s">
        <v>3769</v>
      </c>
      <c r="H123" s="403" t="s">
        <v>3770</v>
      </c>
      <c r="I123" s="403" t="s">
        <v>3771</v>
      </c>
      <c r="J123" s="665" t="s">
        <v>3772</v>
      </c>
      <c r="K123" s="666" t="s">
        <v>3773</v>
      </c>
      <c r="L123" s="667">
        <v>23852.88</v>
      </c>
      <c r="M123" s="668">
        <v>45064.0</v>
      </c>
      <c r="N123" s="669">
        <v>45064.0</v>
      </c>
      <c r="O123" s="403" t="s">
        <v>3774</v>
      </c>
      <c r="P123" s="670">
        <v>45430.0</v>
      </c>
    </row>
    <row r="124" ht="15.75" customHeight="1">
      <c r="A124" s="717">
        <f>P124-'ATAS VIGENTES'!$A$1</f>
        <v>-737</v>
      </c>
      <c r="B124" s="713" t="s">
        <v>1862</v>
      </c>
      <c r="C124" s="663" t="s">
        <v>3686</v>
      </c>
      <c r="D124" s="403" t="s">
        <v>40</v>
      </c>
      <c r="E124" s="403" t="s">
        <v>3775</v>
      </c>
      <c r="F124" s="403" t="s">
        <v>3776</v>
      </c>
      <c r="G124" s="664" t="s">
        <v>3777</v>
      </c>
      <c r="H124" s="403" t="s">
        <v>3778</v>
      </c>
      <c r="I124" s="403" t="s">
        <v>3779</v>
      </c>
      <c r="J124" s="665" t="s">
        <v>3780</v>
      </c>
      <c r="K124" s="666" t="s">
        <v>3781</v>
      </c>
      <c r="L124" s="667">
        <v>47180.0</v>
      </c>
      <c r="M124" s="668">
        <v>45064.0</v>
      </c>
      <c r="N124" s="669">
        <v>45064.0</v>
      </c>
      <c r="O124" s="403" t="s">
        <v>3774</v>
      </c>
      <c r="P124" s="670">
        <v>45430.0</v>
      </c>
    </row>
    <row r="125" ht="15.75" customHeight="1">
      <c r="A125" s="717">
        <f>P125-'ATAS VIGENTES'!$A$1</f>
        <v>-740</v>
      </c>
      <c r="B125" s="713" t="s">
        <v>1339</v>
      </c>
      <c r="C125" s="663" t="s">
        <v>3782</v>
      </c>
      <c r="D125" s="403" t="s">
        <v>40</v>
      </c>
      <c r="E125" s="403" t="s">
        <v>3775</v>
      </c>
      <c r="F125" s="403" t="s">
        <v>3776</v>
      </c>
      <c r="G125" s="664" t="s">
        <v>3777</v>
      </c>
      <c r="H125" s="403" t="s">
        <v>3778</v>
      </c>
      <c r="I125" s="403" t="s">
        <v>3779</v>
      </c>
      <c r="J125" s="665" t="s">
        <v>3783</v>
      </c>
      <c r="K125" s="666" t="s">
        <v>3781</v>
      </c>
      <c r="L125" s="667">
        <v>601090.0</v>
      </c>
      <c r="M125" s="668">
        <v>45058.0</v>
      </c>
      <c r="N125" s="669">
        <v>45061.0</v>
      </c>
      <c r="O125" s="403" t="s">
        <v>3784</v>
      </c>
      <c r="P125" s="670">
        <v>45427.0</v>
      </c>
    </row>
    <row r="126" ht="15.75" customHeight="1">
      <c r="A126" s="717">
        <f>P126-'ATAS VIGENTES'!$A$1</f>
        <v>-757</v>
      </c>
      <c r="B126" s="713" t="s">
        <v>1554</v>
      </c>
      <c r="C126" s="663" t="s">
        <v>3700</v>
      </c>
      <c r="D126" s="403" t="s">
        <v>188</v>
      </c>
      <c r="E126" s="403" t="s">
        <v>127</v>
      </c>
      <c r="F126" s="403" t="s">
        <v>3785</v>
      </c>
      <c r="G126" s="664" t="s">
        <v>3786</v>
      </c>
      <c r="H126" s="403" t="s">
        <v>3787</v>
      </c>
      <c r="I126" s="403" t="s">
        <v>3788</v>
      </c>
      <c r="J126" s="665" t="s">
        <v>3789</v>
      </c>
      <c r="K126" s="666" t="s">
        <v>3790</v>
      </c>
      <c r="L126" s="667">
        <v>24480.0</v>
      </c>
      <c r="M126" s="668">
        <v>45033.0</v>
      </c>
      <c r="N126" s="669">
        <v>45044.0</v>
      </c>
      <c r="O126" s="403" t="s">
        <v>3791</v>
      </c>
      <c r="P126" s="670">
        <v>45410.0</v>
      </c>
    </row>
    <row r="127" ht="15.75" customHeight="1">
      <c r="A127" s="717">
        <f>P127-'ATAS VIGENTES'!$A$1</f>
        <v>-765</v>
      </c>
      <c r="B127" s="713" t="s">
        <v>1574</v>
      </c>
      <c r="C127" s="663" t="s">
        <v>3792</v>
      </c>
      <c r="D127" s="403" t="s">
        <v>188</v>
      </c>
      <c r="E127" s="403" t="s">
        <v>3785</v>
      </c>
      <c r="F127" s="403" t="s">
        <v>127</v>
      </c>
      <c r="G127" s="664" t="s">
        <v>3793</v>
      </c>
      <c r="H127" s="403" t="s">
        <v>3794</v>
      </c>
      <c r="I127" s="403" t="s">
        <v>3795</v>
      </c>
      <c r="J127" s="665" t="s">
        <v>3796</v>
      </c>
      <c r="K127" s="666" t="s">
        <v>3797</v>
      </c>
      <c r="L127" s="667">
        <v>139998.0</v>
      </c>
      <c r="M127" s="668">
        <v>45033.0</v>
      </c>
      <c r="N127" s="669">
        <v>45036.0</v>
      </c>
      <c r="O127" s="403" t="s">
        <v>3798</v>
      </c>
      <c r="P127" s="670">
        <v>45402.0</v>
      </c>
    </row>
    <row r="128" ht="15.75" customHeight="1">
      <c r="A128" s="717">
        <f>P128-$A$1</f>
        <v>-765</v>
      </c>
      <c r="B128" s="713" t="s">
        <v>289</v>
      </c>
      <c r="C128" s="663" t="s">
        <v>3799</v>
      </c>
      <c r="D128" s="403" t="s">
        <v>188</v>
      </c>
      <c r="E128" s="403" t="s">
        <v>127</v>
      </c>
      <c r="F128" s="403" t="s">
        <v>3785</v>
      </c>
      <c r="G128" s="664" t="s">
        <v>3786</v>
      </c>
      <c r="H128" s="403" t="s">
        <v>3787</v>
      </c>
      <c r="I128" s="403" t="s">
        <v>3788</v>
      </c>
      <c r="J128" s="665" t="s">
        <v>3800</v>
      </c>
      <c r="K128" s="666" t="s">
        <v>3790</v>
      </c>
      <c r="L128" s="667">
        <v>7500.0</v>
      </c>
      <c r="M128" s="668">
        <v>45033.0</v>
      </c>
      <c r="N128" s="669">
        <v>45036.0</v>
      </c>
      <c r="O128" s="403" t="s">
        <v>3798</v>
      </c>
      <c r="P128" s="670">
        <v>45402.0</v>
      </c>
    </row>
    <row r="129" ht="15.75" customHeight="1">
      <c r="A129" s="717">
        <f>P129-'ATAS VIGENTES'!$A$1</f>
        <v>-865</v>
      </c>
      <c r="B129" s="713" t="s">
        <v>3801</v>
      </c>
      <c r="C129" s="663" t="s">
        <v>3802</v>
      </c>
      <c r="D129" s="403" t="s">
        <v>3803</v>
      </c>
      <c r="E129" s="403" t="s">
        <v>3804</v>
      </c>
      <c r="F129" s="403" t="s">
        <v>3805</v>
      </c>
      <c r="G129" s="664" t="s">
        <v>3806</v>
      </c>
      <c r="H129" s="403" t="s">
        <v>3807</v>
      </c>
      <c r="I129" s="403" t="s">
        <v>3808</v>
      </c>
      <c r="J129" s="665" t="s">
        <v>3809</v>
      </c>
      <c r="K129" s="666" t="s">
        <v>3810</v>
      </c>
      <c r="L129" s="667">
        <v>115406.6</v>
      </c>
      <c r="M129" s="668">
        <v>44925.0</v>
      </c>
      <c r="N129" s="669">
        <v>44937.0</v>
      </c>
      <c r="O129" s="403" t="s">
        <v>3811</v>
      </c>
      <c r="P129" s="670">
        <v>45302.0</v>
      </c>
    </row>
    <row r="130" ht="15.75" customHeight="1">
      <c r="A130" s="717">
        <f t="shared" ref="A130:A161" si="1">P130-$A$1</f>
        <v>-887</v>
      </c>
      <c r="B130" s="713" t="s">
        <v>3812</v>
      </c>
      <c r="C130" s="663" t="s">
        <v>3813</v>
      </c>
      <c r="D130" s="403" t="s">
        <v>25</v>
      </c>
      <c r="E130" s="403" t="s">
        <v>3814</v>
      </c>
      <c r="F130" s="403" t="s">
        <v>3815</v>
      </c>
      <c r="G130" s="664" t="s">
        <v>3816</v>
      </c>
      <c r="H130" s="403" t="s">
        <v>3817</v>
      </c>
      <c r="I130" s="403" t="s">
        <v>3818</v>
      </c>
      <c r="J130" s="665" t="s">
        <v>3819</v>
      </c>
      <c r="K130" s="666" t="s">
        <v>3820</v>
      </c>
      <c r="L130" s="667">
        <v>982800.0</v>
      </c>
      <c r="M130" s="668">
        <v>44911.0</v>
      </c>
      <c r="N130" s="669">
        <v>44915.0</v>
      </c>
      <c r="O130" s="403" t="s">
        <v>3821</v>
      </c>
      <c r="P130" s="670">
        <v>45280.0</v>
      </c>
    </row>
    <row r="131" ht="15.75" customHeight="1">
      <c r="A131" s="717">
        <f t="shared" si="1"/>
        <v>-892</v>
      </c>
      <c r="B131" s="713" t="s">
        <v>3822</v>
      </c>
      <c r="C131" s="663" t="s">
        <v>3823</v>
      </c>
      <c r="D131" s="403" t="s">
        <v>3803</v>
      </c>
      <c r="E131" s="403" t="s">
        <v>3804</v>
      </c>
      <c r="F131" s="403" t="s">
        <v>3805</v>
      </c>
      <c r="G131" s="664" t="s">
        <v>3806</v>
      </c>
      <c r="H131" s="403" t="s">
        <v>3807</v>
      </c>
      <c r="I131" s="403" t="s">
        <v>3808</v>
      </c>
      <c r="J131" s="665" t="s">
        <v>3824</v>
      </c>
      <c r="K131" s="666" t="s">
        <v>3810</v>
      </c>
      <c r="L131" s="667">
        <v>17000.0</v>
      </c>
      <c r="M131" s="668">
        <v>44909.0</v>
      </c>
      <c r="N131" s="669">
        <v>44910.0</v>
      </c>
      <c r="O131" s="403" t="s">
        <v>3825</v>
      </c>
      <c r="P131" s="670">
        <v>45275.0</v>
      </c>
    </row>
    <row r="132" ht="15.75" customHeight="1">
      <c r="A132" s="717">
        <f t="shared" si="1"/>
        <v>-892</v>
      </c>
      <c r="B132" s="713" t="s">
        <v>3826</v>
      </c>
      <c r="C132" s="663" t="s">
        <v>3827</v>
      </c>
      <c r="D132" s="403" t="s">
        <v>3803</v>
      </c>
      <c r="E132" s="403" t="s">
        <v>3804</v>
      </c>
      <c r="F132" s="403" t="s">
        <v>3805</v>
      </c>
      <c r="G132" s="664" t="s">
        <v>3806</v>
      </c>
      <c r="H132" s="403" t="s">
        <v>3807</v>
      </c>
      <c r="I132" s="403" t="s">
        <v>3808</v>
      </c>
      <c r="J132" s="665" t="s">
        <v>3828</v>
      </c>
      <c r="K132" s="666" t="s">
        <v>3810</v>
      </c>
      <c r="L132" s="667">
        <v>87215.0</v>
      </c>
      <c r="M132" s="668">
        <v>44909.0</v>
      </c>
      <c r="N132" s="669">
        <v>44910.0</v>
      </c>
      <c r="O132" s="403" t="s">
        <v>3825</v>
      </c>
      <c r="P132" s="670">
        <v>45275.0</v>
      </c>
    </row>
    <row r="133" ht="15.75" customHeight="1">
      <c r="A133" s="717">
        <f t="shared" si="1"/>
        <v>-892</v>
      </c>
      <c r="B133" s="713" t="s">
        <v>3829</v>
      </c>
      <c r="C133" s="663" t="s">
        <v>3830</v>
      </c>
      <c r="D133" s="403" t="s">
        <v>3803</v>
      </c>
      <c r="E133" s="403" t="s">
        <v>3804</v>
      </c>
      <c r="F133" s="403" t="s">
        <v>3805</v>
      </c>
      <c r="G133" s="664" t="s">
        <v>3806</v>
      </c>
      <c r="H133" s="403" t="s">
        <v>3807</v>
      </c>
      <c r="I133" s="403" t="s">
        <v>3808</v>
      </c>
      <c r="J133" s="665" t="s">
        <v>3831</v>
      </c>
      <c r="K133" s="666" t="s">
        <v>3810</v>
      </c>
      <c r="L133" s="667">
        <v>237772.4</v>
      </c>
      <c r="M133" s="668">
        <v>44909.0</v>
      </c>
      <c r="N133" s="669">
        <v>44910.0</v>
      </c>
      <c r="O133" s="403" t="s">
        <v>3825</v>
      </c>
      <c r="P133" s="670">
        <v>45275.0</v>
      </c>
    </row>
    <row r="134" ht="15.75" customHeight="1">
      <c r="A134" s="717">
        <f t="shared" si="1"/>
        <v>-905</v>
      </c>
      <c r="B134" s="713" t="s">
        <v>3832</v>
      </c>
      <c r="C134" s="663" t="s">
        <v>3833</v>
      </c>
      <c r="D134" s="403" t="s">
        <v>25</v>
      </c>
      <c r="E134" s="403" t="s">
        <v>3759</v>
      </c>
      <c r="F134" s="403" t="s">
        <v>3834</v>
      </c>
      <c r="G134" s="664" t="s">
        <v>3835</v>
      </c>
      <c r="H134" s="403" t="s">
        <v>3836</v>
      </c>
      <c r="I134" s="403" t="s">
        <v>3837</v>
      </c>
      <c r="J134" s="665" t="s">
        <v>3838</v>
      </c>
      <c r="K134" s="666" t="s">
        <v>3839</v>
      </c>
      <c r="L134" s="667">
        <v>144000.0</v>
      </c>
      <c r="M134" s="668">
        <v>44896.0</v>
      </c>
      <c r="N134" s="669">
        <v>44897.0</v>
      </c>
      <c r="O134" s="403" t="s">
        <v>3840</v>
      </c>
      <c r="P134" s="670">
        <v>45262.0</v>
      </c>
    </row>
    <row r="135" ht="15.75" customHeight="1">
      <c r="A135" s="717">
        <f t="shared" si="1"/>
        <v>-905</v>
      </c>
      <c r="B135" s="713" t="s">
        <v>3841</v>
      </c>
      <c r="C135" s="663" t="s">
        <v>3842</v>
      </c>
      <c r="D135" s="403" t="s">
        <v>25</v>
      </c>
      <c r="E135" s="403" t="s">
        <v>3759</v>
      </c>
      <c r="F135" s="403" t="s">
        <v>3834</v>
      </c>
      <c r="G135" s="664" t="s">
        <v>3835</v>
      </c>
      <c r="H135" s="403" t="s">
        <v>3836</v>
      </c>
      <c r="I135" s="403" t="s">
        <v>3837</v>
      </c>
      <c r="J135" s="665" t="s">
        <v>3843</v>
      </c>
      <c r="K135" s="666" t="s">
        <v>3839</v>
      </c>
      <c r="L135" s="667">
        <v>234029.5</v>
      </c>
      <c r="M135" s="668">
        <v>44896.0</v>
      </c>
      <c r="N135" s="669">
        <v>44897.0</v>
      </c>
      <c r="O135" s="403" t="s">
        <v>3840</v>
      </c>
      <c r="P135" s="670">
        <v>45262.0</v>
      </c>
    </row>
    <row r="136" ht="15.75" customHeight="1">
      <c r="A136" s="717">
        <f t="shared" si="1"/>
        <v>-907</v>
      </c>
      <c r="B136" s="713" t="s">
        <v>3844</v>
      </c>
      <c r="C136" s="663" t="s">
        <v>3845</v>
      </c>
      <c r="D136" s="403" t="s">
        <v>25</v>
      </c>
      <c r="E136" s="403" t="s">
        <v>3759</v>
      </c>
      <c r="F136" s="403" t="s">
        <v>3834</v>
      </c>
      <c r="G136" s="664" t="s">
        <v>3835</v>
      </c>
      <c r="H136" s="403" t="s">
        <v>3836</v>
      </c>
      <c r="I136" s="403" t="s">
        <v>3837</v>
      </c>
      <c r="J136" s="665" t="s">
        <v>3846</v>
      </c>
      <c r="K136" s="666" t="s">
        <v>3839</v>
      </c>
      <c r="L136" s="667">
        <v>96895.82</v>
      </c>
      <c r="M136" s="668">
        <v>44889.0</v>
      </c>
      <c r="N136" s="669">
        <v>44895.0</v>
      </c>
      <c r="O136" s="403" t="s">
        <v>3847</v>
      </c>
      <c r="P136" s="670">
        <v>45260.0</v>
      </c>
    </row>
    <row r="137" ht="15.75" customHeight="1">
      <c r="A137" s="717">
        <f t="shared" si="1"/>
        <v>-909</v>
      </c>
      <c r="B137" s="713" t="s">
        <v>3848</v>
      </c>
      <c r="C137" s="663" t="s">
        <v>3849</v>
      </c>
      <c r="D137" s="403" t="s">
        <v>25</v>
      </c>
      <c r="E137" s="403" t="s">
        <v>3759</v>
      </c>
      <c r="F137" s="403" t="s">
        <v>3834</v>
      </c>
      <c r="G137" s="664" t="s">
        <v>3835</v>
      </c>
      <c r="H137" s="403" t="s">
        <v>3836</v>
      </c>
      <c r="I137" s="403" t="s">
        <v>3837</v>
      </c>
      <c r="J137" s="665" t="s">
        <v>3850</v>
      </c>
      <c r="K137" s="666" t="s">
        <v>3839</v>
      </c>
      <c r="L137" s="667">
        <v>442796.5</v>
      </c>
      <c r="M137" s="668">
        <v>44889.0</v>
      </c>
      <c r="N137" s="669">
        <v>44893.0</v>
      </c>
      <c r="O137" s="403" t="s">
        <v>3851</v>
      </c>
      <c r="P137" s="670">
        <v>45258.0</v>
      </c>
    </row>
    <row r="138" ht="15.75" customHeight="1">
      <c r="A138" s="717">
        <f t="shared" si="1"/>
        <v>-905</v>
      </c>
      <c r="B138" s="713" t="s">
        <v>3852</v>
      </c>
      <c r="C138" s="663" t="s">
        <v>3853</v>
      </c>
      <c r="D138" s="403" t="s">
        <v>25</v>
      </c>
      <c r="E138" s="403" t="s">
        <v>3759</v>
      </c>
      <c r="F138" s="403" t="s">
        <v>3834</v>
      </c>
      <c r="G138" s="664" t="s">
        <v>3835</v>
      </c>
      <c r="H138" s="403" t="s">
        <v>3836</v>
      </c>
      <c r="I138" s="403" t="s">
        <v>3837</v>
      </c>
      <c r="J138" s="665" t="s">
        <v>3854</v>
      </c>
      <c r="K138" s="666" t="s">
        <v>3839</v>
      </c>
      <c r="L138" s="667">
        <v>26360.3</v>
      </c>
      <c r="M138" s="668">
        <v>44896.0</v>
      </c>
      <c r="N138" s="669">
        <v>44897.0</v>
      </c>
      <c r="O138" s="403" t="s">
        <v>3840</v>
      </c>
      <c r="P138" s="670">
        <v>45262.0</v>
      </c>
    </row>
    <row r="139" ht="15.75" customHeight="1">
      <c r="A139" s="717">
        <f t="shared" si="1"/>
        <v>-909</v>
      </c>
      <c r="B139" s="713" t="s">
        <v>3855</v>
      </c>
      <c r="C139" s="663" t="s">
        <v>3856</v>
      </c>
      <c r="D139" s="403" t="s">
        <v>25</v>
      </c>
      <c r="E139" s="403" t="s">
        <v>3759</v>
      </c>
      <c r="F139" s="403" t="s">
        <v>3834</v>
      </c>
      <c r="G139" s="664" t="s">
        <v>3835</v>
      </c>
      <c r="H139" s="403" t="s">
        <v>3836</v>
      </c>
      <c r="I139" s="403" t="s">
        <v>3837</v>
      </c>
      <c r="J139" s="665" t="s">
        <v>3857</v>
      </c>
      <c r="K139" s="666" t="s">
        <v>3839</v>
      </c>
      <c r="L139" s="667">
        <v>51118.5</v>
      </c>
      <c r="M139" s="668">
        <v>44889.0</v>
      </c>
      <c r="N139" s="669">
        <v>44893.0</v>
      </c>
      <c r="O139" s="403" t="s">
        <v>3851</v>
      </c>
      <c r="P139" s="670">
        <v>45258.0</v>
      </c>
    </row>
    <row r="140" ht="15.75" customHeight="1">
      <c r="A140" s="717">
        <f t="shared" si="1"/>
        <v>-907</v>
      </c>
      <c r="B140" s="713" t="s">
        <v>3858</v>
      </c>
      <c r="C140" s="663" t="s">
        <v>3766</v>
      </c>
      <c r="D140" s="403" t="s">
        <v>25</v>
      </c>
      <c r="E140" s="403" t="s">
        <v>3759</v>
      </c>
      <c r="F140" s="403" t="s">
        <v>3834</v>
      </c>
      <c r="G140" s="664" t="s">
        <v>3835</v>
      </c>
      <c r="H140" s="403" t="s">
        <v>3836</v>
      </c>
      <c r="I140" s="403" t="s">
        <v>3837</v>
      </c>
      <c r="J140" s="665" t="s">
        <v>3859</v>
      </c>
      <c r="K140" s="666" t="s">
        <v>3839</v>
      </c>
      <c r="L140" s="667">
        <v>143713.0</v>
      </c>
      <c r="M140" s="668">
        <v>44889.0</v>
      </c>
      <c r="N140" s="669">
        <v>44895.0</v>
      </c>
      <c r="O140" s="403" t="s">
        <v>3847</v>
      </c>
      <c r="P140" s="670">
        <v>45260.0</v>
      </c>
    </row>
    <row r="141" ht="15.75" customHeight="1">
      <c r="A141" s="717">
        <f t="shared" si="1"/>
        <v>-989</v>
      </c>
      <c r="B141" s="713" t="s">
        <v>3860</v>
      </c>
      <c r="C141" s="663" t="s">
        <v>3861</v>
      </c>
      <c r="D141" s="403" t="s">
        <v>40</v>
      </c>
      <c r="E141" s="403"/>
      <c r="F141" s="403"/>
      <c r="G141" s="664" t="s">
        <v>3862</v>
      </c>
      <c r="H141" s="403" t="s">
        <v>3863</v>
      </c>
      <c r="I141" s="732">
        <v>44593.0</v>
      </c>
      <c r="J141" s="665" t="s">
        <v>3864</v>
      </c>
      <c r="K141" s="666" t="s">
        <v>3865</v>
      </c>
      <c r="L141" s="667">
        <v>111039.2</v>
      </c>
      <c r="M141" s="668">
        <v>44803.0</v>
      </c>
      <c r="N141" s="669">
        <v>44813.0</v>
      </c>
      <c r="O141" s="403" t="s">
        <v>3866</v>
      </c>
      <c r="P141" s="670">
        <v>45178.0</v>
      </c>
    </row>
    <row r="142" ht="15.75" customHeight="1">
      <c r="A142" s="717">
        <f t="shared" si="1"/>
        <v>-989</v>
      </c>
      <c r="B142" s="713" t="s">
        <v>3867</v>
      </c>
      <c r="C142" s="663" t="s">
        <v>3868</v>
      </c>
      <c r="D142" s="403" t="s">
        <v>40</v>
      </c>
      <c r="E142" s="403"/>
      <c r="F142" s="403"/>
      <c r="G142" s="664" t="s">
        <v>3862</v>
      </c>
      <c r="H142" s="403" t="s">
        <v>3863</v>
      </c>
      <c r="I142" s="732">
        <v>44593.0</v>
      </c>
      <c r="J142" s="665" t="s">
        <v>3869</v>
      </c>
      <c r="K142" s="666" t="s">
        <v>3865</v>
      </c>
      <c r="L142" s="667">
        <v>142640.0</v>
      </c>
      <c r="M142" s="668">
        <v>44803.0</v>
      </c>
      <c r="N142" s="669">
        <v>44813.0</v>
      </c>
      <c r="O142" s="403" t="s">
        <v>3866</v>
      </c>
      <c r="P142" s="670">
        <v>45178.0</v>
      </c>
    </row>
    <row r="143" ht="15.75" customHeight="1">
      <c r="A143" s="717">
        <f t="shared" si="1"/>
        <v>-989</v>
      </c>
      <c r="B143" s="713" t="s">
        <v>3870</v>
      </c>
      <c r="C143" s="663" t="s">
        <v>3871</v>
      </c>
      <c r="D143" s="403" t="s">
        <v>40</v>
      </c>
      <c r="E143" s="403"/>
      <c r="F143" s="403"/>
      <c r="G143" s="664" t="s">
        <v>3862</v>
      </c>
      <c r="H143" s="403" t="s">
        <v>3863</v>
      </c>
      <c r="I143" s="732">
        <v>44593.0</v>
      </c>
      <c r="J143" s="665" t="s">
        <v>3872</v>
      </c>
      <c r="K143" s="666" t="s">
        <v>3865</v>
      </c>
      <c r="L143" s="667">
        <v>23950.0</v>
      </c>
      <c r="M143" s="668">
        <v>44803.0</v>
      </c>
      <c r="N143" s="669">
        <v>44813.0</v>
      </c>
      <c r="O143" s="403" t="s">
        <v>3866</v>
      </c>
      <c r="P143" s="670">
        <v>45178.0</v>
      </c>
    </row>
    <row r="144" ht="15.75" customHeight="1">
      <c r="A144" s="717">
        <f t="shared" si="1"/>
        <v>-989</v>
      </c>
      <c r="B144" s="713" t="s">
        <v>3873</v>
      </c>
      <c r="C144" s="663" t="s">
        <v>3874</v>
      </c>
      <c r="D144" s="403" t="s">
        <v>40</v>
      </c>
      <c r="E144" s="403"/>
      <c r="F144" s="403"/>
      <c r="G144" s="664" t="s">
        <v>3862</v>
      </c>
      <c r="H144" s="403" t="s">
        <v>3863</v>
      </c>
      <c r="I144" s="732">
        <v>44593.0</v>
      </c>
      <c r="J144" s="665" t="s">
        <v>3875</v>
      </c>
      <c r="K144" s="666" t="s">
        <v>3865</v>
      </c>
      <c r="L144" s="667">
        <v>72600.0</v>
      </c>
      <c r="M144" s="668">
        <v>44803.0</v>
      </c>
      <c r="N144" s="669">
        <v>44813.0</v>
      </c>
      <c r="O144" s="403" t="s">
        <v>3866</v>
      </c>
      <c r="P144" s="670">
        <v>45178.0</v>
      </c>
    </row>
    <row r="145" ht="15.75" customHeight="1">
      <c r="A145" s="717">
        <f t="shared" si="1"/>
        <v>-1005</v>
      </c>
      <c r="B145" s="713" t="s">
        <v>3876</v>
      </c>
      <c r="C145" s="663" t="s">
        <v>3877</v>
      </c>
      <c r="D145" s="403" t="s">
        <v>561</v>
      </c>
      <c r="E145" s="403"/>
      <c r="F145" s="403"/>
      <c r="G145" s="664" t="s">
        <v>3878</v>
      </c>
      <c r="H145" s="403" t="s">
        <v>3879</v>
      </c>
      <c r="I145" s="403" t="s">
        <v>3880</v>
      </c>
      <c r="J145" s="665" t="s">
        <v>3881</v>
      </c>
      <c r="K145" s="666" t="s">
        <v>3882</v>
      </c>
      <c r="L145" s="667">
        <v>1865575.0</v>
      </c>
      <c r="M145" s="668">
        <v>44791.0</v>
      </c>
      <c r="N145" s="669">
        <v>44797.0</v>
      </c>
      <c r="O145" s="403" t="s">
        <v>3883</v>
      </c>
      <c r="P145" s="670">
        <v>45162.0</v>
      </c>
    </row>
    <row r="146" ht="15.75" customHeight="1">
      <c r="A146" s="717">
        <f t="shared" si="1"/>
        <v>-1014</v>
      </c>
      <c r="B146" s="713" t="s">
        <v>3884</v>
      </c>
      <c r="C146" s="663" t="s">
        <v>3885</v>
      </c>
      <c r="D146" s="403" t="s">
        <v>369</v>
      </c>
      <c r="E146" s="403"/>
      <c r="F146" s="403"/>
      <c r="G146" s="664" t="s">
        <v>3886</v>
      </c>
      <c r="H146" s="403" t="s">
        <v>3887</v>
      </c>
      <c r="I146" s="403" t="s">
        <v>3888</v>
      </c>
      <c r="J146" s="665" t="s">
        <v>3889</v>
      </c>
      <c r="K146" s="666" t="s">
        <v>3890</v>
      </c>
      <c r="L146" s="667">
        <v>163172.0</v>
      </c>
      <c r="M146" s="668">
        <v>44781.0</v>
      </c>
      <c r="N146" s="669">
        <v>44788.0</v>
      </c>
      <c r="O146" s="403" t="s">
        <v>3891</v>
      </c>
      <c r="P146" s="670">
        <v>45153.0</v>
      </c>
    </row>
    <row r="147" ht="15.75" customHeight="1">
      <c r="A147" s="717">
        <f t="shared" si="1"/>
        <v>-1025</v>
      </c>
      <c r="B147" s="713" t="s">
        <v>3892</v>
      </c>
      <c r="C147" s="663" t="s">
        <v>3700</v>
      </c>
      <c r="D147" s="403" t="s">
        <v>40</v>
      </c>
      <c r="E147" s="403"/>
      <c r="F147" s="403"/>
      <c r="G147" s="664" t="s">
        <v>3893</v>
      </c>
      <c r="H147" s="403" t="s">
        <v>3894</v>
      </c>
      <c r="I147" s="403" t="s">
        <v>3895</v>
      </c>
      <c r="J147" s="665" t="s">
        <v>3896</v>
      </c>
      <c r="K147" s="666" t="s">
        <v>3897</v>
      </c>
      <c r="L147" s="667">
        <v>144260.8</v>
      </c>
      <c r="M147" s="668">
        <v>44767.0</v>
      </c>
      <c r="N147" s="669">
        <v>44777.0</v>
      </c>
      <c r="O147" s="403" t="s">
        <v>3898</v>
      </c>
      <c r="P147" s="670">
        <v>45142.0</v>
      </c>
    </row>
    <row r="148" ht="15.75" customHeight="1">
      <c r="A148" s="717">
        <f t="shared" si="1"/>
        <v>-1025</v>
      </c>
      <c r="B148" s="713" t="s">
        <v>3899</v>
      </c>
      <c r="C148" s="663" t="s">
        <v>3900</v>
      </c>
      <c r="D148" s="403" t="s">
        <v>561</v>
      </c>
      <c r="E148" s="403"/>
      <c r="F148" s="403"/>
      <c r="G148" s="664" t="s">
        <v>3901</v>
      </c>
      <c r="H148" s="403" t="s">
        <v>3902</v>
      </c>
      <c r="I148" s="403" t="s">
        <v>3903</v>
      </c>
      <c r="J148" s="665" t="s">
        <v>3904</v>
      </c>
      <c r="K148" s="666" t="s">
        <v>3905</v>
      </c>
      <c r="L148" s="667">
        <v>489000.0</v>
      </c>
      <c r="M148" s="668">
        <v>44762.0</v>
      </c>
      <c r="N148" s="669">
        <v>44777.0</v>
      </c>
      <c r="O148" s="403" t="s">
        <v>3898</v>
      </c>
      <c r="P148" s="670">
        <v>45142.0</v>
      </c>
    </row>
    <row r="149" ht="15.75" customHeight="1">
      <c r="A149" s="717">
        <f t="shared" si="1"/>
        <v>-1025</v>
      </c>
      <c r="B149" s="713" t="s">
        <v>1766</v>
      </c>
      <c r="C149" s="663" t="s">
        <v>3877</v>
      </c>
      <c r="D149" s="403" t="s">
        <v>561</v>
      </c>
      <c r="E149" s="403"/>
      <c r="F149" s="403"/>
      <c r="G149" s="664" t="s">
        <v>3901</v>
      </c>
      <c r="H149" s="403" t="s">
        <v>3902</v>
      </c>
      <c r="I149" s="403" t="s">
        <v>3903</v>
      </c>
      <c r="J149" s="665" t="s">
        <v>3906</v>
      </c>
      <c r="K149" s="666" t="s">
        <v>3905</v>
      </c>
      <c r="L149" s="667">
        <v>171000.0</v>
      </c>
      <c r="M149" s="668">
        <v>44762.0</v>
      </c>
      <c r="N149" s="669">
        <v>44777.0</v>
      </c>
      <c r="O149" s="403" t="s">
        <v>3898</v>
      </c>
      <c r="P149" s="670">
        <v>45142.0</v>
      </c>
    </row>
    <row r="150" ht="15.75" customHeight="1">
      <c r="A150" s="717">
        <f t="shared" si="1"/>
        <v>-1025</v>
      </c>
      <c r="B150" s="713" t="s">
        <v>1816</v>
      </c>
      <c r="C150" s="663" t="s">
        <v>3907</v>
      </c>
      <c r="D150" s="403" t="s">
        <v>561</v>
      </c>
      <c r="E150" s="403"/>
      <c r="F150" s="403"/>
      <c r="G150" s="664" t="s">
        <v>3901</v>
      </c>
      <c r="H150" s="403" t="s">
        <v>3902</v>
      </c>
      <c r="I150" s="403" t="s">
        <v>3903</v>
      </c>
      <c r="J150" s="665" t="s">
        <v>3908</v>
      </c>
      <c r="K150" s="666" t="s">
        <v>3905</v>
      </c>
      <c r="L150" s="667">
        <v>129340.0</v>
      </c>
      <c r="M150" s="668">
        <v>44762.0</v>
      </c>
      <c r="N150" s="669">
        <v>44777.0</v>
      </c>
      <c r="O150" s="403" t="s">
        <v>3898</v>
      </c>
      <c r="P150" s="670">
        <v>45142.0</v>
      </c>
    </row>
    <row r="151" ht="15.75" customHeight="1">
      <c r="A151" s="717">
        <f t="shared" si="1"/>
        <v>-1025</v>
      </c>
      <c r="B151" s="713" t="s">
        <v>3909</v>
      </c>
      <c r="C151" s="663" t="s">
        <v>3700</v>
      </c>
      <c r="D151" s="403" t="s">
        <v>188</v>
      </c>
      <c r="E151" s="403"/>
      <c r="F151" s="403"/>
      <c r="G151" s="664" t="s">
        <v>3910</v>
      </c>
      <c r="H151" s="403" t="s">
        <v>3911</v>
      </c>
      <c r="I151" s="403" t="s">
        <v>3912</v>
      </c>
      <c r="J151" s="665" t="s">
        <v>3913</v>
      </c>
      <c r="K151" s="666" t="s">
        <v>3914</v>
      </c>
      <c r="L151" s="667">
        <v>37399.5</v>
      </c>
      <c r="M151" s="668">
        <v>44762.0</v>
      </c>
      <c r="N151" s="669">
        <v>44777.0</v>
      </c>
      <c r="O151" s="403" t="s">
        <v>3898</v>
      </c>
      <c r="P151" s="670">
        <v>45142.0</v>
      </c>
    </row>
    <row r="152" ht="15.75" customHeight="1">
      <c r="A152" s="717">
        <f t="shared" si="1"/>
        <v>-1034</v>
      </c>
      <c r="B152" s="713" t="s">
        <v>99</v>
      </c>
      <c r="C152" s="663" t="s">
        <v>3915</v>
      </c>
      <c r="D152" s="403" t="s">
        <v>40</v>
      </c>
      <c r="E152" s="403"/>
      <c r="F152" s="403"/>
      <c r="G152" s="664" t="s">
        <v>3916</v>
      </c>
      <c r="H152" s="403" t="s">
        <v>3917</v>
      </c>
      <c r="I152" s="403" t="s">
        <v>3918</v>
      </c>
      <c r="J152" s="665" t="s">
        <v>3919</v>
      </c>
      <c r="K152" s="666" t="s">
        <v>3920</v>
      </c>
      <c r="L152" s="667">
        <v>75260.0</v>
      </c>
      <c r="M152" s="668">
        <v>44736.0</v>
      </c>
      <c r="N152" s="733">
        <v>44768.0</v>
      </c>
      <c r="O152" s="403" t="s">
        <v>3921</v>
      </c>
      <c r="P152" s="670">
        <v>45133.0</v>
      </c>
    </row>
    <row r="153" ht="15.75" customHeight="1">
      <c r="A153" s="717">
        <f t="shared" si="1"/>
        <v>-1034</v>
      </c>
      <c r="B153" s="713" t="s">
        <v>1823</v>
      </c>
      <c r="C153" s="663" t="s">
        <v>3922</v>
      </c>
      <c r="D153" s="403" t="s">
        <v>40</v>
      </c>
      <c r="E153" s="403"/>
      <c r="F153" s="403"/>
      <c r="G153" s="664" t="s">
        <v>3916</v>
      </c>
      <c r="H153" s="403" t="s">
        <v>3917</v>
      </c>
      <c r="I153" s="403" t="s">
        <v>3918</v>
      </c>
      <c r="J153" s="665" t="s">
        <v>3923</v>
      </c>
      <c r="K153" s="734" t="s">
        <v>3920</v>
      </c>
      <c r="L153" s="667">
        <v>54285.0</v>
      </c>
      <c r="M153" s="668">
        <v>44736.0</v>
      </c>
      <c r="N153" s="733">
        <v>44768.0</v>
      </c>
      <c r="O153" s="403" t="s">
        <v>3921</v>
      </c>
      <c r="P153" s="670">
        <v>45133.0</v>
      </c>
    </row>
    <row r="154" ht="15.75" customHeight="1">
      <c r="A154" s="717">
        <f t="shared" si="1"/>
        <v>-1059</v>
      </c>
      <c r="B154" s="713" t="s">
        <v>1831</v>
      </c>
      <c r="C154" s="663" t="s">
        <v>3871</v>
      </c>
      <c r="D154" s="403" t="s">
        <v>40</v>
      </c>
      <c r="E154" s="403"/>
      <c r="F154" s="403"/>
      <c r="G154" s="664" t="s">
        <v>3924</v>
      </c>
      <c r="H154" s="403" t="s">
        <v>3925</v>
      </c>
      <c r="I154" s="403" t="s">
        <v>3926</v>
      </c>
      <c r="J154" s="665" t="s">
        <v>3927</v>
      </c>
      <c r="K154" s="666" t="s">
        <v>3928</v>
      </c>
      <c r="L154" s="667">
        <v>75000.0</v>
      </c>
      <c r="M154" s="668">
        <v>44733.0</v>
      </c>
      <c r="N154" s="733">
        <v>44743.0</v>
      </c>
      <c r="O154" s="403" t="s">
        <v>3929</v>
      </c>
      <c r="P154" s="670">
        <v>45108.0</v>
      </c>
    </row>
    <row r="155" ht="75.0" customHeight="1">
      <c r="A155" s="717">
        <f t="shared" si="1"/>
        <v>-1059</v>
      </c>
      <c r="B155" s="713" t="s">
        <v>1408</v>
      </c>
      <c r="C155" s="663" t="s">
        <v>3930</v>
      </c>
      <c r="D155" s="403" t="s">
        <v>25</v>
      </c>
      <c r="E155" s="403"/>
      <c r="F155" s="403"/>
      <c r="G155" s="664" t="s">
        <v>3931</v>
      </c>
      <c r="H155" s="403" t="s">
        <v>3932</v>
      </c>
      <c r="I155" s="403" t="s">
        <v>3933</v>
      </c>
      <c r="J155" s="665" t="s">
        <v>3934</v>
      </c>
      <c r="K155" s="666" t="s">
        <v>3935</v>
      </c>
      <c r="L155" s="667">
        <v>26168.5</v>
      </c>
      <c r="M155" s="668">
        <v>44727.0</v>
      </c>
      <c r="N155" s="733">
        <v>44743.0</v>
      </c>
      <c r="O155" s="403" t="s">
        <v>3929</v>
      </c>
      <c r="P155" s="670">
        <v>45108.0</v>
      </c>
    </row>
    <row r="156" ht="15.75" customHeight="1">
      <c r="A156" s="717">
        <f t="shared" si="1"/>
        <v>-1073</v>
      </c>
      <c r="B156" s="713" t="s">
        <v>1880</v>
      </c>
      <c r="C156" s="663" t="s">
        <v>3936</v>
      </c>
      <c r="D156" s="403" t="s">
        <v>25</v>
      </c>
      <c r="E156" s="403"/>
      <c r="F156" s="403"/>
      <c r="G156" s="664" t="s">
        <v>3769</v>
      </c>
      <c r="H156" s="403" t="s">
        <v>3937</v>
      </c>
      <c r="I156" s="403" t="s">
        <v>3938</v>
      </c>
      <c r="J156" s="665" t="s">
        <v>3939</v>
      </c>
      <c r="K156" s="666" t="s">
        <v>3940</v>
      </c>
      <c r="L156" s="667">
        <v>64600.0</v>
      </c>
      <c r="M156" s="668">
        <v>44720.0</v>
      </c>
      <c r="N156" s="733">
        <v>44729.0</v>
      </c>
      <c r="O156" s="403" t="s">
        <v>3941</v>
      </c>
      <c r="P156" s="670">
        <v>45094.0</v>
      </c>
    </row>
    <row r="157" ht="15.75" customHeight="1">
      <c r="A157" s="717">
        <f t="shared" si="1"/>
        <v>-1087</v>
      </c>
      <c r="B157" s="713" t="s">
        <v>1117</v>
      </c>
      <c r="C157" s="663" t="s">
        <v>3942</v>
      </c>
      <c r="D157" s="403" t="s">
        <v>40</v>
      </c>
      <c r="E157" s="403"/>
      <c r="F157" s="403"/>
      <c r="G157" s="664" t="s">
        <v>3943</v>
      </c>
      <c r="H157" s="403" t="s">
        <v>3944</v>
      </c>
      <c r="I157" s="403" t="s">
        <v>3945</v>
      </c>
      <c r="J157" s="665" t="s">
        <v>3946</v>
      </c>
      <c r="K157" s="666" t="s">
        <v>3947</v>
      </c>
      <c r="L157" s="667">
        <v>81194.9</v>
      </c>
      <c r="M157" s="668">
        <v>44711.0</v>
      </c>
      <c r="N157" s="733">
        <v>44715.0</v>
      </c>
      <c r="O157" s="403" t="s">
        <v>3948</v>
      </c>
      <c r="P157" s="670">
        <v>45080.0</v>
      </c>
    </row>
    <row r="158" ht="15.75" customHeight="1">
      <c r="A158" s="717">
        <f t="shared" si="1"/>
        <v>-1083</v>
      </c>
      <c r="B158" s="713" t="s">
        <v>1702</v>
      </c>
      <c r="C158" s="663" t="s">
        <v>3871</v>
      </c>
      <c r="D158" s="403" t="s">
        <v>40</v>
      </c>
      <c r="E158" s="403"/>
      <c r="F158" s="403"/>
      <c r="G158" s="664" t="s">
        <v>3943</v>
      </c>
      <c r="H158" s="403" t="s">
        <v>3944</v>
      </c>
      <c r="I158" s="403" t="s">
        <v>3945</v>
      </c>
      <c r="J158" s="665" t="s">
        <v>3949</v>
      </c>
      <c r="K158" s="666" t="s">
        <v>3947</v>
      </c>
      <c r="L158" s="667">
        <v>54899.0</v>
      </c>
      <c r="M158" s="668">
        <v>44711.0</v>
      </c>
      <c r="N158" s="733">
        <v>44719.0</v>
      </c>
      <c r="O158" s="403" t="s">
        <v>3950</v>
      </c>
      <c r="P158" s="670">
        <v>45084.0</v>
      </c>
    </row>
    <row r="159" ht="15.75" customHeight="1">
      <c r="A159" s="717">
        <f t="shared" si="1"/>
        <v>-1104</v>
      </c>
      <c r="B159" s="713" t="s">
        <v>3951</v>
      </c>
      <c r="C159" s="663" t="s">
        <v>3952</v>
      </c>
      <c r="D159" s="403" t="s">
        <v>40</v>
      </c>
      <c r="E159" s="403"/>
      <c r="F159" s="403"/>
      <c r="G159" s="664" t="s">
        <v>3953</v>
      </c>
      <c r="H159" s="403" t="s">
        <v>3954</v>
      </c>
      <c r="I159" s="403" t="s">
        <v>3955</v>
      </c>
      <c r="J159" s="665" t="s">
        <v>3956</v>
      </c>
      <c r="K159" s="666" t="s">
        <v>3957</v>
      </c>
      <c r="L159" s="667">
        <v>39200.0</v>
      </c>
      <c r="M159" s="668">
        <v>44692.0</v>
      </c>
      <c r="N159" s="733">
        <v>44698.0</v>
      </c>
      <c r="O159" s="676" t="s">
        <v>3958</v>
      </c>
      <c r="P159" s="718">
        <v>45063.0</v>
      </c>
      <c r="Q159" s="719"/>
    </row>
    <row r="160" ht="15.75" customHeight="1">
      <c r="A160" s="717">
        <f t="shared" si="1"/>
        <v>-1111</v>
      </c>
      <c r="B160" s="713" t="s">
        <v>515</v>
      </c>
      <c r="C160" s="663" t="s">
        <v>3871</v>
      </c>
      <c r="D160" s="403" t="s">
        <v>40</v>
      </c>
      <c r="E160" s="403"/>
      <c r="F160" s="403"/>
      <c r="G160" s="664" t="s">
        <v>3959</v>
      </c>
      <c r="H160" s="403" t="s">
        <v>3960</v>
      </c>
      <c r="I160" s="403" t="s">
        <v>3961</v>
      </c>
      <c r="J160" s="665" t="s">
        <v>3962</v>
      </c>
      <c r="K160" s="666" t="s">
        <v>3963</v>
      </c>
      <c r="L160" s="667">
        <v>34751.7</v>
      </c>
      <c r="M160" s="668">
        <v>44649.0</v>
      </c>
      <c r="N160" s="733">
        <v>44691.0</v>
      </c>
      <c r="O160" s="676" t="s">
        <v>3964</v>
      </c>
      <c r="P160" s="718">
        <v>45056.0</v>
      </c>
      <c r="Q160" s="719"/>
    </row>
    <row r="161" ht="15.75" customHeight="1">
      <c r="A161" s="717">
        <f t="shared" si="1"/>
        <v>-1111</v>
      </c>
      <c r="B161" s="713" t="s">
        <v>357</v>
      </c>
      <c r="C161" s="663" t="s">
        <v>3700</v>
      </c>
      <c r="D161" s="403" t="s">
        <v>40</v>
      </c>
      <c r="E161" s="403"/>
      <c r="F161" s="403"/>
      <c r="G161" s="664" t="s">
        <v>3959</v>
      </c>
      <c r="H161" s="403" t="s">
        <v>3960</v>
      </c>
      <c r="I161" s="403" t="s">
        <v>3961</v>
      </c>
      <c r="J161" s="665" t="s">
        <v>3965</v>
      </c>
      <c r="K161" s="666" t="s">
        <v>3963</v>
      </c>
      <c r="L161" s="667">
        <v>213452.2</v>
      </c>
      <c r="M161" s="668">
        <v>44649.0</v>
      </c>
      <c r="N161" s="733">
        <v>44691.0</v>
      </c>
      <c r="O161" s="676" t="s">
        <v>3964</v>
      </c>
      <c r="P161" s="718">
        <v>45056.0</v>
      </c>
      <c r="Q161" s="719"/>
    </row>
    <row r="162" ht="15.75" customHeight="1">
      <c r="A162" s="717">
        <f>P162-'ATAS VIGENTES'!$A$1</f>
        <v>-1126</v>
      </c>
      <c r="B162" s="713" t="s">
        <v>1723</v>
      </c>
      <c r="C162" s="663" t="s">
        <v>3966</v>
      </c>
      <c r="D162" s="403" t="s">
        <v>25</v>
      </c>
      <c r="E162" s="735"/>
      <c r="F162" s="735"/>
      <c r="G162" s="735" t="s">
        <v>3967</v>
      </c>
      <c r="H162" s="403" t="s">
        <v>3968</v>
      </c>
      <c r="I162" s="403" t="s">
        <v>3969</v>
      </c>
      <c r="J162" s="665" t="s">
        <v>3970</v>
      </c>
      <c r="K162" s="666" t="s">
        <v>3971</v>
      </c>
      <c r="L162" s="667">
        <v>145080.0</v>
      </c>
      <c r="M162" s="668">
        <v>44648.0</v>
      </c>
      <c r="N162" s="733">
        <v>44673.0</v>
      </c>
      <c r="O162" s="676" t="s">
        <v>3972</v>
      </c>
      <c r="P162" s="718">
        <v>45041.0</v>
      </c>
      <c r="Q162" s="719"/>
    </row>
    <row r="163" ht="15.75" customHeight="1">
      <c r="A163" s="717">
        <f t="shared" ref="A163:A182" si="2">P163-$A$1</f>
        <v>-1136</v>
      </c>
      <c r="B163" s="713" t="s">
        <v>1772</v>
      </c>
      <c r="C163" s="663" t="s">
        <v>3973</v>
      </c>
      <c r="D163" s="403" t="s">
        <v>25</v>
      </c>
      <c r="E163" s="735"/>
      <c r="F163" s="735"/>
      <c r="G163" s="735" t="s">
        <v>3769</v>
      </c>
      <c r="H163" s="403" t="s">
        <v>3974</v>
      </c>
      <c r="I163" s="403" t="s">
        <v>3975</v>
      </c>
      <c r="J163" s="665" t="s">
        <v>3976</v>
      </c>
      <c r="K163" s="666" t="s">
        <v>3977</v>
      </c>
      <c r="L163" s="667">
        <v>11100.0</v>
      </c>
      <c r="M163" s="668">
        <v>44642.0</v>
      </c>
      <c r="N163" s="733">
        <v>44666.0</v>
      </c>
      <c r="O163" s="676" t="s">
        <v>3978</v>
      </c>
      <c r="P163" s="718">
        <v>45031.0</v>
      </c>
      <c r="Q163" s="719"/>
    </row>
    <row r="164" ht="15.75" customHeight="1">
      <c r="A164" s="717">
        <f t="shared" si="2"/>
        <v>-1136</v>
      </c>
      <c r="B164" s="713" t="s">
        <v>2586</v>
      </c>
      <c r="C164" s="663" t="s">
        <v>3979</v>
      </c>
      <c r="D164" s="403" t="s">
        <v>25</v>
      </c>
      <c r="E164" s="735"/>
      <c r="F164" s="735"/>
      <c r="G164" s="735" t="s">
        <v>3769</v>
      </c>
      <c r="H164" s="403" t="s">
        <v>3974</v>
      </c>
      <c r="I164" s="403" t="s">
        <v>3975</v>
      </c>
      <c r="J164" s="665" t="s">
        <v>3980</v>
      </c>
      <c r="K164" s="666" t="s">
        <v>3977</v>
      </c>
      <c r="L164" s="667">
        <v>35496.0</v>
      </c>
      <c r="M164" s="668">
        <v>44642.0</v>
      </c>
      <c r="N164" s="733">
        <v>44666.0</v>
      </c>
      <c r="O164" s="676" t="s">
        <v>3978</v>
      </c>
      <c r="P164" s="718">
        <v>45031.0</v>
      </c>
      <c r="Q164" s="719"/>
    </row>
    <row r="165" ht="15.75" customHeight="1">
      <c r="A165" s="717">
        <f t="shared" si="2"/>
        <v>-1139</v>
      </c>
      <c r="B165" s="713" t="s">
        <v>2518</v>
      </c>
      <c r="C165" s="663" t="s">
        <v>3981</v>
      </c>
      <c r="D165" s="403" t="s">
        <v>25</v>
      </c>
      <c r="E165" s="735"/>
      <c r="F165" s="735"/>
      <c r="G165" s="735" t="s">
        <v>3982</v>
      </c>
      <c r="H165" s="403" t="s">
        <v>3983</v>
      </c>
      <c r="I165" s="403" t="s">
        <v>3984</v>
      </c>
      <c r="J165" s="665" t="s">
        <v>3985</v>
      </c>
      <c r="K165" s="666" t="s">
        <v>3986</v>
      </c>
      <c r="L165" s="667">
        <v>141459.56</v>
      </c>
      <c r="M165" s="668">
        <v>44613.0</v>
      </c>
      <c r="N165" s="733">
        <v>44663.0</v>
      </c>
      <c r="O165" s="676" t="s">
        <v>3987</v>
      </c>
      <c r="P165" s="718">
        <v>45028.0</v>
      </c>
      <c r="Q165" s="719"/>
    </row>
    <row r="166" ht="15.75" customHeight="1">
      <c r="A166" s="717">
        <f t="shared" si="2"/>
        <v>-1146</v>
      </c>
      <c r="B166" s="713" t="s">
        <v>1052</v>
      </c>
      <c r="C166" s="663" t="s">
        <v>3988</v>
      </c>
      <c r="D166" s="403" t="s">
        <v>25</v>
      </c>
      <c r="E166" s="735"/>
      <c r="F166" s="735"/>
      <c r="G166" s="735" t="s">
        <v>3967</v>
      </c>
      <c r="H166" s="403" t="s">
        <v>3968</v>
      </c>
      <c r="I166" s="403" t="s">
        <v>3969</v>
      </c>
      <c r="J166" s="665" t="s">
        <v>3989</v>
      </c>
      <c r="K166" s="666" t="s">
        <v>3971</v>
      </c>
      <c r="L166" s="667">
        <v>234360.0</v>
      </c>
      <c r="M166" s="668">
        <v>44648.0</v>
      </c>
      <c r="N166" s="733">
        <v>44656.0</v>
      </c>
      <c r="O166" s="676" t="s">
        <v>3990</v>
      </c>
      <c r="P166" s="718">
        <v>45021.0</v>
      </c>
      <c r="Q166" s="719"/>
    </row>
    <row r="167" ht="15.75" customHeight="1">
      <c r="A167" s="717">
        <f t="shared" si="2"/>
        <v>-46167</v>
      </c>
      <c r="B167" s="713" t="s">
        <v>186</v>
      </c>
      <c r="C167" s="663" t="s">
        <v>3991</v>
      </c>
      <c r="D167" s="403" t="s">
        <v>25</v>
      </c>
      <c r="E167" s="735"/>
      <c r="F167" s="735"/>
      <c r="G167" s="735" t="s">
        <v>3992</v>
      </c>
      <c r="H167" s="403" t="s">
        <v>3993</v>
      </c>
      <c r="I167" s="403" t="s">
        <v>3994</v>
      </c>
      <c r="J167" s="665"/>
      <c r="K167" s="666" t="s">
        <v>3995</v>
      </c>
      <c r="L167" s="667">
        <v>12678.0</v>
      </c>
      <c r="M167" s="668">
        <v>44638.0</v>
      </c>
      <c r="N167" s="733"/>
      <c r="O167" s="670"/>
      <c r="P167" s="718"/>
      <c r="Q167" s="719"/>
    </row>
    <row r="168" ht="15.75" customHeight="1">
      <c r="A168" s="717">
        <f t="shared" si="2"/>
        <v>-1171</v>
      </c>
      <c r="B168" s="713" t="s">
        <v>3996</v>
      </c>
      <c r="C168" s="663" t="s">
        <v>3997</v>
      </c>
      <c r="D168" s="403" t="s">
        <v>25</v>
      </c>
      <c r="E168" s="735"/>
      <c r="F168" s="735"/>
      <c r="G168" s="735" t="s">
        <v>3982</v>
      </c>
      <c r="H168" s="403" t="s">
        <v>3983</v>
      </c>
      <c r="I168" s="403" t="s">
        <v>3984</v>
      </c>
      <c r="J168" s="665" t="s">
        <v>3998</v>
      </c>
      <c r="K168" s="666" t="s">
        <v>3986</v>
      </c>
      <c r="L168" s="667">
        <v>68962.0</v>
      </c>
      <c r="M168" s="668">
        <v>44613.0</v>
      </c>
      <c r="N168" s="733">
        <v>44631.0</v>
      </c>
      <c r="O168" s="676" t="s">
        <v>3999</v>
      </c>
      <c r="P168" s="718">
        <v>44996.0</v>
      </c>
      <c r="Q168" s="719"/>
    </row>
    <row r="169" ht="15.75" customHeight="1">
      <c r="A169" s="717">
        <f t="shared" si="2"/>
        <v>-1164</v>
      </c>
      <c r="B169" s="713" t="s">
        <v>2573</v>
      </c>
      <c r="C169" s="663" t="s">
        <v>4000</v>
      </c>
      <c r="D169" s="403" t="s">
        <v>25</v>
      </c>
      <c r="E169" s="736"/>
      <c r="F169" s="736"/>
      <c r="G169" s="735" t="s">
        <v>3982</v>
      </c>
      <c r="H169" s="403" t="s">
        <v>3983</v>
      </c>
      <c r="I169" s="403" t="s">
        <v>3984</v>
      </c>
      <c r="J169" s="665" t="s">
        <v>4001</v>
      </c>
      <c r="K169" s="666" t="s">
        <v>3986</v>
      </c>
      <c r="L169" s="667">
        <v>81325.2</v>
      </c>
      <c r="M169" s="668">
        <v>44613.0</v>
      </c>
      <c r="N169" s="733">
        <v>44638.0</v>
      </c>
      <c r="O169" s="676" t="s">
        <v>4002</v>
      </c>
      <c r="P169" s="718">
        <v>45003.0</v>
      </c>
      <c r="Q169" s="719"/>
    </row>
    <row r="170" ht="15.75" customHeight="1">
      <c r="A170" s="717">
        <f t="shared" si="2"/>
        <v>-1164</v>
      </c>
      <c r="B170" s="713" t="s">
        <v>4003</v>
      </c>
      <c r="C170" s="663" t="s">
        <v>4004</v>
      </c>
      <c r="D170" s="403" t="s">
        <v>25</v>
      </c>
      <c r="E170" s="736"/>
      <c r="F170" s="736"/>
      <c r="G170" s="735" t="s">
        <v>3982</v>
      </c>
      <c r="H170" s="403" t="s">
        <v>3983</v>
      </c>
      <c r="I170" s="403" t="s">
        <v>3984</v>
      </c>
      <c r="J170" s="665" t="s">
        <v>4005</v>
      </c>
      <c r="K170" s="666" t="s">
        <v>3986</v>
      </c>
      <c r="L170" s="667">
        <v>139342.2</v>
      </c>
      <c r="M170" s="668">
        <v>44613.0</v>
      </c>
      <c r="N170" s="733">
        <v>44638.0</v>
      </c>
      <c r="O170" s="676" t="s">
        <v>4002</v>
      </c>
      <c r="P170" s="718">
        <v>45003.0</v>
      </c>
      <c r="Q170" s="719"/>
    </row>
    <row r="171" ht="15.75" customHeight="1">
      <c r="A171" s="717">
        <f t="shared" si="2"/>
        <v>-1171</v>
      </c>
      <c r="B171" s="713" t="s">
        <v>1788</v>
      </c>
      <c r="C171" s="663" t="s">
        <v>4006</v>
      </c>
      <c r="D171" s="403" t="s">
        <v>114</v>
      </c>
      <c r="E171" s="735"/>
      <c r="F171" s="735"/>
      <c r="G171" s="735" t="s">
        <v>4007</v>
      </c>
      <c r="H171" s="403" t="s">
        <v>3983</v>
      </c>
      <c r="I171" s="403" t="s">
        <v>3984</v>
      </c>
      <c r="J171" s="665" t="s">
        <v>4008</v>
      </c>
      <c r="K171" s="666" t="s">
        <v>4009</v>
      </c>
      <c r="L171" s="667">
        <v>866164.0</v>
      </c>
      <c r="M171" s="668">
        <v>44614.0</v>
      </c>
      <c r="N171" s="733">
        <v>44631.0</v>
      </c>
      <c r="O171" s="676" t="s">
        <v>3999</v>
      </c>
      <c r="P171" s="718">
        <v>44996.0</v>
      </c>
      <c r="Q171" s="719"/>
    </row>
    <row r="172" ht="15.75" customHeight="1">
      <c r="A172" s="717">
        <f t="shared" si="2"/>
        <v>-1178</v>
      </c>
      <c r="B172" s="713" t="s">
        <v>1289</v>
      </c>
      <c r="C172" s="663" t="s">
        <v>3842</v>
      </c>
      <c r="D172" s="403" t="s">
        <v>25</v>
      </c>
      <c r="E172" s="735"/>
      <c r="F172" s="735"/>
      <c r="G172" s="735" t="s">
        <v>3982</v>
      </c>
      <c r="H172" s="403" t="s">
        <v>3983</v>
      </c>
      <c r="I172" s="403" t="s">
        <v>3984</v>
      </c>
      <c r="J172" s="665" t="s">
        <v>4010</v>
      </c>
      <c r="K172" s="666" t="s">
        <v>3986</v>
      </c>
      <c r="L172" s="667">
        <v>100853.6</v>
      </c>
      <c r="M172" s="668">
        <v>44613.0</v>
      </c>
      <c r="N172" s="733">
        <v>44624.0</v>
      </c>
      <c r="O172" s="676" t="s">
        <v>4011</v>
      </c>
      <c r="P172" s="718">
        <v>44989.0</v>
      </c>
      <c r="Q172" s="719"/>
    </row>
    <row r="173" ht="15.75" customHeight="1">
      <c r="A173" s="717">
        <f t="shared" si="2"/>
        <v>-1178</v>
      </c>
      <c r="B173" s="713" t="s">
        <v>2507</v>
      </c>
      <c r="C173" s="663" t="s">
        <v>3991</v>
      </c>
      <c r="D173" s="403" t="s">
        <v>25</v>
      </c>
      <c r="E173" s="735"/>
      <c r="F173" s="735"/>
      <c r="G173" s="735" t="s">
        <v>3982</v>
      </c>
      <c r="H173" s="403" t="s">
        <v>3983</v>
      </c>
      <c r="I173" s="403" t="s">
        <v>3984</v>
      </c>
      <c r="J173" s="665" t="s">
        <v>4012</v>
      </c>
      <c r="K173" s="666" t="s">
        <v>3986</v>
      </c>
      <c r="L173" s="667">
        <v>68962.0</v>
      </c>
      <c r="M173" s="668">
        <v>44613.0</v>
      </c>
      <c r="N173" s="733">
        <v>44624.0</v>
      </c>
      <c r="O173" s="676" t="s">
        <v>4011</v>
      </c>
      <c r="P173" s="718">
        <v>44989.0</v>
      </c>
      <c r="Q173" s="719"/>
    </row>
    <row r="174" ht="15.75" customHeight="1">
      <c r="A174" s="717">
        <f t="shared" si="2"/>
        <v>-1178</v>
      </c>
      <c r="B174" s="713" t="s">
        <v>4013</v>
      </c>
      <c r="C174" s="663" t="s">
        <v>4014</v>
      </c>
      <c r="D174" s="403" t="s">
        <v>25</v>
      </c>
      <c r="E174" s="736"/>
      <c r="F174" s="735"/>
      <c r="G174" s="735" t="s">
        <v>3982</v>
      </c>
      <c r="H174" s="403" t="s">
        <v>3983</v>
      </c>
      <c r="I174" s="403" t="s">
        <v>3984</v>
      </c>
      <c r="J174" s="665" t="s">
        <v>4015</v>
      </c>
      <c r="K174" s="666" t="s">
        <v>3986</v>
      </c>
      <c r="L174" s="667">
        <v>171266.2</v>
      </c>
      <c r="M174" s="668">
        <v>44613.0</v>
      </c>
      <c r="N174" s="733">
        <v>44624.0</v>
      </c>
      <c r="O174" s="676" t="s">
        <v>4011</v>
      </c>
      <c r="P174" s="718">
        <v>44989.0</v>
      </c>
      <c r="Q174" s="719"/>
    </row>
    <row r="175" ht="15.75" customHeight="1">
      <c r="A175" s="717">
        <f t="shared" si="2"/>
        <v>-1185</v>
      </c>
      <c r="B175" s="713" t="s">
        <v>136</v>
      </c>
      <c r="C175" s="663" t="s">
        <v>4016</v>
      </c>
      <c r="D175" s="403" t="s">
        <v>25</v>
      </c>
      <c r="E175" s="736"/>
      <c r="F175" s="736"/>
      <c r="G175" s="735" t="s">
        <v>3982</v>
      </c>
      <c r="H175" s="403" t="s">
        <v>3983</v>
      </c>
      <c r="I175" s="403" t="s">
        <v>3984</v>
      </c>
      <c r="J175" s="665" t="s">
        <v>4017</v>
      </c>
      <c r="K175" s="666" t="s">
        <v>3986</v>
      </c>
      <c r="L175" s="667">
        <v>612178.6</v>
      </c>
      <c r="M175" s="668">
        <v>44613.0</v>
      </c>
      <c r="N175" s="733">
        <v>44617.0</v>
      </c>
      <c r="O175" s="676" t="s">
        <v>4018</v>
      </c>
      <c r="P175" s="718">
        <v>44982.0</v>
      </c>
      <c r="Q175" s="719"/>
    </row>
    <row r="176" ht="15.75" customHeight="1">
      <c r="A176" s="717">
        <f t="shared" si="2"/>
        <v>-1185</v>
      </c>
      <c r="B176" s="713" t="s">
        <v>2524</v>
      </c>
      <c r="C176" s="663" t="s">
        <v>4019</v>
      </c>
      <c r="D176" s="403" t="s">
        <v>25</v>
      </c>
      <c r="E176" s="736"/>
      <c r="F176" s="735"/>
      <c r="G176" s="735" t="s">
        <v>3982</v>
      </c>
      <c r="H176" s="403" t="s">
        <v>3983</v>
      </c>
      <c r="I176" s="403" t="s">
        <v>3984</v>
      </c>
      <c r="J176" s="665" t="s">
        <v>4020</v>
      </c>
      <c r="K176" s="666" t="s">
        <v>3986</v>
      </c>
      <c r="L176" s="667">
        <v>62054.0</v>
      </c>
      <c r="M176" s="668">
        <v>44613.0</v>
      </c>
      <c r="N176" s="733">
        <v>44617.0</v>
      </c>
      <c r="O176" s="676" t="s">
        <v>4018</v>
      </c>
      <c r="P176" s="718">
        <v>44982.0</v>
      </c>
      <c r="Q176" s="719"/>
    </row>
    <row r="177" ht="15.75" customHeight="1">
      <c r="A177" s="717">
        <f t="shared" si="2"/>
        <v>-1185</v>
      </c>
      <c r="B177" s="713" t="s">
        <v>1693</v>
      </c>
      <c r="C177" s="663" t="s">
        <v>4021</v>
      </c>
      <c r="D177" s="403" t="s">
        <v>25</v>
      </c>
      <c r="E177" s="736"/>
      <c r="F177" s="736"/>
      <c r="G177" s="735" t="s">
        <v>3982</v>
      </c>
      <c r="H177" s="403" t="s">
        <v>3983</v>
      </c>
      <c r="I177" s="403" t="s">
        <v>3984</v>
      </c>
      <c r="J177" s="665" t="s">
        <v>4022</v>
      </c>
      <c r="K177" s="666" t="s">
        <v>3986</v>
      </c>
      <c r="L177" s="667">
        <v>62054.0</v>
      </c>
      <c r="M177" s="668">
        <v>44613.0</v>
      </c>
      <c r="N177" s="733">
        <v>44617.0</v>
      </c>
      <c r="O177" s="676" t="s">
        <v>4018</v>
      </c>
      <c r="P177" s="718">
        <v>44982.0</v>
      </c>
      <c r="Q177" s="719"/>
    </row>
    <row r="178" ht="15.75" customHeight="1">
      <c r="A178" s="717">
        <f t="shared" si="2"/>
        <v>-1185</v>
      </c>
      <c r="B178" s="713" t="s">
        <v>1675</v>
      </c>
      <c r="C178" s="663" t="s">
        <v>4023</v>
      </c>
      <c r="D178" s="403" t="s">
        <v>25</v>
      </c>
      <c r="E178" s="736"/>
      <c r="F178" s="736"/>
      <c r="G178" s="735" t="s">
        <v>4024</v>
      </c>
      <c r="H178" s="403" t="s">
        <v>4025</v>
      </c>
      <c r="I178" s="403" t="s">
        <v>4026</v>
      </c>
      <c r="J178" s="665" t="s">
        <v>4027</v>
      </c>
      <c r="K178" s="666" t="s">
        <v>4028</v>
      </c>
      <c r="L178" s="667">
        <v>43722.3</v>
      </c>
      <c r="M178" s="668">
        <v>44602.0</v>
      </c>
      <c r="N178" s="733">
        <v>44617.0</v>
      </c>
      <c r="O178" s="676" t="s">
        <v>4018</v>
      </c>
      <c r="P178" s="718">
        <v>44982.0</v>
      </c>
      <c r="Q178" s="719"/>
    </row>
    <row r="179" ht="15.75" customHeight="1">
      <c r="A179" s="717">
        <f t="shared" si="2"/>
        <v>-1185</v>
      </c>
      <c r="B179" s="713" t="s">
        <v>2591</v>
      </c>
      <c r="C179" s="663" t="s">
        <v>3766</v>
      </c>
      <c r="D179" s="403" t="s">
        <v>25</v>
      </c>
      <c r="E179" s="736"/>
      <c r="F179" s="736"/>
      <c r="G179" s="735" t="s">
        <v>4024</v>
      </c>
      <c r="H179" s="403" t="s">
        <v>4025</v>
      </c>
      <c r="I179" s="403" t="s">
        <v>4026</v>
      </c>
      <c r="J179" s="666" t="s">
        <v>4029</v>
      </c>
      <c r="K179" s="666" t="s">
        <v>4028</v>
      </c>
      <c r="L179" s="667">
        <v>38829.6</v>
      </c>
      <c r="M179" s="668">
        <v>44795.0</v>
      </c>
      <c r="N179" s="733">
        <v>44617.0</v>
      </c>
      <c r="O179" s="676" t="s">
        <v>4018</v>
      </c>
      <c r="P179" s="718">
        <v>44982.0</v>
      </c>
      <c r="Q179" s="719"/>
    </row>
    <row r="180" ht="15.75" customHeight="1">
      <c r="A180" s="717">
        <f t="shared" si="2"/>
        <v>-1195</v>
      </c>
      <c r="B180" s="713" t="s">
        <v>1886</v>
      </c>
      <c r="C180" s="663" t="s">
        <v>3942</v>
      </c>
      <c r="D180" s="403" t="s">
        <v>114</v>
      </c>
      <c r="E180" s="736"/>
      <c r="F180" s="735"/>
      <c r="G180" s="735" t="s">
        <v>4030</v>
      </c>
      <c r="H180" s="403" t="s">
        <v>4031</v>
      </c>
      <c r="I180" s="403" t="s">
        <v>4032</v>
      </c>
      <c r="J180" s="666" t="s">
        <v>4033</v>
      </c>
      <c r="K180" s="666" t="s">
        <v>4034</v>
      </c>
      <c r="L180" s="667">
        <v>44496.15</v>
      </c>
      <c r="M180" s="733">
        <v>44599.0</v>
      </c>
      <c r="N180" s="733">
        <v>44607.0</v>
      </c>
      <c r="O180" s="676" t="s">
        <v>4035</v>
      </c>
      <c r="P180" s="718">
        <v>44972.0</v>
      </c>
      <c r="Q180" s="719"/>
    </row>
    <row r="181" ht="155.25" customHeight="1">
      <c r="A181" s="717">
        <f t="shared" si="2"/>
        <v>-1209</v>
      </c>
      <c r="B181" s="713" t="s">
        <v>4036</v>
      </c>
      <c r="C181" s="663" t="s">
        <v>4037</v>
      </c>
      <c r="D181" s="403" t="s">
        <v>188</v>
      </c>
      <c r="E181" s="736"/>
      <c r="F181" s="736"/>
      <c r="G181" s="737" t="s">
        <v>4038</v>
      </c>
      <c r="H181" s="403" t="s">
        <v>4039</v>
      </c>
      <c r="I181" s="403" t="s">
        <v>4040</v>
      </c>
      <c r="J181" s="666" t="s">
        <v>4041</v>
      </c>
      <c r="K181" s="666" t="s">
        <v>4042</v>
      </c>
      <c r="L181" s="667">
        <v>118440.0</v>
      </c>
      <c r="M181" s="733">
        <v>44812.0</v>
      </c>
      <c r="N181" s="733">
        <v>44593.0</v>
      </c>
      <c r="O181" s="403" t="s">
        <v>4043</v>
      </c>
      <c r="P181" s="718">
        <v>44958.0</v>
      </c>
      <c r="Q181" s="719"/>
    </row>
    <row r="182" ht="15.75" customHeight="1">
      <c r="A182" s="717">
        <f t="shared" si="2"/>
        <v>-1231</v>
      </c>
      <c r="B182" s="713" t="s">
        <v>2395</v>
      </c>
      <c r="C182" s="663" t="s">
        <v>3766</v>
      </c>
      <c r="D182" s="403" t="s">
        <v>25</v>
      </c>
      <c r="E182" s="738"/>
      <c r="F182" s="738"/>
      <c r="G182" s="739" t="s">
        <v>4044</v>
      </c>
      <c r="H182" s="403" t="s">
        <v>4045</v>
      </c>
      <c r="I182" s="403" t="s">
        <v>4046</v>
      </c>
      <c r="J182" s="666" t="s">
        <v>1117</v>
      </c>
      <c r="K182" s="740"/>
      <c r="L182" s="667">
        <v>187980.0</v>
      </c>
      <c r="M182" s="733">
        <v>44551.0</v>
      </c>
      <c r="N182" s="741">
        <v>44572.0</v>
      </c>
      <c r="O182" s="403" t="s">
        <v>4047</v>
      </c>
      <c r="P182" s="670">
        <v>44936.0</v>
      </c>
      <c r="Q182" s="699"/>
    </row>
    <row r="183" ht="72.0" customHeight="1">
      <c r="A183" s="717">
        <f>P183-'ATAS VIGENTES'!$A$1</f>
        <v>-1252</v>
      </c>
      <c r="B183" s="713" t="s">
        <v>2434</v>
      </c>
      <c r="C183" s="663" t="s">
        <v>4048</v>
      </c>
      <c r="D183" s="403" t="s">
        <v>40</v>
      </c>
      <c r="E183" s="403"/>
      <c r="F183" s="403"/>
      <c r="G183" s="664" t="s">
        <v>4049</v>
      </c>
      <c r="H183" s="403" t="s">
        <v>4050</v>
      </c>
      <c r="I183" s="403" t="s">
        <v>4051</v>
      </c>
      <c r="J183" s="666" t="s">
        <v>4052</v>
      </c>
      <c r="K183" s="666" t="s">
        <v>4053</v>
      </c>
      <c r="L183" s="667">
        <v>2845.0</v>
      </c>
      <c r="M183" s="733">
        <v>44508.0</v>
      </c>
      <c r="N183" s="742">
        <v>44551.0</v>
      </c>
      <c r="O183" s="403" t="s">
        <v>4054</v>
      </c>
      <c r="P183" s="670">
        <v>44915.0</v>
      </c>
      <c r="Q183" s="699"/>
    </row>
    <row r="184" ht="69.75" customHeight="1">
      <c r="A184" s="717">
        <f>P184-'ATAS VIGENTES'!$A$1</f>
        <v>-1277</v>
      </c>
      <c r="B184" s="713" t="s">
        <v>2441</v>
      </c>
      <c r="C184" s="663" t="s">
        <v>4055</v>
      </c>
      <c r="D184" s="403" t="s">
        <v>40</v>
      </c>
      <c r="E184" s="403"/>
      <c r="F184" s="403"/>
      <c r="G184" s="664" t="s">
        <v>4049</v>
      </c>
      <c r="H184" s="403" t="s">
        <v>4050</v>
      </c>
      <c r="I184" s="403" t="s">
        <v>4056</v>
      </c>
      <c r="J184" s="666" t="s">
        <v>4057</v>
      </c>
      <c r="K184" s="666" t="s">
        <v>4053</v>
      </c>
      <c r="L184" s="667">
        <v>143299.4</v>
      </c>
      <c r="M184" s="733">
        <v>44508.0</v>
      </c>
      <c r="N184" s="742">
        <v>44526.0</v>
      </c>
      <c r="O184" s="403" t="s">
        <v>4058</v>
      </c>
      <c r="P184" s="670">
        <v>44890.0</v>
      </c>
      <c r="Q184" s="699"/>
    </row>
    <row r="185" ht="65.25" customHeight="1">
      <c r="A185" s="717">
        <f>P185-'ATAS VIGENTES'!$A$1</f>
        <v>-1277</v>
      </c>
      <c r="B185" s="713" t="s">
        <v>4059</v>
      </c>
      <c r="C185" s="663" t="s">
        <v>4060</v>
      </c>
      <c r="D185" s="403" t="s">
        <v>40</v>
      </c>
      <c r="E185" s="403"/>
      <c r="F185" s="403"/>
      <c r="G185" s="664" t="s">
        <v>4049</v>
      </c>
      <c r="H185" s="403" t="s">
        <v>4050</v>
      </c>
      <c r="I185" s="403" t="s">
        <v>4061</v>
      </c>
      <c r="J185" s="666" t="s">
        <v>4062</v>
      </c>
      <c r="K185" s="666" t="s">
        <v>4053</v>
      </c>
      <c r="L185" s="667">
        <v>24875.0</v>
      </c>
      <c r="M185" s="733">
        <v>44508.0</v>
      </c>
      <c r="N185" s="742">
        <v>44526.0</v>
      </c>
      <c r="O185" s="403" t="s">
        <v>4058</v>
      </c>
      <c r="P185" s="670">
        <v>44890.0</v>
      </c>
      <c r="Q185" s="699"/>
    </row>
    <row r="186" ht="72.0" customHeight="1">
      <c r="A186" s="717">
        <f>P186-'ATAS VIGENTES'!$A$1</f>
        <v>-1256</v>
      </c>
      <c r="B186" s="713" t="s">
        <v>4063</v>
      </c>
      <c r="C186" s="663" t="s">
        <v>4064</v>
      </c>
      <c r="D186" s="403" t="s">
        <v>40</v>
      </c>
      <c r="E186" s="403"/>
      <c r="F186" s="403"/>
      <c r="G186" s="664" t="s">
        <v>4049</v>
      </c>
      <c r="H186" s="403" t="s">
        <v>4050</v>
      </c>
      <c r="I186" s="403" t="s">
        <v>4065</v>
      </c>
      <c r="J186" s="666" t="s">
        <v>4066</v>
      </c>
      <c r="K186" s="666" t="s">
        <v>4053</v>
      </c>
      <c r="L186" s="667">
        <v>6072.0</v>
      </c>
      <c r="M186" s="733">
        <v>44508.0</v>
      </c>
      <c r="N186" s="742">
        <v>44547.0</v>
      </c>
      <c r="O186" s="403" t="s">
        <v>4067</v>
      </c>
      <c r="P186" s="670">
        <v>44911.0</v>
      </c>
      <c r="Q186" s="699"/>
    </row>
    <row r="187" ht="65.25" customHeight="1">
      <c r="A187" s="717">
        <f>Q187-$A$1</f>
        <v>-46167</v>
      </c>
      <c r="B187" s="713" t="s">
        <v>4059</v>
      </c>
      <c r="C187" s="663" t="s">
        <v>4060</v>
      </c>
      <c r="D187" s="403" t="s">
        <v>40</v>
      </c>
      <c r="E187" s="403"/>
      <c r="F187" s="403"/>
      <c r="G187" s="664" t="s">
        <v>4049</v>
      </c>
      <c r="H187" s="403" t="s">
        <v>4050</v>
      </c>
      <c r="I187" s="403" t="s">
        <v>4061</v>
      </c>
      <c r="J187" s="666" t="s">
        <v>4062</v>
      </c>
      <c r="K187" s="667"/>
      <c r="L187" s="667">
        <v>24875.0</v>
      </c>
      <c r="M187" s="733">
        <v>44508.0</v>
      </c>
      <c r="N187" s="742">
        <v>44526.0</v>
      </c>
      <c r="O187" s="403" t="s">
        <v>4058</v>
      </c>
      <c r="P187" s="718">
        <v>44890.0</v>
      </c>
      <c r="Q187" s="743"/>
      <c r="R187" s="699"/>
    </row>
    <row r="188" ht="84.0" customHeight="1">
      <c r="A188" s="744">
        <f t="shared" ref="A188:A189" si="3">P189-$A$1</f>
        <v>-1340</v>
      </c>
      <c r="B188" s="713" t="s">
        <v>2472</v>
      </c>
      <c r="C188" s="744" t="s">
        <v>4068</v>
      </c>
      <c r="D188" s="413" t="s">
        <v>114</v>
      </c>
      <c r="E188" s="413"/>
      <c r="F188" s="413"/>
      <c r="G188" s="745" t="s">
        <v>4069</v>
      </c>
      <c r="H188" s="413" t="s">
        <v>4070</v>
      </c>
      <c r="I188" s="413" t="s">
        <v>4071</v>
      </c>
      <c r="J188" s="558" t="s">
        <v>4072</v>
      </c>
      <c r="K188" s="746"/>
      <c r="L188" s="746">
        <v>1233647.0</v>
      </c>
      <c r="M188" s="364">
        <v>44466.0</v>
      </c>
      <c r="N188" s="364">
        <v>44470.0</v>
      </c>
      <c r="O188" s="413" t="s">
        <v>4073</v>
      </c>
      <c r="P188" s="747">
        <v>44834.0</v>
      </c>
      <c r="Q188" s="446"/>
    </row>
    <row r="189" ht="15.75" customHeight="1">
      <c r="A189" s="744">
        <f t="shared" si="3"/>
        <v>-1340</v>
      </c>
      <c r="B189" s="713" t="s">
        <v>2401</v>
      </c>
      <c r="C189" s="744" t="s">
        <v>4074</v>
      </c>
      <c r="D189" s="413" t="s">
        <v>4075</v>
      </c>
      <c r="E189" s="748"/>
      <c r="F189" s="748"/>
      <c r="G189" s="749" t="s">
        <v>4076</v>
      </c>
      <c r="H189" s="413" t="s">
        <v>4077</v>
      </c>
      <c r="I189" s="413" t="s">
        <v>4078</v>
      </c>
      <c r="J189" s="558" t="s">
        <v>4079</v>
      </c>
      <c r="K189" s="746"/>
      <c r="L189" s="746">
        <v>20754.0</v>
      </c>
      <c r="M189" s="364">
        <v>44433.0</v>
      </c>
      <c r="N189" s="364">
        <v>44463.0</v>
      </c>
      <c r="O189" s="413" t="s">
        <v>4080</v>
      </c>
      <c r="P189" s="747">
        <v>44827.0</v>
      </c>
      <c r="Q189" s="446"/>
    </row>
    <row r="190" ht="15.75" customHeight="1">
      <c r="A190" s="744">
        <f>P192-$A$1</f>
        <v>-1487</v>
      </c>
      <c r="B190" s="713" t="s">
        <v>2414</v>
      </c>
      <c r="C190" s="744" t="s">
        <v>4081</v>
      </c>
      <c r="D190" s="413" t="s">
        <v>4075</v>
      </c>
      <c r="E190" s="748"/>
      <c r="F190" s="748"/>
      <c r="G190" s="749" t="s">
        <v>4076</v>
      </c>
      <c r="H190" s="413" t="s">
        <v>4077</v>
      </c>
      <c r="I190" s="413" t="s">
        <v>4078</v>
      </c>
      <c r="J190" s="558" t="s">
        <v>4082</v>
      </c>
      <c r="K190" s="746"/>
      <c r="L190" s="746">
        <v>103429.75</v>
      </c>
      <c r="M190" s="364">
        <v>44433.0</v>
      </c>
      <c r="N190" s="364">
        <v>44463.0</v>
      </c>
      <c r="O190" s="413" t="s">
        <v>4080</v>
      </c>
      <c r="P190" s="747">
        <v>44827.0</v>
      </c>
      <c r="Q190" s="446"/>
    </row>
    <row r="191" ht="69.75" customHeight="1">
      <c r="A191" s="717">
        <f>P191-$A$1</f>
        <v>-1277</v>
      </c>
      <c r="B191" s="713" t="s">
        <v>2441</v>
      </c>
      <c r="C191" s="663" t="s">
        <v>4055</v>
      </c>
      <c r="D191" s="403" t="s">
        <v>40</v>
      </c>
      <c r="E191" s="403"/>
      <c r="F191" s="403"/>
      <c r="G191" s="664" t="s">
        <v>4049</v>
      </c>
      <c r="H191" s="403" t="s">
        <v>4050</v>
      </c>
      <c r="I191" s="403" t="s">
        <v>4056</v>
      </c>
      <c r="J191" s="666" t="s">
        <v>4057</v>
      </c>
      <c r="K191" s="667"/>
      <c r="L191" s="667">
        <v>143299.4</v>
      </c>
      <c r="M191" s="733">
        <v>44508.0</v>
      </c>
      <c r="N191" s="733">
        <v>44526.0</v>
      </c>
      <c r="O191" s="403" t="s">
        <v>4058</v>
      </c>
      <c r="P191" s="670">
        <v>44890.0</v>
      </c>
      <c r="Q191" s="699"/>
    </row>
    <row r="192" ht="15.75" customHeight="1">
      <c r="A192" s="744">
        <f t="shared" ref="A192:A471" si="4">P193-$A$1</f>
        <v>-1487</v>
      </c>
      <c r="B192" s="713" t="s">
        <v>1546</v>
      </c>
      <c r="C192" s="744" t="s">
        <v>4083</v>
      </c>
      <c r="D192" s="413" t="s">
        <v>188</v>
      </c>
      <c r="E192" s="745"/>
      <c r="F192" s="745"/>
      <c r="G192" s="745" t="s">
        <v>4084</v>
      </c>
      <c r="H192" s="413" t="s">
        <v>4085</v>
      </c>
      <c r="I192" s="413" t="s">
        <v>4086</v>
      </c>
      <c r="J192" s="558" t="s">
        <v>4087</v>
      </c>
      <c r="K192" s="746"/>
      <c r="L192" s="746">
        <v>15900.0</v>
      </c>
      <c r="M192" s="364">
        <v>44400.0</v>
      </c>
      <c r="N192" s="364">
        <v>44407.0</v>
      </c>
      <c r="O192" s="413" t="s">
        <v>4088</v>
      </c>
      <c r="P192" s="747">
        <v>44680.0</v>
      </c>
      <c r="Q192" s="446"/>
    </row>
    <row r="193" ht="15.75" customHeight="1">
      <c r="A193" s="744">
        <f t="shared" si="4"/>
        <v>-1490</v>
      </c>
      <c r="B193" s="750" t="s">
        <v>2453</v>
      </c>
      <c r="C193" s="751" t="s">
        <v>4089</v>
      </c>
      <c r="D193" s="413" t="s">
        <v>4075</v>
      </c>
      <c r="E193" s="745"/>
      <c r="F193" s="745"/>
      <c r="G193" s="752" t="s">
        <v>4090</v>
      </c>
      <c r="H193" s="506" t="s">
        <v>4091</v>
      </c>
      <c r="I193" s="506" t="s">
        <v>4092</v>
      </c>
      <c r="J193" s="439" t="s">
        <v>4093</v>
      </c>
      <c r="K193" s="753"/>
      <c r="L193" s="753">
        <v>40783.16</v>
      </c>
      <c r="M193" s="754">
        <v>44305.0</v>
      </c>
      <c r="N193" s="754">
        <v>44316.0</v>
      </c>
      <c r="O193" s="413" t="s">
        <v>2455</v>
      </c>
      <c r="P193" s="747">
        <v>44680.0</v>
      </c>
      <c r="Q193" s="446"/>
    </row>
    <row r="194" ht="15.75" customHeight="1">
      <c r="A194" s="744">
        <f t="shared" si="4"/>
        <v>-1497</v>
      </c>
      <c r="B194" s="750" t="s">
        <v>1218</v>
      </c>
      <c r="C194" s="751" t="s">
        <v>4094</v>
      </c>
      <c r="D194" s="413" t="s">
        <v>4075</v>
      </c>
      <c r="E194" s="745"/>
      <c r="F194" s="745"/>
      <c r="G194" s="752" t="s">
        <v>4095</v>
      </c>
      <c r="H194" s="506" t="s">
        <v>4096</v>
      </c>
      <c r="I194" s="506" t="s">
        <v>4097</v>
      </c>
      <c r="J194" s="439" t="s">
        <v>4098</v>
      </c>
      <c r="K194" s="753"/>
      <c r="L194" s="753">
        <v>56400.0</v>
      </c>
      <c r="M194" s="754">
        <v>44305.0</v>
      </c>
      <c r="N194" s="754">
        <v>44313.0</v>
      </c>
      <c r="O194" s="413" t="s">
        <v>4099</v>
      </c>
      <c r="P194" s="747">
        <v>44677.0</v>
      </c>
      <c r="Q194" s="446"/>
    </row>
    <row r="195" ht="15.75" customHeight="1">
      <c r="A195" s="744">
        <f t="shared" si="4"/>
        <v>-1501</v>
      </c>
      <c r="B195" s="750" t="s">
        <v>2448</v>
      </c>
      <c r="C195" s="751" t="s">
        <v>4100</v>
      </c>
      <c r="D195" s="413" t="s">
        <v>188</v>
      </c>
      <c r="E195" s="745"/>
      <c r="F195" s="745"/>
      <c r="G195" s="752" t="s">
        <v>4101</v>
      </c>
      <c r="H195" s="506" t="s">
        <v>4102</v>
      </c>
      <c r="I195" s="506" t="s">
        <v>4103</v>
      </c>
      <c r="J195" s="439" t="s">
        <v>4104</v>
      </c>
      <c r="K195" s="753"/>
      <c r="L195" s="753">
        <v>40013.0</v>
      </c>
      <c r="M195" s="754">
        <v>44293.0</v>
      </c>
      <c r="N195" s="754">
        <v>44306.0</v>
      </c>
      <c r="O195" s="413" t="s">
        <v>4105</v>
      </c>
      <c r="P195" s="747">
        <v>44670.0</v>
      </c>
      <c r="Q195" s="446"/>
    </row>
    <row r="196" ht="15.75" customHeight="1">
      <c r="A196" s="744">
        <f t="shared" si="4"/>
        <v>-1501</v>
      </c>
      <c r="B196" s="750" t="s">
        <v>2382</v>
      </c>
      <c r="C196" s="751" t="s">
        <v>4106</v>
      </c>
      <c r="D196" s="413" t="s">
        <v>4075</v>
      </c>
      <c r="E196" s="745"/>
      <c r="F196" s="745"/>
      <c r="G196" s="752" t="s">
        <v>4107</v>
      </c>
      <c r="H196" s="506" t="s">
        <v>4108</v>
      </c>
      <c r="I196" s="506" t="s">
        <v>4109</v>
      </c>
      <c r="J196" s="439" t="s">
        <v>4110</v>
      </c>
      <c r="K196" s="753"/>
      <c r="L196" s="753">
        <v>331839.95</v>
      </c>
      <c r="M196" s="754">
        <v>44292.0</v>
      </c>
      <c r="N196" s="754">
        <v>44302.0</v>
      </c>
      <c r="O196" s="413" t="s">
        <v>4111</v>
      </c>
      <c r="P196" s="747">
        <v>44666.0</v>
      </c>
      <c r="Q196" s="446"/>
    </row>
    <row r="197" ht="15.75" customHeight="1">
      <c r="A197" s="744">
        <f t="shared" si="4"/>
        <v>-1501</v>
      </c>
      <c r="B197" s="750" t="s">
        <v>1475</v>
      </c>
      <c r="C197" s="751" t="s">
        <v>4112</v>
      </c>
      <c r="D197" s="413" t="s">
        <v>4075</v>
      </c>
      <c r="E197" s="755"/>
      <c r="F197" s="755"/>
      <c r="G197" s="752" t="s">
        <v>4107</v>
      </c>
      <c r="H197" s="506" t="s">
        <v>4108</v>
      </c>
      <c r="I197" s="506" t="s">
        <v>4109</v>
      </c>
      <c r="J197" s="439" t="s">
        <v>4113</v>
      </c>
      <c r="K197" s="753"/>
      <c r="L197" s="753">
        <v>162615.5</v>
      </c>
      <c r="M197" s="754">
        <v>44292.0</v>
      </c>
      <c r="N197" s="754">
        <v>44302.0</v>
      </c>
      <c r="O197" s="413" t="s">
        <v>4111</v>
      </c>
      <c r="P197" s="747">
        <v>44666.0</v>
      </c>
      <c r="Q197" s="446"/>
    </row>
    <row r="198" ht="15.75" customHeight="1">
      <c r="A198" s="744">
        <f t="shared" si="4"/>
        <v>-1616</v>
      </c>
      <c r="B198" s="750" t="s">
        <v>2368</v>
      </c>
      <c r="C198" s="751" t="s">
        <v>4114</v>
      </c>
      <c r="D198" s="413" t="s">
        <v>4075</v>
      </c>
      <c r="E198" s="756"/>
      <c r="F198" s="756"/>
      <c r="G198" s="752" t="s">
        <v>4107</v>
      </c>
      <c r="H198" s="506" t="s">
        <v>4108</v>
      </c>
      <c r="I198" s="506" t="s">
        <v>4109</v>
      </c>
      <c r="J198" s="439" t="s">
        <v>4115</v>
      </c>
      <c r="K198" s="753"/>
      <c r="L198" s="753">
        <v>198528.25</v>
      </c>
      <c r="M198" s="754">
        <v>44292.0</v>
      </c>
      <c r="N198" s="754">
        <v>44302.0</v>
      </c>
      <c r="O198" s="413" t="s">
        <v>4111</v>
      </c>
      <c r="P198" s="747">
        <v>44666.0</v>
      </c>
      <c r="Q198" s="446"/>
    </row>
    <row r="199" ht="15.75" customHeight="1">
      <c r="A199" s="744">
        <f t="shared" si="4"/>
        <v>-1616</v>
      </c>
      <c r="B199" s="750" t="s">
        <v>4116</v>
      </c>
      <c r="C199" s="751" t="s">
        <v>4117</v>
      </c>
      <c r="D199" s="413" t="s">
        <v>4075</v>
      </c>
      <c r="E199" s="757"/>
      <c r="F199" s="757"/>
      <c r="G199" s="752" t="s">
        <v>4118</v>
      </c>
      <c r="H199" s="506" t="s">
        <v>4119</v>
      </c>
      <c r="I199" s="506" t="s">
        <v>4120</v>
      </c>
      <c r="J199" s="558" t="s">
        <v>4121</v>
      </c>
      <c r="K199" s="753"/>
      <c r="L199" s="753">
        <v>1477980.26</v>
      </c>
      <c r="M199" s="754">
        <v>44169.0</v>
      </c>
      <c r="N199" s="754">
        <v>44187.0</v>
      </c>
      <c r="O199" s="413" t="s">
        <v>4122</v>
      </c>
      <c r="P199" s="747">
        <v>44551.0</v>
      </c>
      <c r="Q199" s="446"/>
      <c r="R199" s="446"/>
      <c r="S199" s="446"/>
      <c r="T199" s="446"/>
      <c r="U199" s="446"/>
      <c r="V199" s="446"/>
    </row>
    <row r="200" ht="15.75" customHeight="1">
      <c r="A200" s="744">
        <f t="shared" si="4"/>
        <v>-1616</v>
      </c>
      <c r="B200" s="750" t="s">
        <v>4123</v>
      </c>
      <c r="C200" s="751" t="s">
        <v>4124</v>
      </c>
      <c r="D200" s="413" t="s">
        <v>4075</v>
      </c>
      <c r="E200" s="757"/>
      <c r="F200" s="757"/>
      <c r="G200" s="752" t="s">
        <v>4125</v>
      </c>
      <c r="H200" s="506" t="s">
        <v>4126</v>
      </c>
      <c r="I200" s="506" t="s">
        <v>4127</v>
      </c>
      <c r="J200" s="558" t="s">
        <v>4128</v>
      </c>
      <c r="K200" s="753"/>
      <c r="L200" s="753">
        <v>30215.0</v>
      </c>
      <c r="M200" s="364">
        <v>44159.0</v>
      </c>
      <c r="N200" s="364">
        <v>44187.0</v>
      </c>
      <c r="O200" s="413" t="s">
        <v>4129</v>
      </c>
      <c r="P200" s="747">
        <v>44551.0</v>
      </c>
      <c r="Q200" s="446"/>
      <c r="R200" s="446"/>
      <c r="S200" s="446"/>
      <c r="T200" s="446"/>
      <c r="U200" s="446"/>
      <c r="V200" s="446"/>
    </row>
    <row r="201" ht="15.75" customHeight="1">
      <c r="A201" s="744">
        <f t="shared" si="4"/>
        <v>-1616</v>
      </c>
      <c r="B201" s="750" t="s">
        <v>4130</v>
      </c>
      <c r="C201" s="751" t="s">
        <v>4131</v>
      </c>
      <c r="D201" s="413" t="s">
        <v>4075</v>
      </c>
      <c r="E201" s="757"/>
      <c r="F201" s="757"/>
      <c r="G201" s="752" t="s">
        <v>4125</v>
      </c>
      <c r="H201" s="506" t="s">
        <v>4126</v>
      </c>
      <c r="I201" s="506" t="s">
        <v>4127</v>
      </c>
      <c r="J201" s="558" t="s">
        <v>4132</v>
      </c>
      <c r="K201" s="753"/>
      <c r="L201" s="753">
        <v>64890.0</v>
      </c>
      <c r="M201" s="364">
        <v>44159.0</v>
      </c>
      <c r="N201" s="364">
        <v>44187.0</v>
      </c>
      <c r="O201" s="413" t="s">
        <v>4133</v>
      </c>
      <c r="P201" s="747">
        <v>44551.0</v>
      </c>
      <c r="Q201" s="446"/>
      <c r="R201" s="446"/>
      <c r="S201" s="446"/>
      <c r="T201" s="446"/>
      <c r="U201" s="446"/>
      <c r="V201" s="446"/>
    </row>
    <row r="202" ht="15.75" customHeight="1">
      <c r="A202" s="744">
        <f t="shared" si="4"/>
        <v>-1616</v>
      </c>
      <c r="B202" s="750" t="s">
        <v>4134</v>
      </c>
      <c r="C202" s="751" t="s">
        <v>4135</v>
      </c>
      <c r="D202" s="413" t="s">
        <v>4075</v>
      </c>
      <c r="E202" s="757"/>
      <c r="F202" s="757"/>
      <c r="G202" s="752" t="s">
        <v>4125</v>
      </c>
      <c r="H202" s="506" t="s">
        <v>4126</v>
      </c>
      <c r="I202" s="506" t="s">
        <v>4127</v>
      </c>
      <c r="J202" s="558" t="s">
        <v>4136</v>
      </c>
      <c r="K202" s="753"/>
      <c r="L202" s="753">
        <v>26429.0</v>
      </c>
      <c r="M202" s="364">
        <v>44159.0</v>
      </c>
      <c r="N202" s="364">
        <v>44187.0</v>
      </c>
      <c r="O202" s="413" t="s">
        <v>4122</v>
      </c>
      <c r="P202" s="747">
        <v>44551.0</v>
      </c>
      <c r="Q202" s="446"/>
      <c r="R202" s="446"/>
      <c r="S202" s="446"/>
      <c r="T202" s="446"/>
      <c r="U202" s="446"/>
      <c r="V202" s="446"/>
    </row>
    <row r="203" ht="15.75" customHeight="1">
      <c r="A203" s="744">
        <f t="shared" si="4"/>
        <v>-1616</v>
      </c>
      <c r="B203" s="750" t="s">
        <v>4137</v>
      </c>
      <c r="C203" s="751" t="s">
        <v>4138</v>
      </c>
      <c r="D203" s="413" t="s">
        <v>25</v>
      </c>
      <c r="E203" s="757"/>
      <c r="F203" s="757"/>
      <c r="G203" s="752" t="s">
        <v>4139</v>
      </c>
      <c r="H203" s="506" t="s">
        <v>4140</v>
      </c>
      <c r="I203" s="506" t="s">
        <v>4141</v>
      </c>
      <c r="J203" s="439" t="s">
        <v>4142</v>
      </c>
      <c r="K203" s="753"/>
      <c r="L203" s="753">
        <v>5450.0</v>
      </c>
      <c r="M203" s="754">
        <v>44159.0</v>
      </c>
      <c r="N203" s="754">
        <v>44187.0</v>
      </c>
      <c r="O203" s="506" t="s">
        <v>4122</v>
      </c>
      <c r="P203" s="758">
        <v>44551.0</v>
      </c>
      <c r="Q203" s="446"/>
      <c r="R203" s="446"/>
      <c r="S203" s="446"/>
      <c r="T203" s="446"/>
      <c r="U203" s="446"/>
      <c r="V203" s="446"/>
    </row>
    <row r="204" ht="15.75" customHeight="1">
      <c r="A204" s="744">
        <f t="shared" si="4"/>
        <v>-1616</v>
      </c>
      <c r="B204" s="750" t="s">
        <v>4143</v>
      </c>
      <c r="C204" s="751" t="s">
        <v>4144</v>
      </c>
      <c r="D204" s="413" t="s">
        <v>25</v>
      </c>
      <c r="E204" s="757"/>
      <c r="F204" s="757"/>
      <c r="G204" s="752" t="s">
        <v>4139</v>
      </c>
      <c r="H204" s="506" t="s">
        <v>4140</v>
      </c>
      <c r="I204" s="506" t="s">
        <v>4141</v>
      </c>
      <c r="J204" s="439" t="s">
        <v>4145</v>
      </c>
      <c r="K204" s="753"/>
      <c r="L204" s="753">
        <v>10450.0</v>
      </c>
      <c r="M204" s="754">
        <v>44159.0</v>
      </c>
      <c r="N204" s="754">
        <v>44187.0</v>
      </c>
      <c r="O204" s="506" t="s">
        <v>4122</v>
      </c>
      <c r="P204" s="758">
        <v>44551.0</v>
      </c>
      <c r="Q204" s="446"/>
      <c r="R204" s="446"/>
      <c r="S204" s="446"/>
      <c r="T204" s="446"/>
      <c r="U204" s="446"/>
      <c r="V204" s="446"/>
    </row>
    <row r="205" ht="15.75" customHeight="1">
      <c r="A205" s="744">
        <f t="shared" si="4"/>
        <v>-1638</v>
      </c>
      <c r="B205" s="750" t="s">
        <v>4146</v>
      </c>
      <c r="C205" s="751" t="s">
        <v>4147</v>
      </c>
      <c r="D205" s="413" t="s">
        <v>25</v>
      </c>
      <c r="E205" s="757"/>
      <c r="F205" s="757"/>
      <c r="G205" s="752" t="s">
        <v>4139</v>
      </c>
      <c r="H205" s="506" t="s">
        <v>4140</v>
      </c>
      <c r="I205" s="506" t="s">
        <v>4141</v>
      </c>
      <c r="J205" s="439" t="s">
        <v>4148</v>
      </c>
      <c r="K205" s="753"/>
      <c r="L205" s="753">
        <v>22050.0</v>
      </c>
      <c r="M205" s="754">
        <v>44159.0</v>
      </c>
      <c r="N205" s="754">
        <v>44187.0</v>
      </c>
      <c r="O205" s="506" t="s">
        <v>4122</v>
      </c>
      <c r="P205" s="758">
        <v>44551.0</v>
      </c>
      <c r="Q205" s="446"/>
      <c r="R205" s="446"/>
      <c r="S205" s="446"/>
      <c r="T205" s="446"/>
      <c r="U205" s="446"/>
      <c r="V205" s="446"/>
    </row>
    <row r="206" ht="15.75" customHeight="1">
      <c r="A206" s="744">
        <f t="shared" si="4"/>
        <v>-1638</v>
      </c>
      <c r="B206" s="750" t="s">
        <v>4149</v>
      </c>
      <c r="C206" s="751" t="s">
        <v>4150</v>
      </c>
      <c r="D206" s="413" t="s">
        <v>4075</v>
      </c>
      <c r="E206" s="757"/>
      <c r="F206" s="757"/>
      <c r="G206" s="752" t="s">
        <v>4030</v>
      </c>
      <c r="H206" s="506" t="s">
        <v>4151</v>
      </c>
      <c r="I206" s="506" t="s">
        <v>4152</v>
      </c>
      <c r="J206" s="439" t="s">
        <v>4153</v>
      </c>
      <c r="K206" s="753"/>
      <c r="L206" s="753">
        <v>41643.1</v>
      </c>
      <c r="M206" s="754">
        <v>44148.0</v>
      </c>
      <c r="N206" s="364">
        <v>44164.0</v>
      </c>
      <c r="O206" s="413" t="s">
        <v>4154</v>
      </c>
      <c r="P206" s="747">
        <v>44529.0</v>
      </c>
      <c r="Q206" s="446"/>
      <c r="R206" s="446"/>
      <c r="S206" s="446"/>
      <c r="T206" s="446"/>
      <c r="U206" s="446"/>
      <c r="V206" s="446"/>
    </row>
    <row r="207" ht="15.75" customHeight="1">
      <c r="A207" s="744">
        <f t="shared" si="4"/>
        <v>-1649</v>
      </c>
      <c r="B207" s="750" t="s">
        <v>4155</v>
      </c>
      <c r="C207" s="744" t="s">
        <v>4156</v>
      </c>
      <c r="D207" s="413" t="s">
        <v>4075</v>
      </c>
      <c r="E207" s="757"/>
      <c r="F207" s="757"/>
      <c r="G207" s="752" t="s">
        <v>4030</v>
      </c>
      <c r="H207" s="506" t="s">
        <v>4151</v>
      </c>
      <c r="I207" s="506" t="s">
        <v>4152</v>
      </c>
      <c r="J207" s="439" t="s">
        <v>4157</v>
      </c>
      <c r="K207" s="753"/>
      <c r="L207" s="753">
        <v>29229.25</v>
      </c>
      <c r="M207" s="754">
        <v>44148.0</v>
      </c>
      <c r="N207" s="364">
        <v>44164.0</v>
      </c>
      <c r="O207" s="413" t="s">
        <v>4154</v>
      </c>
      <c r="P207" s="747">
        <v>44529.0</v>
      </c>
      <c r="Q207" s="446"/>
      <c r="R207" s="446"/>
      <c r="S207" s="446"/>
      <c r="T207" s="446"/>
      <c r="U207" s="446"/>
      <c r="V207" s="446"/>
    </row>
    <row r="208" ht="15.75" customHeight="1">
      <c r="A208" s="744">
        <f t="shared" si="4"/>
        <v>-1649</v>
      </c>
      <c r="B208" s="750" t="s">
        <v>4158</v>
      </c>
      <c r="C208" s="751" t="s">
        <v>4150</v>
      </c>
      <c r="D208" s="413" t="s">
        <v>4075</v>
      </c>
      <c r="E208" s="757"/>
      <c r="F208" s="757"/>
      <c r="G208" s="752" t="s">
        <v>4159</v>
      </c>
      <c r="H208" s="506" t="s">
        <v>4160</v>
      </c>
      <c r="I208" s="506" t="s">
        <v>4161</v>
      </c>
      <c r="J208" s="439" t="s">
        <v>4162</v>
      </c>
      <c r="K208" s="753"/>
      <c r="L208" s="753">
        <v>5489.75</v>
      </c>
      <c r="M208" s="754">
        <v>44147.0</v>
      </c>
      <c r="N208" s="754">
        <v>44154.0</v>
      </c>
      <c r="O208" s="506" t="s">
        <v>4163</v>
      </c>
      <c r="P208" s="758">
        <v>44518.0</v>
      </c>
      <c r="Q208" s="446"/>
      <c r="R208" s="446"/>
      <c r="S208" s="446"/>
      <c r="T208" s="446"/>
      <c r="U208" s="446"/>
      <c r="V208" s="446"/>
    </row>
    <row r="209" ht="15.75" customHeight="1">
      <c r="A209" s="744">
        <f t="shared" si="4"/>
        <v>-1649</v>
      </c>
      <c r="B209" s="750" t="s">
        <v>4164</v>
      </c>
      <c r="C209" s="751" t="s">
        <v>4135</v>
      </c>
      <c r="D209" s="413" t="s">
        <v>4075</v>
      </c>
      <c r="E209" s="757"/>
      <c r="F209" s="757"/>
      <c r="G209" s="752" t="s">
        <v>4159</v>
      </c>
      <c r="H209" s="506" t="s">
        <v>4160</v>
      </c>
      <c r="I209" s="506" t="s">
        <v>4161</v>
      </c>
      <c r="J209" s="439" t="s">
        <v>4165</v>
      </c>
      <c r="K209" s="753"/>
      <c r="L209" s="753">
        <v>580.0</v>
      </c>
      <c r="M209" s="754">
        <v>44147.0</v>
      </c>
      <c r="N209" s="754">
        <v>44154.0</v>
      </c>
      <c r="O209" s="506" t="s">
        <v>4163</v>
      </c>
      <c r="P209" s="758">
        <v>44518.0</v>
      </c>
      <c r="Q209" s="446"/>
      <c r="R209" s="446"/>
      <c r="S209" s="446"/>
      <c r="T209" s="446"/>
      <c r="U209" s="446"/>
      <c r="V209" s="446"/>
    </row>
    <row r="210" ht="15.75" customHeight="1">
      <c r="A210" s="744">
        <f t="shared" si="4"/>
        <v>-1649</v>
      </c>
      <c r="B210" s="750" t="s">
        <v>4166</v>
      </c>
      <c r="C210" s="751" t="s">
        <v>4167</v>
      </c>
      <c r="D210" s="413" t="s">
        <v>25</v>
      </c>
      <c r="E210" s="757"/>
      <c r="F210" s="757"/>
      <c r="G210" s="752" t="s">
        <v>4168</v>
      </c>
      <c r="H210" s="506" t="s">
        <v>4169</v>
      </c>
      <c r="I210" s="506" t="s">
        <v>4170</v>
      </c>
      <c r="J210" s="439" t="s">
        <v>4171</v>
      </c>
      <c r="K210" s="753"/>
      <c r="L210" s="753">
        <v>900717.4</v>
      </c>
      <c r="M210" s="754">
        <v>44147.0</v>
      </c>
      <c r="N210" s="754">
        <v>44154.0</v>
      </c>
      <c r="O210" s="506" t="s">
        <v>4172</v>
      </c>
      <c r="P210" s="758">
        <v>44518.0</v>
      </c>
      <c r="Q210" s="446"/>
      <c r="R210" s="446"/>
      <c r="S210" s="446"/>
      <c r="T210" s="446"/>
      <c r="U210" s="446"/>
      <c r="V210" s="446"/>
    </row>
    <row r="211" ht="29.25" customHeight="1">
      <c r="A211" s="744">
        <f t="shared" si="4"/>
        <v>-1649</v>
      </c>
      <c r="B211" s="750" t="s">
        <v>4173</v>
      </c>
      <c r="C211" s="751" t="s">
        <v>4174</v>
      </c>
      <c r="D211" s="413" t="s">
        <v>4075</v>
      </c>
      <c r="E211" s="757"/>
      <c r="F211" s="757"/>
      <c r="G211" s="752" t="s">
        <v>4175</v>
      </c>
      <c r="H211" s="506" t="s">
        <v>4176</v>
      </c>
      <c r="I211" s="506" t="s">
        <v>4177</v>
      </c>
      <c r="J211" s="439" t="s">
        <v>4178</v>
      </c>
      <c r="K211" s="753"/>
      <c r="L211" s="753">
        <v>59640.0</v>
      </c>
      <c r="M211" s="754">
        <v>44146.0</v>
      </c>
      <c r="N211" s="754">
        <v>44154.0</v>
      </c>
      <c r="O211" s="506" t="s">
        <v>4172</v>
      </c>
      <c r="P211" s="758">
        <v>44518.0</v>
      </c>
      <c r="Q211" s="446"/>
      <c r="R211" s="446"/>
      <c r="S211" s="446"/>
      <c r="T211" s="446"/>
      <c r="U211" s="446"/>
      <c r="V211" s="446"/>
    </row>
    <row r="212" ht="15.75" customHeight="1">
      <c r="A212" s="744">
        <f t="shared" si="4"/>
        <v>-1654</v>
      </c>
      <c r="B212" s="750" t="s">
        <v>4179</v>
      </c>
      <c r="C212" s="751" t="s">
        <v>3768</v>
      </c>
      <c r="D212" s="413" t="s">
        <v>25</v>
      </c>
      <c r="E212" s="757"/>
      <c r="F212" s="757"/>
      <c r="G212" s="752" t="s">
        <v>4180</v>
      </c>
      <c r="H212" s="506" t="s">
        <v>4181</v>
      </c>
      <c r="I212" s="506" t="s">
        <v>4182</v>
      </c>
      <c r="J212" s="439" t="s">
        <v>4183</v>
      </c>
      <c r="K212" s="753"/>
      <c r="L212" s="753">
        <v>61044.0</v>
      </c>
      <c r="M212" s="754">
        <v>44146.0</v>
      </c>
      <c r="N212" s="754">
        <v>44154.0</v>
      </c>
      <c r="O212" s="506" t="s">
        <v>4172</v>
      </c>
      <c r="P212" s="758">
        <v>44518.0</v>
      </c>
      <c r="Q212" s="446"/>
      <c r="R212" s="446"/>
      <c r="S212" s="446"/>
      <c r="T212" s="446"/>
      <c r="U212" s="446"/>
      <c r="V212" s="446"/>
    </row>
    <row r="213" ht="57.75" customHeight="1">
      <c r="A213" s="744">
        <f t="shared" si="4"/>
        <v>-1654</v>
      </c>
      <c r="B213" s="750" t="s">
        <v>4184</v>
      </c>
      <c r="C213" s="744" t="s">
        <v>4185</v>
      </c>
      <c r="D213" s="413" t="s">
        <v>4075</v>
      </c>
      <c r="E213" s="757"/>
      <c r="F213" s="757"/>
      <c r="G213" s="752" t="s">
        <v>4186</v>
      </c>
      <c r="H213" s="506" t="s">
        <v>4187</v>
      </c>
      <c r="I213" s="506" t="s">
        <v>4188</v>
      </c>
      <c r="J213" s="439" t="s">
        <v>4189</v>
      </c>
      <c r="K213" s="753"/>
      <c r="L213" s="753">
        <v>46129.0</v>
      </c>
      <c r="M213" s="754">
        <v>44130.0</v>
      </c>
      <c r="N213" s="754">
        <v>44148.0</v>
      </c>
      <c r="O213" s="506" t="s">
        <v>4190</v>
      </c>
      <c r="P213" s="758">
        <v>44513.0</v>
      </c>
      <c r="Q213" s="446"/>
      <c r="R213" s="446"/>
      <c r="S213" s="446"/>
      <c r="T213" s="446"/>
      <c r="U213" s="446"/>
      <c r="V213" s="446"/>
    </row>
    <row r="214" ht="47.25" customHeight="1">
      <c r="A214" s="744">
        <f t="shared" si="4"/>
        <v>-1654</v>
      </c>
      <c r="B214" s="750" t="s">
        <v>4191</v>
      </c>
      <c r="C214" s="751" t="s">
        <v>4192</v>
      </c>
      <c r="D214" s="413" t="s">
        <v>4075</v>
      </c>
      <c r="E214" s="757"/>
      <c r="F214" s="757"/>
      <c r="G214" s="752" t="s">
        <v>4186</v>
      </c>
      <c r="H214" s="506" t="s">
        <v>4187</v>
      </c>
      <c r="I214" s="506" t="s">
        <v>4188</v>
      </c>
      <c r="J214" s="439" t="s">
        <v>4193</v>
      </c>
      <c r="K214" s="753"/>
      <c r="L214" s="753">
        <v>42659.25</v>
      </c>
      <c r="M214" s="754">
        <v>44130.0</v>
      </c>
      <c r="N214" s="754">
        <v>44148.0</v>
      </c>
      <c r="O214" s="506" t="s">
        <v>4190</v>
      </c>
      <c r="P214" s="758">
        <v>44513.0</v>
      </c>
      <c r="Q214" s="446"/>
      <c r="R214" s="446"/>
      <c r="S214" s="446"/>
      <c r="T214" s="446"/>
      <c r="U214" s="446"/>
      <c r="V214" s="446"/>
    </row>
    <row r="215" ht="46.5" customHeight="1">
      <c r="A215" s="744">
        <f t="shared" si="4"/>
        <v>-1669</v>
      </c>
      <c r="B215" s="750" t="s">
        <v>4194</v>
      </c>
      <c r="C215" s="751" t="s">
        <v>4135</v>
      </c>
      <c r="D215" s="413" t="s">
        <v>4075</v>
      </c>
      <c r="E215" s="757"/>
      <c r="F215" s="757"/>
      <c r="G215" s="752" t="s">
        <v>4186</v>
      </c>
      <c r="H215" s="506" t="s">
        <v>4187</v>
      </c>
      <c r="I215" s="506" t="s">
        <v>4188</v>
      </c>
      <c r="J215" s="439" t="s">
        <v>4195</v>
      </c>
      <c r="K215" s="753"/>
      <c r="L215" s="753">
        <v>139502.0</v>
      </c>
      <c r="M215" s="754">
        <v>44130.0</v>
      </c>
      <c r="N215" s="754">
        <v>44148.0</v>
      </c>
      <c r="O215" s="506" t="s">
        <v>4190</v>
      </c>
      <c r="P215" s="758">
        <v>44513.0</v>
      </c>
      <c r="Q215" s="446"/>
      <c r="R215" s="446"/>
      <c r="S215" s="446"/>
      <c r="T215" s="446"/>
      <c r="U215" s="446"/>
      <c r="V215" s="446"/>
    </row>
    <row r="216" ht="15.75" customHeight="1">
      <c r="A216" s="744">
        <f t="shared" si="4"/>
        <v>-1669</v>
      </c>
      <c r="B216" s="750" t="s">
        <v>4196</v>
      </c>
      <c r="C216" s="751" t="s">
        <v>4197</v>
      </c>
      <c r="D216" s="413" t="s">
        <v>25</v>
      </c>
      <c r="E216" s="757"/>
      <c r="F216" s="757"/>
      <c r="G216" s="752" t="s">
        <v>4198</v>
      </c>
      <c r="H216" s="506" t="s">
        <v>4199</v>
      </c>
      <c r="I216" s="506" t="s">
        <v>4200</v>
      </c>
      <c r="J216" s="439" t="s">
        <v>4201</v>
      </c>
      <c r="K216" s="753"/>
      <c r="L216" s="753">
        <v>288723.0</v>
      </c>
      <c r="M216" s="754">
        <v>44123.0</v>
      </c>
      <c r="N216" s="754">
        <v>44134.0</v>
      </c>
      <c r="O216" s="506" t="s">
        <v>4202</v>
      </c>
      <c r="P216" s="758">
        <v>44498.0</v>
      </c>
      <c r="Q216" s="446"/>
      <c r="R216" s="446"/>
      <c r="S216" s="446"/>
      <c r="T216" s="446"/>
      <c r="U216" s="446"/>
      <c r="V216" s="446"/>
    </row>
    <row r="217" ht="15.75" customHeight="1">
      <c r="A217" s="744">
        <f t="shared" si="4"/>
        <v>-1669</v>
      </c>
      <c r="B217" s="750" t="s">
        <v>4203</v>
      </c>
      <c r="C217" s="751" t="s">
        <v>4167</v>
      </c>
      <c r="D217" s="413" t="s">
        <v>25</v>
      </c>
      <c r="E217" s="757"/>
      <c r="F217" s="757"/>
      <c r="G217" s="752" t="s">
        <v>4198</v>
      </c>
      <c r="H217" s="506" t="s">
        <v>4199</v>
      </c>
      <c r="I217" s="506" t="s">
        <v>4200</v>
      </c>
      <c r="J217" s="439" t="s">
        <v>4204</v>
      </c>
      <c r="K217" s="753"/>
      <c r="L217" s="753">
        <v>27889.97</v>
      </c>
      <c r="M217" s="754">
        <v>44123.0</v>
      </c>
      <c r="N217" s="754">
        <v>44134.0</v>
      </c>
      <c r="O217" s="506" t="s">
        <v>4202</v>
      </c>
      <c r="P217" s="758">
        <v>44498.0</v>
      </c>
      <c r="Q217" s="446"/>
      <c r="R217" s="446"/>
      <c r="S217" s="446"/>
      <c r="T217" s="446"/>
      <c r="U217" s="446"/>
      <c r="V217" s="446"/>
    </row>
    <row r="218" ht="15.75" customHeight="1">
      <c r="A218" s="744">
        <f t="shared" si="4"/>
        <v>-1669</v>
      </c>
      <c r="B218" s="750" t="s">
        <v>4205</v>
      </c>
      <c r="C218" s="751" t="s">
        <v>4206</v>
      </c>
      <c r="D218" s="413" t="s">
        <v>25</v>
      </c>
      <c r="E218" s="757"/>
      <c r="F218" s="757"/>
      <c r="G218" s="752" t="s">
        <v>4198</v>
      </c>
      <c r="H218" s="506" t="s">
        <v>4199</v>
      </c>
      <c r="I218" s="506" t="s">
        <v>4200</v>
      </c>
      <c r="J218" s="439" t="s">
        <v>4207</v>
      </c>
      <c r="K218" s="753"/>
      <c r="L218" s="753">
        <v>240451.61</v>
      </c>
      <c r="M218" s="754">
        <v>44123.0</v>
      </c>
      <c r="N218" s="754">
        <v>44134.0</v>
      </c>
      <c r="O218" s="506" t="s">
        <v>4202</v>
      </c>
      <c r="P218" s="758">
        <v>44498.0</v>
      </c>
      <c r="Q218" s="446"/>
      <c r="R218" s="446"/>
      <c r="S218" s="446"/>
      <c r="T218" s="446"/>
      <c r="U218" s="446"/>
      <c r="V218" s="446"/>
    </row>
    <row r="219" ht="15.75" customHeight="1">
      <c r="A219" s="744">
        <f t="shared" si="4"/>
        <v>-1669</v>
      </c>
      <c r="B219" s="750" t="s">
        <v>4208</v>
      </c>
      <c r="C219" s="751" t="s">
        <v>4100</v>
      </c>
      <c r="D219" s="413" t="s">
        <v>25</v>
      </c>
      <c r="E219" s="745"/>
      <c r="F219" s="745"/>
      <c r="G219" s="752" t="s">
        <v>4198</v>
      </c>
      <c r="H219" s="506" t="s">
        <v>4199</v>
      </c>
      <c r="I219" s="506" t="s">
        <v>4200</v>
      </c>
      <c r="J219" s="439" t="s">
        <v>4209</v>
      </c>
      <c r="K219" s="753"/>
      <c r="L219" s="753">
        <v>152344.2</v>
      </c>
      <c r="M219" s="754">
        <v>44123.0</v>
      </c>
      <c r="N219" s="754">
        <v>44134.0</v>
      </c>
      <c r="O219" s="506" t="s">
        <v>4202</v>
      </c>
      <c r="P219" s="758">
        <v>44498.0</v>
      </c>
      <c r="Q219" s="446"/>
      <c r="R219" s="446"/>
      <c r="S219" s="446"/>
      <c r="T219" s="446"/>
      <c r="U219" s="446"/>
      <c r="V219" s="446"/>
    </row>
    <row r="220" ht="15.75" customHeight="1">
      <c r="A220" s="744">
        <f t="shared" si="4"/>
        <v>-1669</v>
      </c>
      <c r="B220" s="750" t="s">
        <v>4210</v>
      </c>
      <c r="C220" s="751" t="s">
        <v>4023</v>
      </c>
      <c r="D220" s="413" t="s">
        <v>25</v>
      </c>
      <c r="E220" s="745"/>
      <c r="F220" s="745"/>
      <c r="G220" s="752" t="s">
        <v>4198</v>
      </c>
      <c r="H220" s="506" t="s">
        <v>4199</v>
      </c>
      <c r="I220" s="506" t="s">
        <v>4200</v>
      </c>
      <c r="J220" s="439" t="s">
        <v>4211</v>
      </c>
      <c r="K220" s="753"/>
      <c r="L220" s="753">
        <v>68160.0</v>
      </c>
      <c r="M220" s="754">
        <v>44123.0</v>
      </c>
      <c r="N220" s="754">
        <v>44134.0</v>
      </c>
      <c r="O220" s="506" t="s">
        <v>4202</v>
      </c>
      <c r="P220" s="758">
        <v>44498.0</v>
      </c>
      <c r="Q220" s="446"/>
      <c r="R220" s="446"/>
      <c r="S220" s="446"/>
      <c r="T220" s="446"/>
      <c r="U220" s="446"/>
      <c r="V220" s="446"/>
    </row>
    <row r="221" ht="15.75" customHeight="1">
      <c r="A221" s="744">
        <f t="shared" si="4"/>
        <v>-1669</v>
      </c>
      <c r="B221" s="750" t="s">
        <v>4212</v>
      </c>
      <c r="C221" s="751" t="s">
        <v>4213</v>
      </c>
      <c r="D221" s="413" t="s">
        <v>25</v>
      </c>
      <c r="E221" s="745"/>
      <c r="F221" s="745"/>
      <c r="G221" s="752" t="s">
        <v>4198</v>
      </c>
      <c r="H221" s="506" t="s">
        <v>4199</v>
      </c>
      <c r="I221" s="506" t="s">
        <v>4200</v>
      </c>
      <c r="J221" s="439" t="s">
        <v>4214</v>
      </c>
      <c r="K221" s="753"/>
      <c r="L221" s="753">
        <v>112656.0</v>
      </c>
      <c r="M221" s="754">
        <v>44123.0</v>
      </c>
      <c r="N221" s="754">
        <v>44134.0</v>
      </c>
      <c r="O221" s="506" t="s">
        <v>4202</v>
      </c>
      <c r="P221" s="758">
        <v>44498.0</v>
      </c>
      <c r="Q221" s="446"/>
      <c r="R221" s="446"/>
      <c r="S221" s="446"/>
      <c r="T221" s="446"/>
      <c r="U221" s="446"/>
      <c r="V221" s="446"/>
    </row>
    <row r="222" ht="15.75" customHeight="1">
      <c r="A222" s="744">
        <f t="shared" si="4"/>
        <v>-1669</v>
      </c>
      <c r="B222" s="750" t="s">
        <v>4215</v>
      </c>
      <c r="C222" s="751" t="s">
        <v>4216</v>
      </c>
      <c r="D222" s="413" t="s">
        <v>25</v>
      </c>
      <c r="E222" s="745"/>
      <c r="F222" s="745"/>
      <c r="G222" s="752" t="s">
        <v>4198</v>
      </c>
      <c r="H222" s="506" t="s">
        <v>4199</v>
      </c>
      <c r="I222" s="506" t="s">
        <v>4200</v>
      </c>
      <c r="J222" s="439" t="s">
        <v>4217</v>
      </c>
      <c r="K222" s="753"/>
      <c r="L222" s="753">
        <v>160795.2</v>
      </c>
      <c r="M222" s="754">
        <v>44123.0</v>
      </c>
      <c r="N222" s="754">
        <v>44134.0</v>
      </c>
      <c r="O222" s="506" t="s">
        <v>4202</v>
      </c>
      <c r="P222" s="758">
        <v>44498.0</v>
      </c>
      <c r="Q222" s="446"/>
      <c r="R222" s="446"/>
      <c r="S222" s="446"/>
      <c r="T222" s="446"/>
      <c r="U222" s="446"/>
      <c r="V222" s="446"/>
    </row>
    <row r="223" ht="15.75" customHeight="1">
      <c r="A223" s="744">
        <f t="shared" si="4"/>
        <v>-1697</v>
      </c>
      <c r="B223" s="750" t="s">
        <v>4218</v>
      </c>
      <c r="C223" s="751" t="s">
        <v>4219</v>
      </c>
      <c r="D223" s="413" t="s">
        <v>25</v>
      </c>
      <c r="E223" s="745"/>
      <c r="F223" s="745"/>
      <c r="G223" s="752" t="s">
        <v>4198</v>
      </c>
      <c r="H223" s="506" t="s">
        <v>4199</v>
      </c>
      <c r="I223" s="506" t="s">
        <v>4200</v>
      </c>
      <c r="J223" s="439" t="s">
        <v>4220</v>
      </c>
      <c r="K223" s="753"/>
      <c r="L223" s="753">
        <v>1690055.6</v>
      </c>
      <c r="M223" s="754">
        <v>44123.0</v>
      </c>
      <c r="N223" s="754">
        <v>44134.0</v>
      </c>
      <c r="O223" s="506" t="s">
        <v>4202</v>
      </c>
      <c r="P223" s="758">
        <v>44498.0</v>
      </c>
      <c r="Q223" s="446"/>
      <c r="R223" s="446"/>
      <c r="S223" s="446"/>
      <c r="T223" s="446"/>
      <c r="U223" s="446"/>
      <c r="V223" s="446"/>
    </row>
    <row r="224" ht="15.75" customHeight="1">
      <c r="A224" s="744">
        <f t="shared" si="4"/>
        <v>-1697</v>
      </c>
      <c r="B224" s="750" t="s">
        <v>4221</v>
      </c>
      <c r="C224" s="751" t="s">
        <v>4222</v>
      </c>
      <c r="D224" s="413" t="s">
        <v>4075</v>
      </c>
      <c r="E224" s="745"/>
      <c r="F224" s="745"/>
      <c r="G224" s="752" t="s">
        <v>4223</v>
      </c>
      <c r="H224" s="506" t="s">
        <v>4224</v>
      </c>
      <c r="I224" s="506" t="s">
        <v>4225</v>
      </c>
      <c r="J224" s="439" t="s">
        <v>4226</v>
      </c>
      <c r="K224" s="753"/>
      <c r="L224" s="753">
        <v>84875.0</v>
      </c>
      <c r="M224" s="754">
        <v>44097.0</v>
      </c>
      <c r="N224" s="754">
        <v>44106.0</v>
      </c>
      <c r="O224" s="506" t="s">
        <v>4227</v>
      </c>
      <c r="P224" s="758">
        <v>44470.0</v>
      </c>
      <c r="Q224" s="446"/>
      <c r="R224" s="446"/>
      <c r="S224" s="446"/>
      <c r="T224" s="446"/>
      <c r="U224" s="446"/>
      <c r="V224" s="446"/>
    </row>
    <row r="225" ht="15.75" customHeight="1">
      <c r="A225" s="744">
        <f t="shared" si="4"/>
        <v>-1697</v>
      </c>
      <c r="B225" s="750" t="s">
        <v>4228</v>
      </c>
      <c r="C225" s="751" t="s">
        <v>4229</v>
      </c>
      <c r="D225" s="413" t="s">
        <v>4075</v>
      </c>
      <c r="E225" s="745"/>
      <c r="F225" s="745"/>
      <c r="G225" s="752" t="s">
        <v>4223</v>
      </c>
      <c r="H225" s="506" t="s">
        <v>4224</v>
      </c>
      <c r="I225" s="506" t="s">
        <v>4225</v>
      </c>
      <c r="J225" s="439" t="s">
        <v>4230</v>
      </c>
      <c r="K225" s="753"/>
      <c r="L225" s="753">
        <v>62990.0</v>
      </c>
      <c r="M225" s="754">
        <v>44097.0</v>
      </c>
      <c r="N225" s="754">
        <v>44106.0</v>
      </c>
      <c r="O225" s="506" t="s">
        <v>4227</v>
      </c>
      <c r="P225" s="758">
        <v>44470.0</v>
      </c>
      <c r="Q225" s="446"/>
      <c r="R225" s="446"/>
      <c r="S225" s="446"/>
      <c r="T225" s="446"/>
      <c r="U225" s="446"/>
      <c r="V225" s="446"/>
    </row>
    <row r="226" ht="15.75" customHeight="1">
      <c r="A226" s="744">
        <f t="shared" si="4"/>
        <v>-1697</v>
      </c>
      <c r="B226" s="750" t="s">
        <v>4231</v>
      </c>
      <c r="C226" s="751" t="s">
        <v>4232</v>
      </c>
      <c r="D226" s="413" t="s">
        <v>114</v>
      </c>
      <c r="E226" s="745"/>
      <c r="F226" s="745"/>
      <c r="G226" s="752" t="s">
        <v>4233</v>
      </c>
      <c r="H226" s="506" t="s">
        <v>4234</v>
      </c>
      <c r="I226" s="506" t="s">
        <v>4235</v>
      </c>
      <c r="J226" s="439" t="s">
        <v>4236</v>
      </c>
      <c r="K226" s="753"/>
      <c r="L226" s="753">
        <v>14000.0</v>
      </c>
      <c r="M226" s="754">
        <v>44097.0</v>
      </c>
      <c r="N226" s="754">
        <v>44106.0</v>
      </c>
      <c r="O226" s="506" t="s">
        <v>4227</v>
      </c>
      <c r="P226" s="758">
        <v>44470.0</v>
      </c>
      <c r="Q226" s="446"/>
      <c r="R226" s="446"/>
      <c r="S226" s="446"/>
      <c r="T226" s="446"/>
      <c r="U226" s="446"/>
      <c r="V226" s="446"/>
    </row>
    <row r="227" ht="15.75" customHeight="1">
      <c r="A227" s="744">
        <f t="shared" si="4"/>
        <v>-1697</v>
      </c>
      <c r="B227" s="750" t="s">
        <v>4237</v>
      </c>
      <c r="C227" s="744" t="s">
        <v>4238</v>
      </c>
      <c r="D227" s="413" t="s">
        <v>4075</v>
      </c>
      <c r="E227" s="745"/>
      <c r="F227" s="745"/>
      <c r="G227" s="752" t="s">
        <v>4239</v>
      </c>
      <c r="H227" s="506" t="s">
        <v>4240</v>
      </c>
      <c r="I227" s="506" t="s">
        <v>4241</v>
      </c>
      <c r="J227" s="439" t="s">
        <v>4242</v>
      </c>
      <c r="K227" s="753"/>
      <c r="L227" s="753">
        <v>275102.07</v>
      </c>
      <c r="M227" s="754">
        <v>44103.0</v>
      </c>
      <c r="N227" s="754">
        <v>44106.0</v>
      </c>
      <c r="O227" s="506" t="s">
        <v>4227</v>
      </c>
      <c r="P227" s="758">
        <v>44470.0</v>
      </c>
      <c r="Q227" s="446"/>
      <c r="R227" s="446"/>
      <c r="S227" s="446"/>
      <c r="T227" s="446"/>
      <c r="U227" s="446"/>
      <c r="V227" s="446"/>
    </row>
    <row r="228" ht="15.75" customHeight="1">
      <c r="A228" s="744">
        <f t="shared" si="4"/>
        <v>-1725</v>
      </c>
      <c r="B228" s="750" t="s">
        <v>4243</v>
      </c>
      <c r="C228" s="751" t="s">
        <v>4135</v>
      </c>
      <c r="D228" s="413" t="s">
        <v>4075</v>
      </c>
      <c r="E228" s="745"/>
      <c r="F228" s="745"/>
      <c r="G228" s="752" t="s">
        <v>4239</v>
      </c>
      <c r="H228" s="506" t="s">
        <v>4240</v>
      </c>
      <c r="I228" s="506" t="s">
        <v>4241</v>
      </c>
      <c r="J228" s="439" t="s">
        <v>4244</v>
      </c>
      <c r="K228" s="753"/>
      <c r="L228" s="753">
        <v>42990.0</v>
      </c>
      <c r="M228" s="754">
        <v>44103.0</v>
      </c>
      <c r="N228" s="754">
        <v>44106.0</v>
      </c>
      <c r="O228" s="506" t="s">
        <v>4227</v>
      </c>
      <c r="P228" s="758">
        <v>44470.0</v>
      </c>
      <c r="Q228" s="446"/>
      <c r="R228" s="446"/>
      <c r="S228" s="446"/>
      <c r="T228" s="446"/>
      <c r="U228" s="446"/>
      <c r="V228" s="446"/>
    </row>
    <row r="229" ht="15.75" customHeight="1">
      <c r="A229" s="744">
        <f t="shared" si="4"/>
        <v>-1745</v>
      </c>
      <c r="B229" s="750" t="s">
        <v>4245</v>
      </c>
      <c r="C229" s="751" t="s">
        <v>4246</v>
      </c>
      <c r="D229" s="413" t="s">
        <v>25</v>
      </c>
      <c r="E229" s="745"/>
      <c r="F229" s="745"/>
      <c r="G229" s="752" t="s">
        <v>4247</v>
      </c>
      <c r="H229" s="506" t="s">
        <v>4248</v>
      </c>
      <c r="I229" s="506" t="s">
        <v>4249</v>
      </c>
      <c r="J229" s="439" t="s">
        <v>4250</v>
      </c>
      <c r="K229" s="753"/>
      <c r="L229" s="753">
        <v>49470.1</v>
      </c>
      <c r="M229" s="754">
        <v>44046.0</v>
      </c>
      <c r="N229" s="754">
        <v>44078.0</v>
      </c>
      <c r="O229" s="506" t="s">
        <v>4251</v>
      </c>
      <c r="P229" s="758">
        <v>44442.0</v>
      </c>
      <c r="Q229" s="446"/>
      <c r="R229" s="446"/>
      <c r="S229" s="446"/>
      <c r="T229" s="446"/>
      <c r="U229" s="446"/>
      <c r="V229" s="446"/>
    </row>
    <row r="230" ht="15.75" customHeight="1">
      <c r="A230" s="744">
        <f t="shared" si="4"/>
        <v>-1760</v>
      </c>
      <c r="B230" s="750" t="s">
        <v>4252</v>
      </c>
      <c r="C230" s="744" t="s">
        <v>4253</v>
      </c>
      <c r="D230" s="413" t="s">
        <v>114</v>
      </c>
      <c r="E230" s="745"/>
      <c r="F230" s="745"/>
      <c r="G230" s="752" t="s">
        <v>4254</v>
      </c>
      <c r="H230" s="506" t="s">
        <v>4255</v>
      </c>
      <c r="I230" s="506" t="s">
        <v>4256</v>
      </c>
      <c r="J230" s="439" t="s">
        <v>4257</v>
      </c>
      <c r="K230" s="753"/>
      <c r="L230" s="753">
        <v>371465.0</v>
      </c>
      <c r="M230" s="754">
        <v>44055.0</v>
      </c>
      <c r="N230" s="754">
        <v>44057.0</v>
      </c>
      <c r="O230" s="506" t="s">
        <v>4258</v>
      </c>
      <c r="P230" s="758">
        <v>44422.0</v>
      </c>
      <c r="Q230" s="446"/>
      <c r="R230" s="446"/>
      <c r="S230" s="446"/>
      <c r="T230" s="446"/>
      <c r="U230" s="446"/>
      <c r="V230" s="446"/>
    </row>
    <row r="231" ht="40.5" customHeight="1">
      <c r="A231" s="744">
        <f t="shared" si="4"/>
        <v>-1760</v>
      </c>
      <c r="B231" s="750" t="s">
        <v>4259</v>
      </c>
      <c r="C231" s="751" t="s">
        <v>4260</v>
      </c>
      <c r="D231" s="413" t="s">
        <v>25</v>
      </c>
      <c r="E231" s="745"/>
      <c r="F231" s="745"/>
      <c r="G231" s="752" t="s">
        <v>4261</v>
      </c>
      <c r="H231" s="506" t="s">
        <v>4262</v>
      </c>
      <c r="I231" s="506" t="s">
        <v>4263</v>
      </c>
      <c r="J231" s="439" t="s">
        <v>4264</v>
      </c>
      <c r="K231" s="753"/>
      <c r="L231" s="753">
        <v>278881.04</v>
      </c>
      <c r="M231" s="754">
        <v>44040.0</v>
      </c>
      <c r="N231" s="754">
        <v>44043.0</v>
      </c>
      <c r="O231" s="506" t="s">
        <v>4265</v>
      </c>
      <c r="P231" s="758">
        <v>44407.0</v>
      </c>
      <c r="Q231" s="446"/>
      <c r="R231" s="446"/>
      <c r="S231" s="446"/>
      <c r="T231" s="446"/>
      <c r="U231" s="446"/>
      <c r="V231" s="446"/>
    </row>
    <row r="232" ht="53.25" customHeight="1">
      <c r="A232" s="744">
        <f t="shared" si="4"/>
        <v>-1780</v>
      </c>
      <c r="B232" s="750" t="s">
        <v>4266</v>
      </c>
      <c r="C232" s="744" t="s">
        <v>4267</v>
      </c>
      <c r="D232" s="413" t="s">
        <v>25</v>
      </c>
      <c r="E232" s="745"/>
      <c r="F232" s="745"/>
      <c r="G232" s="752" t="s">
        <v>4268</v>
      </c>
      <c r="H232" s="506" t="s">
        <v>4262</v>
      </c>
      <c r="I232" s="506" t="s">
        <v>4263</v>
      </c>
      <c r="J232" s="439" t="s">
        <v>4269</v>
      </c>
      <c r="K232" s="753"/>
      <c r="L232" s="753">
        <v>22750.0</v>
      </c>
      <c r="M232" s="754">
        <v>44040.0</v>
      </c>
      <c r="N232" s="754">
        <v>44043.0</v>
      </c>
      <c r="O232" s="506" t="s">
        <v>4265</v>
      </c>
      <c r="P232" s="758">
        <v>44407.0</v>
      </c>
      <c r="Q232" s="446"/>
      <c r="R232" s="446"/>
      <c r="S232" s="446"/>
      <c r="T232" s="446"/>
      <c r="U232" s="446"/>
      <c r="V232" s="446"/>
    </row>
    <row r="233" ht="15.75" customHeight="1">
      <c r="A233" s="744">
        <f t="shared" si="4"/>
        <v>-1780</v>
      </c>
      <c r="B233" s="713" t="s">
        <v>4270</v>
      </c>
      <c r="C233" s="751" t="s">
        <v>3792</v>
      </c>
      <c r="D233" s="506"/>
      <c r="E233" s="745"/>
      <c r="F233" s="745"/>
      <c r="G233" s="752" t="s">
        <v>4271</v>
      </c>
      <c r="H233" s="506" t="s">
        <v>4272</v>
      </c>
      <c r="I233" s="506" t="s">
        <v>4273</v>
      </c>
      <c r="J233" s="439" t="s">
        <v>4274</v>
      </c>
      <c r="K233" s="753"/>
      <c r="L233" s="753">
        <v>82620.0</v>
      </c>
      <c r="M233" s="754">
        <v>44018.0</v>
      </c>
      <c r="N233" s="754">
        <v>44022.0</v>
      </c>
      <c r="O233" s="508" t="s">
        <v>4275</v>
      </c>
      <c r="P233" s="758">
        <v>44387.0</v>
      </c>
      <c r="Q233" s="446"/>
      <c r="R233" s="446"/>
      <c r="S233" s="446"/>
      <c r="T233" s="446"/>
      <c r="U233" s="446"/>
      <c r="V233" s="446"/>
    </row>
    <row r="234" ht="15.75" customHeight="1">
      <c r="A234" s="744">
        <f t="shared" si="4"/>
        <v>-1780</v>
      </c>
      <c r="B234" s="750" t="s">
        <v>4276</v>
      </c>
      <c r="C234" s="751" t="s">
        <v>3877</v>
      </c>
      <c r="D234" s="506"/>
      <c r="E234" s="745"/>
      <c r="F234" s="745"/>
      <c r="G234" s="752" t="s">
        <v>4277</v>
      </c>
      <c r="H234" s="506" t="s">
        <v>4278</v>
      </c>
      <c r="I234" s="506" t="s">
        <v>4279</v>
      </c>
      <c r="J234" s="759" t="s">
        <v>4280</v>
      </c>
      <c r="K234" s="753"/>
      <c r="L234" s="753">
        <v>495688.0</v>
      </c>
      <c r="M234" s="754">
        <v>44011.0</v>
      </c>
      <c r="N234" s="754">
        <v>44022.0</v>
      </c>
      <c r="O234" s="508" t="s">
        <v>4275</v>
      </c>
      <c r="P234" s="758">
        <v>44387.0</v>
      </c>
      <c r="Q234" s="446"/>
      <c r="R234" s="446"/>
      <c r="S234" s="446"/>
      <c r="T234" s="446"/>
      <c r="U234" s="446"/>
      <c r="V234" s="446"/>
    </row>
    <row r="235" ht="15.75" customHeight="1">
      <c r="A235" s="744">
        <f t="shared" si="4"/>
        <v>-1780</v>
      </c>
      <c r="B235" s="750" t="s">
        <v>4281</v>
      </c>
      <c r="C235" s="751" t="s">
        <v>4282</v>
      </c>
      <c r="D235" s="506"/>
      <c r="E235" s="745"/>
      <c r="F235" s="745"/>
      <c r="G235" s="752" t="s">
        <v>4277</v>
      </c>
      <c r="H235" s="506" t="s">
        <v>4278</v>
      </c>
      <c r="I235" s="506" t="s">
        <v>4279</v>
      </c>
      <c r="J235" s="759" t="s">
        <v>4283</v>
      </c>
      <c r="K235" s="753"/>
      <c r="L235" s="753">
        <v>24150.0</v>
      </c>
      <c r="M235" s="754">
        <v>44011.0</v>
      </c>
      <c r="N235" s="754">
        <v>44022.0</v>
      </c>
      <c r="O235" s="508" t="s">
        <v>4275</v>
      </c>
      <c r="P235" s="758">
        <v>44387.0</v>
      </c>
      <c r="Q235" s="446"/>
      <c r="R235" s="446"/>
      <c r="S235" s="446"/>
      <c r="T235" s="446"/>
      <c r="U235" s="446"/>
      <c r="V235" s="446"/>
    </row>
    <row r="236" ht="15.75" customHeight="1">
      <c r="A236" s="744">
        <f t="shared" si="4"/>
        <v>-1780</v>
      </c>
      <c r="B236" s="750" t="s">
        <v>4284</v>
      </c>
      <c r="C236" s="751" t="s">
        <v>4285</v>
      </c>
      <c r="D236" s="506"/>
      <c r="E236" s="760"/>
      <c r="F236" s="760"/>
      <c r="G236" s="752" t="s">
        <v>4286</v>
      </c>
      <c r="H236" s="506" t="s">
        <v>4287</v>
      </c>
      <c r="I236" s="506" t="s">
        <v>4288</v>
      </c>
      <c r="J236" s="759" t="s">
        <v>4289</v>
      </c>
      <c r="K236" s="753"/>
      <c r="L236" s="753">
        <v>24210.0</v>
      </c>
      <c r="M236" s="754">
        <v>44011.0</v>
      </c>
      <c r="N236" s="754">
        <v>44022.0</v>
      </c>
      <c r="O236" s="508" t="s">
        <v>4275</v>
      </c>
      <c r="P236" s="758">
        <v>44387.0</v>
      </c>
      <c r="Q236" s="446"/>
      <c r="R236" s="446"/>
      <c r="S236" s="446"/>
      <c r="T236" s="446"/>
      <c r="U236" s="446"/>
      <c r="V236" s="446"/>
    </row>
    <row r="237" ht="15.75" customHeight="1">
      <c r="A237" s="744">
        <f t="shared" si="4"/>
        <v>-1780</v>
      </c>
      <c r="B237" s="750" t="s">
        <v>4290</v>
      </c>
      <c r="C237" s="751" t="s">
        <v>4291</v>
      </c>
      <c r="D237" s="506"/>
      <c r="E237" s="760"/>
      <c r="F237" s="760"/>
      <c r="G237" s="752" t="s">
        <v>4286</v>
      </c>
      <c r="H237" s="506" t="s">
        <v>4287</v>
      </c>
      <c r="I237" s="506" t="s">
        <v>4288</v>
      </c>
      <c r="J237" s="759" t="s">
        <v>4292</v>
      </c>
      <c r="K237" s="753"/>
      <c r="L237" s="753">
        <v>27800.0</v>
      </c>
      <c r="M237" s="754">
        <v>44011.0</v>
      </c>
      <c r="N237" s="754">
        <v>44022.0</v>
      </c>
      <c r="O237" s="508" t="s">
        <v>4275</v>
      </c>
      <c r="P237" s="758">
        <v>44387.0</v>
      </c>
      <c r="Q237" s="446"/>
      <c r="R237" s="446"/>
      <c r="S237" s="446"/>
      <c r="T237" s="446"/>
      <c r="U237" s="446"/>
      <c r="V237" s="446"/>
    </row>
    <row r="238" ht="15.75" customHeight="1">
      <c r="A238" s="744">
        <f t="shared" si="4"/>
        <v>-1780</v>
      </c>
      <c r="B238" s="750" t="s">
        <v>4293</v>
      </c>
      <c r="C238" s="751" t="s">
        <v>4291</v>
      </c>
      <c r="D238" s="506"/>
      <c r="E238" s="760"/>
      <c r="F238" s="760"/>
      <c r="G238" s="752" t="s">
        <v>4294</v>
      </c>
      <c r="H238" s="506" t="s">
        <v>4295</v>
      </c>
      <c r="I238" s="506" t="s">
        <v>4296</v>
      </c>
      <c r="J238" s="759" t="s">
        <v>4297</v>
      </c>
      <c r="K238" s="753"/>
      <c r="L238" s="753">
        <v>18418.4</v>
      </c>
      <c r="M238" s="754">
        <v>44011.0</v>
      </c>
      <c r="N238" s="754">
        <v>44022.0</v>
      </c>
      <c r="O238" s="508" t="s">
        <v>4275</v>
      </c>
      <c r="P238" s="758">
        <v>44387.0</v>
      </c>
      <c r="Q238" s="446"/>
      <c r="R238" s="446"/>
      <c r="S238" s="446"/>
      <c r="T238" s="446"/>
      <c r="U238" s="446"/>
      <c r="V238" s="446"/>
    </row>
    <row r="239" ht="15.75" customHeight="1">
      <c r="A239" s="744">
        <f t="shared" si="4"/>
        <v>-1780</v>
      </c>
      <c r="B239" s="750" t="s">
        <v>4298</v>
      </c>
      <c r="C239" s="751" t="s">
        <v>4055</v>
      </c>
      <c r="D239" s="506"/>
      <c r="E239" s="760"/>
      <c r="F239" s="760"/>
      <c r="G239" s="752" t="s">
        <v>4299</v>
      </c>
      <c r="H239" s="506" t="s">
        <v>4300</v>
      </c>
      <c r="I239" s="506" t="s">
        <v>4301</v>
      </c>
      <c r="J239" s="759" t="s">
        <v>4302</v>
      </c>
      <c r="K239" s="753"/>
      <c r="L239" s="753">
        <v>49600.0</v>
      </c>
      <c r="M239" s="754">
        <v>44011.0</v>
      </c>
      <c r="N239" s="754">
        <v>44022.0</v>
      </c>
      <c r="O239" s="508" t="s">
        <v>4275</v>
      </c>
      <c r="P239" s="758">
        <v>44387.0</v>
      </c>
      <c r="Q239" s="446"/>
      <c r="R239" s="446"/>
      <c r="S239" s="446"/>
      <c r="T239" s="446"/>
      <c r="U239" s="446"/>
      <c r="V239" s="446"/>
    </row>
    <row r="240" ht="15.75" customHeight="1">
      <c r="A240" s="744">
        <f t="shared" si="4"/>
        <v>-1780</v>
      </c>
      <c r="B240" s="750" t="s">
        <v>4303</v>
      </c>
      <c r="C240" s="751" t="s">
        <v>4304</v>
      </c>
      <c r="D240" s="506"/>
      <c r="E240" s="760"/>
      <c r="F240" s="760"/>
      <c r="G240" s="752" t="s">
        <v>4299</v>
      </c>
      <c r="H240" s="506" t="s">
        <v>4300</v>
      </c>
      <c r="I240" s="506" t="s">
        <v>4301</v>
      </c>
      <c r="J240" s="759" t="s">
        <v>4305</v>
      </c>
      <c r="K240" s="753"/>
      <c r="L240" s="753">
        <v>7410.0</v>
      </c>
      <c r="M240" s="754">
        <v>44011.0</v>
      </c>
      <c r="N240" s="754">
        <v>44022.0</v>
      </c>
      <c r="O240" s="508" t="s">
        <v>4275</v>
      </c>
      <c r="P240" s="758">
        <v>44387.0</v>
      </c>
      <c r="Q240" s="446"/>
      <c r="R240" s="446"/>
      <c r="S240" s="446"/>
      <c r="T240" s="446"/>
      <c r="U240" s="446"/>
      <c r="V240" s="446"/>
    </row>
    <row r="241" ht="15.75" customHeight="1">
      <c r="A241" s="744">
        <f t="shared" si="4"/>
        <v>-1780</v>
      </c>
      <c r="B241" s="750" t="s">
        <v>4306</v>
      </c>
      <c r="C241" s="751" t="s">
        <v>4285</v>
      </c>
      <c r="D241" s="506"/>
      <c r="E241" s="760"/>
      <c r="F241" s="760"/>
      <c r="G241" s="752" t="s">
        <v>4299</v>
      </c>
      <c r="H241" s="506" t="s">
        <v>4300</v>
      </c>
      <c r="I241" s="506" t="s">
        <v>4301</v>
      </c>
      <c r="J241" s="759" t="s">
        <v>4307</v>
      </c>
      <c r="K241" s="753"/>
      <c r="L241" s="753">
        <v>36000.0</v>
      </c>
      <c r="M241" s="754">
        <v>44011.0</v>
      </c>
      <c r="N241" s="754">
        <v>44022.0</v>
      </c>
      <c r="O241" s="508" t="s">
        <v>4275</v>
      </c>
      <c r="P241" s="758">
        <v>44387.0</v>
      </c>
      <c r="Q241" s="446"/>
      <c r="R241" s="446"/>
      <c r="S241" s="446"/>
      <c r="T241" s="446"/>
      <c r="U241" s="446"/>
      <c r="V241" s="446"/>
    </row>
    <row r="242" ht="15.75" customHeight="1">
      <c r="A242" s="744">
        <f t="shared" si="4"/>
        <v>-1801</v>
      </c>
      <c r="B242" s="750" t="s">
        <v>4308</v>
      </c>
      <c r="C242" s="751" t="s">
        <v>4291</v>
      </c>
      <c r="D242" s="506"/>
      <c r="E242" s="760"/>
      <c r="F242" s="760"/>
      <c r="G242" s="752" t="s">
        <v>4299</v>
      </c>
      <c r="H242" s="506" t="s">
        <v>4300</v>
      </c>
      <c r="I242" s="506" t="s">
        <v>4301</v>
      </c>
      <c r="J242" s="759" t="s">
        <v>4309</v>
      </c>
      <c r="K242" s="753"/>
      <c r="L242" s="753">
        <v>52000.0</v>
      </c>
      <c r="M242" s="754">
        <v>44011.0</v>
      </c>
      <c r="N242" s="754">
        <v>44022.0</v>
      </c>
      <c r="O242" s="508" t="s">
        <v>4275</v>
      </c>
      <c r="P242" s="758">
        <v>44387.0</v>
      </c>
      <c r="Q242" s="446"/>
      <c r="R242" s="446"/>
      <c r="S242" s="446"/>
      <c r="T242" s="446"/>
      <c r="U242" s="446"/>
      <c r="V242" s="446"/>
    </row>
    <row r="243" ht="42.0" customHeight="1">
      <c r="A243" s="744">
        <f t="shared" si="4"/>
        <v>-1801</v>
      </c>
      <c r="B243" s="750" t="s">
        <v>4310</v>
      </c>
      <c r="C243" s="751" t="s">
        <v>3877</v>
      </c>
      <c r="D243" s="506"/>
      <c r="E243" s="760"/>
      <c r="F243" s="760"/>
      <c r="G243" s="752" t="s">
        <v>4311</v>
      </c>
      <c r="H243" s="506" t="s">
        <v>4312</v>
      </c>
      <c r="I243" s="506" t="s">
        <v>4313</v>
      </c>
      <c r="J243" s="439" t="s">
        <v>4314</v>
      </c>
      <c r="K243" s="753"/>
      <c r="L243" s="753">
        <v>28500.0</v>
      </c>
      <c r="M243" s="754">
        <v>43997.0</v>
      </c>
      <c r="N243" s="754">
        <v>44001.0</v>
      </c>
      <c r="O243" s="508" t="s">
        <v>4315</v>
      </c>
      <c r="P243" s="758">
        <v>44366.0</v>
      </c>
      <c r="Q243" s="446"/>
      <c r="R243" s="446"/>
      <c r="S243" s="446"/>
      <c r="T243" s="446"/>
      <c r="U243" s="446"/>
      <c r="V243" s="446"/>
    </row>
    <row r="244" ht="42.0" customHeight="1">
      <c r="A244" s="744">
        <f t="shared" si="4"/>
        <v>-1801</v>
      </c>
      <c r="B244" s="750" t="s">
        <v>4288</v>
      </c>
      <c r="C244" s="751" t="s">
        <v>3900</v>
      </c>
      <c r="D244" s="506"/>
      <c r="E244" s="760"/>
      <c r="F244" s="760"/>
      <c r="G244" s="752" t="s">
        <v>4316</v>
      </c>
      <c r="H244" s="506" t="s">
        <v>4317</v>
      </c>
      <c r="I244" s="506" t="s">
        <v>4318</v>
      </c>
      <c r="J244" s="439" t="s">
        <v>4319</v>
      </c>
      <c r="K244" s="753"/>
      <c r="L244" s="753">
        <v>194200.0</v>
      </c>
      <c r="M244" s="754">
        <v>43997.0</v>
      </c>
      <c r="N244" s="754">
        <v>44001.0</v>
      </c>
      <c r="O244" s="506" t="s">
        <v>4315</v>
      </c>
      <c r="P244" s="758">
        <v>44366.0</v>
      </c>
      <c r="Q244" s="446"/>
      <c r="R244" s="446"/>
      <c r="S244" s="446"/>
      <c r="T244" s="446"/>
      <c r="U244" s="446"/>
      <c r="V244" s="446"/>
    </row>
    <row r="245" ht="42.0" customHeight="1">
      <c r="A245" s="744">
        <f t="shared" si="4"/>
        <v>-1801</v>
      </c>
      <c r="B245" s="750" t="s">
        <v>4320</v>
      </c>
      <c r="C245" s="751" t="s">
        <v>4282</v>
      </c>
      <c r="D245" s="506"/>
      <c r="E245" s="760"/>
      <c r="F245" s="760"/>
      <c r="G245" s="752" t="s">
        <v>4321</v>
      </c>
      <c r="H245" s="506" t="s">
        <v>4317</v>
      </c>
      <c r="I245" s="506" t="s">
        <v>4318</v>
      </c>
      <c r="J245" s="439" t="s">
        <v>4322</v>
      </c>
      <c r="K245" s="753"/>
      <c r="L245" s="753">
        <v>140000.0</v>
      </c>
      <c r="M245" s="754">
        <v>43997.0</v>
      </c>
      <c r="N245" s="754">
        <v>44001.0</v>
      </c>
      <c r="O245" s="506" t="s">
        <v>4315</v>
      </c>
      <c r="P245" s="758">
        <v>44366.0</v>
      </c>
      <c r="Q245" s="446"/>
      <c r="R245" s="446"/>
      <c r="S245" s="446"/>
      <c r="T245" s="446"/>
      <c r="U245" s="446"/>
      <c r="V245" s="446"/>
    </row>
    <row r="246" ht="42.0" customHeight="1">
      <c r="A246" s="744">
        <f t="shared" si="4"/>
        <v>-1843</v>
      </c>
      <c r="B246" s="750" t="s">
        <v>4323</v>
      </c>
      <c r="C246" s="751" t="s">
        <v>4324</v>
      </c>
      <c r="D246" s="506"/>
      <c r="E246" s="760"/>
      <c r="F246" s="760"/>
      <c r="G246" s="752" t="s">
        <v>4325</v>
      </c>
      <c r="H246" s="506" t="s">
        <v>4317</v>
      </c>
      <c r="I246" s="506" t="s">
        <v>4318</v>
      </c>
      <c r="J246" s="439" t="s">
        <v>4326</v>
      </c>
      <c r="K246" s="753"/>
      <c r="L246" s="753">
        <v>95900.0</v>
      </c>
      <c r="M246" s="754">
        <v>43997.0</v>
      </c>
      <c r="N246" s="754">
        <v>44001.0</v>
      </c>
      <c r="O246" s="506" t="s">
        <v>4315</v>
      </c>
      <c r="P246" s="758">
        <v>44366.0</v>
      </c>
      <c r="Q246" s="446"/>
      <c r="R246" s="446"/>
      <c r="S246" s="446"/>
      <c r="T246" s="446"/>
      <c r="U246" s="446"/>
      <c r="V246" s="446"/>
    </row>
    <row r="247" ht="56.25" customHeight="1">
      <c r="A247" s="744">
        <f t="shared" si="4"/>
        <v>-1843</v>
      </c>
      <c r="B247" s="750" t="s">
        <v>4327</v>
      </c>
      <c r="C247" s="751" t="s">
        <v>4328</v>
      </c>
      <c r="D247" s="506"/>
      <c r="E247" s="760"/>
      <c r="F247" s="760"/>
      <c r="G247" s="752" t="s">
        <v>4329</v>
      </c>
      <c r="H247" s="506" t="s">
        <v>4330</v>
      </c>
      <c r="I247" s="506" t="s">
        <v>4331</v>
      </c>
      <c r="J247" s="439" t="s">
        <v>4332</v>
      </c>
      <c r="K247" s="753"/>
      <c r="L247" s="753">
        <v>290643.6</v>
      </c>
      <c r="M247" s="754">
        <v>43950.0</v>
      </c>
      <c r="N247" s="754">
        <v>43959.0</v>
      </c>
      <c r="O247" s="506" t="s">
        <v>4333</v>
      </c>
      <c r="P247" s="758">
        <v>44324.0</v>
      </c>
      <c r="Q247" s="446"/>
      <c r="R247" s="446"/>
      <c r="S247" s="446"/>
      <c r="T247" s="446"/>
      <c r="U247" s="446"/>
      <c r="V247" s="446"/>
    </row>
    <row r="248" ht="15.75" customHeight="1">
      <c r="A248" s="744">
        <f t="shared" si="4"/>
        <v>-1843</v>
      </c>
      <c r="B248" s="750" t="s">
        <v>4334</v>
      </c>
      <c r="C248" s="751" t="s">
        <v>4335</v>
      </c>
      <c r="D248" s="506"/>
      <c r="E248" s="760"/>
      <c r="F248" s="760"/>
      <c r="G248" s="752" t="s">
        <v>4329</v>
      </c>
      <c r="H248" s="506" t="s">
        <v>4330</v>
      </c>
      <c r="I248" s="506" t="s">
        <v>4331</v>
      </c>
      <c r="J248" s="439" t="s">
        <v>4336</v>
      </c>
      <c r="K248" s="753"/>
      <c r="L248" s="753">
        <v>88800.0</v>
      </c>
      <c r="M248" s="754">
        <v>43950.0</v>
      </c>
      <c r="N248" s="754">
        <v>43959.0</v>
      </c>
      <c r="O248" s="506" t="s">
        <v>4333</v>
      </c>
      <c r="P248" s="758">
        <v>44324.0</v>
      </c>
      <c r="Q248" s="446"/>
      <c r="R248" s="446"/>
      <c r="S248" s="446"/>
      <c r="T248" s="446"/>
      <c r="U248" s="446"/>
      <c r="V248" s="446"/>
    </row>
    <row r="249" ht="15.75" customHeight="1">
      <c r="A249" s="744">
        <f t="shared" si="4"/>
        <v>-1843</v>
      </c>
      <c r="B249" s="750" t="s">
        <v>4337</v>
      </c>
      <c r="C249" s="751" t="s">
        <v>4206</v>
      </c>
      <c r="D249" s="506"/>
      <c r="E249" s="760"/>
      <c r="F249" s="760"/>
      <c r="G249" s="752" t="s">
        <v>4329</v>
      </c>
      <c r="H249" s="506" t="s">
        <v>4330</v>
      </c>
      <c r="I249" s="506" t="s">
        <v>4331</v>
      </c>
      <c r="J249" s="439" t="s">
        <v>4338</v>
      </c>
      <c r="K249" s="753"/>
      <c r="L249" s="753">
        <v>227913.6</v>
      </c>
      <c r="M249" s="754">
        <v>43950.0</v>
      </c>
      <c r="N249" s="754">
        <v>43959.0</v>
      </c>
      <c r="O249" s="506" t="s">
        <v>4333</v>
      </c>
      <c r="P249" s="758">
        <v>44324.0</v>
      </c>
      <c r="Q249" s="446"/>
      <c r="R249" s="446"/>
      <c r="S249" s="446"/>
      <c r="T249" s="446"/>
      <c r="U249" s="446"/>
      <c r="V249" s="446"/>
    </row>
    <row r="250" ht="15.75" customHeight="1">
      <c r="A250" s="744">
        <f t="shared" si="4"/>
        <v>-1843</v>
      </c>
      <c r="B250" s="750" t="s">
        <v>4339</v>
      </c>
      <c r="C250" s="744" t="s">
        <v>4340</v>
      </c>
      <c r="D250" s="506"/>
      <c r="E250" s="760"/>
      <c r="F250" s="760"/>
      <c r="G250" s="752" t="s">
        <v>4329</v>
      </c>
      <c r="H250" s="506" t="s">
        <v>4330</v>
      </c>
      <c r="I250" s="506" t="s">
        <v>4331</v>
      </c>
      <c r="J250" s="439" t="s">
        <v>4341</v>
      </c>
      <c r="K250" s="753"/>
      <c r="L250" s="753">
        <v>49282.0</v>
      </c>
      <c r="M250" s="754">
        <v>43950.0</v>
      </c>
      <c r="N250" s="754">
        <v>43959.0</v>
      </c>
      <c r="O250" s="506" t="s">
        <v>4333</v>
      </c>
      <c r="P250" s="758">
        <v>44324.0</v>
      </c>
      <c r="Q250" s="446"/>
      <c r="R250" s="446"/>
      <c r="S250" s="446"/>
      <c r="T250" s="446"/>
      <c r="U250" s="446"/>
      <c r="V250" s="446"/>
    </row>
    <row r="251" ht="15.75" customHeight="1">
      <c r="A251" s="744">
        <f t="shared" si="4"/>
        <v>-1843</v>
      </c>
      <c r="B251" s="750" t="s">
        <v>4342</v>
      </c>
      <c r="C251" s="751" t="s">
        <v>4016</v>
      </c>
      <c r="D251" s="506"/>
      <c r="E251" s="760"/>
      <c r="F251" s="760"/>
      <c r="G251" s="752" t="s">
        <v>4329</v>
      </c>
      <c r="H251" s="506" t="s">
        <v>4330</v>
      </c>
      <c r="I251" s="506" t="s">
        <v>4331</v>
      </c>
      <c r="J251" s="439" t="s">
        <v>4343</v>
      </c>
      <c r="K251" s="753"/>
      <c r="L251" s="753">
        <v>337566.0</v>
      </c>
      <c r="M251" s="754">
        <v>43950.0</v>
      </c>
      <c r="N251" s="754">
        <v>43959.0</v>
      </c>
      <c r="O251" s="506" t="s">
        <v>4333</v>
      </c>
      <c r="P251" s="758">
        <v>44324.0</v>
      </c>
      <c r="Q251" s="446"/>
      <c r="R251" s="446"/>
      <c r="S251" s="446"/>
      <c r="T251" s="446"/>
      <c r="U251" s="446"/>
      <c r="V251" s="446"/>
    </row>
    <row r="252" ht="15.75" customHeight="1">
      <c r="A252" s="744">
        <f t="shared" si="4"/>
        <v>-1843</v>
      </c>
      <c r="B252" s="750" t="s">
        <v>4344</v>
      </c>
      <c r="C252" s="751" t="s">
        <v>4345</v>
      </c>
      <c r="D252" s="506"/>
      <c r="E252" s="760"/>
      <c r="F252" s="760"/>
      <c r="G252" s="752" t="s">
        <v>4329</v>
      </c>
      <c r="H252" s="506" t="s">
        <v>4330</v>
      </c>
      <c r="I252" s="506" t="s">
        <v>4331</v>
      </c>
      <c r="J252" s="439" t="s">
        <v>4346</v>
      </c>
      <c r="K252" s="753"/>
      <c r="L252" s="753">
        <v>488577.6</v>
      </c>
      <c r="M252" s="754">
        <v>43950.0</v>
      </c>
      <c r="N252" s="754">
        <v>43959.0</v>
      </c>
      <c r="O252" s="506" t="s">
        <v>4333</v>
      </c>
      <c r="P252" s="758">
        <v>44324.0</v>
      </c>
      <c r="Q252" s="446"/>
      <c r="R252" s="446"/>
      <c r="S252" s="446"/>
      <c r="T252" s="446"/>
      <c r="U252" s="446"/>
      <c r="V252" s="446"/>
    </row>
    <row r="253" ht="58.5" customHeight="1">
      <c r="A253" s="744">
        <f t="shared" si="4"/>
        <v>-1843</v>
      </c>
      <c r="B253" s="750" t="s">
        <v>4347</v>
      </c>
      <c r="C253" s="744" t="s">
        <v>4348</v>
      </c>
      <c r="D253" s="506"/>
      <c r="E253" s="760"/>
      <c r="F253" s="760"/>
      <c r="G253" s="752" t="s">
        <v>4349</v>
      </c>
      <c r="H253" s="506" t="s">
        <v>4350</v>
      </c>
      <c r="I253" s="506" t="s">
        <v>4351</v>
      </c>
      <c r="J253" s="439" t="s">
        <v>4352</v>
      </c>
      <c r="K253" s="753"/>
      <c r="L253" s="753">
        <v>234794.76</v>
      </c>
      <c r="M253" s="754">
        <v>43948.0</v>
      </c>
      <c r="N253" s="754">
        <v>43959.0</v>
      </c>
      <c r="O253" s="506" t="s">
        <v>4333</v>
      </c>
      <c r="P253" s="758">
        <v>44324.0</v>
      </c>
      <c r="Q253" s="446"/>
      <c r="R253" s="446"/>
      <c r="S253" s="446"/>
      <c r="T253" s="446"/>
      <c r="U253" s="446"/>
      <c r="V253" s="446"/>
    </row>
    <row r="254" ht="43.5" customHeight="1">
      <c r="A254" s="744">
        <f t="shared" si="4"/>
        <v>-1843</v>
      </c>
      <c r="B254" s="750" t="s">
        <v>4353</v>
      </c>
      <c r="C254" s="751" t="s">
        <v>4206</v>
      </c>
      <c r="D254" s="506"/>
      <c r="E254" s="760"/>
      <c r="F254" s="760"/>
      <c r="G254" s="752" t="s">
        <v>4354</v>
      </c>
      <c r="H254" s="506" t="s">
        <v>4355</v>
      </c>
      <c r="I254" s="506" t="s">
        <v>4356</v>
      </c>
      <c r="J254" s="439" t="s">
        <v>4357</v>
      </c>
      <c r="K254" s="753"/>
      <c r="L254" s="753">
        <v>159276.0</v>
      </c>
      <c r="M254" s="754">
        <v>43945.0</v>
      </c>
      <c r="N254" s="754">
        <v>43959.0</v>
      </c>
      <c r="O254" s="506" t="s">
        <v>4333</v>
      </c>
      <c r="P254" s="758">
        <v>44324.0</v>
      </c>
      <c r="Q254" s="446"/>
      <c r="R254" s="446"/>
      <c r="S254" s="446"/>
      <c r="T254" s="446"/>
      <c r="U254" s="446"/>
      <c r="V254" s="446"/>
    </row>
    <row r="255" ht="46.5" customHeight="1">
      <c r="A255" s="744">
        <f t="shared" si="4"/>
        <v>-1843</v>
      </c>
      <c r="B255" s="750" t="s">
        <v>4358</v>
      </c>
      <c r="C255" s="751" t="s">
        <v>4100</v>
      </c>
      <c r="D255" s="506"/>
      <c r="E255" s="760"/>
      <c r="F255" s="760"/>
      <c r="G255" s="752" t="s">
        <v>4354</v>
      </c>
      <c r="H255" s="506" t="s">
        <v>4355</v>
      </c>
      <c r="I255" s="506" t="s">
        <v>4356</v>
      </c>
      <c r="J255" s="439" t="s">
        <v>4359</v>
      </c>
      <c r="K255" s="753"/>
      <c r="L255" s="753">
        <v>128469.6</v>
      </c>
      <c r="M255" s="754">
        <v>43945.0</v>
      </c>
      <c r="N255" s="754">
        <v>43959.0</v>
      </c>
      <c r="O255" s="506" t="s">
        <v>4333</v>
      </c>
      <c r="P255" s="758">
        <v>44324.0</v>
      </c>
      <c r="Q255" s="446"/>
      <c r="R255" s="446"/>
      <c r="S255" s="446"/>
      <c r="T255" s="446"/>
      <c r="U255" s="446"/>
      <c r="V255" s="446"/>
    </row>
    <row r="256" ht="60.75" customHeight="1">
      <c r="A256" s="744">
        <f t="shared" si="4"/>
        <v>-1843</v>
      </c>
      <c r="B256" s="750" t="s">
        <v>4360</v>
      </c>
      <c r="C256" s="744" t="s">
        <v>4361</v>
      </c>
      <c r="D256" s="506"/>
      <c r="E256" s="760"/>
      <c r="F256" s="760"/>
      <c r="G256" s="752" t="s">
        <v>4354</v>
      </c>
      <c r="H256" s="506" t="s">
        <v>4355</v>
      </c>
      <c r="I256" s="506" t="s">
        <v>4356</v>
      </c>
      <c r="J256" s="439" t="s">
        <v>4362</v>
      </c>
      <c r="K256" s="753"/>
      <c r="L256" s="753">
        <v>130322.0</v>
      </c>
      <c r="M256" s="754">
        <v>43945.0</v>
      </c>
      <c r="N256" s="754">
        <v>43959.0</v>
      </c>
      <c r="O256" s="506" t="s">
        <v>4333</v>
      </c>
      <c r="P256" s="758">
        <v>44324.0</v>
      </c>
      <c r="Q256" s="446"/>
      <c r="R256" s="446"/>
      <c r="S256" s="446"/>
      <c r="T256" s="446"/>
      <c r="U256" s="446"/>
      <c r="V256" s="446"/>
    </row>
    <row r="257" ht="15.75" customHeight="1">
      <c r="A257" s="744">
        <f t="shared" si="4"/>
        <v>-1843</v>
      </c>
      <c r="B257" s="750" t="s">
        <v>4363</v>
      </c>
      <c r="C257" s="751" t="s">
        <v>4328</v>
      </c>
      <c r="D257" s="506"/>
      <c r="E257" s="760"/>
      <c r="F257" s="760"/>
      <c r="G257" s="752" t="s">
        <v>4354</v>
      </c>
      <c r="H257" s="506" t="s">
        <v>4355</v>
      </c>
      <c r="I257" s="506" t="s">
        <v>4356</v>
      </c>
      <c r="J257" s="439" t="s">
        <v>4364</v>
      </c>
      <c r="K257" s="753"/>
      <c r="L257" s="753">
        <v>46519.2</v>
      </c>
      <c r="M257" s="754">
        <v>43945.0</v>
      </c>
      <c r="N257" s="754">
        <v>43959.0</v>
      </c>
      <c r="O257" s="506" t="s">
        <v>4333</v>
      </c>
      <c r="P257" s="758">
        <v>44324.0</v>
      </c>
      <c r="Q257" s="446"/>
      <c r="R257" s="446"/>
      <c r="S257" s="446"/>
      <c r="T257" s="446"/>
      <c r="U257" s="446"/>
      <c r="V257" s="446"/>
    </row>
    <row r="258" ht="15.75" customHeight="1">
      <c r="A258" s="744">
        <f t="shared" si="4"/>
        <v>-1843</v>
      </c>
      <c r="B258" s="750" t="s">
        <v>4365</v>
      </c>
      <c r="C258" s="751" t="s">
        <v>4016</v>
      </c>
      <c r="D258" s="506"/>
      <c r="E258" s="760"/>
      <c r="F258" s="760"/>
      <c r="G258" s="752" t="s">
        <v>4354</v>
      </c>
      <c r="H258" s="506" t="s">
        <v>4355</v>
      </c>
      <c r="I258" s="506" t="s">
        <v>4356</v>
      </c>
      <c r="J258" s="439" t="s">
        <v>4366</v>
      </c>
      <c r="K258" s="753"/>
      <c r="L258" s="753">
        <v>288384.0</v>
      </c>
      <c r="M258" s="754">
        <v>43945.0</v>
      </c>
      <c r="N258" s="754">
        <v>43959.0</v>
      </c>
      <c r="O258" s="506" t="s">
        <v>4333</v>
      </c>
      <c r="P258" s="758">
        <v>44324.0</v>
      </c>
      <c r="Q258" s="446"/>
      <c r="R258" s="446"/>
      <c r="S258" s="446"/>
      <c r="T258" s="446"/>
      <c r="U258" s="446"/>
      <c r="V258" s="446"/>
    </row>
    <row r="259" ht="15.75" customHeight="1">
      <c r="A259" s="744">
        <f t="shared" si="4"/>
        <v>-1843</v>
      </c>
      <c r="B259" s="750" t="s">
        <v>4367</v>
      </c>
      <c r="C259" s="751" t="s">
        <v>4135</v>
      </c>
      <c r="D259" s="506"/>
      <c r="E259" s="760"/>
      <c r="F259" s="760"/>
      <c r="G259" s="752" t="s">
        <v>4368</v>
      </c>
      <c r="H259" s="506" t="s">
        <v>4369</v>
      </c>
      <c r="I259" s="506" t="s">
        <v>4370</v>
      </c>
      <c r="J259" s="439" t="s">
        <v>4371</v>
      </c>
      <c r="K259" s="753"/>
      <c r="L259" s="753">
        <v>58360.0</v>
      </c>
      <c r="M259" s="754">
        <v>43950.0</v>
      </c>
      <c r="N259" s="754">
        <v>43959.0</v>
      </c>
      <c r="O259" s="506" t="s">
        <v>4333</v>
      </c>
      <c r="P259" s="758">
        <v>44324.0</v>
      </c>
      <c r="Q259" s="446"/>
      <c r="R259" s="446"/>
      <c r="S259" s="446"/>
      <c r="T259" s="446"/>
      <c r="U259" s="446"/>
      <c r="V259" s="446"/>
    </row>
    <row r="260" ht="15.75" customHeight="1">
      <c r="A260" s="744">
        <f t="shared" si="4"/>
        <v>-1843</v>
      </c>
      <c r="B260" s="750" t="s">
        <v>4372</v>
      </c>
      <c r="C260" s="751" t="s">
        <v>4373</v>
      </c>
      <c r="D260" s="506"/>
      <c r="E260" s="760"/>
      <c r="F260" s="760"/>
      <c r="G260" s="752" t="s">
        <v>4374</v>
      </c>
      <c r="H260" s="506" t="s">
        <v>4375</v>
      </c>
      <c r="I260" s="506" t="s">
        <v>4376</v>
      </c>
      <c r="J260" s="439" t="s">
        <v>4377</v>
      </c>
      <c r="K260" s="753"/>
      <c r="L260" s="753">
        <v>8920.0</v>
      </c>
      <c r="M260" s="754">
        <v>43949.0</v>
      </c>
      <c r="N260" s="754">
        <v>43959.0</v>
      </c>
      <c r="O260" s="506" t="s">
        <v>4333</v>
      </c>
      <c r="P260" s="758">
        <v>44324.0</v>
      </c>
      <c r="Q260" s="446"/>
      <c r="R260" s="446"/>
      <c r="S260" s="446"/>
      <c r="T260" s="446"/>
      <c r="U260" s="446"/>
      <c r="V260" s="446"/>
    </row>
    <row r="261" ht="15.75" customHeight="1">
      <c r="A261" s="744">
        <f t="shared" si="4"/>
        <v>-1843</v>
      </c>
      <c r="B261" s="750" t="s">
        <v>4378</v>
      </c>
      <c r="C261" s="751" t="s">
        <v>4192</v>
      </c>
      <c r="D261" s="506"/>
      <c r="E261" s="760"/>
      <c r="F261" s="760"/>
      <c r="G261" s="752" t="s">
        <v>4379</v>
      </c>
      <c r="H261" s="506" t="s">
        <v>4375</v>
      </c>
      <c r="I261" s="506" t="s">
        <v>4376</v>
      </c>
      <c r="J261" s="439" t="s">
        <v>4380</v>
      </c>
      <c r="K261" s="753"/>
      <c r="L261" s="753">
        <v>48325.0</v>
      </c>
      <c r="M261" s="754">
        <v>43949.0</v>
      </c>
      <c r="N261" s="754">
        <v>43959.0</v>
      </c>
      <c r="O261" s="506" t="s">
        <v>4333</v>
      </c>
      <c r="P261" s="758">
        <v>44324.0</v>
      </c>
      <c r="Q261" s="446"/>
      <c r="R261" s="446"/>
      <c r="S261" s="446"/>
      <c r="T261" s="446"/>
      <c r="U261" s="446"/>
      <c r="V261" s="446"/>
    </row>
    <row r="262" ht="15.75" customHeight="1">
      <c r="A262" s="744">
        <f t="shared" si="4"/>
        <v>-1843</v>
      </c>
      <c r="B262" s="750" t="s">
        <v>4381</v>
      </c>
      <c r="C262" s="751" t="s">
        <v>4135</v>
      </c>
      <c r="D262" s="506"/>
      <c r="E262" s="760"/>
      <c r="F262" s="760"/>
      <c r="G262" s="752" t="s">
        <v>4382</v>
      </c>
      <c r="H262" s="506" t="s">
        <v>4375</v>
      </c>
      <c r="I262" s="506" t="s">
        <v>4376</v>
      </c>
      <c r="J262" s="439" t="s">
        <v>4383</v>
      </c>
      <c r="K262" s="753"/>
      <c r="L262" s="753">
        <v>15283.5</v>
      </c>
      <c r="M262" s="754">
        <v>43949.0</v>
      </c>
      <c r="N262" s="754">
        <v>43959.0</v>
      </c>
      <c r="O262" s="506" t="s">
        <v>4333</v>
      </c>
      <c r="P262" s="758">
        <v>44324.0</v>
      </c>
      <c r="Q262" s="446"/>
      <c r="R262" s="446"/>
      <c r="S262" s="446"/>
      <c r="T262" s="446"/>
      <c r="U262" s="446"/>
      <c r="V262" s="446"/>
    </row>
    <row r="263" ht="15.75" customHeight="1">
      <c r="A263" s="744">
        <f t="shared" si="4"/>
        <v>-1843</v>
      </c>
      <c r="B263" s="750" t="s">
        <v>4384</v>
      </c>
      <c r="C263" s="751" t="s">
        <v>4135</v>
      </c>
      <c r="D263" s="506"/>
      <c r="E263" s="760"/>
      <c r="F263" s="760"/>
      <c r="G263" s="752" t="s">
        <v>4385</v>
      </c>
      <c r="H263" s="506" t="s">
        <v>4386</v>
      </c>
      <c r="I263" s="506" t="s">
        <v>4387</v>
      </c>
      <c r="J263" s="439" t="s">
        <v>4388</v>
      </c>
      <c r="K263" s="753"/>
      <c r="L263" s="753">
        <v>14198.7</v>
      </c>
      <c r="M263" s="754">
        <v>43948.0</v>
      </c>
      <c r="N263" s="754">
        <v>43959.0</v>
      </c>
      <c r="O263" s="506" t="s">
        <v>4333</v>
      </c>
      <c r="P263" s="758">
        <v>44324.0</v>
      </c>
      <c r="Q263" s="446"/>
      <c r="R263" s="446"/>
      <c r="S263" s="446"/>
      <c r="T263" s="446"/>
      <c r="U263" s="446"/>
      <c r="V263" s="446"/>
    </row>
    <row r="264" ht="15.75" customHeight="1">
      <c r="A264" s="744">
        <f t="shared" si="4"/>
        <v>-1843</v>
      </c>
      <c r="B264" s="750" t="s">
        <v>4389</v>
      </c>
      <c r="C264" s="751" t="s">
        <v>4390</v>
      </c>
      <c r="D264" s="506"/>
      <c r="E264" s="760"/>
      <c r="F264" s="760"/>
      <c r="G264" s="752" t="s">
        <v>4391</v>
      </c>
      <c r="H264" s="506" t="s">
        <v>4386</v>
      </c>
      <c r="I264" s="506" t="s">
        <v>4387</v>
      </c>
      <c r="J264" s="439" t="s">
        <v>4392</v>
      </c>
      <c r="K264" s="753"/>
      <c r="L264" s="753">
        <v>44000.0</v>
      </c>
      <c r="M264" s="754">
        <v>43948.0</v>
      </c>
      <c r="N264" s="754">
        <v>43959.0</v>
      </c>
      <c r="O264" s="506" t="s">
        <v>4333</v>
      </c>
      <c r="P264" s="758">
        <v>44324.0</v>
      </c>
      <c r="Q264" s="446"/>
      <c r="R264" s="446"/>
      <c r="S264" s="446"/>
      <c r="T264" s="446"/>
      <c r="U264" s="446"/>
      <c r="V264" s="446"/>
    </row>
    <row r="265" ht="15.75" customHeight="1">
      <c r="A265" s="744">
        <f t="shared" si="4"/>
        <v>-1843</v>
      </c>
      <c r="B265" s="750" t="s">
        <v>4393</v>
      </c>
      <c r="C265" s="751" t="s">
        <v>4206</v>
      </c>
      <c r="D265" s="506"/>
      <c r="E265" s="760"/>
      <c r="F265" s="760"/>
      <c r="G265" s="752" t="s">
        <v>4394</v>
      </c>
      <c r="H265" s="506" t="s">
        <v>4395</v>
      </c>
      <c r="I265" s="506" t="s">
        <v>4396</v>
      </c>
      <c r="J265" s="439" t="s">
        <v>4397</v>
      </c>
      <c r="K265" s="753"/>
      <c r="L265" s="753">
        <v>45829.2</v>
      </c>
      <c r="M265" s="754">
        <v>43938.0</v>
      </c>
      <c r="N265" s="754">
        <v>43959.0</v>
      </c>
      <c r="O265" s="506" t="s">
        <v>4333</v>
      </c>
      <c r="P265" s="758">
        <v>44324.0</v>
      </c>
      <c r="Q265" s="446"/>
      <c r="R265" s="446"/>
      <c r="S265" s="446"/>
      <c r="T265" s="446"/>
      <c r="U265" s="446"/>
      <c r="V265" s="446"/>
    </row>
    <row r="266" ht="15.75" customHeight="1">
      <c r="A266" s="744">
        <f t="shared" si="4"/>
        <v>-1843</v>
      </c>
      <c r="B266" s="750" t="s">
        <v>4398</v>
      </c>
      <c r="C266" s="751" t="s">
        <v>4016</v>
      </c>
      <c r="D266" s="506"/>
      <c r="E266" s="760"/>
      <c r="F266" s="760"/>
      <c r="G266" s="752" t="s">
        <v>4394</v>
      </c>
      <c r="H266" s="506" t="s">
        <v>4395</v>
      </c>
      <c r="I266" s="506" t="s">
        <v>4396</v>
      </c>
      <c r="J266" s="439" t="s">
        <v>4399</v>
      </c>
      <c r="K266" s="753"/>
      <c r="L266" s="753">
        <v>349522.8</v>
      </c>
      <c r="M266" s="754">
        <v>43938.0</v>
      </c>
      <c r="N266" s="754">
        <v>43959.0</v>
      </c>
      <c r="O266" s="506" t="s">
        <v>4333</v>
      </c>
      <c r="P266" s="758">
        <v>44324.0</v>
      </c>
      <c r="Q266" s="446"/>
      <c r="R266" s="446"/>
      <c r="S266" s="446"/>
      <c r="T266" s="446"/>
      <c r="U266" s="446"/>
      <c r="V266" s="446"/>
    </row>
    <row r="267" ht="15.75" customHeight="1">
      <c r="A267" s="744">
        <f t="shared" si="4"/>
        <v>-1843</v>
      </c>
      <c r="B267" s="750" t="s">
        <v>4400</v>
      </c>
      <c r="C267" s="751" t="s">
        <v>4401</v>
      </c>
      <c r="D267" s="506"/>
      <c r="E267" s="760"/>
      <c r="F267" s="760"/>
      <c r="G267" s="752" t="s">
        <v>4402</v>
      </c>
      <c r="H267" s="506" t="s">
        <v>4403</v>
      </c>
      <c r="I267" s="506" t="s">
        <v>4404</v>
      </c>
      <c r="J267" s="439" t="s">
        <v>4405</v>
      </c>
      <c r="K267" s="753"/>
      <c r="L267" s="753">
        <v>53044.8</v>
      </c>
      <c r="M267" s="754">
        <v>43943.0</v>
      </c>
      <c r="N267" s="754">
        <v>43959.0</v>
      </c>
      <c r="O267" s="506" t="s">
        <v>4333</v>
      </c>
      <c r="P267" s="758">
        <v>44324.0</v>
      </c>
      <c r="Q267" s="446"/>
      <c r="R267" s="446"/>
      <c r="S267" s="446"/>
      <c r="T267" s="446"/>
      <c r="U267" s="446"/>
      <c r="V267" s="446"/>
    </row>
    <row r="268" ht="15.75" customHeight="1">
      <c r="A268" s="744">
        <f t="shared" si="4"/>
        <v>-1843</v>
      </c>
      <c r="B268" s="750" t="s">
        <v>2249</v>
      </c>
      <c r="C268" s="751" t="s">
        <v>4406</v>
      </c>
      <c r="D268" s="506"/>
      <c r="E268" s="760"/>
      <c r="F268" s="760"/>
      <c r="G268" s="752" t="s">
        <v>4402</v>
      </c>
      <c r="H268" s="506" t="s">
        <v>4403</v>
      </c>
      <c r="I268" s="506" t="s">
        <v>4404</v>
      </c>
      <c r="J268" s="439" t="s">
        <v>4407</v>
      </c>
      <c r="K268" s="753"/>
      <c r="L268" s="753">
        <v>4800.0</v>
      </c>
      <c r="M268" s="754">
        <v>43943.0</v>
      </c>
      <c r="N268" s="754">
        <v>43959.0</v>
      </c>
      <c r="O268" s="506" t="s">
        <v>4333</v>
      </c>
      <c r="P268" s="758">
        <v>44324.0</v>
      </c>
      <c r="Q268" s="446"/>
      <c r="R268" s="446"/>
      <c r="S268" s="446"/>
      <c r="T268" s="446"/>
      <c r="U268" s="446"/>
      <c r="V268" s="446"/>
    </row>
    <row r="269" ht="15.75" customHeight="1">
      <c r="A269" s="744">
        <f t="shared" si="4"/>
        <v>-1843</v>
      </c>
      <c r="B269" s="750" t="s">
        <v>1537</v>
      </c>
      <c r="C269" s="751" t="s">
        <v>4408</v>
      </c>
      <c r="D269" s="506"/>
      <c r="E269" s="760"/>
      <c r="F269" s="760"/>
      <c r="G269" s="752" t="s">
        <v>4402</v>
      </c>
      <c r="H269" s="506" t="s">
        <v>4403</v>
      </c>
      <c r="I269" s="506" t="s">
        <v>4404</v>
      </c>
      <c r="J269" s="439" t="s">
        <v>4409</v>
      </c>
      <c r="K269" s="753"/>
      <c r="L269" s="753">
        <v>67980.0</v>
      </c>
      <c r="M269" s="754">
        <v>43943.0</v>
      </c>
      <c r="N269" s="754">
        <v>43959.0</v>
      </c>
      <c r="O269" s="506" t="s">
        <v>4333</v>
      </c>
      <c r="P269" s="758">
        <v>44324.0</v>
      </c>
      <c r="Q269" s="446"/>
      <c r="R269" s="446"/>
      <c r="S269" s="446"/>
      <c r="T269" s="446"/>
      <c r="U269" s="446"/>
      <c r="V269" s="446"/>
    </row>
    <row r="270" ht="15.75" customHeight="1">
      <c r="A270" s="744">
        <f t="shared" si="4"/>
        <v>-1843</v>
      </c>
      <c r="B270" s="750" t="s">
        <v>916</v>
      </c>
      <c r="C270" s="751" t="s">
        <v>4410</v>
      </c>
      <c r="D270" s="506"/>
      <c r="E270" s="760"/>
      <c r="F270" s="760"/>
      <c r="G270" s="752" t="s">
        <v>4402</v>
      </c>
      <c r="H270" s="506" t="s">
        <v>4403</v>
      </c>
      <c r="I270" s="506" t="s">
        <v>4404</v>
      </c>
      <c r="J270" s="439" t="s">
        <v>4411</v>
      </c>
      <c r="K270" s="753"/>
      <c r="L270" s="753">
        <v>3570.0</v>
      </c>
      <c r="M270" s="754">
        <v>43943.0</v>
      </c>
      <c r="N270" s="754">
        <v>43959.0</v>
      </c>
      <c r="O270" s="506" t="s">
        <v>4333</v>
      </c>
      <c r="P270" s="758">
        <v>44324.0</v>
      </c>
      <c r="Q270" s="446"/>
      <c r="R270" s="446"/>
      <c r="S270" s="446"/>
      <c r="T270" s="446"/>
      <c r="U270" s="446"/>
      <c r="V270" s="446"/>
    </row>
    <row r="271" ht="15.75" customHeight="1">
      <c r="A271" s="744">
        <f t="shared" si="4"/>
        <v>-1843</v>
      </c>
      <c r="B271" s="750" t="s">
        <v>2328</v>
      </c>
      <c r="C271" s="751" t="s">
        <v>4197</v>
      </c>
      <c r="D271" s="506"/>
      <c r="E271" s="760"/>
      <c r="F271" s="760"/>
      <c r="G271" s="752" t="s">
        <v>4412</v>
      </c>
      <c r="H271" s="506" t="s">
        <v>4413</v>
      </c>
      <c r="I271" s="506" t="s">
        <v>4414</v>
      </c>
      <c r="J271" s="439" t="s">
        <v>4415</v>
      </c>
      <c r="K271" s="753"/>
      <c r="L271" s="753">
        <v>16724.0</v>
      </c>
      <c r="M271" s="754">
        <v>43936.0</v>
      </c>
      <c r="N271" s="754">
        <v>43959.0</v>
      </c>
      <c r="O271" s="506" t="s">
        <v>4333</v>
      </c>
      <c r="P271" s="758">
        <v>44324.0</v>
      </c>
      <c r="Q271" s="446"/>
      <c r="R271" s="446"/>
      <c r="S271" s="446"/>
      <c r="T271" s="446"/>
      <c r="U271" s="446"/>
      <c r="V271" s="446"/>
    </row>
    <row r="272" ht="15.75" customHeight="1">
      <c r="A272" s="744">
        <f t="shared" si="4"/>
        <v>-1843</v>
      </c>
      <c r="B272" s="750" t="s">
        <v>2354</v>
      </c>
      <c r="C272" s="751" t="s">
        <v>4416</v>
      </c>
      <c r="D272" s="506"/>
      <c r="E272" s="760"/>
      <c r="F272" s="760"/>
      <c r="G272" s="752" t="s">
        <v>4417</v>
      </c>
      <c r="H272" s="506" t="s">
        <v>4413</v>
      </c>
      <c r="I272" s="506" t="s">
        <v>4414</v>
      </c>
      <c r="J272" s="439" t="s">
        <v>4418</v>
      </c>
      <c r="K272" s="753"/>
      <c r="L272" s="753">
        <v>14248.8</v>
      </c>
      <c r="M272" s="754">
        <v>43936.0</v>
      </c>
      <c r="N272" s="754">
        <v>43959.0</v>
      </c>
      <c r="O272" s="506" t="s">
        <v>4333</v>
      </c>
      <c r="P272" s="758">
        <v>44324.0</v>
      </c>
      <c r="Q272" s="446"/>
      <c r="R272" s="446"/>
      <c r="S272" s="446"/>
      <c r="T272" s="446"/>
      <c r="U272" s="446"/>
      <c r="V272" s="446"/>
    </row>
    <row r="273" ht="15.75" customHeight="1">
      <c r="A273" s="744">
        <f t="shared" si="4"/>
        <v>-1843</v>
      </c>
      <c r="B273" s="750" t="s">
        <v>2274</v>
      </c>
      <c r="C273" s="751" t="s">
        <v>4419</v>
      </c>
      <c r="D273" s="506"/>
      <c r="E273" s="760"/>
      <c r="F273" s="760"/>
      <c r="G273" s="752" t="s">
        <v>4420</v>
      </c>
      <c r="H273" s="506" t="s">
        <v>4413</v>
      </c>
      <c r="I273" s="506" t="s">
        <v>4414</v>
      </c>
      <c r="J273" s="439" t="s">
        <v>4421</v>
      </c>
      <c r="K273" s="753"/>
      <c r="L273" s="753">
        <v>10824.0</v>
      </c>
      <c r="M273" s="754">
        <v>43936.0</v>
      </c>
      <c r="N273" s="754">
        <v>43959.0</v>
      </c>
      <c r="O273" s="506" t="s">
        <v>4333</v>
      </c>
      <c r="P273" s="758">
        <v>44324.0</v>
      </c>
      <c r="Q273" s="446"/>
      <c r="R273" s="446"/>
      <c r="S273" s="446"/>
      <c r="T273" s="446"/>
      <c r="U273" s="446"/>
      <c r="V273" s="446"/>
    </row>
    <row r="274" ht="15.75" customHeight="1">
      <c r="A274" s="744">
        <f t="shared" si="4"/>
        <v>-1843</v>
      </c>
      <c r="B274" s="750" t="s">
        <v>2234</v>
      </c>
      <c r="C274" s="751" t="s">
        <v>4422</v>
      </c>
      <c r="D274" s="506"/>
      <c r="E274" s="760"/>
      <c r="F274" s="760"/>
      <c r="G274" s="752" t="s">
        <v>4423</v>
      </c>
      <c r="H274" s="506" t="s">
        <v>4413</v>
      </c>
      <c r="I274" s="506" t="s">
        <v>4414</v>
      </c>
      <c r="J274" s="439" t="s">
        <v>4424</v>
      </c>
      <c r="K274" s="753"/>
      <c r="L274" s="753">
        <v>5400.0</v>
      </c>
      <c r="M274" s="754">
        <v>43936.0</v>
      </c>
      <c r="N274" s="754">
        <v>43959.0</v>
      </c>
      <c r="O274" s="506" t="s">
        <v>4333</v>
      </c>
      <c r="P274" s="758">
        <v>44324.0</v>
      </c>
      <c r="Q274" s="446"/>
      <c r="R274" s="446"/>
      <c r="S274" s="446"/>
      <c r="T274" s="446"/>
      <c r="U274" s="446"/>
      <c r="V274" s="446"/>
    </row>
    <row r="275" ht="15.75" customHeight="1">
      <c r="A275" s="744">
        <f t="shared" si="4"/>
        <v>-1843</v>
      </c>
      <c r="B275" s="750" t="s">
        <v>174</v>
      </c>
      <c r="C275" s="751" t="s">
        <v>4425</v>
      </c>
      <c r="D275" s="506"/>
      <c r="E275" s="760"/>
      <c r="F275" s="760"/>
      <c r="G275" s="752" t="s">
        <v>4426</v>
      </c>
      <c r="H275" s="506" t="s">
        <v>4413</v>
      </c>
      <c r="I275" s="506" t="s">
        <v>4414</v>
      </c>
      <c r="J275" s="439" t="s">
        <v>4427</v>
      </c>
      <c r="K275" s="753"/>
      <c r="L275" s="753">
        <v>286150.2</v>
      </c>
      <c r="M275" s="754">
        <v>43936.0</v>
      </c>
      <c r="N275" s="754">
        <v>43959.0</v>
      </c>
      <c r="O275" s="506" t="s">
        <v>4333</v>
      </c>
      <c r="P275" s="758">
        <v>44324.0</v>
      </c>
      <c r="Q275" s="446"/>
      <c r="R275" s="446"/>
      <c r="S275" s="446"/>
      <c r="T275" s="446"/>
      <c r="U275" s="446"/>
      <c r="V275" s="446"/>
    </row>
    <row r="276" ht="15.75" customHeight="1">
      <c r="A276" s="744">
        <f t="shared" si="4"/>
        <v>-1843</v>
      </c>
      <c r="B276" s="750" t="s">
        <v>1853</v>
      </c>
      <c r="C276" s="751" t="s">
        <v>4428</v>
      </c>
      <c r="D276" s="506"/>
      <c r="E276" s="760"/>
      <c r="F276" s="760"/>
      <c r="G276" s="752" t="s">
        <v>4429</v>
      </c>
      <c r="H276" s="506" t="s">
        <v>4430</v>
      </c>
      <c r="I276" s="506" t="s">
        <v>4431</v>
      </c>
      <c r="J276" s="439" t="s">
        <v>4432</v>
      </c>
      <c r="K276" s="753"/>
      <c r="L276" s="753">
        <v>199600.0</v>
      </c>
      <c r="M276" s="754">
        <v>43936.0</v>
      </c>
      <c r="N276" s="754">
        <v>43959.0</v>
      </c>
      <c r="O276" s="506" t="s">
        <v>4333</v>
      </c>
      <c r="P276" s="758">
        <v>44324.0</v>
      </c>
      <c r="Q276" s="446"/>
      <c r="R276" s="446"/>
      <c r="S276" s="446"/>
      <c r="T276" s="446"/>
      <c r="U276" s="446"/>
      <c r="V276" s="446"/>
    </row>
    <row r="277" ht="15.75" customHeight="1">
      <c r="A277" s="744">
        <f t="shared" si="4"/>
        <v>-1899</v>
      </c>
      <c r="B277" s="750" t="s">
        <v>2195</v>
      </c>
      <c r="C277" s="751" t="s">
        <v>4433</v>
      </c>
      <c r="D277" s="506"/>
      <c r="E277" s="760"/>
      <c r="F277" s="760"/>
      <c r="G277" s="752" t="s">
        <v>4434</v>
      </c>
      <c r="H277" s="506" t="s">
        <v>4430</v>
      </c>
      <c r="I277" s="506" t="s">
        <v>4431</v>
      </c>
      <c r="J277" s="439" t="s">
        <v>4435</v>
      </c>
      <c r="K277" s="753"/>
      <c r="L277" s="753">
        <v>156000.0</v>
      </c>
      <c r="M277" s="754">
        <v>43936.0</v>
      </c>
      <c r="N277" s="754">
        <v>43959.0</v>
      </c>
      <c r="O277" s="506" t="s">
        <v>4333</v>
      </c>
      <c r="P277" s="758">
        <v>44324.0</v>
      </c>
      <c r="Q277" s="446"/>
      <c r="R277" s="446"/>
      <c r="S277" s="446"/>
      <c r="T277" s="446"/>
      <c r="U277" s="446"/>
      <c r="V277" s="446"/>
    </row>
    <row r="278" ht="15.75" customHeight="1">
      <c r="A278" s="744">
        <f t="shared" si="4"/>
        <v>-1933</v>
      </c>
      <c r="B278" s="750" t="s">
        <v>1794</v>
      </c>
      <c r="C278" s="744" t="s">
        <v>4436</v>
      </c>
      <c r="D278" s="506"/>
      <c r="E278" s="760"/>
      <c r="F278" s="760"/>
      <c r="G278" s="752" t="s">
        <v>4437</v>
      </c>
      <c r="H278" s="506" t="s">
        <v>4438</v>
      </c>
      <c r="I278" s="506" t="s">
        <v>4439</v>
      </c>
      <c r="J278" s="439" t="s">
        <v>4440</v>
      </c>
      <c r="K278" s="753"/>
      <c r="L278" s="753">
        <v>31519.36</v>
      </c>
      <c r="M278" s="754">
        <v>43892.0</v>
      </c>
      <c r="N278" s="754">
        <v>43903.0</v>
      </c>
      <c r="O278" s="506" t="s">
        <v>4441</v>
      </c>
      <c r="P278" s="758">
        <v>44268.0</v>
      </c>
      <c r="Q278" s="446"/>
      <c r="R278" s="446"/>
      <c r="S278" s="446"/>
      <c r="T278" s="446"/>
      <c r="U278" s="446"/>
      <c r="V278" s="446"/>
    </row>
    <row r="279" ht="15.75" customHeight="1">
      <c r="A279" s="744">
        <f t="shared" si="4"/>
        <v>-1933</v>
      </c>
      <c r="B279" s="750" t="s">
        <v>4442</v>
      </c>
      <c r="C279" s="751" t="s">
        <v>4443</v>
      </c>
      <c r="D279" s="506"/>
      <c r="E279" s="760"/>
      <c r="F279" s="760"/>
      <c r="G279" s="752" t="s">
        <v>4444</v>
      </c>
      <c r="H279" s="506" t="s">
        <v>4445</v>
      </c>
      <c r="I279" s="506" t="s">
        <v>4446</v>
      </c>
      <c r="J279" s="439" t="s">
        <v>4447</v>
      </c>
      <c r="K279" s="753"/>
      <c r="L279" s="753">
        <v>32720.0</v>
      </c>
      <c r="M279" s="754">
        <v>43858.0</v>
      </c>
      <c r="N279" s="754">
        <v>43868.0</v>
      </c>
      <c r="O279" s="506" t="s">
        <v>4448</v>
      </c>
      <c r="P279" s="758">
        <v>44234.0</v>
      </c>
      <c r="Q279" s="446"/>
      <c r="R279" s="446"/>
      <c r="S279" s="446"/>
      <c r="T279" s="446"/>
      <c r="U279" s="446"/>
      <c r="V279" s="446"/>
    </row>
    <row r="280" ht="15.75" customHeight="1">
      <c r="A280" s="744">
        <f t="shared" si="4"/>
        <v>-1933</v>
      </c>
      <c r="B280" s="750" t="s">
        <v>2361</v>
      </c>
      <c r="C280" s="751" t="s">
        <v>4449</v>
      </c>
      <c r="D280" s="506"/>
      <c r="E280" s="760"/>
      <c r="F280" s="760"/>
      <c r="G280" s="752" t="s">
        <v>4450</v>
      </c>
      <c r="H280" s="506" t="s">
        <v>4445</v>
      </c>
      <c r="I280" s="506" t="s">
        <v>4446</v>
      </c>
      <c r="J280" s="439" t="s">
        <v>4451</v>
      </c>
      <c r="K280" s="753"/>
      <c r="L280" s="753">
        <v>27900.0</v>
      </c>
      <c r="M280" s="754">
        <v>43858.0</v>
      </c>
      <c r="N280" s="754">
        <v>43868.0</v>
      </c>
      <c r="O280" s="506" t="s">
        <v>4448</v>
      </c>
      <c r="P280" s="758">
        <v>44234.0</v>
      </c>
      <c r="Q280" s="446"/>
      <c r="R280" s="446"/>
      <c r="S280" s="446"/>
      <c r="T280" s="446"/>
      <c r="U280" s="446"/>
      <c r="V280" s="446"/>
    </row>
    <row r="281" ht="15.75" customHeight="1">
      <c r="A281" s="744">
        <f t="shared" si="4"/>
        <v>-1941</v>
      </c>
      <c r="B281" s="750" t="s">
        <v>2189</v>
      </c>
      <c r="C281" s="751" t="s">
        <v>4452</v>
      </c>
      <c r="D281" s="506"/>
      <c r="E281" s="760"/>
      <c r="F281" s="760"/>
      <c r="G281" s="752" t="s">
        <v>4453</v>
      </c>
      <c r="H281" s="506" t="s">
        <v>4445</v>
      </c>
      <c r="I281" s="506" t="s">
        <v>4446</v>
      </c>
      <c r="J281" s="439" t="s">
        <v>4454</v>
      </c>
      <c r="K281" s="753"/>
      <c r="L281" s="753">
        <v>18220.0</v>
      </c>
      <c r="M281" s="754">
        <v>43858.0</v>
      </c>
      <c r="N281" s="754">
        <v>43868.0</v>
      </c>
      <c r="O281" s="506" t="s">
        <v>4448</v>
      </c>
      <c r="P281" s="758">
        <v>44234.0</v>
      </c>
      <c r="Q281" s="446"/>
      <c r="R281" s="446"/>
      <c r="S281" s="446"/>
      <c r="T281" s="446"/>
      <c r="U281" s="446"/>
      <c r="V281" s="446"/>
    </row>
    <row r="282" ht="15.75" customHeight="1">
      <c r="A282" s="744">
        <f t="shared" si="4"/>
        <v>-1947</v>
      </c>
      <c r="B282" s="750" t="s">
        <v>1582</v>
      </c>
      <c r="C282" s="751" t="s">
        <v>4425</v>
      </c>
      <c r="D282" s="506"/>
      <c r="E282" s="760"/>
      <c r="F282" s="760"/>
      <c r="G282" s="752" t="s">
        <v>4455</v>
      </c>
      <c r="H282" s="506" t="s">
        <v>4456</v>
      </c>
      <c r="I282" s="506" t="s">
        <v>4457</v>
      </c>
      <c r="J282" s="439" t="s">
        <v>4458</v>
      </c>
      <c r="K282" s="753"/>
      <c r="L282" s="753">
        <v>433800.0</v>
      </c>
      <c r="M282" s="754">
        <v>43857.0</v>
      </c>
      <c r="N282" s="754">
        <v>43860.0</v>
      </c>
      <c r="O282" s="506" t="s">
        <v>4459</v>
      </c>
      <c r="P282" s="758">
        <v>44226.0</v>
      </c>
      <c r="Q282" s="446"/>
      <c r="R282" s="446"/>
      <c r="S282" s="446"/>
      <c r="T282" s="446"/>
      <c r="U282" s="446"/>
      <c r="V282" s="446"/>
    </row>
    <row r="283" ht="15.75" customHeight="1">
      <c r="A283" s="744">
        <f t="shared" si="4"/>
        <v>-1982</v>
      </c>
      <c r="B283" s="750" t="s">
        <v>2307</v>
      </c>
      <c r="C283" s="751" t="s">
        <v>4460</v>
      </c>
      <c r="D283" s="506"/>
      <c r="E283" s="760"/>
      <c r="F283" s="760"/>
      <c r="G283" s="752" t="s">
        <v>4461</v>
      </c>
      <c r="H283" s="506" t="s">
        <v>4462</v>
      </c>
      <c r="I283" s="506" t="s">
        <v>4463</v>
      </c>
      <c r="J283" s="439" t="s">
        <v>4464</v>
      </c>
      <c r="K283" s="753"/>
      <c r="L283" s="753">
        <v>689992.0</v>
      </c>
      <c r="M283" s="754">
        <v>43851.0</v>
      </c>
      <c r="N283" s="754">
        <v>43854.0</v>
      </c>
      <c r="O283" s="506" t="s">
        <v>4465</v>
      </c>
      <c r="P283" s="758">
        <v>44220.0</v>
      </c>
      <c r="Q283" s="446"/>
      <c r="R283" s="446"/>
      <c r="S283" s="446"/>
      <c r="T283" s="446"/>
      <c r="U283" s="446"/>
      <c r="V283" s="446"/>
    </row>
    <row r="284" ht="57.0" customHeight="1">
      <c r="A284" s="744">
        <f t="shared" si="4"/>
        <v>-1996</v>
      </c>
      <c r="B284" s="750" t="s">
        <v>4466</v>
      </c>
      <c r="C284" s="744" t="s">
        <v>3667</v>
      </c>
      <c r="D284" s="506"/>
      <c r="E284" s="760"/>
      <c r="F284" s="760"/>
      <c r="G284" s="752" t="s">
        <v>4467</v>
      </c>
      <c r="H284" s="506" t="s">
        <v>4468</v>
      </c>
      <c r="I284" s="506" t="s">
        <v>4469</v>
      </c>
      <c r="J284" s="439" t="s">
        <v>2274</v>
      </c>
      <c r="K284" s="753"/>
      <c r="L284" s="753">
        <v>99000.0</v>
      </c>
      <c r="M284" s="754">
        <v>43815.0</v>
      </c>
      <c r="N284" s="754">
        <v>43819.0</v>
      </c>
      <c r="O284" s="506" t="s">
        <v>4470</v>
      </c>
      <c r="P284" s="758">
        <v>44185.0</v>
      </c>
      <c r="Q284" s="446"/>
      <c r="R284" s="446"/>
      <c r="S284" s="446"/>
      <c r="T284" s="446"/>
      <c r="U284" s="446"/>
      <c r="V284" s="446"/>
    </row>
    <row r="285" ht="55.5" customHeight="1">
      <c r="A285" s="744">
        <f t="shared" si="4"/>
        <v>-2045</v>
      </c>
      <c r="B285" s="750" t="s">
        <v>4471</v>
      </c>
      <c r="C285" s="751" t="s">
        <v>4472</v>
      </c>
      <c r="D285" s="506"/>
      <c r="E285" s="760"/>
      <c r="F285" s="760"/>
      <c r="G285" s="752" t="s">
        <v>4473</v>
      </c>
      <c r="H285" s="506" t="s">
        <v>4474</v>
      </c>
      <c r="I285" s="506" t="s">
        <v>4475</v>
      </c>
      <c r="J285" s="439" t="s">
        <v>4476</v>
      </c>
      <c r="K285" s="753"/>
      <c r="L285" s="753">
        <v>11700.0</v>
      </c>
      <c r="M285" s="754">
        <v>43795.0</v>
      </c>
      <c r="N285" s="754">
        <v>43805.0</v>
      </c>
      <c r="O285" s="506" t="s">
        <v>4477</v>
      </c>
      <c r="P285" s="758">
        <v>44171.0</v>
      </c>
      <c r="Q285" s="446"/>
      <c r="R285" s="446"/>
      <c r="S285" s="446"/>
      <c r="T285" s="446"/>
      <c r="U285" s="446"/>
      <c r="V285" s="446"/>
    </row>
    <row r="286" ht="66.0" customHeight="1">
      <c r="A286" s="744">
        <f t="shared" si="4"/>
        <v>-2045</v>
      </c>
      <c r="B286" s="750" t="s">
        <v>4478</v>
      </c>
      <c r="C286" s="751" t="s">
        <v>4246</v>
      </c>
      <c r="D286" s="506"/>
      <c r="E286" s="760"/>
      <c r="F286" s="760"/>
      <c r="G286" s="752" t="s">
        <v>4479</v>
      </c>
      <c r="H286" s="506" t="s">
        <v>4480</v>
      </c>
      <c r="I286" s="506" t="s">
        <v>4481</v>
      </c>
      <c r="J286" s="439" t="s">
        <v>4482</v>
      </c>
      <c r="K286" s="753"/>
      <c r="L286" s="753">
        <v>71844.48</v>
      </c>
      <c r="M286" s="754">
        <v>43753.0</v>
      </c>
      <c r="N286" s="754">
        <v>43756.0</v>
      </c>
      <c r="O286" s="506" t="s">
        <v>2159</v>
      </c>
      <c r="P286" s="758">
        <v>44122.0</v>
      </c>
      <c r="Q286" s="446"/>
      <c r="R286" s="446"/>
      <c r="S286" s="446"/>
      <c r="T286" s="446"/>
      <c r="U286" s="446"/>
      <c r="V286" s="446"/>
    </row>
    <row r="287" ht="66.0" customHeight="1">
      <c r="A287" s="744">
        <f t="shared" si="4"/>
        <v>-2045</v>
      </c>
      <c r="B287" s="750" t="s">
        <v>4483</v>
      </c>
      <c r="C287" s="751" t="s">
        <v>4484</v>
      </c>
      <c r="D287" s="506"/>
      <c r="E287" s="760"/>
      <c r="F287" s="760"/>
      <c r="G287" s="752" t="s">
        <v>4485</v>
      </c>
      <c r="H287" s="506" t="s">
        <v>4486</v>
      </c>
      <c r="I287" s="506" t="s">
        <v>4487</v>
      </c>
      <c r="J287" s="439" t="s">
        <v>4488</v>
      </c>
      <c r="K287" s="753"/>
      <c r="L287" s="753">
        <v>73845.9</v>
      </c>
      <c r="M287" s="754">
        <v>43752.0</v>
      </c>
      <c r="N287" s="754">
        <v>43756.0</v>
      </c>
      <c r="O287" s="506" t="s">
        <v>2159</v>
      </c>
      <c r="P287" s="758">
        <v>44122.0</v>
      </c>
      <c r="Q287" s="446"/>
      <c r="R287" s="446"/>
      <c r="S287" s="446"/>
      <c r="T287" s="446"/>
      <c r="U287" s="446"/>
      <c r="V287" s="446"/>
    </row>
    <row r="288" ht="65.25" customHeight="1">
      <c r="A288" s="744">
        <f t="shared" si="4"/>
        <v>-2045</v>
      </c>
      <c r="B288" s="750" t="s">
        <v>4489</v>
      </c>
      <c r="C288" s="744" t="s">
        <v>4490</v>
      </c>
      <c r="D288" s="506"/>
      <c r="E288" s="760"/>
      <c r="F288" s="760"/>
      <c r="G288" s="752" t="s">
        <v>4491</v>
      </c>
      <c r="H288" s="506" t="s">
        <v>4492</v>
      </c>
      <c r="I288" s="506" t="s">
        <v>4493</v>
      </c>
      <c r="J288" s="439" t="s">
        <v>4494</v>
      </c>
      <c r="K288" s="753"/>
      <c r="L288" s="753">
        <v>11400.0</v>
      </c>
      <c r="M288" s="754">
        <v>43748.0</v>
      </c>
      <c r="N288" s="754">
        <v>43756.0</v>
      </c>
      <c r="O288" s="506" t="s">
        <v>2159</v>
      </c>
      <c r="P288" s="758">
        <v>44122.0</v>
      </c>
      <c r="Q288" s="446"/>
      <c r="R288" s="446"/>
      <c r="S288" s="446"/>
      <c r="T288" s="446"/>
      <c r="U288" s="446"/>
      <c r="V288" s="446"/>
    </row>
    <row r="289" ht="66.0" customHeight="1">
      <c r="A289" s="744">
        <f t="shared" si="4"/>
        <v>-2045</v>
      </c>
      <c r="B289" s="750" t="s">
        <v>4495</v>
      </c>
      <c r="C289" s="751" t="s">
        <v>4246</v>
      </c>
      <c r="D289" s="506"/>
      <c r="E289" s="760"/>
      <c r="F289" s="760"/>
      <c r="G289" s="752" t="s">
        <v>4491</v>
      </c>
      <c r="H289" s="506" t="s">
        <v>4492</v>
      </c>
      <c r="I289" s="506" t="s">
        <v>4493</v>
      </c>
      <c r="J289" s="439" t="s">
        <v>4496</v>
      </c>
      <c r="K289" s="753"/>
      <c r="L289" s="753">
        <v>38244.0</v>
      </c>
      <c r="M289" s="754">
        <v>43748.0</v>
      </c>
      <c r="N289" s="754">
        <v>43756.0</v>
      </c>
      <c r="O289" s="506" t="s">
        <v>2159</v>
      </c>
      <c r="P289" s="758">
        <v>44122.0</v>
      </c>
      <c r="Q289" s="446"/>
      <c r="R289" s="446"/>
      <c r="S289" s="446"/>
      <c r="T289" s="446"/>
      <c r="U289" s="446"/>
      <c r="V289" s="446"/>
    </row>
    <row r="290" ht="15.75" customHeight="1">
      <c r="A290" s="744">
        <f t="shared" si="4"/>
        <v>-2115</v>
      </c>
      <c r="B290" s="750" t="s">
        <v>4497</v>
      </c>
      <c r="C290" s="744" t="s">
        <v>4498</v>
      </c>
      <c r="D290" s="506"/>
      <c r="E290" s="760"/>
      <c r="F290" s="760"/>
      <c r="G290" s="752" t="s">
        <v>4499</v>
      </c>
      <c r="H290" s="506" t="s">
        <v>4500</v>
      </c>
      <c r="I290" s="506" t="s">
        <v>4501</v>
      </c>
      <c r="J290" s="439" t="s">
        <v>4502</v>
      </c>
      <c r="K290" s="753"/>
      <c r="L290" s="753">
        <v>7084.0</v>
      </c>
      <c r="M290" s="754">
        <v>43748.0</v>
      </c>
      <c r="N290" s="754">
        <v>43756.0</v>
      </c>
      <c r="O290" s="506" t="s">
        <v>2159</v>
      </c>
      <c r="P290" s="758">
        <v>44122.0</v>
      </c>
      <c r="Q290" s="446"/>
      <c r="R290" s="446"/>
      <c r="S290" s="446"/>
      <c r="T290" s="446"/>
      <c r="U290" s="446"/>
      <c r="V290" s="446"/>
    </row>
    <row r="291" ht="15.75" customHeight="1">
      <c r="A291" s="744">
        <f t="shared" si="4"/>
        <v>-2115</v>
      </c>
      <c r="B291" s="750" t="s">
        <v>4503</v>
      </c>
      <c r="C291" s="751" t="s">
        <v>4504</v>
      </c>
      <c r="D291" s="506"/>
      <c r="E291" s="760"/>
      <c r="F291" s="760"/>
      <c r="G291" s="752" t="s">
        <v>4505</v>
      </c>
      <c r="H291" s="506" t="s">
        <v>4506</v>
      </c>
      <c r="I291" s="506" t="s">
        <v>4507</v>
      </c>
      <c r="J291" s="439" t="s">
        <v>4508</v>
      </c>
      <c r="K291" s="753"/>
      <c r="L291" s="753">
        <v>6454.3</v>
      </c>
      <c r="M291" s="754">
        <v>43679.0</v>
      </c>
      <c r="N291" s="754">
        <v>43686.0</v>
      </c>
      <c r="O291" s="506" t="s">
        <v>4509</v>
      </c>
      <c r="P291" s="758">
        <v>44052.0</v>
      </c>
      <c r="Q291" s="446"/>
      <c r="R291" s="446"/>
      <c r="S291" s="446"/>
      <c r="T291" s="446"/>
      <c r="U291" s="446"/>
      <c r="V291" s="446"/>
    </row>
    <row r="292" ht="15.75" customHeight="1">
      <c r="A292" s="744">
        <f t="shared" si="4"/>
        <v>-2115</v>
      </c>
      <c r="B292" s="750" t="s">
        <v>4510</v>
      </c>
      <c r="C292" s="751" t="s">
        <v>4511</v>
      </c>
      <c r="D292" s="506"/>
      <c r="E292" s="760"/>
      <c r="F292" s="760"/>
      <c r="G292" s="752" t="s">
        <v>4505</v>
      </c>
      <c r="H292" s="506" t="s">
        <v>4506</v>
      </c>
      <c r="I292" s="506" t="s">
        <v>4507</v>
      </c>
      <c r="J292" s="439" t="s">
        <v>4512</v>
      </c>
      <c r="K292" s="753"/>
      <c r="L292" s="753">
        <v>59519.45</v>
      </c>
      <c r="M292" s="754">
        <v>43679.0</v>
      </c>
      <c r="N292" s="754">
        <v>43686.0</v>
      </c>
      <c r="O292" s="506" t="s">
        <v>4509</v>
      </c>
      <c r="P292" s="758">
        <v>44052.0</v>
      </c>
      <c r="Q292" s="446"/>
      <c r="R292" s="446"/>
      <c r="S292" s="446"/>
      <c r="T292" s="446"/>
      <c r="U292" s="446"/>
      <c r="V292" s="446"/>
    </row>
    <row r="293" ht="15.75" customHeight="1">
      <c r="A293" s="744">
        <f t="shared" si="4"/>
        <v>-2115</v>
      </c>
      <c r="B293" s="750" t="s">
        <v>4513</v>
      </c>
      <c r="C293" s="751" t="s">
        <v>4514</v>
      </c>
      <c r="D293" s="506"/>
      <c r="E293" s="760"/>
      <c r="F293" s="760"/>
      <c r="G293" s="752" t="s">
        <v>4505</v>
      </c>
      <c r="H293" s="506" t="s">
        <v>4506</v>
      </c>
      <c r="I293" s="506" t="s">
        <v>4507</v>
      </c>
      <c r="J293" s="439" t="s">
        <v>4515</v>
      </c>
      <c r="K293" s="753"/>
      <c r="L293" s="753">
        <v>174949.9</v>
      </c>
      <c r="M293" s="754">
        <v>43679.0</v>
      </c>
      <c r="N293" s="754">
        <v>43686.0</v>
      </c>
      <c r="O293" s="506" t="s">
        <v>4509</v>
      </c>
      <c r="P293" s="758">
        <v>44052.0</v>
      </c>
      <c r="Q293" s="446"/>
      <c r="R293" s="446"/>
      <c r="S293" s="446"/>
      <c r="T293" s="446"/>
      <c r="U293" s="446"/>
      <c r="V293" s="446"/>
    </row>
    <row r="294" ht="15.75" customHeight="1">
      <c r="A294" s="744">
        <f t="shared" si="4"/>
        <v>-2115</v>
      </c>
      <c r="B294" s="750" t="s">
        <v>4516</v>
      </c>
      <c r="C294" s="751" t="s">
        <v>4517</v>
      </c>
      <c r="D294" s="506"/>
      <c r="E294" s="760"/>
      <c r="F294" s="760"/>
      <c r="G294" s="752" t="s">
        <v>4505</v>
      </c>
      <c r="H294" s="506" t="s">
        <v>4506</v>
      </c>
      <c r="I294" s="506" t="s">
        <v>4507</v>
      </c>
      <c r="J294" s="439" t="s">
        <v>4518</v>
      </c>
      <c r="K294" s="753"/>
      <c r="L294" s="753">
        <v>42995.45</v>
      </c>
      <c r="M294" s="754">
        <v>43679.0</v>
      </c>
      <c r="N294" s="754">
        <v>43686.0</v>
      </c>
      <c r="O294" s="506" t="s">
        <v>4509</v>
      </c>
      <c r="P294" s="758">
        <v>44052.0</v>
      </c>
      <c r="Q294" s="446"/>
      <c r="R294" s="446"/>
      <c r="S294" s="446"/>
      <c r="T294" s="446"/>
      <c r="U294" s="446"/>
      <c r="V294" s="446"/>
    </row>
    <row r="295" ht="15.75" customHeight="1">
      <c r="A295" s="744">
        <f t="shared" si="4"/>
        <v>-2117</v>
      </c>
      <c r="B295" s="750" t="s">
        <v>4519</v>
      </c>
      <c r="C295" s="751" t="s">
        <v>4520</v>
      </c>
      <c r="D295" s="506"/>
      <c r="E295" s="760"/>
      <c r="F295" s="760"/>
      <c r="G295" s="752" t="s">
        <v>4505</v>
      </c>
      <c r="H295" s="506" t="s">
        <v>4506</v>
      </c>
      <c r="I295" s="506" t="s">
        <v>4507</v>
      </c>
      <c r="J295" s="439" t="s">
        <v>4521</v>
      </c>
      <c r="K295" s="753"/>
      <c r="L295" s="753">
        <v>310809.4</v>
      </c>
      <c r="M295" s="754">
        <v>43679.0</v>
      </c>
      <c r="N295" s="754">
        <v>43686.0</v>
      </c>
      <c r="O295" s="506" t="s">
        <v>4509</v>
      </c>
      <c r="P295" s="758">
        <v>44052.0</v>
      </c>
      <c r="Q295" s="446"/>
      <c r="R295" s="446"/>
      <c r="S295" s="446"/>
      <c r="T295" s="446"/>
      <c r="U295" s="446"/>
      <c r="V295" s="446"/>
    </row>
    <row r="296" ht="15.75" customHeight="1">
      <c r="A296" s="744">
        <f t="shared" si="4"/>
        <v>-2117</v>
      </c>
      <c r="B296" s="750" t="s">
        <v>4522</v>
      </c>
      <c r="C296" s="751" t="s">
        <v>4197</v>
      </c>
      <c r="D296" s="506"/>
      <c r="E296" s="760"/>
      <c r="F296" s="760"/>
      <c r="G296" s="752" t="s">
        <v>4523</v>
      </c>
      <c r="H296" s="506" t="s">
        <v>4524</v>
      </c>
      <c r="I296" s="506" t="s">
        <v>4525</v>
      </c>
      <c r="J296" s="439" t="s">
        <v>4526</v>
      </c>
      <c r="K296" s="753"/>
      <c r="L296" s="753">
        <v>486775.2</v>
      </c>
      <c r="M296" s="754">
        <v>43679.0</v>
      </c>
      <c r="N296" s="754">
        <v>43684.0</v>
      </c>
      <c r="O296" s="506" t="s">
        <v>4527</v>
      </c>
      <c r="P296" s="758">
        <v>44050.0</v>
      </c>
      <c r="Q296" s="446"/>
      <c r="R296" s="446"/>
      <c r="S296" s="446"/>
      <c r="T296" s="446"/>
      <c r="U296" s="446"/>
      <c r="V296" s="446"/>
    </row>
    <row r="297" ht="15.75" customHeight="1">
      <c r="A297" s="744">
        <f t="shared" si="4"/>
        <v>-2117</v>
      </c>
      <c r="B297" s="750" t="s">
        <v>4528</v>
      </c>
      <c r="C297" s="751" t="s">
        <v>4206</v>
      </c>
      <c r="D297" s="506"/>
      <c r="E297" s="760"/>
      <c r="F297" s="760"/>
      <c r="G297" s="752" t="s">
        <v>4523</v>
      </c>
      <c r="H297" s="506" t="s">
        <v>4524</v>
      </c>
      <c r="I297" s="506" t="s">
        <v>4525</v>
      </c>
      <c r="J297" s="439" t="s">
        <v>4529</v>
      </c>
      <c r="K297" s="753"/>
      <c r="L297" s="753">
        <v>196014.4</v>
      </c>
      <c r="M297" s="754">
        <v>43679.0</v>
      </c>
      <c r="N297" s="754">
        <v>43684.0</v>
      </c>
      <c r="O297" s="506" t="s">
        <v>4527</v>
      </c>
      <c r="P297" s="758">
        <v>44050.0</v>
      </c>
      <c r="Q297" s="446"/>
      <c r="R297" s="446"/>
      <c r="S297" s="446"/>
      <c r="T297" s="446"/>
      <c r="U297" s="446"/>
      <c r="V297" s="446"/>
    </row>
    <row r="298" ht="15.75" customHeight="1">
      <c r="A298" s="744">
        <f t="shared" si="4"/>
        <v>-2117</v>
      </c>
      <c r="B298" s="750" t="s">
        <v>4530</v>
      </c>
      <c r="C298" s="751" t="s">
        <v>4100</v>
      </c>
      <c r="D298" s="506"/>
      <c r="E298" s="760"/>
      <c r="F298" s="760"/>
      <c r="G298" s="752" t="s">
        <v>4523</v>
      </c>
      <c r="H298" s="506" t="s">
        <v>4524</v>
      </c>
      <c r="I298" s="506" t="s">
        <v>4525</v>
      </c>
      <c r="J298" s="439" t="s">
        <v>4531</v>
      </c>
      <c r="K298" s="753"/>
      <c r="L298" s="753">
        <v>86401.92</v>
      </c>
      <c r="M298" s="754">
        <v>43679.0</v>
      </c>
      <c r="N298" s="754">
        <v>43684.0</v>
      </c>
      <c r="O298" s="506" t="s">
        <v>4527</v>
      </c>
      <c r="P298" s="758">
        <v>44050.0</v>
      </c>
      <c r="Q298" s="446"/>
      <c r="R298" s="446"/>
      <c r="S298" s="446"/>
      <c r="T298" s="446"/>
      <c r="U298" s="446"/>
      <c r="V298" s="446"/>
    </row>
    <row r="299" ht="15.75" customHeight="1">
      <c r="A299" s="744">
        <f t="shared" si="4"/>
        <v>-2132</v>
      </c>
      <c r="B299" s="750" t="s">
        <v>4532</v>
      </c>
      <c r="C299" s="751" t="s">
        <v>4425</v>
      </c>
      <c r="D299" s="506"/>
      <c r="E299" s="760"/>
      <c r="F299" s="760"/>
      <c r="G299" s="752" t="s">
        <v>4523</v>
      </c>
      <c r="H299" s="506" t="s">
        <v>4524</v>
      </c>
      <c r="I299" s="506" t="s">
        <v>4525</v>
      </c>
      <c r="J299" s="439" t="s">
        <v>4533</v>
      </c>
      <c r="K299" s="753"/>
      <c r="L299" s="753">
        <v>942120.0</v>
      </c>
      <c r="M299" s="754">
        <v>43679.0</v>
      </c>
      <c r="N299" s="754">
        <v>43684.0</v>
      </c>
      <c r="O299" s="506" t="s">
        <v>4527</v>
      </c>
      <c r="P299" s="758">
        <v>44050.0</v>
      </c>
      <c r="Q299" s="446"/>
      <c r="R299" s="446"/>
      <c r="S299" s="446"/>
      <c r="T299" s="446"/>
      <c r="U299" s="446"/>
      <c r="V299" s="446"/>
    </row>
    <row r="300" ht="30.0" customHeight="1">
      <c r="A300" s="744">
        <f t="shared" si="4"/>
        <v>-2132</v>
      </c>
      <c r="B300" s="750" t="s">
        <v>4534</v>
      </c>
      <c r="C300" s="751" t="s">
        <v>4535</v>
      </c>
      <c r="D300" s="506"/>
      <c r="E300" s="760"/>
      <c r="F300" s="760"/>
      <c r="G300" s="752" t="s">
        <v>4536</v>
      </c>
      <c r="H300" s="506" t="s">
        <v>4537</v>
      </c>
      <c r="I300" s="506" t="s">
        <v>4538</v>
      </c>
      <c r="J300" s="439" t="s">
        <v>4539</v>
      </c>
      <c r="K300" s="753"/>
      <c r="L300" s="753">
        <v>24740.0</v>
      </c>
      <c r="M300" s="754">
        <v>43665.0</v>
      </c>
      <c r="N300" s="754">
        <v>43669.0</v>
      </c>
      <c r="O300" s="506" t="s">
        <v>4540</v>
      </c>
      <c r="P300" s="758">
        <v>44035.0</v>
      </c>
      <c r="Q300" s="446"/>
      <c r="R300" s="446"/>
      <c r="S300" s="446"/>
      <c r="T300" s="446"/>
      <c r="U300" s="446"/>
      <c r="V300" s="446"/>
    </row>
    <row r="301" ht="30.0" customHeight="1">
      <c r="A301" s="744">
        <f t="shared" si="4"/>
        <v>-2132</v>
      </c>
      <c r="B301" s="750" t="s">
        <v>4541</v>
      </c>
      <c r="C301" s="751" t="s">
        <v>4542</v>
      </c>
      <c r="D301" s="506"/>
      <c r="E301" s="760"/>
      <c r="F301" s="760"/>
      <c r="G301" s="752" t="s">
        <v>4536</v>
      </c>
      <c r="H301" s="506" t="s">
        <v>4537</v>
      </c>
      <c r="I301" s="506" t="s">
        <v>4538</v>
      </c>
      <c r="J301" s="439" t="s">
        <v>4543</v>
      </c>
      <c r="K301" s="753"/>
      <c r="L301" s="753">
        <v>35400.0</v>
      </c>
      <c r="M301" s="754">
        <v>43665.0</v>
      </c>
      <c r="N301" s="754">
        <v>43669.0</v>
      </c>
      <c r="O301" s="506" t="s">
        <v>4540</v>
      </c>
      <c r="P301" s="758">
        <v>44035.0</v>
      </c>
      <c r="Q301" s="446"/>
      <c r="R301" s="446"/>
      <c r="S301" s="446"/>
      <c r="T301" s="446"/>
      <c r="U301" s="446"/>
      <c r="V301" s="446"/>
    </row>
    <row r="302" ht="15.75" customHeight="1">
      <c r="A302" s="744">
        <f t="shared" si="4"/>
        <v>-2132</v>
      </c>
      <c r="B302" s="750" t="s">
        <v>4544</v>
      </c>
      <c r="C302" s="751" t="s">
        <v>4260</v>
      </c>
      <c r="D302" s="506"/>
      <c r="E302" s="760"/>
      <c r="F302" s="760"/>
      <c r="G302" s="752" t="s">
        <v>4545</v>
      </c>
      <c r="H302" s="506" t="s">
        <v>4546</v>
      </c>
      <c r="I302" s="506" t="s">
        <v>4547</v>
      </c>
      <c r="J302" s="439" t="s">
        <v>4548</v>
      </c>
      <c r="K302" s="753"/>
      <c r="L302" s="753">
        <v>169300.0</v>
      </c>
      <c r="M302" s="754"/>
      <c r="N302" s="754">
        <v>43669.0</v>
      </c>
      <c r="O302" s="506" t="s">
        <v>4540</v>
      </c>
      <c r="P302" s="758">
        <v>44035.0</v>
      </c>
      <c r="Q302" s="446"/>
      <c r="R302" s="446"/>
      <c r="S302" s="446"/>
      <c r="T302" s="446"/>
      <c r="U302" s="446"/>
      <c r="V302" s="446"/>
    </row>
    <row r="303" ht="15.75" customHeight="1">
      <c r="A303" s="744">
        <f t="shared" si="4"/>
        <v>-2132</v>
      </c>
      <c r="B303" s="750" t="s">
        <v>4549</v>
      </c>
      <c r="C303" s="751" t="s">
        <v>4246</v>
      </c>
      <c r="D303" s="506"/>
      <c r="E303" s="760"/>
      <c r="F303" s="760"/>
      <c r="G303" s="752" t="s">
        <v>4545</v>
      </c>
      <c r="H303" s="506" t="s">
        <v>4546</v>
      </c>
      <c r="I303" s="506" t="s">
        <v>4547</v>
      </c>
      <c r="J303" s="439" t="s">
        <v>4550</v>
      </c>
      <c r="K303" s="753"/>
      <c r="L303" s="753">
        <v>21560.0</v>
      </c>
      <c r="M303" s="754"/>
      <c r="N303" s="754">
        <v>43669.0</v>
      </c>
      <c r="O303" s="506" t="s">
        <v>4540</v>
      </c>
      <c r="P303" s="758">
        <v>44035.0</v>
      </c>
      <c r="Q303" s="446"/>
      <c r="R303" s="446"/>
      <c r="S303" s="446"/>
      <c r="T303" s="446"/>
      <c r="U303" s="446"/>
      <c r="V303" s="446"/>
    </row>
    <row r="304" ht="15.75" customHeight="1">
      <c r="A304" s="744">
        <f t="shared" si="4"/>
        <v>-2132</v>
      </c>
      <c r="B304" s="750" t="s">
        <v>4551</v>
      </c>
      <c r="C304" s="751" t="s">
        <v>4552</v>
      </c>
      <c r="D304" s="506"/>
      <c r="E304" s="760"/>
      <c r="F304" s="760"/>
      <c r="G304" s="752" t="s">
        <v>4545</v>
      </c>
      <c r="H304" s="506" t="s">
        <v>4546</v>
      </c>
      <c r="I304" s="506" t="s">
        <v>4547</v>
      </c>
      <c r="J304" s="439" t="s">
        <v>4553</v>
      </c>
      <c r="K304" s="753"/>
      <c r="L304" s="753">
        <v>17010.0</v>
      </c>
      <c r="M304" s="754"/>
      <c r="N304" s="754">
        <v>43669.0</v>
      </c>
      <c r="O304" s="506" t="s">
        <v>4540</v>
      </c>
      <c r="P304" s="758">
        <v>44035.0</v>
      </c>
      <c r="Q304" s="446"/>
      <c r="R304" s="446"/>
      <c r="S304" s="446"/>
      <c r="T304" s="446"/>
      <c r="U304" s="446"/>
      <c r="V304" s="446"/>
    </row>
    <row r="305" ht="15.75" customHeight="1">
      <c r="A305" s="744">
        <f t="shared" si="4"/>
        <v>-2132</v>
      </c>
      <c r="B305" s="750" t="s">
        <v>4554</v>
      </c>
      <c r="C305" s="751" t="s">
        <v>4555</v>
      </c>
      <c r="D305" s="506"/>
      <c r="E305" s="760"/>
      <c r="F305" s="760"/>
      <c r="G305" s="752" t="s">
        <v>4545</v>
      </c>
      <c r="H305" s="506" t="s">
        <v>4546</v>
      </c>
      <c r="I305" s="506" t="s">
        <v>4547</v>
      </c>
      <c r="J305" s="439" t="s">
        <v>4556</v>
      </c>
      <c r="K305" s="753"/>
      <c r="L305" s="753">
        <v>8395.0</v>
      </c>
      <c r="M305" s="754"/>
      <c r="N305" s="754">
        <v>43669.0</v>
      </c>
      <c r="O305" s="506" t="s">
        <v>4540</v>
      </c>
      <c r="P305" s="758">
        <v>44035.0</v>
      </c>
      <c r="Q305" s="446"/>
      <c r="R305" s="446"/>
      <c r="S305" s="446"/>
      <c r="T305" s="446"/>
      <c r="U305" s="446"/>
      <c r="V305" s="446"/>
    </row>
    <row r="306" ht="15.75" customHeight="1">
      <c r="A306" s="744">
        <f t="shared" si="4"/>
        <v>-2132</v>
      </c>
      <c r="B306" s="750" t="s">
        <v>4557</v>
      </c>
      <c r="C306" s="744" t="s">
        <v>4558</v>
      </c>
      <c r="D306" s="506"/>
      <c r="E306" s="760"/>
      <c r="F306" s="760"/>
      <c r="G306" s="752" t="s">
        <v>4559</v>
      </c>
      <c r="H306" s="506" t="s">
        <v>4560</v>
      </c>
      <c r="I306" s="506" t="s">
        <v>4561</v>
      </c>
      <c r="J306" s="439" t="s">
        <v>4562</v>
      </c>
      <c r="K306" s="753"/>
      <c r="L306" s="753">
        <v>33349.2</v>
      </c>
      <c r="M306" s="754">
        <v>43657.0</v>
      </c>
      <c r="N306" s="754">
        <v>43669.0</v>
      </c>
      <c r="O306" s="506" t="s">
        <v>4540</v>
      </c>
      <c r="P306" s="758">
        <v>44035.0</v>
      </c>
      <c r="Q306" s="446"/>
      <c r="R306" s="446"/>
      <c r="S306" s="446"/>
      <c r="T306" s="446"/>
      <c r="U306" s="446"/>
      <c r="V306" s="446"/>
    </row>
    <row r="307" ht="15.75" customHeight="1">
      <c r="A307" s="744">
        <f t="shared" si="4"/>
        <v>-2132</v>
      </c>
      <c r="B307" s="750" t="s">
        <v>4563</v>
      </c>
      <c r="C307" s="744" t="s">
        <v>4564</v>
      </c>
      <c r="D307" s="506"/>
      <c r="E307" s="760"/>
      <c r="F307" s="760"/>
      <c r="G307" s="752" t="s">
        <v>4565</v>
      </c>
      <c r="H307" s="506" t="s">
        <v>4560</v>
      </c>
      <c r="I307" s="506" t="s">
        <v>4561</v>
      </c>
      <c r="J307" s="439" t="s">
        <v>4566</v>
      </c>
      <c r="K307" s="753"/>
      <c r="L307" s="753">
        <v>20385.0</v>
      </c>
      <c r="M307" s="754">
        <v>43657.0</v>
      </c>
      <c r="N307" s="754">
        <v>43669.0</v>
      </c>
      <c r="O307" s="506" t="s">
        <v>4540</v>
      </c>
      <c r="P307" s="758">
        <v>44035.0</v>
      </c>
      <c r="Q307" s="446"/>
      <c r="R307" s="446"/>
      <c r="S307" s="446"/>
      <c r="T307" s="446"/>
      <c r="U307" s="446"/>
      <c r="V307" s="446"/>
    </row>
    <row r="308" ht="15.75" customHeight="1">
      <c r="A308" s="744">
        <f t="shared" si="4"/>
        <v>-2150</v>
      </c>
      <c r="B308" s="750" t="s">
        <v>4567</v>
      </c>
      <c r="C308" s="744" t="s">
        <v>4568</v>
      </c>
      <c r="D308" s="506"/>
      <c r="E308" s="760"/>
      <c r="F308" s="760"/>
      <c r="G308" s="752" t="s">
        <v>4569</v>
      </c>
      <c r="H308" s="506" t="s">
        <v>4570</v>
      </c>
      <c r="I308" s="506" t="s">
        <v>4571</v>
      </c>
      <c r="J308" s="439" t="s">
        <v>4572</v>
      </c>
      <c r="K308" s="753"/>
      <c r="L308" s="753">
        <v>69595.95</v>
      </c>
      <c r="M308" s="754">
        <v>43657.0</v>
      </c>
      <c r="N308" s="754">
        <v>43669.0</v>
      </c>
      <c r="O308" s="506" t="s">
        <v>4573</v>
      </c>
      <c r="P308" s="758">
        <v>44035.0</v>
      </c>
      <c r="Q308" s="446"/>
      <c r="R308" s="446"/>
      <c r="S308" s="446"/>
      <c r="T308" s="446"/>
      <c r="U308" s="446"/>
      <c r="V308" s="446"/>
    </row>
    <row r="309" ht="15.75" customHeight="1">
      <c r="A309" s="744">
        <f t="shared" si="4"/>
        <v>-2150</v>
      </c>
      <c r="B309" s="750" t="s">
        <v>4574</v>
      </c>
      <c r="C309" s="744" t="s">
        <v>4568</v>
      </c>
      <c r="D309" s="506"/>
      <c r="E309" s="760"/>
      <c r="F309" s="760"/>
      <c r="G309" s="752" t="s">
        <v>4575</v>
      </c>
      <c r="H309" s="506" t="s">
        <v>4576</v>
      </c>
      <c r="I309" s="506" t="s">
        <v>4577</v>
      </c>
      <c r="J309" s="439" t="s">
        <v>4578</v>
      </c>
      <c r="K309" s="753"/>
      <c r="L309" s="753">
        <v>35955.07</v>
      </c>
      <c r="M309" s="754">
        <v>43640.0</v>
      </c>
      <c r="N309" s="754">
        <v>43651.0</v>
      </c>
      <c r="O309" s="506" t="s">
        <v>4579</v>
      </c>
      <c r="P309" s="758">
        <v>44017.0</v>
      </c>
      <c r="Q309" s="446"/>
      <c r="R309" s="446"/>
      <c r="S309" s="446"/>
      <c r="T309" s="446"/>
      <c r="U309" s="446"/>
      <c r="V309" s="446"/>
    </row>
    <row r="310" ht="15.75" customHeight="1">
      <c r="A310" s="744">
        <f t="shared" si="4"/>
        <v>-2150</v>
      </c>
      <c r="B310" s="750" t="s">
        <v>4580</v>
      </c>
      <c r="C310" s="744" t="s">
        <v>4568</v>
      </c>
      <c r="D310" s="506"/>
      <c r="E310" s="760"/>
      <c r="F310" s="760"/>
      <c r="G310" s="752" t="s">
        <v>4581</v>
      </c>
      <c r="H310" s="506" t="s">
        <v>4582</v>
      </c>
      <c r="I310" s="506" t="s">
        <v>4583</v>
      </c>
      <c r="J310" s="439" t="s">
        <v>4584</v>
      </c>
      <c r="K310" s="753"/>
      <c r="L310" s="753">
        <v>50072.5</v>
      </c>
      <c r="M310" s="754">
        <v>43640.0</v>
      </c>
      <c r="N310" s="754">
        <v>43651.0</v>
      </c>
      <c r="O310" s="506" t="s">
        <v>4585</v>
      </c>
      <c r="P310" s="758">
        <v>44017.0</v>
      </c>
      <c r="Q310" s="446"/>
      <c r="R310" s="446"/>
      <c r="S310" s="446"/>
      <c r="T310" s="446"/>
      <c r="U310" s="446"/>
      <c r="V310" s="446"/>
    </row>
    <row r="311" ht="15.75" customHeight="1">
      <c r="A311" s="744">
        <f t="shared" si="4"/>
        <v>-2150</v>
      </c>
      <c r="B311" s="750" t="s">
        <v>4586</v>
      </c>
      <c r="C311" s="744" t="s">
        <v>4587</v>
      </c>
      <c r="D311" s="506"/>
      <c r="E311" s="760"/>
      <c r="F311" s="760"/>
      <c r="G311" s="752" t="s">
        <v>4588</v>
      </c>
      <c r="H311" s="506" t="s">
        <v>4589</v>
      </c>
      <c r="I311" s="506" t="s">
        <v>4590</v>
      </c>
      <c r="J311" s="439" t="s">
        <v>4591</v>
      </c>
      <c r="K311" s="753"/>
      <c r="L311" s="753">
        <v>6100.0</v>
      </c>
      <c r="M311" s="754">
        <v>43621.0</v>
      </c>
      <c r="N311" s="754">
        <v>43651.0</v>
      </c>
      <c r="O311" s="506" t="s">
        <v>4585</v>
      </c>
      <c r="P311" s="758">
        <v>44017.0</v>
      </c>
      <c r="Q311" s="446"/>
      <c r="R311" s="446"/>
      <c r="S311" s="446"/>
      <c r="T311" s="446"/>
      <c r="U311" s="446"/>
      <c r="V311" s="446"/>
    </row>
    <row r="312" ht="15.75" customHeight="1">
      <c r="A312" s="744">
        <f t="shared" si="4"/>
        <v>-2150</v>
      </c>
      <c r="B312" s="750" t="s">
        <v>4592</v>
      </c>
      <c r="C312" s="744" t="s">
        <v>4593</v>
      </c>
      <c r="D312" s="506"/>
      <c r="E312" s="760"/>
      <c r="F312" s="760"/>
      <c r="G312" s="752" t="s">
        <v>4588</v>
      </c>
      <c r="H312" s="506" t="s">
        <v>4589</v>
      </c>
      <c r="I312" s="506" t="s">
        <v>4594</v>
      </c>
      <c r="J312" s="439" t="s">
        <v>4595</v>
      </c>
      <c r="K312" s="753"/>
      <c r="L312" s="753">
        <v>6200.0</v>
      </c>
      <c r="M312" s="754">
        <v>43621.0</v>
      </c>
      <c r="N312" s="754">
        <v>43651.0</v>
      </c>
      <c r="O312" s="506" t="s">
        <v>4585</v>
      </c>
      <c r="P312" s="758">
        <v>44017.0</v>
      </c>
      <c r="Q312" s="446"/>
      <c r="R312" s="446"/>
      <c r="S312" s="446"/>
      <c r="T312" s="446"/>
      <c r="U312" s="446"/>
      <c r="V312" s="446"/>
    </row>
    <row r="313" ht="15.75" customHeight="1">
      <c r="A313" s="744">
        <f t="shared" si="4"/>
        <v>-2150</v>
      </c>
      <c r="B313" s="750" t="s">
        <v>4596</v>
      </c>
      <c r="C313" s="744" t="s">
        <v>4597</v>
      </c>
      <c r="D313" s="506"/>
      <c r="E313" s="760"/>
      <c r="F313" s="760"/>
      <c r="G313" s="752" t="s">
        <v>4588</v>
      </c>
      <c r="H313" s="506" t="s">
        <v>4589</v>
      </c>
      <c r="I313" s="506" t="s">
        <v>4598</v>
      </c>
      <c r="J313" s="439" t="s">
        <v>4599</v>
      </c>
      <c r="K313" s="753"/>
      <c r="L313" s="753">
        <v>7196.0</v>
      </c>
      <c r="M313" s="754">
        <v>43621.0</v>
      </c>
      <c r="N313" s="754">
        <v>43651.0</v>
      </c>
      <c r="O313" s="508" t="s">
        <v>4585</v>
      </c>
      <c r="P313" s="758">
        <v>44017.0</v>
      </c>
      <c r="Q313" s="446"/>
      <c r="R313" s="446"/>
      <c r="S313" s="446"/>
      <c r="T313" s="446"/>
      <c r="U313" s="446"/>
      <c r="V313" s="446"/>
    </row>
    <row r="314" ht="15.75" customHeight="1">
      <c r="A314" s="744">
        <f t="shared" si="4"/>
        <v>-2150</v>
      </c>
      <c r="B314" s="750" t="s">
        <v>4600</v>
      </c>
      <c r="C314" s="744" t="s">
        <v>4601</v>
      </c>
      <c r="D314" s="506"/>
      <c r="E314" s="760"/>
      <c r="F314" s="760"/>
      <c r="G314" s="752" t="s">
        <v>4588</v>
      </c>
      <c r="H314" s="506" t="s">
        <v>4589</v>
      </c>
      <c r="I314" s="506" t="s">
        <v>4602</v>
      </c>
      <c r="J314" s="439" t="s">
        <v>4603</v>
      </c>
      <c r="K314" s="753"/>
      <c r="L314" s="753">
        <v>35912.4</v>
      </c>
      <c r="M314" s="754">
        <v>43621.0</v>
      </c>
      <c r="N314" s="754">
        <v>43651.0</v>
      </c>
      <c r="O314" s="506" t="s">
        <v>4585</v>
      </c>
      <c r="P314" s="758">
        <v>44017.0</v>
      </c>
      <c r="Q314" s="446"/>
      <c r="R314" s="446"/>
      <c r="S314" s="446"/>
      <c r="T314" s="446"/>
      <c r="U314" s="446"/>
      <c r="V314" s="446"/>
    </row>
    <row r="315" ht="15.75" customHeight="1">
      <c r="A315" s="744">
        <f t="shared" si="4"/>
        <v>-2188</v>
      </c>
      <c r="B315" s="750" t="s">
        <v>4604</v>
      </c>
      <c r="C315" s="744" t="s">
        <v>4605</v>
      </c>
      <c r="D315" s="506"/>
      <c r="E315" s="760"/>
      <c r="F315" s="760"/>
      <c r="G315" s="752" t="s">
        <v>4588</v>
      </c>
      <c r="H315" s="506" t="s">
        <v>4589</v>
      </c>
      <c r="I315" s="506" t="s">
        <v>4606</v>
      </c>
      <c r="J315" s="439" t="s">
        <v>4607</v>
      </c>
      <c r="K315" s="753"/>
      <c r="L315" s="753">
        <v>17361.7</v>
      </c>
      <c r="M315" s="754">
        <v>43621.0</v>
      </c>
      <c r="N315" s="754">
        <v>43651.0</v>
      </c>
      <c r="O315" s="506" t="s">
        <v>4585</v>
      </c>
      <c r="P315" s="758">
        <v>44017.0</v>
      </c>
      <c r="Q315" s="446"/>
      <c r="R315" s="446"/>
      <c r="S315" s="446"/>
      <c r="T315" s="446"/>
      <c r="U315" s="446"/>
      <c r="V315" s="446"/>
    </row>
    <row r="316" ht="15.75" customHeight="1">
      <c r="A316" s="744">
        <f t="shared" si="4"/>
        <v>-2206</v>
      </c>
      <c r="B316" s="750" t="s">
        <v>4608</v>
      </c>
      <c r="C316" s="744" t="s">
        <v>4609</v>
      </c>
      <c r="D316" s="506"/>
      <c r="E316" s="760"/>
      <c r="F316" s="760"/>
      <c r="G316" s="752" t="s">
        <v>4610</v>
      </c>
      <c r="H316" s="506" t="s">
        <v>4611</v>
      </c>
      <c r="I316" s="506" t="s">
        <v>4612</v>
      </c>
      <c r="J316" s="439" t="s">
        <v>4613</v>
      </c>
      <c r="K316" s="753"/>
      <c r="L316" s="753">
        <v>50220.0</v>
      </c>
      <c r="M316" s="754">
        <v>43608.0</v>
      </c>
      <c r="N316" s="754">
        <v>43613.0</v>
      </c>
      <c r="O316" s="506" t="s">
        <v>4614</v>
      </c>
      <c r="P316" s="758">
        <v>43979.0</v>
      </c>
      <c r="Q316" s="446"/>
      <c r="R316" s="446"/>
      <c r="S316" s="446"/>
      <c r="T316" s="446"/>
      <c r="U316" s="446"/>
      <c r="V316" s="446"/>
    </row>
    <row r="317" ht="15.75" customHeight="1">
      <c r="A317" s="744">
        <f t="shared" si="4"/>
        <v>-2206</v>
      </c>
      <c r="B317" s="750" t="s">
        <v>4615</v>
      </c>
      <c r="C317" s="751" t="s">
        <v>4246</v>
      </c>
      <c r="D317" s="506"/>
      <c r="E317" s="760"/>
      <c r="F317" s="760"/>
      <c r="G317" s="752" t="s">
        <v>4616</v>
      </c>
      <c r="H317" s="506" t="s">
        <v>4617</v>
      </c>
      <c r="I317" s="506" t="s">
        <v>4618</v>
      </c>
      <c r="J317" s="439" t="s">
        <v>4619</v>
      </c>
      <c r="K317" s="753"/>
      <c r="L317" s="753">
        <v>100591.2</v>
      </c>
      <c r="M317" s="754">
        <v>43592.0</v>
      </c>
      <c r="N317" s="754">
        <v>43595.0</v>
      </c>
      <c r="O317" s="506" t="s">
        <v>4620</v>
      </c>
      <c r="P317" s="758">
        <v>43961.0</v>
      </c>
      <c r="Q317" s="446"/>
      <c r="R317" s="446"/>
      <c r="S317" s="446"/>
      <c r="T317" s="446"/>
      <c r="U317" s="446"/>
      <c r="V317" s="446"/>
    </row>
    <row r="318" ht="15.75" customHeight="1">
      <c r="A318" s="744">
        <f t="shared" si="4"/>
        <v>-2220</v>
      </c>
      <c r="B318" s="750" t="s">
        <v>4621</v>
      </c>
      <c r="C318" s="744" t="s">
        <v>4622</v>
      </c>
      <c r="D318" s="506"/>
      <c r="E318" s="760"/>
      <c r="F318" s="760"/>
      <c r="G318" s="752" t="s">
        <v>4623</v>
      </c>
      <c r="H318" s="506" t="s">
        <v>4624</v>
      </c>
      <c r="I318" s="506" t="s">
        <v>4625</v>
      </c>
      <c r="J318" s="439" t="s">
        <v>4626</v>
      </c>
      <c r="K318" s="753"/>
      <c r="L318" s="753">
        <v>92000.0</v>
      </c>
      <c r="M318" s="754">
        <v>43592.0</v>
      </c>
      <c r="N318" s="754">
        <v>43595.0</v>
      </c>
      <c r="O318" s="506" t="s">
        <v>4620</v>
      </c>
      <c r="P318" s="758">
        <v>43961.0</v>
      </c>
      <c r="Q318" s="446"/>
      <c r="R318" s="446"/>
      <c r="S318" s="446"/>
      <c r="T318" s="446"/>
      <c r="U318" s="446"/>
      <c r="V318" s="446"/>
    </row>
    <row r="319" ht="15.75" customHeight="1">
      <c r="A319" s="744">
        <f t="shared" si="4"/>
        <v>-2220</v>
      </c>
      <c r="B319" s="750" t="s">
        <v>4627</v>
      </c>
      <c r="C319" s="751" t="s">
        <v>4628</v>
      </c>
      <c r="D319" s="506"/>
      <c r="E319" s="760"/>
      <c r="F319" s="760"/>
      <c r="G319" s="752" t="s">
        <v>4629</v>
      </c>
      <c r="H319" s="506" t="s">
        <v>4630</v>
      </c>
      <c r="I319" s="506" t="s">
        <v>4631</v>
      </c>
      <c r="J319" s="439" t="s">
        <v>4632</v>
      </c>
      <c r="K319" s="753"/>
      <c r="L319" s="753">
        <v>100000.0</v>
      </c>
      <c r="M319" s="754">
        <v>43579.0</v>
      </c>
      <c r="N319" s="754">
        <v>43581.0</v>
      </c>
      <c r="O319" s="506" t="s">
        <v>4633</v>
      </c>
      <c r="P319" s="758">
        <v>43947.0</v>
      </c>
      <c r="Q319" s="446"/>
      <c r="R319" s="446"/>
      <c r="S319" s="446"/>
      <c r="T319" s="446"/>
      <c r="U319" s="446"/>
      <c r="V319" s="446"/>
    </row>
    <row r="320" ht="15.75" customHeight="1">
      <c r="A320" s="744">
        <f t="shared" si="4"/>
        <v>-2220</v>
      </c>
      <c r="B320" s="750" t="s">
        <v>4634</v>
      </c>
      <c r="C320" s="751" t="s">
        <v>4635</v>
      </c>
      <c r="D320" s="506"/>
      <c r="E320" s="760"/>
      <c r="F320" s="760"/>
      <c r="G320" s="752" t="s">
        <v>4636</v>
      </c>
      <c r="H320" s="506" t="s">
        <v>4637</v>
      </c>
      <c r="I320" s="506" t="s">
        <v>4638</v>
      </c>
      <c r="J320" s="439" t="s">
        <v>4639</v>
      </c>
      <c r="K320" s="753"/>
      <c r="L320" s="753">
        <v>21500.0</v>
      </c>
      <c r="M320" s="754">
        <v>43579.0</v>
      </c>
      <c r="N320" s="754">
        <v>43581.0</v>
      </c>
      <c r="O320" s="506" t="s">
        <v>4633</v>
      </c>
      <c r="P320" s="758">
        <v>43947.0</v>
      </c>
      <c r="Q320" s="446"/>
      <c r="R320" s="446"/>
      <c r="S320" s="446"/>
      <c r="T320" s="446"/>
      <c r="U320" s="446"/>
      <c r="V320" s="446"/>
    </row>
    <row r="321" ht="15.75" customHeight="1">
      <c r="A321" s="744">
        <f t="shared" si="4"/>
        <v>-2223</v>
      </c>
      <c r="B321" s="750" t="s">
        <v>4640</v>
      </c>
      <c r="C321" s="751" t="s">
        <v>4641</v>
      </c>
      <c r="D321" s="506"/>
      <c r="E321" s="760"/>
      <c r="F321" s="760"/>
      <c r="G321" s="752" t="s">
        <v>4636</v>
      </c>
      <c r="H321" s="506" t="s">
        <v>4637</v>
      </c>
      <c r="I321" s="506" t="s">
        <v>4638</v>
      </c>
      <c r="J321" s="439" t="s">
        <v>4642</v>
      </c>
      <c r="K321" s="753"/>
      <c r="L321" s="753">
        <v>426650.0</v>
      </c>
      <c r="M321" s="754">
        <v>43579.0</v>
      </c>
      <c r="N321" s="754">
        <v>43581.0</v>
      </c>
      <c r="O321" s="506" t="s">
        <v>4643</v>
      </c>
      <c r="P321" s="758">
        <v>43947.0</v>
      </c>
      <c r="Q321" s="446"/>
      <c r="R321" s="446"/>
      <c r="S321" s="446"/>
      <c r="T321" s="446"/>
      <c r="U321" s="446"/>
      <c r="V321" s="446"/>
    </row>
    <row r="322" ht="15.75" customHeight="1">
      <c r="A322" s="744">
        <f t="shared" si="4"/>
        <v>-2223</v>
      </c>
      <c r="B322" s="750" t="s">
        <v>4644</v>
      </c>
      <c r="C322" s="744" t="s">
        <v>4645</v>
      </c>
      <c r="D322" s="506"/>
      <c r="E322" s="760"/>
      <c r="F322" s="760"/>
      <c r="G322" s="752" t="s">
        <v>4646</v>
      </c>
      <c r="H322" s="506" t="s">
        <v>4647</v>
      </c>
      <c r="I322" s="506" t="s">
        <v>4648</v>
      </c>
      <c r="J322" s="439" t="s">
        <v>4649</v>
      </c>
      <c r="K322" s="753"/>
      <c r="L322" s="753">
        <v>12000.0</v>
      </c>
      <c r="M322" s="754">
        <v>43571.0</v>
      </c>
      <c r="N322" s="754">
        <v>43578.0</v>
      </c>
      <c r="O322" s="506" t="s">
        <v>4650</v>
      </c>
      <c r="P322" s="758">
        <v>43944.0</v>
      </c>
      <c r="Q322" s="446"/>
      <c r="R322" s="446"/>
      <c r="S322" s="446"/>
      <c r="T322" s="446"/>
      <c r="U322" s="446"/>
      <c r="V322" s="446"/>
    </row>
    <row r="323" ht="15.75" customHeight="1">
      <c r="A323" s="744">
        <f t="shared" si="4"/>
        <v>-2223</v>
      </c>
      <c r="B323" s="750" t="s">
        <v>4651</v>
      </c>
      <c r="C323" s="744" t="s">
        <v>4652</v>
      </c>
      <c r="D323" s="506"/>
      <c r="E323" s="760"/>
      <c r="F323" s="760"/>
      <c r="G323" s="752" t="s">
        <v>4653</v>
      </c>
      <c r="H323" s="506" t="s">
        <v>4654</v>
      </c>
      <c r="I323" s="506" t="s">
        <v>4655</v>
      </c>
      <c r="J323" s="439" t="s">
        <v>4655</v>
      </c>
      <c r="K323" s="753"/>
      <c r="L323" s="753">
        <v>34400.0</v>
      </c>
      <c r="M323" s="754">
        <v>43571.0</v>
      </c>
      <c r="N323" s="754">
        <v>43578.0</v>
      </c>
      <c r="O323" s="506" t="s">
        <v>4656</v>
      </c>
      <c r="P323" s="758">
        <v>43944.0</v>
      </c>
      <c r="Q323" s="446"/>
      <c r="R323" s="446"/>
      <c r="S323" s="446"/>
      <c r="T323" s="446"/>
      <c r="U323" s="446"/>
      <c r="V323" s="446"/>
    </row>
    <row r="324" ht="15.75" customHeight="1">
      <c r="A324" s="744">
        <f t="shared" si="4"/>
        <v>-2223</v>
      </c>
      <c r="B324" s="750" t="s">
        <v>4657</v>
      </c>
      <c r="C324" s="744" t="s">
        <v>4658</v>
      </c>
      <c r="D324" s="506"/>
      <c r="E324" s="760"/>
      <c r="F324" s="760"/>
      <c r="G324" s="752" t="s">
        <v>4659</v>
      </c>
      <c r="H324" s="506" t="s">
        <v>4660</v>
      </c>
      <c r="I324" s="506" t="s">
        <v>4661</v>
      </c>
      <c r="J324" s="439" t="s">
        <v>4662</v>
      </c>
      <c r="K324" s="753"/>
      <c r="L324" s="753">
        <v>12094.4</v>
      </c>
      <c r="M324" s="754">
        <v>43565.0</v>
      </c>
      <c r="N324" s="754">
        <v>43578.0</v>
      </c>
      <c r="O324" s="506" t="s">
        <v>4656</v>
      </c>
      <c r="P324" s="758">
        <v>43944.0</v>
      </c>
      <c r="Q324" s="446"/>
      <c r="R324" s="446"/>
      <c r="S324" s="446"/>
      <c r="T324" s="446"/>
      <c r="U324" s="446"/>
      <c r="V324" s="446"/>
    </row>
    <row r="325" ht="15.75" customHeight="1">
      <c r="A325" s="744">
        <f t="shared" si="4"/>
        <v>-2223</v>
      </c>
      <c r="B325" s="750" t="s">
        <v>4663</v>
      </c>
      <c r="C325" s="744" t="s">
        <v>4645</v>
      </c>
      <c r="D325" s="506"/>
      <c r="E325" s="760"/>
      <c r="F325" s="760"/>
      <c r="G325" s="752" t="s">
        <v>4659</v>
      </c>
      <c r="H325" s="506" t="s">
        <v>4660</v>
      </c>
      <c r="I325" s="506" t="s">
        <v>4661</v>
      </c>
      <c r="J325" s="439" t="s">
        <v>4664</v>
      </c>
      <c r="K325" s="753"/>
      <c r="L325" s="753">
        <v>9108.0</v>
      </c>
      <c r="M325" s="754">
        <v>43565.0</v>
      </c>
      <c r="N325" s="754">
        <v>43578.0</v>
      </c>
      <c r="O325" s="506" t="s">
        <v>4656</v>
      </c>
      <c r="P325" s="758">
        <v>43944.0</v>
      </c>
      <c r="Q325" s="446"/>
      <c r="R325" s="446"/>
      <c r="S325" s="446"/>
      <c r="T325" s="446"/>
      <c r="U325" s="446"/>
      <c r="V325" s="446"/>
    </row>
    <row r="326" ht="15.75" customHeight="1">
      <c r="A326" s="744">
        <f t="shared" si="4"/>
        <v>-2256</v>
      </c>
      <c r="B326" s="750" t="s">
        <v>4665</v>
      </c>
      <c r="C326" s="744" t="s">
        <v>4666</v>
      </c>
      <c r="D326" s="506"/>
      <c r="E326" s="760"/>
      <c r="F326" s="760"/>
      <c r="G326" s="752" t="s">
        <v>4659</v>
      </c>
      <c r="H326" s="506" t="s">
        <v>4660</v>
      </c>
      <c r="I326" s="506" t="s">
        <v>4661</v>
      </c>
      <c r="J326" s="439" t="s">
        <v>4667</v>
      </c>
      <c r="K326" s="753"/>
      <c r="L326" s="753">
        <v>53252.9</v>
      </c>
      <c r="M326" s="754">
        <v>43565.0</v>
      </c>
      <c r="N326" s="754">
        <v>43578.0</v>
      </c>
      <c r="O326" s="506" t="s">
        <v>4656</v>
      </c>
      <c r="P326" s="758">
        <v>43944.0</v>
      </c>
      <c r="Q326" s="446"/>
      <c r="R326" s="446"/>
      <c r="S326" s="446"/>
      <c r="T326" s="446"/>
      <c r="U326" s="446"/>
      <c r="V326" s="446"/>
    </row>
    <row r="327" ht="15.75" customHeight="1">
      <c r="A327" s="744">
        <f t="shared" si="4"/>
        <v>-2256</v>
      </c>
      <c r="B327" s="750" t="s">
        <v>4668</v>
      </c>
      <c r="C327" s="744" t="s">
        <v>4669</v>
      </c>
      <c r="D327" s="506"/>
      <c r="E327" s="760"/>
      <c r="F327" s="760"/>
      <c r="G327" s="752" t="s">
        <v>4670</v>
      </c>
      <c r="H327" s="506" t="s">
        <v>4671</v>
      </c>
      <c r="I327" s="506" t="s">
        <v>4672</v>
      </c>
      <c r="J327" s="439" t="s">
        <v>4673</v>
      </c>
      <c r="K327" s="753"/>
      <c r="L327" s="753">
        <v>255516.0</v>
      </c>
      <c r="M327" s="754">
        <v>43525.0</v>
      </c>
      <c r="N327" s="754">
        <v>43546.0</v>
      </c>
      <c r="O327" s="506" t="s">
        <v>4674</v>
      </c>
      <c r="P327" s="758">
        <v>43911.0</v>
      </c>
      <c r="Q327" s="446"/>
      <c r="R327" s="446"/>
      <c r="S327" s="446"/>
      <c r="T327" s="446"/>
      <c r="U327" s="446"/>
      <c r="V327" s="446"/>
    </row>
    <row r="328" ht="15.75" customHeight="1">
      <c r="A328" s="744">
        <f t="shared" si="4"/>
        <v>-2256</v>
      </c>
      <c r="B328" s="750" t="s">
        <v>4675</v>
      </c>
      <c r="C328" s="751" t="s">
        <v>4206</v>
      </c>
      <c r="D328" s="506"/>
      <c r="E328" s="760"/>
      <c r="F328" s="760"/>
      <c r="G328" s="752" t="s">
        <v>4670</v>
      </c>
      <c r="H328" s="506" t="s">
        <v>4671</v>
      </c>
      <c r="I328" s="506" t="s">
        <v>4672</v>
      </c>
      <c r="J328" s="439" t="s">
        <v>4676</v>
      </c>
      <c r="K328" s="753"/>
      <c r="L328" s="753">
        <v>168735.2</v>
      </c>
      <c r="M328" s="754">
        <v>43525.0</v>
      </c>
      <c r="N328" s="754">
        <v>43546.0</v>
      </c>
      <c r="O328" s="506" t="s">
        <v>4674</v>
      </c>
      <c r="P328" s="758">
        <v>43911.0</v>
      </c>
      <c r="Q328" s="446"/>
      <c r="R328" s="446"/>
      <c r="S328" s="446"/>
      <c r="T328" s="446"/>
      <c r="U328" s="446"/>
      <c r="V328" s="446"/>
    </row>
    <row r="329" ht="15.75" customHeight="1">
      <c r="A329" s="744">
        <f t="shared" si="4"/>
        <v>-2256</v>
      </c>
      <c r="B329" s="750" t="s">
        <v>4677</v>
      </c>
      <c r="C329" s="744" t="s">
        <v>4678</v>
      </c>
      <c r="D329" s="506"/>
      <c r="E329" s="760"/>
      <c r="F329" s="760"/>
      <c r="G329" s="752" t="s">
        <v>4670</v>
      </c>
      <c r="H329" s="506" t="s">
        <v>4671</v>
      </c>
      <c r="I329" s="506" t="s">
        <v>4672</v>
      </c>
      <c r="J329" s="439" t="s">
        <v>4679</v>
      </c>
      <c r="K329" s="753"/>
      <c r="L329" s="753">
        <v>267566.4</v>
      </c>
      <c r="M329" s="754">
        <v>43525.0</v>
      </c>
      <c r="N329" s="754">
        <v>43546.0</v>
      </c>
      <c r="O329" s="506" t="s">
        <v>4674</v>
      </c>
      <c r="P329" s="758">
        <v>43911.0</v>
      </c>
      <c r="Q329" s="446"/>
      <c r="R329" s="446"/>
      <c r="S329" s="446"/>
      <c r="T329" s="446"/>
      <c r="U329" s="446"/>
      <c r="V329" s="446"/>
    </row>
    <row r="330" ht="15.75" customHeight="1">
      <c r="A330" s="744">
        <f t="shared" si="4"/>
        <v>-2256</v>
      </c>
      <c r="B330" s="750" t="s">
        <v>4680</v>
      </c>
      <c r="C330" s="744" t="s">
        <v>4681</v>
      </c>
      <c r="D330" s="506"/>
      <c r="E330" s="760"/>
      <c r="F330" s="760"/>
      <c r="G330" s="752" t="s">
        <v>4670</v>
      </c>
      <c r="H330" s="506" t="s">
        <v>4671</v>
      </c>
      <c r="I330" s="506" t="s">
        <v>4672</v>
      </c>
      <c r="J330" s="439" t="s">
        <v>4682</v>
      </c>
      <c r="K330" s="753"/>
      <c r="L330" s="753">
        <v>167350.0</v>
      </c>
      <c r="M330" s="754">
        <v>43525.0</v>
      </c>
      <c r="N330" s="754">
        <v>43546.0</v>
      </c>
      <c r="O330" s="506" t="s">
        <v>4674</v>
      </c>
      <c r="P330" s="758">
        <v>43911.0</v>
      </c>
      <c r="Q330" s="446"/>
      <c r="R330" s="446"/>
      <c r="S330" s="446"/>
      <c r="T330" s="446"/>
      <c r="U330" s="446"/>
      <c r="V330" s="446"/>
    </row>
    <row r="331" ht="15.75" customHeight="1">
      <c r="A331" s="744">
        <f t="shared" si="4"/>
        <v>-2256</v>
      </c>
      <c r="B331" s="750" t="s">
        <v>4683</v>
      </c>
      <c r="C331" s="744" t="s">
        <v>4684</v>
      </c>
      <c r="D331" s="506"/>
      <c r="E331" s="760"/>
      <c r="F331" s="760"/>
      <c r="G331" s="752" t="s">
        <v>4670</v>
      </c>
      <c r="H331" s="506" t="s">
        <v>4671</v>
      </c>
      <c r="I331" s="506" t="s">
        <v>4672</v>
      </c>
      <c r="J331" s="439" t="s">
        <v>4685</v>
      </c>
      <c r="K331" s="753"/>
      <c r="L331" s="753">
        <v>164856.0</v>
      </c>
      <c r="M331" s="754">
        <v>43525.0</v>
      </c>
      <c r="N331" s="754">
        <v>43546.0</v>
      </c>
      <c r="O331" s="506" t="s">
        <v>4674</v>
      </c>
      <c r="P331" s="758">
        <v>43911.0</v>
      </c>
      <c r="Q331" s="446"/>
      <c r="R331" s="446"/>
      <c r="S331" s="446"/>
      <c r="T331" s="446"/>
      <c r="U331" s="446"/>
      <c r="V331" s="446"/>
    </row>
    <row r="332" ht="15.75" customHeight="1">
      <c r="A332" s="744">
        <f t="shared" si="4"/>
        <v>-2256</v>
      </c>
      <c r="B332" s="750" t="s">
        <v>4686</v>
      </c>
      <c r="C332" s="744" t="s">
        <v>4687</v>
      </c>
      <c r="D332" s="506"/>
      <c r="E332" s="760"/>
      <c r="F332" s="760"/>
      <c r="G332" s="752" t="s">
        <v>4670</v>
      </c>
      <c r="H332" s="506" t="s">
        <v>4671</v>
      </c>
      <c r="I332" s="506" t="s">
        <v>4672</v>
      </c>
      <c r="J332" s="439" t="s">
        <v>4688</v>
      </c>
      <c r="K332" s="753"/>
      <c r="L332" s="753">
        <v>90000.0</v>
      </c>
      <c r="M332" s="754">
        <v>43525.0</v>
      </c>
      <c r="N332" s="754">
        <v>43546.0</v>
      </c>
      <c r="O332" s="506" t="s">
        <v>4674</v>
      </c>
      <c r="P332" s="758">
        <v>43911.0</v>
      </c>
      <c r="Q332" s="446"/>
      <c r="R332" s="446"/>
      <c r="S332" s="446"/>
      <c r="T332" s="446"/>
      <c r="U332" s="446"/>
      <c r="V332" s="446"/>
    </row>
    <row r="333" ht="15.75" customHeight="1">
      <c r="A333" s="744">
        <f t="shared" si="4"/>
        <v>-2256</v>
      </c>
      <c r="B333" s="750" t="s">
        <v>4689</v>
      </c>
      <c r="C333" s="751" t="s">
        <v>4016</v>
      </c>
      <c r="D333" s="506"/>
      <c r="E333" s="760"/>
      <c r="F333" s="760"/>
      <c r="G333" s="752" t="s">
        <v>4670</v>
      </c>
      <c r="H333" s="506" t="s">
        <v>4671</v>
      </c>
      <c r="I333" s="506" t="s">
        <v>4672</v>
      </c>
      <c r="J333" s="439" t="s">
        <v>4690</v>
      </c>
      <c r="K333" s="753"/>
      <c r="L333" s="753">
        <v>284076.0</v>
      </c>
      <c r="M333" s="754">
        <v>43525.0</v>
      </c>
      <c r="N333" s="754">
        <v>43546.0</v>
      </c>
      <c r="O333" s="506" t="s">
        <v>4674</v>
      </c>
      <c r="P333" s="758">
        <v>43911.0</v>
      </c>
      <c r="Q333" s="446"/>
      <c r="R333" s="446"/>
      <c r="S333" s="446"/>
      <c r="T333" s="446"/>
      <c r="U333" s="446"/>
      <c r="V333" s="446"/>
    </row>
    <row r="334" ht="15.75" customHeight="1">
      <c r="A334" s="744">
        <f t="shared" si="4"/>
        <v>-2269</v>
      </c>
      <c r="B334" s="750" t="s">
        <v>4691</v>
      </c>
      <c r="C334" s="744" t="s">
        <v>4692</v>
      </c>
      <c r="D334" s="506"/>
      <c r="E334" s="760"/>
      <c r="F334" s="760"/>
      <c r="G334" s="752" t="s">
        <v>4670</v>
      </c>
      <c r="H334" s="506" t="s">
        <v>4671</v>
      </c>
      <c r="I334" s="506" t="s">
        <v>4672</v>
      </c>
      <c r="J334" s="439" t="s">
        <v>4693</v>
      </c>
      <c r="K334" s="753"/>
      <c r="L334" s="753">
        <v>402886.8</v>
      </c>
      <c r="M334" s="754">
        <v>43525.0</v>
      </c>
      <c r="N334" s="754">
        <v>43546.0</v>
      </c>
      <c r="O334" s="506" t="s">
        <v>4674</v>
      </c>
      <c r="P334" s="758">
        <v>43911.0</v>
      </c>
      <c r="Q334" s="446"/>
      <c r="R334" s="446"/>
      <c r="S334" s="446"/>
      <c r="T334" s="446"/>
      <c r="U334" s="446"/>
      <c r="V334" s="446"/>
    </row>
    <row r="335" ht="15.75" customHeight="1">
      <c r="A335" s="744">
        <f t="shared" si="4"/>
        <v>-2269</v>
      </c>
      <c r="B335" s="750" t="s">
        <v>4694</v>
      </c>
      <c r="C335" s="744" t="s">
        <v>4695</v>
      </c>
      <c r="D335" s="506"/>
      <c r="E335" s="760"/>
      <c r="F335" s="760"/>
      <c r="G335" s="752" t="s">
        <v>4696</v>
      </c>
      <c r="H335" s="506" t="s">
        <v>4697</v>
      </c>
      <c r="I335" s="506" t="s">
        <v>4698</v>
      </c>
      <c r="J335" s="439" t="s">
        <v>4699</v>
      </c>
      <c r="K335" s="753"/>
      <c r="L335" s="753">
        <v>446550.0</v>
      </c>
      <c r="M335" s="754">
        <v>43523.0</v>
      </c>
      <c r="N335" s="754">
        <v>43532.0</v>
      </c>
      <c r="O335" s="506" t="s">
        <v>4700</v>
      </c>
      <c r="P335" s="758">
        <v>43898.0</v>
      </c>
      <c r="Q335" s="446"/>
      <c r="R335" s="446"/>
      <c r="S335" s="446"/>
      <c r="T335" s="446"/>
      <c r="U335" s="446"/>
      <c r="V335" s="446"/>
    </row>
    <row r="336" ht="15.75" customHeight="1">
      <c r="A336" s="744">
        <f t="shared" si="4"/>
        <v>-2269</v>
      </c>
      <c r="B336" s="750" t="s">
        <v>4701</v>
      </c>
      <c r="C336" s="744" t="s">
        <v>4593</v>
      </c>
      <c r="D336" s="506"/>
      <c r="E336" s="760"/>
      <c r="F336" s="760"/>
      <c r="G336" s="752" t="s">
        <v>4702</v>
      </c>
      <c r="H336" s="506" t="s">
        <v>4703</v>
      </c>
      <c r="I336" s="506" t="s">
        <v>4704</v>
      </c>
      <c r="J336" s="439" t="s">
        <v>4705</v>
      </c>
      <c r="K336" s="753"/>
      <c r="L336" s="753">
        <v>38110.0</v>
      </c>
      <c r="M336" s="754">
        <v>43514.0</v>
      </c>
      <c r="N336" s="754">
        <v>43532.0</v>
      </c>
      <c r="O336" s="506" t="s">
        <v>4706</v>
      </c>
      <c r="P336" s="758">
        <v>43898.0</v>
      </c>
      <c r="Q336" s="446"/>
      <c r="R336" s="446"/>
      <c r="S336" s="446"/>
      <c r="T336" s="446"/>
      <c r="U336" s="446"/>
      <c r="V336" s="446"/>
    </row>
    <row r="337" ht="15.75" customHeight="1">
      <c r="A337" s="744">
        <f t="shared" si="4"/>
        <v>-2269</v>
      </c>
      <c r="B337" s="750" t="s">
        <v>4707</v>
      </c>
      <c r="C337" s="744" t="s">
        <v>4708</v>
      </c>
      <c r="D337" s="506"/>
      <c r="E337" s="760"/>
      <c r="F337" s="760"/>
      <c r="G337" s="752" t="s">
        <v>4702</v>
      </c>
      <c r="H337" s="506" t="s">
        <v>4703</v>
      </c>
      <c r="I337" s="506" t="s">
        <v>4704</v>
      </c>
      <c r="J337" s="439" t="s">
        <v>4709</v>
      </c>
      <c r="K337" s="753"/>
      <c r="L337" s="753">
        <v>87698.4</v>
      </c>
      <c r="M337" s="754">
        <v>43514.0</v>
      </c>
      <c r="N337" s="754">
        <v>43532.0</v>
      </c>
      <c r="O337" s="506" t="s">
        <v>4706</v>
      </c>
      <c r="P337" s="758">
        <v>43898.0</v>
      </c>
      <c r="Q337" s="446"/>
      <c r="R337" s="446"/>
      <c r="S337" s="446"/>
      <c r="T337" s="446"/>
      <c r="U337" s="446"/>
      <c r="V337" s="446"/>
    </row>
    <row r="338" ht="15.75" customHeight="1">
      <c r="A338" s="744">
        <f t="shared" si="4"/>
        <v>-2269</v>
      </c>
      <c r="B338" s="750" t="s">
        <v>4710</v>
      </c>
      <c r="C338" s="744" t="s">
        <v>4711</v>
      </c>
      <c r="D338" s="506"/>
      <c r="E338" s="760"/>
      <c r="F338" s="760"/>
      <c r="G338" s="752" t="s">
        <v>4702</v>
      </c>
      <c r="H338" s="506" t="s">
        <v>4703</v>
      </c>
      <c r="I338" s="506" t="s">
        <v>4704</v>
      </c>
      <c r="J338" s="439" t="s">
        <v>4712</v>
      </c>
      <c r="K338" s="753"/>
      <c r="L338" s="753">
        <v>32989.1</v>
      </c>
      <c r="M338" s="754">
        <v>43514.0</v>
      </c>
      <c r="N338" s="754">
        <v>43532.0</v>
      </c>
      <c r="O338" s="506" t="s">
        <v>4706</v>
      </c>
      <c r="P338" s="758">
        <v>43898.0</v>
      </c>
      <c r="Q338" s="446"/>
      <c r="R338" s="446"/>
      <c r="S338" s="446"/>
      <c r="T338" s="446"/>
      <c r="U338" s="446"/>
      <c r="V338" s="446"/>
    </row>
    <row r="339" ht="15.75" customHeight="1">
      <c r="A339" s="744">
        <f t="shared" si="4"/>
        <v>-2269</v>
      </c>
      <c r="B339" s="750" t="s">
        <v>4713</v>
      </c>
      <c r="C339" s="744" t="s">
        <v>4605</v>
      </c>
      <c r="D339" s="506"/>
      <c r="E339" s="760"/>
      <c r="F339" s="760"/>
      <c r="G339" s="752" t="s">
        <v>4702</v>
      </c>
      <c r="H339" s="506" t="s">
        <v>4703</v>
      </c>
      <c r="I339" s="506" t="s">
        <v>4704</v>
      </c>
      <c r="J339" s="439" t="s">
        <v>4714</v>
      </c>
      <c r="K339" s="753"/>
      <c r="L339" s="753">
        <v>2728.8</v>
      </c>
      <c r="M339" s="754">
        <v>43514.0</v>
      </c>
      <c r="N339" s="754">
        <v>43532.0</v>
      </c>
      <c r="O339" s="506" t="s">
        <v>4706</v>
      </c>
      <c r="P339" s="758">
        <v>43898.0</v>
      </c>
      <c r="Q339" s="446"/>
      <c r="R339" s="446"/>
      <c r="S339" s="446"/>
      <c r="T339" s="446"/>
      <c r="U339" s="446"/>
      <c r="V339" s="446"/>
    </row>
    <row r="340" ht="15.75" customHeight="1">
      <c r="A340" s="744">
        <f t="shared" si="4"/>
        <v>-2269</v>
      </c>
      <c r="B340" s="750" t="s">
        <v>4715</v>
      </c>
      <c r="C340" s="744" t="s">
        <v>4601</v>
      </c>
      <c r="D340" s="506"/>
      <c r="E340" s="760"/>
      <c r="F340" s="760"/>
      <c r="G340" s="752" t="s">
        <v>4702</v>
      </c>
      <c r="H340" s="506" t="s">
        <v>4703</v>
      </c>
      <c r="I340" s="506" t="s">
        <v>4704</v>
      </c>
      <c r="J340" s="439" t="s">
        <v>4716</v>
      </c>
      <c r="K340" s="753"/>
      <c r="L340" s="753">
        <v>70669.6</v>
      </c>
      <c r="M340" s="754">
        <v>43514.0</v>
      </c>
      <c r="N340" s="754">
        <v>43532.0</v>
      </c>
      <c r="O340" s="506" t="s">
        <v>4706</v>
      </c>
      <c r="P340" s="758">
        <v>43898.0</v>
      </c>
      <c r="Q340" s="446"/>
      <c r="R340" s="446"/>
      <c r="S340" s="446"/>
      <c r="T340" s="446"/>
      <c r="U340" s="446"/>
      <c r="V340" s="446"/>
    </row>
    <row r="341" ht="15.75" customHeight="1">
      <c r="A341" s="744">
        <f t="shared" si="4"/>
        <v>-2269</v>
      </c>
      <c r="B341" s="750" t="s">
        <v>4717</v>
      </c>
      <c r="C341" s="744" t="s">
        <v>4718</v>
      </c>
      <c r="D341" s="506"/>
      <c r="E341" s="760"/>
      <c r="F341" s="760"/>
      <c r="G341" s="752" t="s">
        <v>4702</v>
      </c>
      <c r="H341" s="506" t="s">
        <v>4703</v>
      </c>
      <c r="I341" s="506" t="s">
        <v>4704</v>
      </c>
      <c r="J341" s="439" t="s">
        <v>4719</v>
      </c>
      <c r="K341" s="753"/>
      <c r="L341" s="753">
        <v>52645.0</v>
      </c>
      <c r="M341" s="754">
        <v>43514.0</v>
      </c>
      <c r="N341" s="754">
        <v>43532.0</v>
      </c>
      <c r="O341" s="506" t="s">
        <v>4706</v>
      </c>
      <c r="P341" s="758">
        <v>43898.0</v>
      </c>
      <c r="Q341" s="446"/>
      <c r="R341" s="446"/>
      <c r="S341" s="446"/>
      <c r="T341" s="446"/>
      <c r="U341" s="446"/>
      <c r="V341" s="446"/>
    </row>
    <row r="342" ht="15.75" customHeight="1">
      <c r="A342" s="744">
        <f t="shared" si="4"/>
        <v>-2269</v>
      </c>
      <c r="B342" s="750" t="s">
        <v>4720</v>
      </c>
      <c r="C342" s="744" t="s">
        <v>4721</v>
      </c>
      <c r="D342" s="506"/>
      <c r="E342" s="760"/>
      <c r="F342" s="760"/>
      <c r="G342" s="752" t="s">
        <v>4702</v>
      </c>
      <c r="H342" s="506" t="s">
        <v>4703</v>
      </c>
      <c r="I342" s="506" t="s">
        <v>4704</v>
      </c>
      <c r="J342" s="439" t="s">
        <v>4722</v>
      </c>
      <c r="K342" s="753"/>
      <c r="L342" s="753">
        <v>19589.7</v>
      </c>
      <c r="M342" s="754">
        <v>43514.0</v>
      </c>
      <c r="N342" s="754">
        <v>43532.0</v>
      </c>
      <c r="O342" s="506" t="s">
        <v>4706</v>
      </c>
      <c r="P342" s="758">
        <v>43898.0</v>
      </c>
      <c r="Q342" s="446"/>
      <c r="R342" s="446"/>
      <c r="S342" s="446"/>
      <c r="T342" s="446"/>
      <c r="U342" s="446"/>
      <c r="V342" s="446"/>
    </row>
    <row r="343" ht="15.75" customHeight="1">
      <c r="A343" s="744">
        <f t="shared" si="4"/>
        <v>-2284</v>
      </c>
      <c r="B343" s="750" t="s">
        <v>4723</v>
      </c>
      <c r="C343" s="744" t="s">
        <v>4587</v>
      </c>
      <c r="D343" s="506"/>
      <c r="E343" s="760"/>
      <c r="F343" s="760"/>
      <c r="G343" s="752" t="s">
        <v>4702</v>
      </c>
      <c r="H343" s="506" t="s">
        <v>4703</v>
      </c>
      <c r="I343" s="506" t="s">
        <v>4704</v>
      </c>
      <c r="J343" s="439" t="s">
        <v>4724</v>
      </c>
      <c r="K343" s="753"/>
      <c r="L343" s="753">
        <v>30284.99</v>
      </c>
      <c r="M343" s="754">
        <v>43514.0</v>
      </c>
      <c r="N343" s="754">
        <v>43532.0</v>
      </c>
      <c r="O343" s="506" t="s">
        <v>4706</v>
      </c>
      <c r="P343" s="758">
        <v>43898.0</v>
      </c>
      <c r="Q343" s="446"/>
      <c r="R343" s="446"/>
      <c r="S343" s="446"/>
      <c r="T343" s="446"/>
      <c r="U343" s="446"/>
      <c r="V343" s="446"/>
    </row>
    <row r="344" ht="15.75" customHeight="1">
      <c r="A344" s="744">
        <f t="shared" si="4"/>
        <v>-2284</v>
      </c>
      <c r="B344" s="750" t="s">
        <v>4725</v>
      </c>
      <c r="C344" s="744" t="s">
        <v>4726</v>
      </c>
      <c r="D344" s="506"/>
      <c r="E344" s="760"/>
      <c r="F344" s="760"/>
      <c r="G344" s="752" t="s">
        <v>4727</v>
      </c>
      <c r="H344" s="506" t="s">
        <v>4728</v>
      </c>
      <c r="I344" s="506" t="s">
        <v>4729</v>
      </c>
      <c r="J344" s="439" t="s">
        <v>4730</v>
      </c>
      <c r="K344" s="753"/>
      <c r="L344" s="753">
        <v>7920581.06</v>
      </c>
      <c r="M344" s="754">
        <v>43514.0</v>
      </c>
      <c r="N344" s="754">
        <v>43518.0</v>
      </c>
      <c r="O344" s="506" t="s">
        <v>4731</v>
      </c>
      <c r="P344" s="758">
        <v>43883.0</v>
      </c>
      <c r="Q344" s="446"/>
      <c r="R344" s="446"/>
      <c r="S344" s="446"/>
      <c r="T344" s="446"/>
      <c r="U344" s="446"/>
      <c r="V344" s="446"/>
    </row>
    <row r="345" ht="15.75" customHeight="1">
      <c r="A345" s="744">
        <f t="shared" si="4"/>
        <v>-2284</v>
      </c>
      <c r="B345" s="750" t="s">
        <v>4732</v>
      </c>
      <c r="C345" s="751" t="s">
        <v>4197</v>
      </c>
      <c r="D345" s="506"/>
      <c r="E345" s="760"/>
      <c r="F345" s="760"/>
      <c r="G345" s="752" t="s">
        <v>4733</v>
      </c>
      <c r="H345" s="506" t="s">
        <v>4734</v>
      </c>
      <c r="I345" s="506" t="s">
        <v>4735</v>
      </c>
      <c r="J345" s="439" t="s">
        <v>4736</v>
      </c>
      <c r="K345" s="753"/>
      <c r="L345" s="753">
        <v>77442.0</v>
      </c>
      <c r="M345" s="754">
        <v>43509.0</v>
      </c>
      <c r="N345" s="754">
        <v>43518.0</v>
      </c>
      <c r="O345" s="506" t="s">
        <v>4731</v>
      </c>
      <c r="P345" s="758">
        <v>43883.0</v>
      </c>
      <c r="Q345" s="446"/>
      <c r="R345" s="446"/>
      <c r="S345" s="446"/>
      <c r="T345" s="446"/>
      <c r="U345" s="446"/>
      <c r="V345" s="446"/>
    </row>
    <row r="346" ht="15.75" customHeight="1">
      <c r="A346" s="744">
        <f t="shared" si="4"/>
        <v>-2284</v>
      </c>
      <c r="B346" s="750" t="s">
        <v>4737</v>
      </c>
      <c r="C346" s="744" t="s">
        <v>4669</v>
      </c>
      <c r="D346" s="506"/>
      <c r="E346" s="760"/>
      <c r="F346" s="760"/>
      <c r="G346" s="752" t="s">
        <v>4733</v>
      </c>
      <c r="H346" s="506" t="s">
        <v>4734</v>
      </c>
      <c r="I346" s="506" t="s">
        <v>4735</v>
      </c>
      <c r="J346" s="439" t="s">
        <v>4738</v>
      </c>
      <c r="K346" s="753"/>
      <c r="L346" s="753">
        <v>257736.0</v>
      </c>
      <c r="M346" s="754">
        <v>43509.0</v>
      </c>
      <c r="N346" s="754">
        <v>43518.0</v>
      </c>
      <c r="O346" s="506" t="s">
        <v>4731</v>
      </c>
      <c r="P346" s="758">
        <v>43883.0</v>
      </c>
      <c r="Q346" s="446"/>
      <c r="R346" s="446"/>
      <c r="S346" s="446"/>
      <c r="T346" s="446"/>
      <c r="U346" s="446"/>
      <c r="V346" s="446"/>
    </row>
    <row r="347" ht="15.75" customHeight="1">
      <c r="A347" s="744">
        <f t="shared" si="4"/>
        <v>-2284</v>
      </c>
      <c r="B347" s="750" t="s">
        <v>4739</v>
      </c>
      <c r="C347" s="751" t="s">
        <v>4016</v>
      </c>
      <c r="D347" s="506"/>
      <c r="E347" s="760"/>
      <c r="F347" s="760"/>
      <c r="G347" s="752" t="s">
        <v>4733</v>
      </c>
      <c r="H347" s="506" t="s">
        <v>4734</v>
      </c>
      <c r="I347" s="506" t="s">
        <v>4735</v>
      </c>
      <c r="J347" s="439" t="s">
        <v>4740</v>
      </c>
      <c r="K347" s="753"/>
      <c r="L347" s="753">
        <v>160317.6</v>
      </c>
      <c r="M347" s="754">
        <v>43509.0</v>
      </c>
      <c r="N347" s="754">
        <v>43518.0</v>
      </c>
      <c r="O347" s="506" t="s">
        <v>4731</v>
      </c>
      <c r="P347" s="758">
        <v>43883.0</v>
      </c>
      <c r="Q347" s="446"/>
      <c r="R347" s="446"/>
      <c r="S347" s="446"/>
      <c r="T347" s="446"/>
      <c r="U347" s="446"/>
      <c r="V347" s="446"/>
    </row>
    <row r="348" ht="15.75" customHeight="1">
      <c r="A348" s="744">
        <f t="shared" si="4"/>
        <v>-2284</v>
      </c>
      <c r="B348" s="750" t="s">
        <v>4741</v>
      </c>
      <c r="C348" s="751" t="s">
        <v>4206</v>
      </c>
      <c r="D348" s="506"/>
      <c r="E348" s="760"/>
      <c r="F348" s="760"/>
      <c r="G348" s="752" t="s">
        <v>4733</v>
      </c>
      <c r="H348" s="506" t="s">
        <v>4734</v>
      </c>
      <c r="I348" s="506" t="s">
        <v>4735</v>
      </c>
      <c r="J348" s="439" t="s">
        <v>4742</v>
      </c>
      <c r="K348" s="753"/>
      <c r="L348" s="753">
        <v>220732.8</v>
      </c>
      <c r="M348" s="754">
        <v>43509.0</v>
      </c>
      <c r="N348" s="754">
        <v>43518.0</v>
      </c>
      <c r="O348" s="506" t="s">
        <v>4731</v>
      </c>
      <c r="P348" s="758">
        <v>43883.0</v>
      </c>
      <c r="Q348" s="446"/>
      <c r="R348" s="446"/>
      <c r="S348" s="446"/>
      <c r="T348" s="446"/>
      <c r="U348" s="446"/>
      <c r="V348" s="446"/>
    </row>
    <row r="349" ht="15.75" customHeight="1">
      <c r="A349" s="744">
        <f t="shared" si="4"/>
        <v>-2284</v>
      </c>
      <c r="B349" s="750" t="s">
        <v>2078</v>
      </c>
      <c r="C349" s="744" t="s">
        <v>4743</v>
      </c>
      <c r="D349" s="506"/>
      <c r="E349" s="760"/>
      <c r="F349" s="760"/>
      <c r="G349" s="752" t="s">
        <v>4733</v>
      </c>
      <c r="H349" s="506" t="s">
        <v>4734</v>
      </c>
      <c r="I349" s="506" t="s">
        <v>4735</v>
      </c>
      <c r="J349" s="439" t="s">
        <v>4744</v>
      </c>
      <c r="K349" s="753"/>
      <c r="L349" s="753">
        <v>46080.0</v>
      </c>
      <c r="M349" s="754">
        <v>43509.0</v>
      </c>
      <c r="N349" s="754">
        <v>43518.0</v>
      </c>
      <c r="O349" s="506" t="s">
        <v>4731</v>
      </c>
      <c r="P349" s="758">
        <v>43883.0</v>
      </c>
      <c r="Q349" s="446"/>
      <c r="R349" s="446"/>
      <c r="S349" s="446"/>
      <c r="T349" s="446"/>
      <c r="U349" s="446"/>
      <c r="V349" s="446"/>
    </row>
    <row r="350" ht="15.75" customHeight="1">
      <c r="A350" s="744">
        <f t="shared" si="4"/>
        <v>-2284</v>
      </c>
      <c r="B350" s="750" t="s">
        <v>2182</v>
      </c>
      <c r="C350" s="744" t="s">
        <v>4745</v>
      </c>
      <c r="D350" s="506"/>
      <c r="E350" s="760"/>
      <c r="F350" s="760"/>
      <c r="G350" s="752" t="s">
        <v>4733</v>
      </c>
      <c r="H350" s="506" t="s">
        <v>4734</v>
      </c>
      <c r="I350" s="506" t="s">
        <v>4735</v>
      </c>
      <c r="J350" s="439" t="s">
        <v>4746</v>
      </c>
      <c r="K350" s="753"/>
      <c r="L350" s="753">
        <v>135540.0</v>
      </c>
      <c r="M350" s="754">
        <v>43509.0</v>
      </c>
      <c r="N350" s="754">
        <v>43518.0</v>
      </c>
      <c r="O350" s="506" t="s">
        <v>4731</v>
      </c>
      <c r="P350" s="758">
        <v>43883.0</v>
      </c>
      <c r="Q350" s="446"/>
      <c r="R350" s="446"/>
      <c r="S350" s="446"/>
      <c r="T350" s="446"/>
      <c r="U350" s="446"/>
      <c r="V350" s="446"/>
    </row>
    <row r="351" ht="15.75" customHeight="1">
      <c r="A351" s="744">
        <f t="shared" si="4"/>
        <v>-2284</v>
      </c>
      <c r="B351" s="750" t="s">
        <v>2149</v>
      </c>
      <c r="C351" s="744" t="s">
        <v>4747</v>
      </c>
      <c r="D351" s="506"/>
      <c r="E351" s="760"/>
      <c r="F351" s="760"/>
      <c r="G351" s="752" t="s">
        <v>4733</v>
      </c>
      <c r="H351" s="506" t="s">
        <v>4734</v>
      </c>
      <c r="I351" s="506" t="s">
        <v>4735</v>
      </c>
      <c r="J351" s="439" t="s">
        <v>4748</v>
      </c>
      <c r="K351" s="753"/>
      <c r="L351" s="753">
        <v>24384.0</v>
      </c>
      <c r="M351" s="754">
        <v>43509.0</v>
      </c>
      <c r="N351" s="754">
        <v>43518.0</v>
      </c>
      <c r="O351" s="506" t="s">
        <v>4731</v>
      </c>
      <c r="P351" s="758">
        <v>43883.0</v>
      </c>
      <c r="Q351" s="446"/>
      <c r="R351" s="446"/>
      <c r="S351" s="446"/>
      <c r="T351" s="446"/>
      <c r="U351" s="446"/>
      <c r="V351" s="446"/>
    </row>
    <row r="352" ht="15.75" customHeight="1">
      <c r="A352" s="744">
        <f t="shared" si="4"/>
        <v>-2284</v>
      </c>
      <c r="B352" s="750" t="s">
        <v>2479</v>
      </c>
      <c r="C352" s="744" t="s">
        <v>4749</v>
      </c>
      <c r="D352" s="506"/>
      <c r="E352" s="760"/>
      <c r="F352" s="760"/>
      <c r="G352" s="752" t="s">
        <v>4733</v>
      </c>
      <c r="H352" s="506" t="s">
        <v>4734</v>
      </c>
      <c r="I352" s="506" t="s">
        <v>4735</v>
      </c>
      <c r="J352" s="439" t="s">
        <v>4750</v>
      </c>
      <c r="K352" s="753"/>
      <c r="L352" s="753">
        <v>215037.6</v>
      </c>
      <c r="M352" s="754">
        <v>43509.0</v>
      </c>
      <c r="N352" s="754">
        <v>43518.0</v>
      </c>
      <c r="O352" s="506" t="s">
        <v>4731</v>
      </c>
      <c r="P352" s="758">
        <v>43883.0</v>
      </c>
      <c r="Q352" s="446"/>
      <c r="R352" s="446"/>
      <c r="S352" s="446"/>
      <c r="T352" s="446"/>
      <c r="U352" s="446"/>
      <c r="V352" s="446"/>
    </row>
    <row r="353" ht="15.75" customHeight="1">
      <c r="A353" s="744">
        <f t="shared" si="4"/>
        <v>-2284</v>
      </c>
      <c r="B353" s="750" t="s">
        <v>2103</v>
      </c>
      <c r="C353" s="744" t="s">
        <v>4684</v>
      </c>
      <c r="D353" s="506"/>
      <c r="E353" s="760"/>
      <c r="F353" s="760"/>
      <c r="G353" s="752" t="s">
        <v>4733</v>
      </c>
      <c r="H353" s="506" t="s">
        <v>4734</v>
      </c>
      <c r="I353" s="506" t="s">
        <v>4735</v>
      </c>
      <c r="J353" s="439" t="s">
        <v>4751</v>
      </c>
      <c r="K353" s="753"/>
      <c r="L353" s="753">
        <v>35292.0</v>
      </c>
      <c r="M353" s="754">
        <v>43509.0</v>
      </c>
      <c r="N353" s="754">
        <v>43518.0</v>
      </c>
      <c r="O353" s="506" t="s">
        <v>4731</v>
      </c>
      <c r="P353" s="758">
        <v>43883.0</v>
      </c>
      <c r="Q353" s="446"/>
      <c r="R353" s="446"/>
      <c r="S353" s="446"/>
      <c r="T353" s="446"/>
      <c r="U353" s="446"/>
      <c r="V353" s="446"/>
    </row>
    <row r="354" ht="15.75" customHeight="1">
      <c r="A354" s="744">
        <f t="shared" si="4"/>
        <v>-2284</v>
      </c>
      <c r="B354" s="750" t="s">
        <v>2071</v>
      </c>
      <c r="C354" s="744" t="s">
        <v>4752</v>
      </c>
      <c r="D354" s="506"/>
      <c r="E354" s="760"/>
      <c r="F354" s="760"/>
      <c r="G354" s="752" t="s">
        <v>4753</v>
      </c>
      <c r="H354" s="506" t="s">
        <v>4754</v>
      </c>
      <c r="I354" s="506" t="s">
        <v>4755</v>
      </c>
      <c r="J354" s="439" t="s">
        <v>4756</v>
      </c>
      <c r="K354" s="753"/>
      <c r="L354" s="753">
        <v>36000.0</v>
      </c>
      <c r="M354" s="754">
        <v>43497.0</v>
      </c>
      <c r="N354" s="754">
        <v>43518.0</v>
      </c>
      <c r="O354" s="506" t="s">
        <v>4731</v>
      </c>
      <c r="P354" s="758">
        <v>43883.0</v>
      </c>
      <c r="Q354" s="446"/>
      <c r="R354" s="446"/>
      <c r="S354" s="446"/>
      <c r="T354" s="446"/>
      <c r="U354" s="446"/>
      <c r="V354" s="446"/>
    </row>
    <row r="355" ht="15.75" customHeight="1">
      <c r="A355" s="744">
        <f t="shared" si="4"/>
        <v>-2284</v>
      </c>
      <c r="B355" s="750" t="s">
        <v>2201</v>
      </c>
      <c r="C355" s="744" t="s">
        <v>4684</v>
      </c>
      <c r="D355" s="506"/>
      <c r="E355" s="760"/>
      <c r="F355" s="760"/>
      <c r="G355" s="752" t="s">
        <v>4753</v>
      </c>
      <c r="H355" s="506" t="s">
        <v>4754</v>
      </c>
      <c r="I355" s="506" t="s">
        <v>4755</v>
      </c>
      <c r="J355" s="439" t="s">
        <v>4757</v>
      </c>
      <c r="K355" s="753"/>
      <c r="L355" s="753">
        <v>86470.8</v>
      </c>
      <c r="M355" s="754">
        <v>43497.0</v>
      </c>
      <c r="N355" s="754">
        <v>43518.0</v>
      </c>
      <c r="O355" s="506" t="s">
        <v>4731</v>
      </c>
      <c r="P355" s="758">
        <v>43883.0</v>
      </c>
      <c r="Q355" s="446"/>
      <c r="R355" s="446"/>
      <c r="S355" s="446"/>
      <c r="T355" s="446"/>
      <c r="U355" s="446"/>
      <c r="V355" s="446"/>
    </row>
    <row r="356" ht="15.75" customHeight="1">
      <c r="A356" s="744">
        <f t="shared" si="4"/>
        <v>-2284</v>
      </c>
      <c r="B356" s="750" t="s">
        <v>2207</v>
      </c>
      <c r="C356" s="744" t="s">
        <v>4669</v>
      </c>
      <c r="D356" s="506"/>
      <c r="E356" s="760"/>
      <c r="F356" s="760"/>
      <c r="G356" s="752" t="s">
        <v>4753</v>
      </c>
      <c r="H356" s="506" t="s">
        <v>4754</v>
      </c>
      <c r="I356" s="506" t="s">
        <v>4755</v>
      </c>
      <c r="J356" s="439" t="s">
        <v>4758</v>
      </c>
      <c r="K356" s="753"/>
      <c r="L356" s="753">
        <v>136758.0</v>
      </c>
      <c r="M356" s="754">
        <v>43497.0</v>
      </c>
      <c r="N356" s="754">
        <v>43518.0</v>
      </c>
      <c r="O356" s="506" t="s">
        <v>4731</v>
      </c>
      <c r="P356" s="758">
        <v>43883.0</v>
      </c>
      <c r="Q356" s="446"/>
      <c r="R356" s="446"/>
      <c r="S356" s="446"/>
      <c r="T356" s="446"/>
      <c r="U356" s="446"/>
      <c r="V356" s="446"/>
    </row>
    <row r="357" ht="15.75" customHeight="1">
      <c r="A357" s="744">
        <f t="shared" si="4"/>
        <v>-2301</v>
      </c>
      <c r="B357" s="750" t="s">
        <v>2287</v>
      </c>
      <c r="C357" s="751" t="s">
        <v>4016</v>
      </c>
      <c r="D357" s="506"/>
      <c r="E357" s="760"/>
      <c r="F357" s="760"/>
      <c r="G357" s="752" t="s">
        <v>4753</v>
      </c>
      <c r="H357" s="506" t="s">
        <v>4754</v>
      </c>
      <c r="I357" s="506" t="s">
        <v>4755</v>
      </c>
      <c r="J357" s="439" t="s">
        <v>4759</v>
      </c>
      <c r="K357" s="753"/>
      <c r="L357" s="753">
        <v>12264.0</v>
      </c>
      <c r="M357" s="754">
        <v>43497.0</v>
      </c>
      <c r="N357" s="754">
        <v>43518.0</v>
      </c>
      <c r="O357" s="506" t="s">
        <v>4731</v>
      </c>
      <c r="P357" s="758">
        <v>43883.0</v>
      </c>
      <c r="Q357" s="446"/>
      <c r="R357" s="446"/>
      <c r="S357" s="446"/>
      <c r="T357" s="446"/>
      <c r="U357" s="446"/>
      <c r="V357" s="446"/>
    </row>
    <row r="358" ht="15.75" customHeight="1">
      <c r="A358" s="744">
        <f t="shared" si="4"/>
        <v>-2319</v>
      </c>
      <c r="B358" s="750" t="s">
        <v>2280</v>
      </c>
      <c r="C358" s="744" t="s">
        <v>4695</v>
      </c>
      <c r="D358" s="506"/>
      <c r="E358" s="760"/>
      <c r="F358" s="760"/>
      <c r="G358" s="752" t="s">
        <v>4760</v>
      </c>
      <c r="H358" s="506" t="s">
        <v>4761</v>
      </c>
      <c r="I358" s="506" t="s">
        <v>4762</v>
      </c>
      <c r="J358" s="439" t="s">
        <v>4763</v>
      </c>
      <c r="K358" s="753"/>
      <c r="L358" s="753">
        <v>99900.0</v>
      </c>
      <c r="M358" s="754">
        <v>43490.0</v>
      </c>
      <c r="N358" s="754">
        <v>43501.0</v>
      </c>
      <c r="O358" s="506" t="s">
        <v>4764</v>
      </c>
      <c r="P358" s="758">
        <v>43866.0</v>
      </c>
      <c r="Q358" s="446"/>
      <c r="R358" s="446"/>
      <c r="S358" s="446"/>
      <c r="T358" s="446"/>
      <c r="U358" s="446"/>
      <c r="V358" s="446"/>
    </row>
    <row r="359" ht="15.75" customHeight="1">
      <c r="A359" s="744">
        <f t="shared" si="4"/>
        <v>-2326</v>
      </c>
      <c r="B359" s="750" t="s">
        <v>2242</v>
      </c>
      <c r="C359" s="744" t="s">
        <v>4765</v>
      </c>
      <c r="D359" s="506"/>
      <c r="E359" s="760"/>
      <c r="F359" s="760"/>
      <c r="G359" s="752" t="s">
        <v>4766</v>
      </c>
      <c r="H359" s="506" t="s">
        <v>4767</v>
      </c>
      <c r="I359" s="506" t="s">
        <v>4768</v>
      </c>
      <c r="J359" s="439" t="s">
        <v>4495</v>
      </c>
      <c r="K359" s="753"/>
      <c r="L359" s="753">
        <v>867750.0</v>
      </c>
      <c r="M359" s="754">
        <v>43481.0</v>
      </c>
      <c r="N359" s="754">
        <v>43483.0</v>
      </c>
      <c r="O359" s="506" t="s">
        <v>4769</v>
      </c>
      <c r="P359" s="758">
        <v>43848.0</v>
      </c>
      <c r="Q359" s="446"/>
      <c r="R359" s="446"/>
      <c r="S359" s="446"/>
      <c r="T359" s="446"/>
      <c r="U359" s="446"/>
      <c r="V359" s="446"/>
    </row>
    <row r="360" ht="15.75" customHeight="1">
      <c r="A360" s="744">
        <f t="shared" si="4"/>
        <v>-2326</v>
      </c>
      <c r="B360" s="750" t="s">
        <v>4770</v>
      </c>
      <c r="C360" s="751" t="s">
        <v>4771</v>
      </c>
      <c r="D360" s="506"/>
      <c r="E360" s="760"/>
      <c r="F360" s="760"/>
      <c r="G360" s="752" t="s">
        <v>4772</v>
      </c>
      <c r="H360" s="506" t="s">
        <v>4773</v>
      </c>
      <c r="I360" s="506" t="s">
        <v>4774</v>
      </c>
      <c r="J360" s="439" t="s">
        <v>4665</v>
      </c>
      <c r="K360" s="753"/>
      <c r="L360" s="753">
        <v>66000.0</v>
      </c>
      <c r="M360" s="754">
        <v>43455.0</v>
      </c>
      <c r="N360" s="754">
        <v>43476.0</v>
      </c>
      <c r="O360" s="506" t="s">
        <v>4775</v>
      </c>
      <c r="P360" s="758">
        <v>43841.0</v>
      </c>
      <c r="Q360" s="446"/>
      <c r="R360" s="446"/>
      <c r="S360" s="446"/>
      <c r="T360" s="446"/>
      <c r="U360" s="446"/>
      <c r="V360" s="446"/>
    </row>
    <row r="361" ht="15.75" customHeight="1">
      <c r="A361" s="744">
        <f t="shared" si="4"/>
        <v>-2326</v>
      </c>
      <c r="B361" s="750" t="s">
        <v>4776</v>
      </c>
      <c r="C361" s="751" t="s">
        <v>4777</v>
      </c>
      <c r="D361" s="506"/>
      <c r="E361" s="760"/>
      <c r="F361" s="760"/>
      <c r="G361" s="752" t="s">
        <v>4772</v>
      </c>
      <c r="H361" s="506" t="s">
        <v>4773</v>
      </c>
      <c r="I361" s="506" t="s">
        <v>4774</v>
      </c>
      <c r="J361" s="439" t="s">
        <v>4668</v>
      </c>
      <c r="K361" s="753"/>
      <c r="L361" s="753">
        <v>447600.0</v>
      </c>
      <c r="M361" s="754">
        <v>43455.0</v>
      </c>
      <c r="N361" s="754">
        <v>43476.0</v>
      </c>
      <c r="O361" s="506" t="s">
        <v>4775</v>
      </c>
      <c r="P361" s="758">
        <v>43841.0</v>
      </c>
      <c r="Q361" s="446"/>
      <c r="R361" s="446"/>
      <c r="S361" s="446"/>
      <c r="T361" s="446"/>
      <c r="U361" s="446"/>
      <c r="V361" s="446"/>
    </row>
    <row r="362" ht="15.75" customHeight="1">
      <c r="A362" s="744">
        <f t="shared" si="4"/>
        <v>-2326</v>
      </c>
      <c r="B362" s="750" t="s">
        <v>4778</v>
      </c>
      <c r="C362" s="751" t="s">
        <v>4779</v>
      </c>
      <c r="D362" s="506"/>
      <c r="E362" s="760"/>
      <c r="F362" s="760"/>
      <c r="G362" s="752" t="s">
        <v>4780</v>
      </c>
      <c r="H362" s="506" t="s">
        <v>4781</v>
      </c>
      <c r="I362" s="506" t="s">
        <v>4782</v>
      </c>
      <c r="J362" s="439" t="s">
        <v>4640</v>
      </c>
      <c r="K362" s="753"/>
      <c r="L362" s="753">
        <v>299326.91</v>
      </c>
      <c r="M362" s="754">
        <v>43455.0</v>
      </c>
      <c r="N362" s="754">
        <v>43476.0</v>
      </c>
      <c r="O362" s="506" t="s">
        <v>4775</v>
      </c>
      <c r="P362" s="758">
        <v>43841.0</v>
      </c>
      <c r="Q362" s="446"/>
      <c r="R362" s="446"/>
      <c r="S362" s="446"/>
      <c r="T362" s="446"/>
      <c r="U362" s="446"/>
      <c r="V362" s="446"/>
    </row>
    <row r="363" ht="15.75" customHeight="1">
      <c r="A363" s="744">
        <f t="shared" si="4"/>
        <v>-2326</v>
      </c>
      <c r="B363" s="750" t="s">
        <v>4783</v>
      </c>
      <c r="C363" s="751" t="s">
        <v>4784</v>
      </c>
      <c r="D363" s="506"/>
      <c r="E363" s="760"/>
      <c r="F363" s="760"/>
      <c r="G363" s="752" t="s">
        <v>4785</v>
      </c>
      <c r="H363" s="506" t="s">
        <v>4786</v>
      </c>
      <c r="I363" s="506" t="s">
        <v>4787</v>
      </c>
      <c r="J363" s="439" t="s">
        <v>4663</v>
      </c>
      <c r="K363" s="753"/>
      <c r="L363" s="753">
        <v>135450.0</v>
      </c>
      <c r="M363" s="754">
        <v>43455.0</v>
      </c>
      <c r="N363" s="754">
        <v>43476.0</v>
      </c>
      <c r="O363" s="506" t="s">
        <v>4775</v>
      </c>
      <c r="P363" s="758">
        <v>43841.0</v>
      </c>
      <c r="Q363" s="446"/>
      <c r="R363" s="446"/>
      <c r="S363" s="446"/>
      <c r="T363" s="446"/>
      <c r="U363" s="446"/>
      <c r="V363" s="446"/>
    </row>
    <row r="364" ht="15.75" customHeight="1">
      <c r="A364" s="744">
        <f t="shared" si="4"/>
        <v>-2326</v>
      </c>
      <c r="B364" s="750" t="s">
        <v>4788</v>
      </c>
      <c r="C364" s="751" t="s">
        <v>4789</v>
      </c>
      <c r="D364" s="506"/>
      <c r="E364" s="760"/>
      <c r="F364" s="760"/>
      <c r="G364" s="752" t="s">
        <v>4785</v>
      </c>
      <c r="H364" s="506" t="s">
        <v>4786</v>
      </c>
      <c r="I364" s="506" t="s">
        <v>4787</v>
      </c>
      <c r="J364" s="439" t="s">
        <v>4790</v>
      </c>
      <c r="K364" s="753"/>
      <c r="L364" s="753">
        <v>125200.0</v>
      </c>
      <c r="M364" s="754">
        <v>43455.0</v>
      </c>
      <c r="N364" s="754">
        <v>43476.0</v>
      </c>
      <c r="O364" s="506" t="s">
        <v>4775</v>
      </c>
      <c r="P364" s="758">
        <v>43841.0</v>
      </c>
      <c r="Q364" s="446"/>
      <c r="R364" s="446"/>
      <c r="S364" s="446"/>
      <c r="T364" s="446"/>
      <c r="U364" s="446"/>
      <c r="V364" s="446"/>
    </row>
    <row r="365" ht="15.75" customHeight="1">
      <c r="A365" s="744">
        <f t="shared" si="4"/>
        <v>-2326</v>
      </c>
      <c r="B365" s="750" t="s">
        <v>4791</v>
      </c>
      <c r="C365" s="751" t="s">
        <v>4792</v>
      </c>
      <c r="D365" s="506"/>
      <c r="E365" s="760"/>
      <c r="F365" s="760"/>
      <c r="G365" s="752" t="s">
        <v>4785</v>
      </c>
      <c r="H365" s="506" t="s">
        <v>4786</v>
      </c>
      <c r="I365" s="506" t="s">
        <v>4787</v>
      </c>
      <c r="J365" s="439" t="s">
        <v>4657</v>
      </c>
      <c r="K365" s="753"/>
      <c r="L365" s="753">
        <v>757270.0</v>
      </c>
      <c r="M365" s="754">
        <v>43455.0</v>
      </c>
      <c r="N365" s="754">
        <v>43476.0</v>
      </c>
      <c r="O365" s="506" t="s">
        <v>4775</v>
      </c>
      <c r="P365" s="758">
        <v>43841.0</v>
      </c>
      <c r="Q365" s="446"/>
      <c r="R365" s="446"/>
      <c r="S365" s="446"/>
      <c r="T365" s="446"/>
      <c r="U365" s="446"/>
      <c r="V365" s="446"/>
    </row>
    <row r="366" ht="15.75" customHeight="1">
      <c r="A366" s="744">
        <f t="shared" si="4"/>
        <v>-2368</v>
      </c>
      <c r="B366" s="750" t="s">
        <v>4793</v>
      </c>
      <c r="C366" s="751" t="s">
        <v>4206</v>
      </c>
      <c r="D366" s="506"/>
      <c r="E366" s="760"/>
      <c r="F366" s="760"/>
      <c r="G366" s="752" t="s">
        <v>4794</v>
      </c>
      <c r="H366" s="506" t="s">
        <v>4795</v>
      </c>
      <c r="I366" s="506" t="s">
        <v>4796</v>
      </c>
      <c r="J366" s="439" t="s">
        <v>4644</v>
      </c>
      <c r="K366" s="753"/>
      <c r="L366" s="753">
        <v>853440.0</v>
      </c>
      <c r="M366" s="754">
        <v>43455.0</v>
      </c>
      <c r="N366" s="754">
        <v>43476.0</v>
      </c>
      <c r="O366" s="506" t="s">
        <v>4775</v>
      </c>
      <c r="P366" s="758">
        <v>43841.0</v>
      </c>
      <c r="Q366" s="446"/>
      <c r="R366" s="446"/>
      <c r="S366" s="446"/>
      <c r="T366" s="446"/>
      <c r="U366" s="446"/>
      <c r="V366" s="446"/>
    </row>
    <row r="367" ht="15.75" customHeight="1">
      <c r="A367" s="744">
        <f t="shared" si="4"/>
        <v>-2368</v>
      </c>
      <c r="B367" s="750" t="s">
        <v>4797</v>
      </c>
      <c r="C367" s="751" t="s">
        <v>4798</v>
      </c>
      <c r="D367" s="506"/>
      <c r="E367" s="760"/>
      <c r="F367" s="760"/>
      <c r="G367" s="752" t="s">
        <v>4799</v>
      </c>
      <c r="H367" s="506" t="s">
        <v>4800</v>
      </c>
      <c r="I367" s="506" t="s">
        <v>4801</v>
      </c>
      <c r="J367" s="439" t="s">
        <v>4802</v>
      </c>
      <c r="K367" s="753"/>
      <c r="L367" s="753">
        <v>244048.0</v>
      </c>
      <c r="M367" s="754">
        <v>43425.0</v>
      </c>
      <c r="N367" s="754">
        <v>43434.0</v>
      </c>
      <c r="O367" s="506" t="s">
        <v>4803</v>
      </c>
      <c r="P367" s="758">
        <v>43799.0</v>
      </c>
      <c r="Q367" s="446"/>
      <c r="R367" s="446"/>
      <c r="S367" s="446"/>
      <c r="T367" s="446"/>
      <c r="U367" s="446"/>
      <c r="V367" s="446"/>
    </row>
    <row r="368" ht="15.75" customHeight="1">
      <c r="A368" s="744">
        <f t="shared" si="4"/>
        <v>-2406</v>
      </c>
      <c r="B368" s="750" t="s">
        <v>4804</v>
      </c>
      <c r="C368" s="751" t="s">
        <v>4805</v>
      </c>
      <c r="D368" s="506"/>
      <c r="E368" s="760"/>
      <c r="F368" s="760"/>
      <c r="G368" s="752" t="s">
        <v>4799</v>
      </c>
      <c r="H368" s="506" t="s">
        <v>4800</v>
      </c>
      <c r="I368" s="506" t="s">
        <v>4801</v>
      </c>
      <c r="J368" s="439" t="s">
        <v>4806</v>
      </c>
      <c r="K368" s="753"/>
      <c r="L368" s="753">
        <v>706200.0</v>
      </c>
      <c r="M368" s="754">
        <v>43425.0</v>
      </c>
      <c r="N368" s="754">
        <v>43434.0</v>
      </c>
      <c r="O368" s="506" t="s">
        <v>4803</v>
      </c>
      <c r="P368" s="758">
        <v>43799.0</v>
      </c>
      <c r="Q368" s="446"/>
      <c r="R368" s="446"/>
      <c r="S368" s="446"/>
      <c r="T368" s="446"/>
      <c r="U368" s="446"/>
      <c r="V368" s="446"/>
    </row>
    <row r="369" ht="15.75" customHeight="1">
      <c r="A369" s="744">
        <f t="shared" si="4"/>
        <v>-2438</v>
      </c>
      <c r="B369" s="750" t="s">
        <v>4807</v>
      </c>
      <c r="C369" s="751" t="s">
        <v>4808</v>
      </c>
      <c r="D369" s="506"/>
      <c r="E369" s="760"/>
      <c r="F369" s="760"/>
      <c r="G369" s="752" t="s">
        <v>4809</v>
      </c>
      <c r="H369" s="506" t="s">
        <v>4810</v>
      </c>
      <c r="I369" s="506" t="s">
        <v>4811</v>
      </c>
      <c r="J369" s="439" t="s">
        <v>4812</v>
      </c>
      <c r="K369" s="753"/>
      <c r="L369" s="753">
        <v>19440.0</v>
      </c>
      <c r="M369" s="754">
        <v>43388.0</v>
      </c>
      <c r="N369" s="754">
        <v>43396.0</v>
      </c>
      <c r="O369" s="506" t="s">
        <v>4813</v>
      </c>
      <c r="P369" s="758">
        <v>43761.0</v>
      </c>
      <c r="Q369" s="446"/>
      <c r="R369" s="446"/>
      <c r="S369" s="446"/>
      <c r="T369" s="446"/>
      <c r="U369" s="446"/>
      <c r="V369" s="446"/>
    </row>
    <row r="370" ht="33.75" customHeight="1">
      <c r="A370" s="744">
        <f t="shared" si="4"/>
        <v>-2438</v>
      </c>
      <c r="B370" s="750" t="s">
        <v>4814</v>
      </c>
      <c r="C370" s="751" t="s">
        <v>4815</v>
      </c>
      <c r="D370" s="506"/>
      <c r="E370" s="760"/>
      <c r="F370" s="760"/>
      <c r="G370" s="752" t="s">
        <v>4816</v>
      </c>
      <c r="H370" s="506" t="s">
        <v>4817</v>
      </c>
      <c r="I370" s="506" t="s">
        <v>4818</v>
      </c>
      <c r="J370" s="439" t="s">
        <v>4819</v>
      </c>
      <c r="K370" s="753"/>
      <c r="L370" s="753">
        <v>81824.0</v>
      </c>
      <c r="M370" s="754">
        <v>43364.0</v>
      </c>
      <c r="N370" s="754">
        <v>43371.0</v>
      </c>
      <c r="O370" s="506" t="s">
        <v>4820</v>
      </c>
      <c r="P370" s="758">
        <v>43729.0</v>
      </c>
      <c r="Q370" s="446"/>
      <c r="R370" s="446"/>
      <c r="S370" s="446"/>
      <c r="T370" s="446"/>
      <c r="U370" s="446"/>
      <c r="V370" s="446"/>
    </row>
    <row r="371" ht="15.75" customHeight="1">
      <c r="A371" s="744">
        <f t="shared" si="4"/>
        <v>-2438</v>
      </c>
      <c r="B371" s="750" t="s">
        <v>4821</v>
      </c>
      <c r="C371" s="751" t="s">
        <v>4822</v>
      </c>
      <c r="D371" s="506"/>
      <c r="E371" s="760"/>
      <c r="F371" s="760"/>
      <c r="G371" s="752" t="s">
        <v>4823</v>
      </c>
      <c r="H371" s="506" t="s">
        <v>4824</v>
      </c>
      <c r="I371" s="506" t="s">
        <v>4825</v>
      </c>
      <c r="J371" s="439" t="s">
        <v>4826</v>
      </c>
      <c r="K371" s="753"/>
      <c r="L371" s="753">
        <v>7749.0</v>
      </c>
      <c r="M371" s="754">
        <v>43347.0</v>
      </c>
      <c r="N371" s="754">
        <v>43364.0</v>
      </c>
      <c r="O371" s="506" t="s">
        <v>4820</v>
      </c>
      <c r="P371" s="758">
        <v>43729.0</v>
      </c>
      <c r="Q371" s="446"/>
      <c r="R371" s="446"/>
      <c r="S371" s="446"/>
      <c r="T371" s="446"/>
      <c r="U371" s="446"/>
      <c r="V371" s="446"/>
    </row>
    <row r="372" ht="15.75" customHeight="1">
      <c r="A372" s="744">
        <f t="shared" si="4"/>
        <v>-2438</v>
      </c>
      <c r="B372" s="750" t="s">
        <v>4827</v>
      </c>
      <c r="C372" s="751" t="s">
        <v>4828</v>
      </c>
      <c r="D372" s="506"/>
      <c r="E372" s="760"/>
      <c r="F372" s="760"/>
      <c r="G372" s="752" t="s">
        <v>4823</v>
      </c>
      <c r="H372" s="506" t="s">
        <v>4824</v>
      </c>
      <c r="I372" s="506" t="s">
        <v>4825</v>
      </c>
      <c r="J372" s="439" t="s">
        <v>4829</v>
      </c>
      <c r="K372" s="753"/>
      <c r="L372" s="753">
        <v>3682.8</v>
      </c>
      <c r="M372" s="754">
        <v>43347.0</v>
      </c>
      <c r="N372" s="754">
        <v>43364.0</v>
      </c>
      <c r="O372" s="506" t="s">
        <v>4820</v>
      </c>
      <c r="P372" s="758">
        <v>43729.0</v>
      </c>
      <c r="Q372" s="446"/>
      <c r="R372" s="446"/>
      <c r="S372" s="446"/>
      <c r="T372" s="446"/>
      <c r="U372" s="446"/>
      <c r="V372" s="446"/>
    </row>
    <row r="373" ht="15.75" customHeight="1">
      <c r="A373" s="744">
        <f t="shared" si="4"/>
        <v>-2438</v>
      </c>
      <c r="B373" s="750" t="s">
        <v>4830</v>
      </c>
      <c r="C373" s="751" t="s">
        <v>4831</v>
      </c>
      <c r="D373" s="506"/>
      <c r="E373" s="760"/>
      <c r="F373" s="760"/>
      <c r="G373" s="752" t="s">
        <v>4823</v>
      </c>
      <c r="H373" s="506" t="s">
        <v>4824</v>
      </c>
      <c r="I373" s="506" t="s">
        <v>4825</v>
      </c>
      <c r="J373" s="439" t="s">
        <v>4832</v>
      </c>
      <c r="K373" s="753"/>
      <c r="L373" s="753">
        <v>19987.2</v>
      </c>
      <c r="M373" s="754">
        <v>43347.0</v>
      </c>
      <c r="N373" s="754">
        <v>43364.0</v>
      </c>
      <c r="O373" s="506" t="s">
        <v>4820</v>
      </c>
      <c r="P373" s="758">
        <v>43729.0</v>
      </c>
      <c r="Q373" s="446"/>
      <c r="R373" s="446"/>
      <c r="S373" s="446"/>
      <c r="T373" s="446"/>
      <c r="U373" s="446"/>
      <c r="V373" s="446"/>
    </row>
    <row r="374" ht="15.75" customHeight="1">
      <c r="A374" s="744">
        <f t="shared" si="4"/>
        <v>-2438</v>
      </c>
      <c r="B374" s="750" t="s">
        <v>4833</v>
      </c>
      <c r="C374" s="751" t="s">
        <v>4834</v>
      </c>
      <c r="D374" s="506"/>
      <c r="E374" s="760"/>
      <c r="F374" s="760"/>
      <c r="G374" s="752" t="s">
        <v>4823</v>
      </c>
      <c r="H374" s="506" t="s">
        <v>4824</v>
      </c>
      <c r="I374" s="506" t="s">
        <v>4825</v>
      </c>
      <c r="J374" s="439" t="s">
        <v>4835</v>
      </c>
      <c r="K374" s="753"/>
      <c r="L374" s="753">
        <v>5400.0</v>
      </c>
      <c r="M374" s="754">
        <v>43347.0</v>
      </c>
      <c r="N374" s="754">
        <v>43364.0</v>
      </c>
      <c r="O374" s="506" t="s">
        <v>4820</v>
      </c>
      <c r="P374" s="758">
        <v>43729.0</v>
      </c>
      <c r="Q374" s="446"/>
      <c r="R374" s="446"/>
      <c r="S374" s="446"/>
      <c r="T374" s="446"/>
      <c r="U374" s="446"/>
      <c r="V374" s="446"/>
    </row>
    <row r="375" ht="15.75" customHeight="1">
      <c r="A375" s="744">
        <f t="shared" si="4"/>
        <v>-2438</v>
      </c>
      <c r="B375" s="750" t="s">
        <v>4836</v>
      </c>
      <c r="C375" s="751" t="s">
        <v>4837</v>
      </c>
      <c r="D375" s="506"/>
      <c r="E375" s="760"/>
      <c r="F375" s="760"/>
      <c r="G375" s="752" t="s">
        <v>4823</v>
      </c>
      <c r="H375" s="506" t="s">
        <v>4824</v>
      </c>
      <c r="I375" s="506" t="s">
        <v>4825</v>
      </c>
      <c r="J375" s="439" t="s">
        <v>4838</v>
      </c>
      <c r="K375" s="753"/>
      <c r="L375" s="753">
        <v>57410.04</v>
      </c>
      <c r="M375" s="754">
        <v>43347.0</v>
      </c>
      <c r="N375" s="754">
        <v>43364.0</v>
      </c>
      <c r="O375" s="506" t="s">
        <v>4839</v>
      </c>
      <c r="P375" s="758">
        <v>43729.0</v>
      </c>
      <c r="Q375" s="446"/>
      <c r="R375" s="446"/>
      <c r="S375" s="446"/>
      <c r="T375" s="446"/>
      <c r="U375" s="446"/>
      <c r="V375" s="446"/>
    </row>
    <row r="376" ht="15.75" customHeight="1">
      <c r="A376" s="744">
        <f t="shared" si="4"/>
        <v>-2438</v>
      </c>
      <c r="B376" s="750" t="s">
        <v>4840</v>
      </c>
      <c r="C376" s="751" t="s">
        <v>4841</v>
      </c>
      <c r="D376" s="506"/>
      <c r="E376" s="760"/>
      <c r="F376" s="760"/>
      <c r="G376" s="752" t="s">
        <v>4823</v>
      </c>
      <c r="H376" s="506" t="s">
        <v>4824</v>
      </c>
      <c r="I376" s="506" t="s">
        <v>4825</v>
      </c>
      <c r="J376" s="439" t="s">
        <v>4842</v>
      </c>
      <c r="K376" s="753"/>
      <c r="L376" s="753">
        <v>111264.0</v>
      </c>
      <c r="M376" s="754">
        <v>43347.0</v>
      </c>
      <c r="N376" s="754">
        <v>43364.0</v>
      </c>
      <c r="O376" s="506" t="s">
        <v>4839</v>
      </c>
      <c r="P376" s="758">
        <v>43729.0</v>
      </c>
      <c r="Q376" s="446"/>
      <c r="R376" s="446"/>
      <c r="S376" s="446"/>
      <c r="T376" s="446"/>
      <c r="U376" s="446"/>
      <c r="V376" s="446"/>
    </row>
    <row r="377" ht="15.75" customHeight="1">
      <c r="A377" s="744">
        <f t="shared" si="4"/>
        <v>-2455</v>
      </c>
      <c r="B377" s="750" t="s">
        <v>4843</v>
      </c>
      <c r="C377" s="751" t="s">
        <v>4844</v>
      </c>
      <c r="D377" s="506"/>
      <c r="E377" s="760"/>
      <c r="F377" s="760"/>
      <c r="G377" s="752" t="s">
        <v>4823</v>
      </c>
      <c r="H377" s="506" t="s">
        <v>4824</v>
      </c>
      <c r="I377" s="506" t="s">
        <v>4825</v>
      </c>
      <c r="J377" s="439" t="s">
        <v>4845</v>
      </c>
      <c r="K377" s="753"/>
      <c r="L377" s="753">
        <v>5640.0</v>
      </c>
      <c r="M377" s="754">
        <v>43347.0</v>
      </c>
      <c r="N377" s="754">
        <v>43364.0</v>
      </c>
      <c r="O377" s="506" t="s">
        <v>4839</v>
      </c>
      <c r="P377" s="758">
        <v>43729.0</v>
      </c>
      <c r="Q377" s="446"/>
      <c r="R377" s="446"/>
      <c r="S377" s="446"/>
      <c r="T377" s="446"/>
      <c r="U377" s="446"/>
      <c r="V377" s="446"/>
    </row>
    <row r="378" ht="15.75" customHeight="1">
      <c r="A378" s="744">
        <f t="shared" si="4"/>
        <v>-2455</v>
      </c>
      <c r="B378" s="750" t="s">
        <v>4846</v>
      </c>
      <c r="C378" s="761"/>
      <c r="D378" s="506"/>
      <c r="E378" s="760"/>
      <c r="F378" s="760"/>
      <c r="G378" s="752" t="s">
        <v>4847</v>
      </c>
      <c r="H378" s="506" t="s">
        <v>4848</v>
      </c>
      <c r="I378" s="506" t="s">
        <v>4849</v>
      </c>
      <c r="J378" s="439" t="s">
        <v>4850</v>
      </c>
      <c r="K378" s="753"/>
      <c r="L378" s="753">
        <v>10960.0</v>
      </c>
      <c r="M378" s="754">
        <v>43347.0</v>
      </c>
      <c r="N378" s="754">
        <v>43364.0</v>
      </c>
      <c r="O378" s="506" t="s">
        <v>4851</v>
      </c>
      <c r="P378" s="758">
        <v>43712.0</v>
      </c>
      <c r="Q378" s="446"/>
      <c r="R378" s="446"/>
      <c r="S378" s="446"/>
      <c r="T378" s="446"/>
      <c r="U378" s="446"/>
      <c r="V378" s="446"/>
    </row>
    <row r="379" ht="15.75" customHeight="1">
      <c r="A379" s="744">
        <f t="shared" si="4"/>
        <v>-2466</v>
      </c>
      <c r="B379" s="750" t="s">
        <v>4852</v>
      </c>
      <c r="C379" s="761"/>
      <c r="D379" s="506"/>
      <c r="E379" s="760"/>
      <c r="F379" s="760"/>
      <c r="G379" s="752" t="s">
        <v>4853</v>
      </c>
      <c r="H379" s="506" t="s">
        <v>4854</v>
      </c>
      <c r="I379" s="506" t="s">
        <v>4855</v>
      </c>
      <c r="J379" s="439" t="s">
        <v>4856</v>
      </c>
      <c r="K379" s="753"/>
      <c r="L379" s="753">
        <v>51312.0</v>
      </c>
      <c r="M379" s="754">
        <v>43347.0</v>
      </c>
      <c r="N379" s="754">
        <v>43364.0</v>
      </c>
      <c r="O379" s="508" t="s">
        <v>4851</v>
      </c>
      <c r="P379" s="758">
        <v>43712.0</v>
      </c>
      <c r="Q379" s="446"/>
      <c r="R379" s="446"/>
      <c r="S379" s="446"/>
      <c r="T379" s="446"/>
      <c r="U379" s="446"/>
      <c r="V379" s="446"/>
    </row>
    <row r="380" ht="15.75" customHeight="1">
      <c r="A380" s="744">
        <f t="shared" si="4"/>
        <v>-2466</v>
      </c>
      <c r="B380" s="750" t="s">
        <v>4857</v>
      </c>
      <c r="C380" s="761"/>
      <c r="D380" s="506"/>
      <c r="E380" s="760"/>
      <c r="F380" s="760"/>
      <c r="G380" s="752" t="s">
        <v>4858</v>
      </c>
      <c r="H380" s="506" t="s">
        <v>4859</v>
      </c>
      <c r="I380" s="506" t="s">
        <v>4860</v>
      </c>
      <c r="J380" s="439" t="s">
        <v>4861</v>
      </c>
      <c r="K380" s="753"/>
      <c r="L380" s="753">
        <v>18666.0</v>
      </c>
      <c r="M380" s="754">
        <v>43328.0</v>
      </c>
      <c r="N380" s="754">
        <v>43336.0</v>
      </c>
      <c r="O380" s="506" t="s">
        <v>4862</v>
      </c>
      <c r="P380" s="758">
        <v>43701.0</v>
      </c>
      <c r="Q380" s="446"/>
      <c r="R380" s="446"/>
      <c r="S380" s="446"/>
      <c r="T380" s="446"/>
      <c r="U380" s="446"/>
      <c r="V380" s="446"/>
    </row>
    <row r="381" ht="15.75" customHeight="1">
      <c r="A381" s="744">
        <f t="shared" si="4"/>
        <v>-2494</v>
      </c>
      <c r="B381" s="750" t="s">
        <v>4863</v>
      </c>
      <c r="C381" s="761"/>
      <c r="D381" s="506"/>
      <c r="E381" s="760"/>
      <c r="F381" s="760"/>
      <c r="G381" s="752" t="s">
        <v>4864</v>
      </c>
      <c r="H381" s="506" t="s">
        <v>4865</v>
      </c>
      <c r="I381" s="506" t="s">
        <v>4866</v>
      </c>
      <c r="J381" s="439" t="s">
        <v>4867</v>
      </c>
      <c r="K381" s="753"/>
      <c r="L381" s="753">
        <v>101299.0</v>
      </c>
      <c r="M381" s="754">
        <v>43328.0</v>
      </c>
      <c r="N381" s="754">
        <v>43336.0</v>
      </c>
      <c r="O381" s="506" t="s">
        <v>4862</v>
      </c>
      <c r="P381" s="758">
        <v>43701.0</v>
      </c>
      <c r="Q381" s="446"/>
      <c r="R381" s="446"/>
      <c r="S381" s="446"/>
      <c r="T381" s="446"/>
      <c r="U381" s="446"/>
      <c r="V381" s="446"/>
    </row>
    <row r="382" ht="15.75" customHeight="1">
      <c r="A382" s="744">
        <f t="shared" si="4"/>
        <v>-2494</v>
      </c>
      <c r="B382" s="750" t="s">
        <v>4868</v>
      </c>
      <c r="C382" s="761"/>
      <c r="D382" s="506"/>
      <c r="E382" s="760"/>
      <c r="F382" s="760"/>
      <c r="G382" s="752" t="s">
        <v>4869</v>
      </c>
      <c r="H382" s="506" t="s">
        <v>4870</v>
      </c>
      <c r="I382" s="506" t="s">
        <v>4871</v>
      </c>
      <c r="J382" s="439" t="s">
        <v>4872</v>
      </c>
      <c r="K382" s="753"/>
      <c r="L382" s="753">
        <v>158800.0</v>
      </c>
      <c r="M382" s="754">
        <v>43305.0</v>
      </c>
      <c r="N382" s="754">
        <v>43308.0</v>
      </c>
      <c r="O382" s="508" t="s">
        <v>4873</v>
      </c>
      <c r="P382" s="758">
        <v>43673.0</v>
      </c>
      <c r="Q382" s="446"/>
      <c r="R382" s="446"/>
      <c r="S382" s="446"/>
      <c r="T382" s="446"/>
      <c r="U382" s="446"/>
      <c r="V382" s="446"/>
    </row>
    <row r="383" ht="15.75" customHeight="1">
      <c r="A383" s="744">
        <f t="shared" si="4"/>
        <v>-2498</v>
      </c>
      <c r="B383" s="750" t="s">
        <v>4874</v>
      </c>
      <c r="C383" s="761"/>
      <c r="D383" s="506"/>
      <c r="E383" s="760"/>
      <c r="F383" s="760"/>
      <c r="G383" s="752" t="s">
        <v>4875</v>
      </c>
      <c r="H383" s="506" t="s">
        <v>4870</v>
      </c>
      <c r="I383" s="506" t="s">
        <v>4871</v>
      </c>
      <c r="J383" s="439" t="s">
        <v>4876</v>
      </c>
      <c r="K383" s="753"/>
      <c r="L383" s="753">
        <v>315200.0</v>
      </c>
      <c r="M383" s="754">
        <v>43305.0</v>
      </c>
      <c r="N383" s="754">
        <v>43308.0</v>
      </c>
      <c r="O383" s="508" t="s">
        <v>4873</v>
      </c>
      <c r="P383" s="758">
        <v>43673.0</v>
      </c>
      <c r="Q383" s="446"/>
      <c r="R383" s="446"/>
      <c r="S383" s="446"/>
      <c r="T383" s="446"/>
      <c r="U383" s="446"/>
      <c r="V383" s="446"/>
    </row>
    <row r="384" ht="15.75" customHeight="1">
      <c r="A384" s="744">
        <f t="shared" si="4"/>
        <v>-2494</v>
      </c>
      <c r="B384" s="750" t="s">
        <v>4877</v>
      </c>
      <c r="C384" s="761"/>
      <c r="D384" s="506"/>
      <c r="E384" s="760"/>
      <c r="F384" s="760"/>
      <c r="G384" s="752" t="s">
        <v>4878</v>
      </c>
      <c r="H384" s="506" t="s">
        <v>4879</v>
      </c>
      <c r="I384" s="506" t="s">
        <v>4880</v>
      </c>
      <c r="J384" s="439" t="s">
        <v>4881</v>
      </c>
      <c r="K384" s="753"/>
      <c r="L384" s="753">
        <v>360738.0</v>
      </c>
      <c r="M384" s="754">
        <v>43304.0</v>
      </c>
      <c r="N384" s="754">
        <v>43308.0</v>
      </c>
      <c r="O384" s="506" t="s">
        <v>4882</v>
      </c>
      <c r="P384" s="758">
        <v>43669.0</v>
      </c>
      <c r="Q384" s="446"/>
      <c r="R384" s="446"/>
      <c r="S384" s="446"/>
      <c r="T384" s="446"/>
      <c r="U384" s="446"/>
      <c r="V384" s="446"/>
    </row>
    <row r="385" ht="15.75" customHeight="1">
      <c r="A385" s="744">
        <f t="shared" si="4"/>
        <v>-2494</v>
      </c>
      <c r="B385" s="750" t="s">
        <v>4883</v>
      </c>
      <c r="C385" s="761"/>
      <c r="D385" s="506"/>
      <c r="E385" s="760"/>
      <c r="F385" s="760"/>
      <c r="G385" s="752" t="s">
        <v>4884</v>
      </c>
      <c r="H385" s="506" t="s">
        <v>4885</v>
      </c>
      <c r="I385" s="506" t="s">
        <v>4886</v>
      </c>
      <c r="J385" s="439" t="s">
        <v>4887</v>
      </c>
      <c r="K385" s="753"/>
      <c r="L385" s="753">
        <v>47535.0</v>
      </c>
      <c r="M385" s="754">
        <v>43300.0</v>
      </c>
      <c r="N385" s="754">
        <v>43308.0</v>
      </c>
      <c r="O385" s="506" t="s">
        <v>4873</v>
      </c>
      <c r="P385" s="758">
        <v>43673.0</v>
      </c>
      <c r="Q385" s="446"/>
      <c r="R385" s="446"/>
      <c r="S385" s="446"/>
      <c r="T385" s="446"/>
      <c r="U385" s="446"/>
      <c r="V385" s="446"/>
    </row>
    <row r="386" ht="15.75" customHeight="1">
      <c r="A386" s="744">
        <f t="shared" si="4"/>
        <v>-2494</v>
      </c>
      <c r="B386" s="750" t="s">
        <v>4888</v>
      </c>
      <c r="C386" s="761"/>
      <c r="D386" s="506"/>
      <c r="E386" s="760"/>
      <c r="F386" s="760"/>
      <c r="G386" s="752" t="s">
        <v>4884</v>
      </c>
      <c r="H386" s="506" t="s">
        <v>4885</v>
      </c>
      <c r="I386" s="506" t="s">
        <v>4886</v>
      </c>
      <c r="J386" s="439" t="s">
        <v>4889</v>
      </c>
      <c r="K386" s="753"/>
      <c r="L386" s="753">
        <v>29422.0</v>
      </c>
      <c r="M386" s="754">
        <v>43300.0</v>
      </c>
      <c r="N386" s="754">
        <v>43308.0</v>
      </c>
      <c r="O386" s="506" t="s">
        <v>4873</v>
      </c>
      <c r="P386" s="758">
        <v>43673.0</v>
      </c>
      <c r="Q386" s="446"/>
      <c r="R386" s="446"/>
      <c r="S386" s="446"/>
      <c r="T386" s="446"/>
      <c r="U386" s="446"/>
      <c r="V386" s="446"/>
    </row>
    <row r="387" ht="15.75" customHeight="1">
      <c r="A387" s="744">
        <f t="shared" si="4"/>
        <v>-2494</v>
      </c>
      <c r="B387" s="750" t="s">
        <v>4890</v>
      </c>
      <c r="C387" s="761"/>
      <c r="D387" s="506"/>
      <c r="E387" s="760"/>
      <c r="F387" s="760"/>
      <c r="G387" s="752" t="s">
        <v>4884</v>
      </c>
      <c r="H387" s="506" t="s">
        <v>4885</v>
      </c>
      <c r="I387" s="506" t="s">
        <v>4886</v>
      </c>
      <c r="J387" s="439" t="s">
        <v>4891</v>
      </c>
      <c r="K387" s="753"/>
      <c r="L387" s="753">
        <v>77839.68</v>
      </c>
      <c r="M387" s="754">
        <v>43300.0</v>
      </c>
      <c r="N387" s="754">
        <v>43308.0</v>
      </c>
      <c r="O387" s="506" t="s">
        <v>4873</v>
      </c>
      <c r="P387" s="758">
        <v>43673.0</v>
      </c>
      <c r="Q387" s="446"/>
      <c r="R387" s="446"/>
      <c r="S387" s="446"/>
      <c r="T387" s="446"/>
      <c r="U387" s="446"/>
      <c r="V387" s="446"/>
    </row>
    <row r="388" ht="15.75" customHeight="1">
      <c r="A388" s="744">
        <f t="shared" si="4"/>
        <v>-2501</v>
      </c>
      <c r="B388" s="750" t="s">
        <v>4892</v>
      </c>
      <c r="C388" s="761"/>
      <c r="D388" s="506"/>
      <c r="E388" s="760"/>
      <c r="F388" s="760"/>
      <c r="G388" s="752" t="s">
        <v>4884</v>
      </c>
      <c r="H388" s="506" t="s">
        <v>4885</v>
      </c>
      <c r="I388" s="506" t="s">
        <v>4886</v>
      </c>
      <c r="J388" s="439" t="s">
        <v>4893</v>
      </c>
      <c r="K388" s="753"/>
      <c r="L388" s="753">
        <v>14125.0</v>
      </c>
      <c r="M388" s="754">
        <v>43300.0</v>
      </c>
      <c r="N388" s="754">
        <v>43308.0</v>
      </c>
      <c r="O388" s="506" t="s">
        <v>4873</v>
      </c>
      <c r="P388" s="758">
        <v>43673.0</v>
      </c>
      <c r="Q388" s="446"/>
      <c r="R388" s="446"/>
      <c r="S388" s="446"/>
      <c r="T388" s="446"/>
      <c r="U388" s="446"/>
      <c r="V388" s="446"/>
    </row>
    <row r="389" ht="15.75" customHeight="1">
      <c r="A389" s="744">
        <f t="shared" si="4"/>
        <v>-2415</v>
      </c>
      <c r="B389" s="750" t="s">
        <v>4894</v>
      </c>
      <c r="C389" s="761"/>
      <c r="D389" s="506"/>
      <c r="E389" s="760"/>
      <c r="F389" s="760"/>
      <c r="G389" s="752" t="s">
        <v>4895</v>
      </c>
      <c r="H389" s="506" t="s">
        <v>4896</v>
      </c>
      <c r="I389" s="506" t="s">
        <v>4897</v>
      </c>
      <c r="J389" s="439" t="s">
        <v>4898</v>
      </c>
      <c r="K389" s="753"/>
      <c r="L389" s="753">
        <v>3353.76</v>
      </c>
      <c r="M389" s="754">
        <v>43298.0</v>
      </c>
      <c r="N389" s="754">
        <v>43301.0</v>
      </c>
      <c r="O389" s="506" t="s">
        <v>4899</v>
      </c>
      <c r="P389" s="758">
        <v>43666.0</v>
      </c>
      <c r="Q389" s="446"/>
      <c r="R389" s="446"/>
      <c r="S389" s="446"/>
      <c r="T389" s="446"/>
      <c r="U389" s="446"/>
      <c r="V389" s="446"/>
    </row>
    <row r="390" ht="15.75" customHeight="1">
      <c r="A390" s="744">
        <f t="shared" si="4"/>
        <v>-2494</v>
      </c>
      <c r="B390" s="713" t="s">
        <v>4900</v>
      </c>
      <c r="C390" s="751" t="s">
        <v>4901</v>
      </c>
      <c r="D390" s="506"/>
      <c r="E390" s="760"/>
      <c r="F390" s="760"/>
      <c r="G390" s="752" t="s">
        <v>4902</v>
      </c>
      <c r="H390" s="506" t="s">
        <v>4903</v>
      </c>
      <c r="I390" s="506" t="s">
        <v>4904</v>
      </c>
      <c r="J390" s="439" t="s">
        <v>4905</v>
      </c>
      <c r="K390" s="753"/>
      <c r="L390" s="753">
        <v>130086.0</v>
      </c>
      <c r="M390" s="754">
        <v>43563.0</v>
      </c>
      <c r="N390" s="754">
        <v>43567.0</v>
      </c>
      <c r="O390" s="506" t="s">
        <v>4906</v>
      </c>
      <c r="P390" s="758">
        <v>43752.0</v>
      </c>
      <c r="Q390" s="446"/>
      <c r="R390" s="446"/>
      <c r="S390" s="446"/>
      <c r="T390" s="446"/>
      <c r="U390" s="446"/>
      <c r="V390" s="446"/>
    </row>
    <row r="391" ht="15.75" customHeight="1">
      <c r="A391" s="744">
        <f t="shared" si="4"/>
        <v>-2501</v>
      </c>
      <c r="B391" s="750" t="s">
        <v>4900</v>
      </c>
      <c r="C391" s="751" t="s">
        <v>4907</v>
      </c>
      <c r="D391" s="506"/>
      <c r="E391" s="760"/>
      <c r="F391" s="760"/>
      <c r="G391" s="752" t="s">
        <v>4908</v>
      </c>
      <c r="H391" s="506" t="s">
        <v>4909</v>
      </c>
      <c r="I391" s="506" t="s">
        <v>4910</v>
      </c>
      <c r="J391" s="439" t="s">
        <v>4911</v>
      </c>
      <c r="K391" s="753"/>
      <c r="L391" s="753">
        <v>127299.0</v>
      </c>
      <c r="M391" s="754">
        <v>43298.0</v>
      </c>
      <c r="N391" s="754">
        <v>43301.0</v>
      </c>
      <c r="O391" s="506" t="s">
        <v>4899</v>
      </c>
      <c r="P391" s="758">
        <v>43673.0</v>
      </c>
      <c r="Q391" s="446"/>
      <c r="R391" s="446"/>
      <c r="S391" s="446"/>
      <c r="T391" s="446"/>
      <c r="U391" s="446"/>
      <c r="V391" s="446"/>
    </row>
    <row r="392" ht="15.75" customHeight="1">
      <c r="A392" s="744">
        <f t="shared" si="4"/>
        <v>-2501</v>
      </c>
      <c r="B392" s="750" t="s">
        <v>4912</v>
      </c>
      <c r="C392" s="751" t="s">
        <v>4907</v>
      </c>
      <c r="D392" s="506"/>
      <c r="E392" s="760"/>
      <c r="F392" s="760"/>
      <c r="G392" s="752" t="s">
        <v>4913</v>
      </c>
      <c r="H392" s="506" t="s">
        <v>4914</v>
      </c>
      <c r="I392" s="506" t="s">
        <v>4915</v>
      </c>
      <c r="J392" s="439" t="s">
        <v>4916</v>
      </c>
      <c r="K392" s="753"/>
      <c r="L392" s="753">
        <v>66324.0</v>
      </c>
      <c r="M392" s="754">
        <v>43293.0</v>
      </c>
      <c r="N392" s="754">
        <v>43301.0</v>
      </c>
      <c r="O392" s="506" t="s">
        <v>4899</v>
      </c>
      <c r="P392" s="758">
        <v>43666.0</v>
      </c>
      <c r="Q392" s="446"/>
      <c r="R392" s="446"/>
      <c r="S392" s="446"/>
      <c r="T392" s="446"/>
      <c r="U392" s="446"/>
      <c r="V392" s="446"/>
    </row>
    <row r="393" ht="15.75" customHeight="1">
      <c r="A393" s="744">
        <f t="shared" si="4"/>
        <v>-2501</v>
      </c>
      <c r="B393" s="750" t="s">
        <v>4917</v>
      </c>
      <c r="C393" s="751" t="s">
        <v>4907</v>
      </c>
      <c r="D393" s="506"/>
      <c r="E393" s="760"/>
      <c r="F393" s="760"/>
      <c r="G393" s="752" t="s">
        <v>4918</v>
      </c>
      <c r="H393" s="506" t="s">
        <v>4919</v>
      </c>
      <c r="I393" s="506" t="s">
        <v>4920</v>
      </c>
      <c r="J393" s="439" t="s">
        <v>4921</v>
      </c>
      <c r="K393" s="753"/>
      <c r="L393" s="753">
        <v>46586.25</v>
      </c>
      <c r="M393" s="754">
        <v>43292.0</v>
      </c>
      <c r="N393" s="754">
        <v>43301.0</v>
      </c>
      <c r="O393" s="506" t="s">
        <v>4899</v>
      </c>
      <c r="P393" s="758">
        <v>43666.0</v>
      </c>
      <c r="Q393" s="446"/>
      <c r="R393" s="446"/>
      <c r="S393" s="446"/>
      <c r="T393" s="446"/>
      <c r="U393" s="446"/>
      <c r="V393" s="446"/>
    </row>
    <row r="394" ht="15.75" customHeight="1">
      <c r="A394" s="744">
        <f t="shared" si="4"/>
        <v>-2543</v>
      </c>
      <c r="B394" s="750" t="s">
        <v>4922</v>
      </c>
      <c r="C394" s="751" t="s">
        <v>4923</v>
      </c>
      <c r="D394" s="506"/>
      <c r="E394" s="760"/>
      <c r="F394" s="760"/>
      <c r="G394" s="752" t="s">
        <v>4924</v>
      </c>
      <c r="H394" s="506" t="s">
        <v>4925</v>
      </c>
      <c r="I394" s="506" t="s">
        <v>4887</v>
      </c>
      <c r="J394" s="439" t="s">
        <v>4926</v>
      </c>
      <c r="K394" s="753"/>
      <c r="L394" s="753">
        <v>1363069.45</v>
      </c>
      <c r="M394" s="754">
        <v>43291.0</v>
      </c>
      <c r="N394" s="754">
        <v>43301.0</v>
      </c>
      <c r="O394" s="506" t="s">
        <v>4899</v>
      </c>
      <c r="P394" s="758">
        <v>43666.0</v>
      </c>
      <c r="Q394" s="446"/>
      <c r="R394" s="446"/>
      <c r="S394" s="446"/>
      <c r="T394" s="446"/>
      <c r="U394" s="446"/>
      <c r="V394" s="446"/>
    </row>
    <row r="395" ht="15.75" customHeight="1">
      <c r="A395" s="744">
        <f t="shared" si="4"/>
        <v>-2545</v>
      </c>
      <c r="B395" s="750" t="s">
        <v>4927</v>
      </c>
      <c r="C395" s="751" t="s">
        <v>4928</v>
      </c>
      <c r="D395" s="506"/>
      <c r="E395" s="760"/>
      <c r="F395" s="760"/>
      <c r="G395" s="752" t="s">
        <v>4929</v>
      </c>
      <c r="H395" s="506" t="s">
        <v>4930</v>
      </c>
      <c r="I395" s="506" t="s">
        <v>4931</v>
      </c>
      <c r="J395" s="439" t="s">
        <v>2107</v>
      </c>
      <c r="K395" s="753"/>
      <c r="L395" s="753">
        <v>1.288030372E7</v>
      </c>
      <c r="M395" s="754">
        <v>43259.0</v>
      </c>
      <c r="N395" s="754">
        <v>43270.0</v>
      </c>
      <c r="O395" s="506" t="s">
        <v>4932</v>
      </c>
      <c r="P395" s="758">
        <v>43624.0</v>
      </c>
      <c r="Q395" s="446"/>
      <c r="R395" s="446"/>
      <c r="S395" s="446"/>
      <c r="T395" s="446"/>
      <c r="U395" s="446"/>
      <c r="V395" s="446"/>
    </row>
    <row r="396" ht="15.75" customHeight="1">
      <c r="A396" s="744">
        <f t="shared" si="4"/>
        <v>-2561</v>
      </c>
      <c r="B396" s="750" t="s">
        <v>4933</v>
      </c>
      <c r="C396" s="751" t="s">
        <v>4934</v>
      </c>
      <c r="D396" s="506"/>
      <c r="E396" s="760"/>
      <c r="F396" s="760"/>
      <c r="G396" s="752" t="s">
        <v>4935</v>
      </c>
      <c r="H396" s="506" t="s">
        <v>4936</v>
      </c>
      <c r="I396" s="506" t="s">
        <v>4937</v>
      </c>
      <c r="J396" s="439" t="s">
        <v>4938</v>
      </c>
      <c r="K396" s="753"/>
      <c r="L396" s="753">
        <v>58334.4</v>
      </c>
      <c r="M396" s="754">
        <v>43257.0</v>
      </c>
      <c r="N396" s="754">
        <v>43259.0</v>
      </c>
      <c r="O396" s="506" t="s">
        <v>4939</v>
      </c>
      <c r="P396" s="758">
        <v>43622.0</v>
      </c>
      <c r="Q396" s="446"/>
      <c r="R396" s="446"/>
      <c r="S396" s="446"/>
      <c r="T396" s="446"/>
      <c r="U396" s="446"/>
      <c r="V396" s="446"/>
    </row>
    <row r="397" ht="15.75" customHeight="1">
      <c r="A397" s="744">
        <f t="shared" si="4"/>
        <v>-2560</v>
      </c>
      <c r="B397" s="750" t="s">
        <v>4940</v>
      </c>
      <c r="C397" s="761"/>
      <c r="D397" s="506"/>
      <c r="E397" s="760"/>
      <c r="F397" s="760"/>
      <c r="G397" s="752" t="s">
        <v>4941</v>
      </c>
      <c r="H397" s="506" t="s">
        <v>4942</v>
      </c>
      <c r="I397" s="506" t="s">
        <v>4943</v>
      </c>
      <c r="J397" s="439" t="s">
        <v>4944</v>
      </c>
      <c r="K397" s="753"/>
      <c r="L397" s="753">
        <v>125769.0</v>
      </c>
      <c r="M397" s="754">
        <v>43241.0</v>
      </c>
      <c r="N397" s="754">
        <v>43242.0</v>
      </c>
      <c r="O397" s="506" t="s">
        <v>4945</v>
      </c>
      <c r="P397" s="758">
        <v>43606.0</v>
      </c>
      <c r="Q397" s="446"/>
      <c r="R397" s="446"/>
      <c r="S397" s="446"/>
      <c r="T397" s="446"/>
      <c r="U397" s="446"/>
      <c r="V397" s="446"/>
    </row>
    <row r="398" ht="15.75" customHeight="1">
      <c r="A398" s="744">
        <f t="shared" si="4"/>
        <v>-2557</v>
      </c>
      <c r="B398" s="750" t="s">
        <v>4946</v>
      </c>
      <c r="C398" s="761"/>
      <c r="D398" s="506"/>
      <c r="E398" s="760"/>
      <c r="F398" s="760"/>
      <c r="G398" s="752" t="s">
        <v>4947</v>
      </c>
      <c r="H398" s="506" t="s">
        <v>4942</v>
      </c>
      <c r="I398" s="506" t="s">
        <v>4943</v>
      </c>
      <c r="J398" s="439" t="s">
        <v>4948</v>
      </c>
      <c r="K398" s="753"/>
      <c r="L398" s="753">
        <v>122996.0</v>
      </c>
      <c r="M398" s="754">
        <v>43241.0</v>
      </c>
      <c r="N398" s="754">
        <v>43242.0</v>
      </c>
      <c r="O398" s="506" t="s">
        <v>4949</v>
      </c>
      <c r="P398" s="758">
        <v>43607.0</v>
      </c>
      <c r="Q398" s="446"/>
      <c r="R398" s="446"/>
      <c r="S398" s="446"/>
      <c r="T398" s="446"/>
      <c r="U398" s="446"/>
      <c r="V398" s="446"/>
    </row>
    <row r="399" ht="15.75" customHeight="1">
      <c r="A399" s="744">
        <f t="shared" si="4"/>
        <v>-2568</v>
      </c>
      <c r="B399" s="750" t="s">
        <v>4950</v>
      </c>
      <c r="C399" s="761"/>
      <c r="D399" s="506"/>
      <c r="E399" s="760"/>
      <c r="F399" s="760"/>
      <c r="G399" s="752" t="s">
        <v>4951</v>
      </c>
      <c r="H399" s="506" t="s">
        <v>4952</v>
      </c>
      <c r="I399" s="506" t="s">
        <v>4953</v>
      </c>
      <c r="J399" s="439" t="s">
        <v>4954</v>
      </c>
      <c r="K399" s="753"/>
      <c r="L399" s="753">
        <v>32908.9</v>
      </c>
      <c r="M399" s="754">
        <v>43238.0</v>
      </c>
      <c r="N399" s="754">
        <v>43245.0</v>
      </c>
      <c r="O399" s="506" t="s">
        <v>4955</v>
      </c>
      <c r="P399" s="758">
        <v>43610.0</v>
      </c>
      <c r="Q399" s="446"/>
      <c r="R399" s="446"/>
      <c r="S399" s="446"/>
      <c r="T399" s="446"/>
      <c r="U399" s="446"/>
      <c r="V399" s="446"/>
    </row>
    <row r="400" ht="15.75" customHeight="1">
      <c r="A400" s="744">
        <f t="shared" si="4"/>
        <v>-2573</v>
      </c>
      <c r="B400" s="750" t="s">
        <v>4956</v>
      </c>
      <c r="C400" s="751" t="s">
        <v>4901</v>
      </c>
      <c r="D400" s="506"/>
      <c r="E400" s="760"/>
      <c r="F400" s="760"/>
      <c r="G400" s="752" t="s">
        <v>4957</v>
      </c>
      <c r="H400" s="506" t="s">
        <v>4958</v>
      </c>
      <c r="I400" s="506" t="s">
        <v>4959</v>
      </c>
      <c r="J400" s="439" t="s">
        <v>4960</v>
      </c>
      <c r="K400" s="753"/>
      <c r="L400" s="753">
        <v>406230.5</v>
      </c>
      <c r="M400" s="754">
        <v>43237.0</v>
      </c>
      <c r="N400" s="754">
        <v>43245.0</v>
      </c>
      <c r="O400" s="506" t="s">
        <v>4961</v>
      </c>
      <c r="P400" s="758">
        <v>43599.0</v>
      </c>
      <c r="Q400" s="446"/>
      <c r="R400" s="446"/>
      <c r="S400" s="446"/>
      <c r="T400" s="446"/>
      <c r="U400" s="446"/>
      <c r="V400" s="446"/>
    </row>
    <row r="401" ht="15.75" customHeight="1">
      <c r="A401" s="744">
        <f t="shared" si="4"/>
        <v>-2573</v>
      </c>
      <c r="B401" s="750" t="s">
        <v>4962</v>
      </c>
      <c r="C401" s="751" t="s">
        <v>4963</v>
      </c>
      <c r="D401" s="506"/>
      <c r="E401" s="760"/>
      <c r="F401" s="760"/>
      <c r="G401" s="752" t="s">
        <v>4964</v>
      </c>
      <c r="H401" s="506" t="s">
        <v>4965</v>
      </c>
      <c r="I401" s="506" t="s">
        <v>4966</v>
      </c>
      <c r="J401" s="439" t="s">
        <v>4967</v>
      </c>
      <c r="K401" s="753"/>
      <c r="L401" s="753">
        <v>128350.0</v>
      </c>
      <c r="M401" s="754">
        <v>43229.0</v>
      </c>
      <c r="N401" s="754">
        <v>43235.0</v>
      </c>
      <c r="O401" s="506" t="s">
        <v>4968</v>
      </c>
      <c r="P401" s="758">
        <v>43594.0</v>
      </c>
      <c r="Q401" s="446"/>
      <c r="R401" s="446"/>
      <c r="S401" s="446"/>
      <c r="T401" s="446"/>
      <c r="U401" s="446"/>
      <c r="V401" s="446"/>
    </row>
    <row r="402" ht="15.75" customHeight="1">
      <c r="A402" s="744">
        <f t="shared" si="4"/>
        <v>-2573</v>
      </c>
      <c r="B402" s="750" t="s">
        <v>4969</v>
      </c>
      <c r="C402" s="751" t="s">
        <v>4970</v>
      </c>
      <c r="D402" s="506"/>
      <c r="E402" s="760"/>
      <c r="F402" s="760"/>
      <c r="G402" s="752" t="s">
        <v>4971</v>
      </c>
      <c r="H402" s="506" t="s">
        <v>4965</v>
      </c>
      <c r="I402" s="506" t="s">
        <v>4966</v>
      </c>
      <c r="J402" s="439" t="s">
        <v>4972</v>
      </c>
      <c r="K402" s="753"/>
      <c r="L402" s="753">
        <v>9500.0</v>
      </c>
      <c r="M402" s="754">
        <v>43229.0</v>
      </c>
      <c r="N402" s="754">
        <v>43235.0</v>
      </c>
      <c r="O402" s="506" t="s">
        <v>4968</v>
      </c>
      <c r="P402" s="758">
        <v>43594.0</v>
      </c>
      <c r="Q402" s="446"/>
      <c r="R402" s="446"/>
      <c r="S402" s="446"/>
      <c r="T402" s="446"/>
      <c r="U402" s="446"/>
      <c r="V402" s="446"/>
    </row>
    <row r="403" ht="15.75" customHeight="1">
      <c r="A403" s="744">
        <f t="shared" si="4"/>
        <v>-2580</v>
      </c>
      <c r="B403" s="750" t="s">
        <v>4973</v>
      </c>
      <c r="C403" s="751" t="s">
        <v>4828</v>
      </c>
      <c r="D403" s="506"/>
      <c r="E403" s="760"/>
      <c r="F403" s="760"/>
      <c r="G403" s="752" t="s">
        <v>4974</v>
      </c>
      <c r="H403" s="506" t="s">
        <v>4965</v>
      </c>
      <c r="I403" s="506" t="s">
        <v>4966</v>
      </c>
      <c r="J403" s="439" t="s">
        <v>4975</v>
      </c>
      <c r="K403" s="753"/>
      <c r="L403" s="753">
        <v>79925.0</v>
      </c>
      <c r="M403" s="754">
        <v>43229.0</v>
      </c>
      <c r="N403" s="754">
        <v>43235.0</v>
      </c>
      <c r="O403" s="506" t="s">
        <v>4968</v>
      </c>
      <c r="P403" s="758">
        <v>43594.0</v>
      </c>
      <c r="Q403" s="446"/>
      <c r="R403" s="446"/>
      <c r="S403" s="446"/>
      <c r="T403" s="446"/>
      <c r="U403" s="446"/>
      <c r="V403" s="446"/>
    </row>
    <row r="404" ht="15.75" customHeight="1">
      <c r="A404" s="744">
        <f t="shared" si="4"/>
        <v>-2585</v>
      </c>
      <c r="B404" s="750" t="s">
        <v>1997</v>
      </c>
      <c r="C404" s="751" t="s">
        <v>4976</v>
      </c>
      <c r="D404" s="506"/>
      <c r="E404" s="760"/>
      <c r="F404" s="760"/>
      <c r="G404" s="752" t="s">
        <v>4977</v>
      </c>
      <c r="H404" s="506" t="s">
        <v>4978</v>
      </c>
      <c r="I404" s="506" t="s">
        <v>4979</v>
      </c>
      <c r="J404" s="439" t="s">
        <v>4980</v>
      </c>
      <c r="K404" s="753"/>
      <c r="L404" s="753">
        <v>11570.0</v>
      </c>
      <c r="M404" s="754">
        <v>43222.0</v>
      </c>
      <c r="N404" s="754">
        <v>43224.0</v>
      </c>
      <c r="O404" s="508" t="s">
        <v>4981</v>
      </c>
      <c r="P404" s="758">
        <v>43587.0</v>
      </c>
      <c r="Q404" s="446"/>
      <c r="R404" s="446"/>
      <c r="S404" s="446"/>
      <c r="T404" s="446"/>
      <c r="U404" s="446"/>
      <c r="V404" s="446"/>
    </row>
    <row r="405" ht="15.75" customHeight="1">
      <c r="A405" s="744">
        <f t="shared" si="4"/>
        <v>-2585</v>
      </c>
      <c r="B405" s="750" t="s">
        <v>2563</v>
      </c>
      <c r="C405" s="751" t="s">
        <v>4982</v>
      </c>
      <c r="D405" s="506"/>
      <c r="E405" s="760"/>
      <c r="F405" s="760"/>
      <c r="G405" s="752" t="s">
        <v>4983</v>
      </c>
      <c r="H405" s="506" t="s">
        <v>4984</v>
      </c>
      <c r="I405" s="506" t="s">
        <v>4985</v>
      </c>
      <c r="J405" s="439" t="s">
        <v>4986</v>
      </c>
      <c r="K405" s="753"/>
      <c r="L405" s="753">
        <v>332120.03</v>
      </c>
      <c r="M405" s="754">
        <v>43216.0</v>
      </c>
      <c r="N405" s="754">
        <v>43217.0</v>
      </c>
      <c r="O405" s="506" t="s">
        <v>4987</v>
      </c>
      <c r="P405" s="758">
        <v>43582.0</v>
      </c>
      <c r="Q405" s="446"/>
      <c r="R405" s="446"/>
      <c r="S405" s="446"/>
      <c r="T405" s="446"/>
      <c r="U405" s="446"/>
      <c r="V405" s="446"/>
    </row>
    <row r="406" ht="15.75" customHeight="1">
      <c r="A406" s="744">
        <f t="shared" si="4"/>
        <v>-2578</v>
      </c>
      <c r="B406" s="750" t="s">
        <v>2047</v>
      </c>
      <c r="C406" s="751" t="s">
        <v>4988</v>
      </c>
      <c r="D406" s="506"/>
      <c r="E406" s="760"/>
      <c r="F406" s="760"/>
      <c r="G406" s="752" t="s">
        <v>4989</v>
      </c>
      <c r="H406" s="506" t="s">
        <v>4984</v>
      </c>
      <c r="I406" s="506" t="s">
        <v>4985</v>
      </c>
      <c r="J406" s="439" t="s">
        <v>4990</v>
      </c>
      <c r="K406" s="753"/>
      <c r="L406" s="753">
        <v>241185.4</v>
      </c>
      <c r="M406" s="754">
        <v>43216.0</v>
      </c>
      <c r="N406" s="754">
        <v>43217.0</v>
      </c>
      <c r="O406" s="506" t="s">
        <v>4987</v>
      </c>
      <c r="P406" s="758">
        <v>43582.0</v>
      </c>
      <c r="Q406" s="446"/>
      <c r="R406" s="446"/>
      <c r="S406" s="446"/>
      <c r="T406" s="446"/>
      <c r="U406" s="446"/>
      <c r="V406" s="446"/>
    </row>
    <row r="407" ht="15.75" customHeight="1">
      <c r="A407" s="744">
        <f t="shared" si="4"/>
        <v>-2601</v>
      </c>
      <c r="B407" s="750" t="s">
        <v>2142</v>
      </c>
      <c r="C407" s="751" t="s">
        <v>4834</v>
      </c>
      <c r="D407" s="506"/>
      <c r="E407" s="760"/>
      <c r="F407" s="760"/>
      <c r="G407" s="752" t="s">
        <v>4991</v>
      </c>
      <c r="H407" s="506" t="s">
        <v>4992</v>
      </c>
      <c r="I407" s="506" t="s">
        <v>4950</v>
      </c>
      <c r="J407" s="439" t="s">
        <v>4993</v>
      </c>
      <c r="K407" s="753"/>
      <c r="L407" s="753">
        <v>183567.41</v>
      </c>
      <c r="M407" s="754">
        <v>43210.0</v>
      </c>
      <c r="N407" s="754">
        <v>43224.0</v>
      </c>
      <c r="O407" s="506" t="s">
        <v>4994</v>
      </c>
      <c r="P407" s="758">
        <v>43589.0</v>
      </c>
      <c r="Q407" s="446"/>
      <c r="R407" s="446"/>
      <c r="S407" s="446"/>
      <c r="T407" s="446"/>
      <c r="U407" s="446"/>
      <c r="V407" s="446"/>
    </row>
    <row r="408" ht="38.25" customHeight="1">
      <c r="A408" s="744">
        <f t="shared" si="4"/>
        <v>-2599</v>
      </c>
      <c r="B408" s="750" t="s">
        <v>1740</v>
      </c>
      <c r="C408" s="751" t="s">
        <v>4995</v>
      </c>
      <c r="D408" s="506"/>
      <c r="E408" s="760"/>
      <c r="F408" s="760"/>
      <c r="G408" s="752" t="s">
        <v>4996</v>
      </c>
      <c r="H408" s="506" t="s">
        <v>4997</v>
      </c>
      <c r="I408" s="506" t="s">
        <v>4998</v>
      </c>
      <c r="J408" s="439" t="s">
        <v>4999</v>
      </c>
      <c r="K408" s="753"/>
      <c r="L408" s="753">
        <v>32386.0</v>
      </c>
      <c r="M408" s="754">
        <v>43201.0</v>
      </c>
      <c r="N408" s="754">
        <v>43566.0</v>
      </c>
      <c r="O408" s="506" t="s">
        <v>5000</v>
      </c>
      <c r="P408" s="758">
        <v>43566.0</v>
      </c>
      <c r="Q408" s="446"/>
      <c r="R408" s="446"/>
      <c r="S408" s="446"/>
      <c r="T408" s="446"/>
      <c r="U408" s="446"/>
      <c r="V408" s="446"/>
    </row>
    <row r="409" ht="15.75" customHeight="1">
      <c r="A409" s="744">
        <f t="shared" si="4"/>
        <v>-2599</v>
      </c>
      <c r="B409" s="750" t="s">
        <v>1970</v>
      </c>
      <c r="C409" s="751" t="s">
        <v>4995</v>
      </c>
      <c r="D409" s="506"/>
      <c r="E409" s="760"/>
      <c r="F409" s="760"/>
      <c r="G409" s="752" t="s">
        <v>5001</v>
      </c>
      <c r="H409" s="506" t="s">
        <v>5002</v>
      </c>
      <c r="I409" s="506" t="s">
        <v>5003</v>
      </c>
      <c r="J409" s="439" t="s">
        <v>5004</v>
      </c>
      <c r="K409" s="753"/>
      <c r="L409" s="753">
        <v>51181.6</v>
      </c>
      <c r="M409" s="754">
        <v>43192.0</v>
      </c>
      <c r="N409" s="754">
        <v>43203.0</v>
      </c>
      <c r="O409" s="506" t="s">
        <v>5005</v>
      </c>
      <c r="P409" s="758">
        <v>43568.0</v>
      </c>
      <c r="Q409" s="446"/>
      <c r="R409" s="446"/>
      <c r="S409" s="446"/>
      <c r="T409" s="446"/>
      <c r="U409" s="446"/>
      <c r="V409" s="446"/>
    </row>
    <row r="410" ht="15.75" customHeight="1">
      <c r="A410" s="744">
        <f t="shared" si="4"/>
        <v>-2665</v>
      </c>
      <c r="B410" s="750" t="s">
        <v>2129</v>
      </c>
      <c r="C410" s="751" t="s">
        <v>5006</v>
      </c>
      <c r="D410" s="506"/>
      <c r="E410" s="760"/>
      <c r="F410" s="760"/>
      <c r="G410" s="752" t="s">
        <v>5007</v>
      </c>
      <c r="H410" s="506" t="s">
        <v>5002</v>
      </c>
      <c r="I410" s="506" t="s">
        <v>5003</v>
      </c>
      <c r="J410" s="439" t="s">
        <v>5008</v>
      </c>
      <c r="K410" s="753"/>
      <c r="L410" s="753">
        <v>7828.0</v>
      </c>
      <c r="M410" s="754">
        <v>43192.0</v>
      </c>
      <c r="N410" s="754">
        <v>43203.0</v>
      </c>
      <c r="O410" s="506" t="s">
        <v>5005</v>
      </c>
      <c r="P410" s="758">
        <v>43568.0</v>
      </c>
      <c r="Q410" s="446"/>
      <c r="R410" s="446"/>
      <c r="S410" s="446"/>
      <c r="T410" s="446"/>
      <c r="U410" s="446"/>
      <c r="V410" s="446"/>
    </row>
    <row r="411" ht="15.75" customHeight="1">
      <c r="A411" s="744">
        <f t="shared" si="4"/>
        <v>-2665</v>
      </c>
      <c r="B411" s="750" t="s">
        <v>1755</v>
      </c>
      <c r="C411" s="751" t="s">
        <v>5009</v>
      </c>
      <c r="D411" s="506"/>
      <c r="E411" s="760"/>
      <c r="F411" s="760"/>
      <c r="G411" s="752" t="s">
        <v>5010</v>
      </c>
      <c r="H411" s="506" t="s">
        <v>5011</v>
      </c>
      <c r="I411" s="506" t="s">
        <v>5012</v>
      </c>
      <c r="J411" s="439" t="s">
        <v>5013</v>
      </c>
      <c r="K411" s="753"/>
      <c r="L411" s="753">
        <v>76000.0</v>
      </c>
      <c r="M411" s="754">
        <v>43137.0</v>
      </c>
      <c r="N411" s="754">
        <v>43154.0</v>
      </c>
      <c r="O411" s="506" t="s">
        <v>5014</v>
      </c>
      <c r="P411" s="758">
        <v>43502.0</v>
      </c>
      <c r="Q411" s="446"/>
      <c r="R411" s="446"/>
      <c r="S411" s="446"/>
      <c r="T411" s="446"/>
      <c r="U411" s="446"/>
      <c r="V411" s="446"/>
    </row>
    <row r="412" ht="15.75" customHeight="1">
      <c r="A412" s="744">
        <f t="shared" si="4"/>
        <v>-2665</v>
      </c>
      <c r="B412" s="750" t="s">
        <v>2027</v>
      </c>
      <c r="C412" s="751" t="s">
        <v>5015</v>
      </c>
      <c r="D412" s="506"/>
      <c r="E412" s="760"/>
      <c r="F412" s="760"/>
      <c r="G412" s="752" t="s">
        <v>5010</v>
      </c>
      <c r="H412" s="506" t="s">
        <v>5011</v>
      </c>
      <c r="I412" s="506" t="s">
        <v>5012</v>
      </c>
      <c r="J412" s="439" t="s">
        <v>5016</v>
      </c>
      <c r="K412" s="753"/>
      <c r="L412" s="753">
        <v>139500.0</v>
      </c>
      <c r="M412" s="754">
        <v>43137.0</v>
      </c>
      <c r="N412" s="754">
        <v>43154.0</v>
      </c>
      <c r="O412" s="506" t="s">
        <v>5014</v>
      </c>
      <c r="P412" s="758">
        <v>43502.0</v>
      </c>
      <c r="Q412" s="446"/>
      <c r="R412" s="446"/>
      <c r="S412" s="446"/>
      <c r="T412" s="446"/>
      <c r="U412" s="446"/>
      <c r="V412" s="446"/>
    </row>
    <row r="413" ht="15.75" customHeight="1">
      <c r="A413" s="744">
        <f t="shared" si="4"/>
        <v>-2665</v>
      </c>
      <c r="B413" s="750" t="s">
        <v>2017</v>
      </c>
      <c r="C413" s="751" t="s">
        <v>4837</v>
      </c>
      <c r="D413" s="506"/>
      <c r="E413" s="760"/>
      <c r="F413" s="760"/>
      <c r="G413" s="752" t="s">
        <v>5010</v>
      </c>
      <c r="H413" s="506" t="s">
        <v>5011</v>
      </c>
      <c r="I413" s="506" t="s">
        <v>5012</v>
      </c>
      <c r="J413" s="439" t="s">
        <v>5017</v>
      </c>
      <c r="K413" s="753"/>
      <c r="L413" s="753">
        <v>27486.0</v>
      </c>
      <c r="M413" s="754">
        <v>43137.0</v>
      </c>
      <c r="N413" s="754">
        <v>43154.0</v>
      </c>
      <c r="O413" s="506" t="s">
        <v>5018</v>
      </c>
      <c r="P413" s="758">
        <v>43502.0</v>
      </c>
      <c r="Q413" s="446"/>
      <c r="R413" s="446"/>
      <c r="S413" s="446"/>
      <c r="T413" s="446"/>
      <c r="U413" s="446"/>
      <c r="V413" s="446"/>
    </row>
    <row r="414" ht="15.75" customHeight="1">
      <c r="A414" s="744">
        <f t="shared" si="4"/>
        <v>-2665</v>
      </c>
      <c r="B414" s="750" t="s">
        <v>2010</v>
      </c>
      <c r="C414" s="751" t="s">
        <v>5019</v>
      </c>
      <c r="D414" s="506"/>
      <c r="E414" s="760"/>
      <c r="F414" s="760"/>
      <c r="G414" s="752" t="s">
        <v>5010</v>
      </c>
      <c r="H414" s="506" t="s">
        <v>5011</v>
      </c>
      <c r="I414" s="506" t="s">
        <v>5012</v>
      </c>
      <c r="J414" s="439" t="s">
        <v>5020</v>
      </c>
      <c r="K414" s="753"/>
      <c r="L414" s="753">
        <v>69322.86</v>
      </c>
      <c r="M414" s="754">
        <v>43137.0</v>
      </c>
      <c r="N414" s="754">
        <v>43154.0</v>
      </c>
      <c r="O414" s="506" t="s">
        <v>5014</v>
      </c>
      <c r="P414" s="758">
        <v>43502.0</v>
      </c>
      <c r="Q414" s="446"/>
      <c r="R414" s="446"/>
      <c r="S414" s="446"/>
      <c r="T414" s="446"/>
      <c r="U414" s="446"/>
      <c r="V414" s="446"/>
    </row>
    <row r="415" ht="15.75" customHeight="1">
      <c r="A415" s="744">
        <f t="shared" si="4"/>
        <v>-2665</v>
      </c>
      <c r="B415" s="750" t="s">
        <v>2501</v>
      </c>
      <c r="C415" s="751" t="s">
        <v>4831</v>
      </c>
      <c r="D415" s="506"/>
      <c r="E415" s="760"/>
      <c r="F415" s="760"/>
      <c r="G415" s="752" t="s">
        <v>5010</v>
      </c>
      <c r="H415" s="506" t="s">
        <v>5011</v>
      </c>
      <c r="I415" s="506" t="s">
        <v>5012</v>
      </c>
      <c r="J415" s="439" t="s">
        <v>5021</v>
      </c>
      <c r="K415" s="753"/>
      <c r="L415" s="753">
        <v>12868.8</v>
      </c>
      <c r="M415" s="754">
        <v>43137.0</v>
      </c>
      <c r="N415" s="754">
        <v>43154.0</v>
      </c>
      <c r="O415" s="506" t="s">
        <v>5014</v>
      </c>
      <c r="P415" s="758">
        <v>43502.0</v>
      </c>
      <c r="Q415" s="446"/>
      <c r="R415" s="446"/>
      <c r="S415" s="446"/>
      <c r="T415" s="446"/>
      <c r="U415" s="446"/>
      <c r="V415" s="446"/>
    </row>
    <row r="416" ht="15.75" customHeight="1">
      <c r="A416" s="744">
        <f t="shared" si="4"/>
        <v>-2665</v>
      </c>
      <c r="B416" s="750" t="s">
        <v>5022</v>
      </c>
      <c r="C416" s="751" t="s">
        <v>5023</v>
      </c>
      <c r="D416" s="506"/>
      <c r="E416" s="760"/>
      <c r="F416" s="760"/>
      <c r="G416" s="752" t="s">
        <v>5010</v>
      </c>
      <c r="H416" s="506" t="s">
        <v>5011</v>
      </c>
      <c r="I416" s="506" t="s">
        <v>5012</v>
      </c>
      <c r="J416" s="439" t="s">
        <v>5024</v>
      </c>
      <c r="K416" s="753"/>
      <c r="L416" s="753">
        <v>89322.0</v>
      </c>
      <c r="M416" s="754">
        <v>43137.0</v>
      </c>
      <c r="N416" s="754">
        <v>43154.0</v>
      </c>
      <c r="O416" s="506" t="s">
        <v>5014</v>
      </c>
      <c r="P416" s="758">
        <v>43502.0</v>
      </c>
      <c r="Q416" s="446"/>
      <c r="R416" s="446"/>
      <c r="S416" s="446"/>
      <c r="T416" s="446"/>
      <c r="U416" s="446"/>
      <c r="V416" s="446"/>
    </row>
    <row r="417" ht="15.75" customHeight="1">
      <c r="A417" s="744">
        <f t="shared" si="4"/>
        <v>-2693</v>
      </c>
      <c r="B417" s="750" t="s">
        <v>2116</v>
      </c>
      <c r="C417" s="751" t="s">
        <v>5025</v>
      </c>
      <c r="D417" s="506"/>
      <c r="E417" s="760"/>
      <c r="F417" s="760"/>
      <c r="G417" s="752" t="s">
        <v>5010</v>
      </c>
      <c r="H417" s="506" t="s">
        <v>5011</v>
      </c>
      <c r="I417" s="506" t="s">
        <v>5012</v>
      </c>
      <c r="J417" s="439" t="s">
        <v>5026</v>
      </c>
      <c r="K417" s="753"/>
      <c r="L417" s="753">
        <v>265800.0</v>
      </c>
      <c r="M417" s="754">
        <v>43137.0</v>
      </c>
      <c r="N417" s="754">
        <v>43154.0</v>
      </c>
      <c r="O417" s="506" t="s">
        <v>5014</v>
      </c>
      <c r="P417" s="758">
        <v>43502.0</v>
      </c>
      <c r="Q417" s="446"/>
      <c r="R417" s="446"/>
      <c r="S417" s="446"/>
      <c r="T417" s="446"/>
      <c r="U417" s="446"/>
      <c r="V417" s="446"/>
    </row>
    <row r="418" ht="15.75" customHeight="1">
      <c r="A418" s="744">
        <f t="shared" si="4"/>
        <v>-2690</v>
      </c>
      <c r="B418" s="750" t="s">
        <v>1799</v>
      </c>
      <c r="C418" s="751" t="s">
        <v>5027</v>
      </c>
      <c r="D418" s="506"/>
      <c r="E418" s="760"/>
      <c r="F418" s="760"/>
      <c r="G418" s="752" t="s">
        <v>5028</v>
      </c>
      <c r="H418" s="506" t="s">
        <v>5029</v>
      </c>
      <c r="I418" s="506" t="s">
        <v>5030</v>
      </c>
      <c r="J418" s="439" t="s">
        <v>5031</v>
      </c>
      <c r="K418" s="753"/>
      <c r="L418" s="753">
        <v>39880.0</v>
      </c>
      <c r="M418" s="754">
        <v>43109.0</v>
      </c>
      <c r="N418" s="754">
        <v>43112.0</v>
      </c>
      <c r="O418" s="506" t="s">
        <v>5032</v>
      </c>
      <c r="P418" s="758">
        <v>43474.0</v>
      </c>
      <c r="Q418" s="446"/>
      <c r="R418" s="446"/>
      <c r="S418" s="446"/>
      <c r="T418" s="446"/>
      <c r="U418" s="446"/>
      <c r="V418" s="446"/>
    </row>
    <row r="419" ht="15.75" customHeight="1">
      <c r="A419" s="744">
        <f t="shared" si="4"/>
        <v>-2690</v>
      </c>
      <c r="B419" s="750" t="s">
        <v>1984</v>
      </c>
      <c r="C419" s="751" t="s">
        <v>5033</v>
      </c>
      <c r="D419" s="506"/>
      <c r="E419" s="760"/>
      <c r="F419" s="760"/>
      <c r="G419" s="752" t="s">
        <v>5034</v>
      </c>
      <c r="H419" s="506" t="s">
        <v>5035</v>
      </c>
      <c r="I419" s="506" t="s">
        <v>5036</v>
      </c>
      <c r="J419" s="439" t="s">
        <v>5037</v>
      </c>
      <c r="K419" s="753"/>
      <c r="L419" s="753">
        <v>155509.2</v>
      </c>
      <c r="M419" s="754">
        <v>43109.0</v>
      </c>
      <c r="N419" s="754">
        <v>43112.0</v>
      </c>
      <c r="O419" s="506" t="s">
        <v>5038</v>
      </c>
      <c r="P419" s="758">
        <v>43477.0</v>
      </c>
      <c r="Q419" s="446"/>
      <c r="R419" s="446"/>
      <c r="S419" s="446"/>
      <c r="T419" s="446"/>
      <c r="U419" s="446"/>
      <c r="V419" s="446"/>
    </row>
    <row r="420" ht="15.75" customHeight="1">
      <c r="A420" s="744">
        <f t="shared" si="4"/>
        <v>-2690</v>
      </c>
      <c r="B420" s="750" t="s">
        <v>5039</v>
      </c>
      <c r="C420" s="751" t="s">
        <v>5040</v>
      </c>
      <c r="D420" s="506"/>
      <c r="E420" s="760"/>
      <c r="F420" s="760"/>
      <c r="G420" s="752" t="s">
        <v>5034</v>
      </c>
      <c r="H420" s="506" t="s">
        <v>5035</v>
      </c>
      <c r="I420" s="506" t="s">
        <v>5036</v>
      </c>
      <c r="J420" s="439" t="s">
        <v>5041</v>
      </c>
      <c r="K420" s="753"/>
      <c r="L420" s="753">
        <v>23839.2</v>
      </c>
      <c r="M420" s="754">
        <v>43109.0</v>
      </c>
      <c r="N420" s="754">
        <v>43112.0</v>
      </c>
      <c r="O420" s="506" t="s">
        <v>5038</v>
      </c>
      <c r="P420" s="758">
        <v>43477.0</v>
      </c>
      <c r="Q420" s="446"/>
      <c r="R420" s="446"/>
      <c r="S420" s="446"/>
      <c r="T420" s="446"/>
      <c r="U420" s="446"/>
      <c r="V420" s="446"/>
    </row>
    <row r="421" ht="15.75" customHeight="1">
      <c r="A421" s="744">
        <f t="shared" si="4"/>
        <v>-2690</v>
      </c>
      <c r="B421" s="750" t="s">
        <v>1840</v>
      </c>
      <c r="C421" s="751" t="s">
        <v>3406</v>
      </c>
      <c r="D421" s="506"/>
      <c r="E421" s="760"/>
      <c r="F421" s="760"/>
      <c r="G421" s="752" t="s">
        <v>5034</v>
      </c>
      <c r="H421" s="506" t="s">
        <v>5035</v>
      </c>
      <c r="I421" s="506" t="s">
        <v>5036</v>
      </c>
      <c r="J421" s="439" t="s">
        <v>5042</v>
      </c>
      <c r="K421" s="753"/>
      <c r="L421" s="753">
        <v>31932.0</v>
      </c>
      <c r="M421" s="754">
        <v>43115.0</v>
      </c>
      <c r="N421" s="754">
        <v>43112.0</v>
      </c>
      <c r="O421" s="506" t="s">
        <v>5038</v>
      </c>
      <c r="P421" s="758">
        <v>43477.0</v>
      </c>
      <c r="Q421" s="446"/>
      <c r="R421" s="446"/>
      <c r="S421" s="446"/>
      <c r="T421" s="446"/>
      <c r="U421" s="446"/>
      <c r="V421" s="446"/>
    </row>
    <row r="422" ht="15.75" customHeight="1">
      <c r="A422" s="744">
        <f t="shared" si="4"/>
        <v>-2690</v>
      </c>
      <c r="B422" s="750" t="s">
        <v>2336</v>
      </c>
      <c r="C422" s="751" t="s">
        <v>5043</v>
      </c>
      <c r="D422" s="506"/>
      <c r="E422" s="760"/>
      <c r="F422" s="760"/>
      <c r="G422" s="752" t="s">
        <v>5034</v>
      </c>
      <c r="H422" s="506" t="s">
        <v>5035</v>
      </c>
      <c r="I422" s="506" t="s">
        <v>5036</v>
      </c>
      <c r="J422" s="439" t="s">
        <v>5044</v>
      </c>
      <c r="K422" s="753"/>
      <c r="L422" s="753">
        <v>97788.0</v>
      </c>
      <c r="M422" s="754">
        <v>43109.0</v>
      </c>
      <c r="N422" s="754">
        <v>43112.0</v>
      </c>
      <c r="O422" s="506" t="s">
        <v>5038</v>
      </c>
      <c r="P422" s="758">
        <v>43477.0</v>
      </c>
      <c r="Q422" s="446"/>
      <c r="R422" s="446"/>
      <c r="S422" s="446"/>
      <c r="T422" s="446"/>
      <c r="U422" s="446"/>
      <c r="V422" s="446"/>
    </row>
    <row r="423" ht="15.75" customHeight="1">
      <c r="A423" s="744">
        <f t="shared" si="4"/>
        <v>-2690</v>
      </c>
      <c r="B423" s="750" t="s">
        <v>2343</v>
      </c>
      <c r="C423" s="751" t="s">
        <v>5015</v>
      </c>
      <c r="D423" s="506"/>
      <c r="E423" s="760"/>
      <c r="F423" s="760"/>
      <c r="G423" s="752" t="s">
        <v>5034</v>
      </c>
      <c r="H423" s="506" t="s">
        <v>5035</v>
      </c>
      <c r="I423" s="506" t="s">
        <v>5036</v>
      </c>
      <c r="J423" s="439" t="s">
        <v>5045</v>
      </c>
      <c r="K423" s="753"/>
      <c r="L423" s="753">
        <v>194532.0</v>
      </c>
      <c r="M423" s="754">
        <v>43109.0</v>
      </c>
      <c r="N423" s="754">
        <v>43112.0</v>
      </c>
      <c r="O423" s="506" t="s">
        <v>5038</v>
      </c>
      <c r="P423" s="758">
        <v>43477.0</v>
      </c>
      <c r="Q423" s="446"/>
      <c r="R423" s="446"/>
      <c r="S423" s="446"/>
      <c r="T423" s="446"/>
      <c r="U423" s="446"/>
      <c r="V423" s="446"/>
    </row>
    <row r="424" ht="15.75" customHeight="1">
      <c r="A424" s="744">
        <f t="shared" si="4"/>
        <v>-2690</v>
      </c>
      <c r="B424" s="750" t="s">
        <v>2003</v>
      </c>
      <c r="C424" s="751" t="s">
        <v>5023</v>
      </c>
      <c r="D424" s="506"/>
      <c r="E424" s="760"/>
      <c r="F424" s="760"/>
      <c r="G424" s="752" t="s">
        <v>5034</v>
      </c>
      <c r="H424" s="506" t="s">
        <v>5035</v>
      </c>
      <c r="I424" s="506" t="s">
        <v>5036</v>
      </c>
      <c r="J424" s="439" t="s">
        <v>5046</v>
      </c>
      <c r="K424" s="753"/>
      <c r="L424" s="753">
        <v>63060.0</v>
      </c>
      <c r="M424" s="754">
        <v>43109.0</v>
      </c>
      <c r="N424" s="754">
        <v>43112.0</v>
      </c>
      <c r="O424" s="506" t="s">
        <v>5038</v>
      </c>
      <c r="P424" s="758">
        <v>43477.0</v>
      </c>
      <c r="Q424" s="446"/>
      <c r="R424" s="446"/>
      <c r="S424" s="446"/>
      <c r="T424" s="446"/>
      <c r="U424" s="446"/>
      <c r="V424" s="446"/>
    </row>
    <row r="425" ht="15.75" customHeight="1">
      <c r="A425" s="744">
        <f t="shared" si="4"/>
        <v>-2690</v>
      </c>
      <c r="B425" s="750" t="s">
        <v>2579</v>
      </c>
      <c r="C425" s="751" t="s">
        <v>5019</v>
      </c>
      <c r="D425" s="506"/>
      <c r="E425" s="760"/>
      <c r="F425" s="760"/>
      <c r="G425" s="752" t="s">
        <v>5034</v>
      </c>
      <c r="H425" s="506" t="s">
        <v>5035</v>
      </c>
      <c r="I425" s="506" t="s">
        <v>5036</v>
      </c>
      <c r="J425" s="439" t="s">
        <v>5047</v>
      </c>
      <c r="K425" s="753"/>
      <c r="L425" s="753">
        <v>297841.2</v>
      </c>
      <c r="M425" s="754">
        <v>43109.0</v>
      </c>
      <c r="N425" s="754">
        <v>43112.0</v>
      </c>
      <c r="O425" s="506" t="s">
        <v>5038</v>
      </c>
      <c r="P425" s="758">
        <v>43477.0</v>
      </c>
      <c r="Q425" s="446"/>
      <c r="R425" s="446"/>
      <c r="S425" s="446"/>
      <c r="T425" s="446"/>
      <c r="U425" s="446"/>
      <c r="V425" s="446"/>
    </row>
    <row r="426" ht="15.75" customHeight="1">
      <c r="A426" s="744">
        <f t="shared" si="4"/>
        <v>-2690</v>
      </c>
      <c r="B426" s="750" t="s">
        <v>1588</v>
      </c>
      <c r="C426" s="751" t="s">
        <v>5048</v>
      </c>
      <c r="D426" s="506"/>
      <c r="E426" s="760"/>
      <c r="F426" s="760"/>
      <c r="G426" s="752" t="s">
        <v>5034</v>
      </c>
      <c r="H426" s="506" t="s">
        <v>5035</v>
      </c>
      <c r="I426" s="506" t="s">
        <v>5036</v>
      </c>
      <c r="J426" s="439" t="s">
        <v>5049</v>
      </c>
      <c r="K426" s="753"/>
      <c r="L426" s="753">
        <v>14340.0</v>
      </c>
      <c r="M426" s="754">
        <v>43110.0</v>
      </c>
      <c r="N426" s="754">
        <v>43112.0</v>
      </c>
      <c r="O426" s="506" t="s">
        <v>5038</v>
      </c>
      <c r="P426" s="758">
        <v>43477.0</v>
      </c>
      <c r="Q426" s="446"/>
      <c r="R426" s="446"/>
      <c r="S426" s="446"/>
      <c r="T426" s="446"/>
      <c r="U426" s="446"/>
      <c r="V426" s="446"/>
    </row>
    <row r="427" ht="15.75" customHeight="1">
      <c r="A427" s="744">
        <f t="shared" si="4"/>
        <v>-2720</v>
      </c>
      <c r="B427" s="750" t="s">
        <v>2222</v>
      </c>
      <c r="C427" s="751" t="s">
        <v>5050</v>
      </c>
      <c r="D427" s="506"/>
      <c r="E427" s="760"/>
      <c r="F427" s="760"/>
      <c r="G427" s="752" t="s">
        <v>5034</v>
      </c>
      <c r="H427" s="506" t="s">
        <v>5035</v>
      </c>
      <c r="I427" s="506" t="s">
        <v>5036</v>
      </c>
      <c r="J427" s="439" t="s">
        <v>5051</v>
      </c>
      <c r="K427" s="753"/>
      <c r="L427" s="753">
        <v>3633.6</v>
      </c>
      <c r="M427" s="754">
        <v>43109.0</v>
      </c>
      <c r="N427" s="754">
        <v>43112.0</v>
      </c>
      <c r="O427" s="506" t="s">
        <v>5038</v>
      </c>
      <c r="P427" s="758">
        <v>43477.0</v>
      </c>
      <c r="Q427" s="446"/>
      <c r="R427" s="446"/>
      <c r="S427" s="446"/>
      <c r="T427" s="446"/>
      <c r="U427" s="446"/>
      <c r="V427" s="446"/>
    </row>
    <row r="428" ht="15.75" customHeight="1">
      <c r="A428" s="744">
        <f t="shared" si="4"/>
        <v>-2720</v>
      </c>
      <c r="B428" s="750" t="s">
        <v>5052</v>
      </c>
      <c r="C428" s="751" t="s">
        <v>5053</v>
      </c>
      <c r="D428" s="506"/>
      <c r="E428" s="760"/>
      <c r="F428" s="760"/>
      <c r="G428" s="752" t="s">
        <v>5054</v>
      </c>
      <c r="H428" s="506"/>
      <c r="I428" s="506" t="s">
        <v>5055</v>
      </c>
      <c r="J428" s="439" t="s">
        <v>4888</v>
      </c>
      <c r="K428" s="753"/>
      <c r="L428" s="753">
        <v>24250.0</v>
      </c>
      <c r="M428" s="754">
        <v>43082.0</v>
      </c>
      <c r="N428" s="754"/>
      <c r="O428" s="504" t="s">
        <v>5056</v>
      </c>
      <c r="P428" s="758">
        <v>43447.0</v>
      </c>
      <c r="Q428" s="446"/>
      <c r="R428" s="446"/>
      <c r="S428" s="446"/>
      <c r="T428" s="446"/>
      <c r="U428" s="446"/>
      <c r="V428" s="446"/>
    </row>
    <row r="429" ht="15.75" customHeight="1">
      <c r="A429" s="744">
        <f t="shared" si="4"/>
        <v>-2720</v>
      </c>
      <c r="B429" s="750" t="s">
        <v>5057</v>
      </c>
      <c r="C429" s="751" t="s">
        <v>5058</v>
      </c>
      <c r="D429" s="506"/>
      <c r="E429" s="760"/>
      <c r="F429" s="760"/>
      <c r="G429" s="752" t="s">
        <v>5054</v>
      </c>
      <c r="H429" s="506"/>
      <c r="I429" s="506" t="s">
        <v>5055</v>
      </c>
      <c r="J429" s="439" t="s">
        <v>4890</v>
      </c>
      <c r="K429" s="753"/>
      <c r="L429" s="753">
        <v>934040.0</v>
      </c>
      <c r="M429" s="754">
        <v>43082.0</v>
      </c>
      <c r="N429" s="754"/>
      <c r="O429" s="504" t="s">
        <v>5056</v>
      </c>
      <c r="P429" s="758">
        <v>43447.0</v>
      </c>
      <c r="Q429" s="446"/>
      <c r="R429" s="446"/>
      <c r="S429" s="446"/>
      <c r="T429" s="446"/>
      <c r="U429" s="446"/>
      <c r="V429" s="446"/>
    </row>
    <row r="430" ht="15.75" customHeight="1">
      <c r="A430" s="744">
        <f t="shared" si="4"/>
        <v>-2720</v>
      </c>
      <c r="B430" s="750" t="s">
        <v>5059</v>
      </c>
      <c r="C430" s="751" t="s">
        <v>5060</v>
      </c>
      <c r="D430" s="506"/>
      <c r="E430" s="760"/>
      <c r="F430" s="760"/>
      <c r="G430" s="752" t="s">
        <v>5061</v>
      </c>
      <c r="H430" s="506"/>
      <c r="I430" s="506" t="s">
        <v>5062</v>
      </c>
      <c r="J430" s="439" t="s">
        <v>4892</v>
      </c>
      <c r="K430" s="753"/>
      <c r="L430" s="753">
        <v>83581.0</v>
      </c>
      <c r="M430" s="754">
        <v>43082.0</v>
      </c>
      <c r="N430" s="754"/>
      <c r="O430" s="504" t="s">
        <v>5056</v>
      </c>
      <c r="P430" s="758">
        <v>43447.0</v>
      </c>
      <c r="Q430" s="446"/>
      <c r="R430" s="446"/>
      <c r="S430" s="446"/>
      <c r="T430" s="446"/>
      <c r="U430" s="446"/>
      <c r="V430" s="446"/>
    </row>
    <row r="431" ht="15.75" customHeight="1">
      <c r="A431" s="744">
        <f t="shared" si="4"/>
        <v>-2720</v>
      </c>
      <c r="B431" s="750" t="s">
        <v>5063</v>
      </c>
      <c r="C431" s="751" t="s">
        <v>4844</v>
      </c>
      <c r="D431" s="506"/>
      <c r="E431" s="760"/>
      <c r="F431" s="760"/>
      <c r="G431" s="752" t="s">
        <v>5061</v>
      </c>
      <c r="H431" s="506"/>
      <c r="I431" s="506" t="s">
        <v>5062</v>
      </c>
      <c r="J431" s="439" t="s">
        <v>4894</v>
      </c>
      <c r="K431" s="753"/>
      <c r="L431" s="753">
        <v>46250.0</v>
      </c>
      <c r="M431" s="754">
        <v>43082.0</v>
      </c>
      <c r="N431" s="754"/>
      <c r="O431" s="504" t="s">
        <v>5056</v>
      </c>
      <c r="P431" s="758">
        <v>43447.0</v>
      </c>
      <c r="Q431" s="446"/>
      <c r="R431" s="446"/>
      <c r="S431" s="446"/>
      <c r="T431" s="446"/>
      <c r="U431" s="446"/>
      <c r="V431" s="446"/>
    </row>
    <row r="432" ht="15.75" customHeight="1">
      <c r="A432" s="744">
        <f t="shared" si="4"/>
        <v>-2720</v>
      </c>
      <c r="B432" s="750" t="s">
        <v>5064</v>
      </c>
      <c r="C432" s="751" t="s">
        <v>5025</v>
      </c>
      <c r="D432" s="506"/>
      <c r="E432" s="760"/>
      <c r="F432" s="760"/>
      <c r="G432" s="752" t="s">
        <v>5061</v>
      </c>
      <c r="H432" s="506"/>
      <c r="I432" s="506" t="s">
        <v>5062</v>
      </c>
      <c r="J432" s="439" t="s">
        <v>4900</v>
      </c>
      <c r="K432" s="753"/>
      <c r="L432" s="753">
        <v>142030.0</v>
      </c>
      <c r="M432" s="754">
        <v>43082.0</v>
      </c>
      <c r="N432" s="754"/>
      <c r="O432" s="504" t="s">
        <v>5056</v>
      </c>
      <c r="P432" s="758">
        <v>43447.0</v>
      </c>
      <c r="Q432" s="446"/>
      <c r="R432" s="446"/>
      <c r="S432" s="446"/>
      <c r="T432" s="446"/>
      <c r="U432" s="446"/>
      <c r="V432" s="446"/>
    </row>
    <row r="433" ht="15.75" customHeight="1">
      <c r="A433" s="744">
        <f t="shared" si="4"/>
        <v>-2720</v>
      </c>
      <c r="B433" s="750" t="s">
        <v>5065</v>
      </c>
      <c r="C433" s="751" t="s">
        <v>5066</v>
      </c>
      <c r="D433" s="506"/>
      <c r="E433" s="760"/>
      <c r="F433" s="760"/>
      <c r="G433" s="752" t="s">
        <v>5061</v>
      </c>
      <c r="H433" s="506"/>
      <c r="I433" s="506" t="s">
        <v>5062</v>
      </c>
      <c r="J433" s="439" t="s">
        <v>4912</v>
      </c>
      <c r="K433" s="753"/>
      <c r="L433" s="753">
        <v>43600.0</v>
      </c>
      <c r="M433" s="754">
        <v>43082.0</v>
      </c>
      <c r="N433" s="754"/>
      <c r="O433" s="504" t="s">
        <v>5056</v>
      </c>
      <c r="P433" s="758">
        <v>43447.0</v>
      </c>
      <c r="Q433" s="446"/>
      <c r="R433" s="446"/>
      <c r="S433" s="446"/>
      <c r="T433" s="446"/>
      <c r="U433" s="446"/>
      <c r="V433" s="446"/>
    </row>
    <row r="434" ht="15.75" customHeight="1">
      <c r="A434" s="744">
        <f t="shared" si="4"/>
        <v>-2720</v>
      </c>
      <c r="B434" s="750" t="s">
        <v>5067</v>
      </c>
      <c r="C434" s="751" t="s">
        <v>5068</v>
      </c>
      <c r="D434" s="506"/>
      <c r="E434" s="760"/>
      <c r="F434" s="760"/>
      <c r="G434" s="752" t="s">
        <v>5061</v>
      </c>
      <c r="H434" s="506"/>
      <c r="I434" s="506" t="s">
        <v>5062</v>
      </c>
      <c r="J434" s="439" t="s">
        <v>4917</v>
      </c>
      <c r="K434" s="753"/>
      <c r="L434" s="753">
        <v>124140.0</v>
      </c>
      <c r="M434" s="754">
        <v>43082.0</v>
      </c>
      <c r="N434" s="754"/>
      <c r="O434" s="504" t="s">
        <v>5056</v>
      </c>
      <c r="P434" s="758">
        <v>43447.0</v>
      </c>
      <c r="Q434" s="446"/>
      <c r="R434" s="446"/>
      <c r="S434" s="446"/>
      <c r="T434" s="446"/>
      <c r="U434" s="446"/>
      <c r="V434" s="446"/>
    </row>
    <row r="435" ht="15.75" customHeight="1">
      <c r="A435" s="744">
        <f t="shared" si="4"/>
        <v>-2720</v>
      </c>
      <c r="B435" s="750" t="s">
        <v>5069</v>
      </c>
      <c r="C435" s="751" t="s">
        <v>5070</v>
      </c>
      <c r="D435" s="506"/>
      <c r="E435" s="760"/>
      <c r="F435" s="760"/>
      <c r="G435" s="752" t="s">
        <v>5061</v>
      </c>
      <c r="H435" s="506" t="s">
        <v>5071</v>
      </c>
      <c r="I435" s="506" t="s">
        <v>5062</v>
      </c>
      <c r="J435" s="439" t="s">
        <v>4922</v>
      </c>
      <c r="K435" s="753"/>
      <c r="L435" s="753">
        <v>34090.0</v>
      </c>
      <c r="M435" s="754">
        <v>43082.0</v>
      </c>
      <c r="N435" s="754"/>
      <c r="O435" s="504" t="s">
        <v>5056</v>
      </c>
      <c r="P435" s="758">
        <v>43447.0</v>
      </c>
      <c r="Q435" s="446"/>
      <c r="R435" s="446"/>
      <c r="S435" s="446"/>
      <c r="T435" s="446"/>
      <c r="U435" s="446"/>
      <c r="V435" s="446"/>
    </row>
    <row r="436" ht="15.75" customHeight="1">
      <c r="A436" s="744">
        <f t="shared" si="4"/>
        <v>-2729</v>
      </c>
      <c r="B436" s="750" t="s">
        <v>5072</v>
      </c>
      <c r="C436" s="751" t="s">
        <v>5009</v>
      </c>
      <c r="D436" s="506"/>
      <c r="E436" s="760"/>
      <c r="F436" s="760"/>
      <c r="G436" s="752" t="s">
        <v>5061</v>
      </c>
      <c r="H436" s="506" t="s">
        <v>5073</v>
      </c>
      <c r="I436" s="506" t="s">
        <v>5062</v>
      </c>
      <c r="J436" s="439" t="s">
        <v>4927</v>
      </c>
      <c r="K436" s="753"/>
      <c r="L436" s="753">
        <v>144260.0</v>
      </c>
      <c r="M436" s="754">
        <v>43082.0</v>
      </c>
      <c r="N436" s="754"/>
      <c r="O436" s="504" t="s">
        <v>5056</v>
      </c>
      <c r="P436" s="758">
        <v>43447.0</v>
      </c>
      <c r="Q436" s="446"/>
      <c r="R436" s="446"/>
      <c r="S436" s="446"/>
      <c r="T436" s="446"/>
      <c r="U436" s="446"/>
      <c r="V436" s="446"/>
    </row>
    <row r="437" ht="15.75" customHeight="1">
      <c r="A437" s="744">
        <f t="shared" si="4"/>
        <v>-2721</v>
      </c>
      <c r="B437" s="750" t="s">
        <v>5074</v>
      </c>
      <c r="C437" s="751" t="s">
        <v>5066</v>
      </c>
      <c r="D437" s="506"/>
      <c r="E437" s="760"/>
      <c r="F437" s="760"/>
      <c r="G437" s="752" t="s">
        <v>5075</v>
      </c>
      <c r="H437" s="506" t="s">
        <v>5076</v>
      </c>
      <c r="I437" s="506" t="s">
        <v>5077</v>
      </c>
      <c r="J437" s="439" t="s">
        <v>4933</v>
      </c>
      <c r="K437" s="753"/>
      <c r="L437" s="753">
        <v>15390.0</v>
      </c>
      <c r="M437" s="754">
        <v>43073.0</v>
      </c>
      <c r="N437" s="754"/>
      <c r="O437" s="504" t="s">
        <v>5078</v>
      </c>
      <c r="P437" s="758">
        <v>43438.0</v>
      </c>
      <c r="Q437" s="446"/>
      <c r="R437" s="446"/>
      <c r="S437" s="446"/>
      <c r="T437" s="446"/>
      <c r="U437" s="446"/>
      <c r="V437" s="446"/>
    </row>
    <row r="438" ht="15.75" customHeight="1">
      <c r="A438" s="744">
        <f t="shared" si="4"/>
        <v>-2729</v>
      </c>
      <c r="B438" s="750" t="s">
        <v>5079</v>
      </c>
      <c r="C438" s="751" t="s">
        <v>5080</v>
      </c>
      <c r="D438" s="506"/>
      <c r="E438" s="760"/>
      <c r="F438" s="760"/>
      <c r="G438" s="752" t="s">
        <v>5081</v>
      </c>
      <c r="H438" s="506"/>
      <c r="I438" s="506" t="s">
        <v>5082</v>
      </c>
      <c r="J438" s="439" t="s">
        <v>5083</v>
      </c>
      <c r="K438" s="753"/>
      <c r="L438" s="753">
        <v>244760.0</v>
      </c>
      <c r="M438" s="754">
        <v>43081.0</v>
      </c>
      <c r="N438" s="754"/>
      <c r="O438" s="504" t="s">
        <v>5084</v>
      </c>
      <c r="P438" s="758">
        <v>43446.0</v>
      </c>
      <c r="Q438" s="446"/>
      <c r="R438" s="446"/>
      <c r="S438" s="446"/>
      <c r="T438" s="446"/>
      <c r="U438" s="446"/>
      <c r="V438" s="446"/>
    </row>
    <row r="439" ht="15.75" customHeight="1">
      <c r="A439" s="744">
        <f t="shared" si="4"/>
        <v>-2729</v>
      </c>
      <c r="B439" s="750" t="s">
        <v>5085</v>
      </c>
      <c r="C439" s="751" t="s">
        <v>5009</v>
      </c>
      <c r="D439" s="506"/>
      <c r="E439" s="760"/>
      <c r="F439" s="760"/>
      <c r="G439" s="752" t="s">
        <v>5075</v>
      </c>
      <c r="H439" s="506" t="s">
        <v>5076</v>
      </c>
      <c r="I439" s="506" t="s">
        <v>5077</v>
      </c>
      <c r="J439" s="439" t="s">
        <v>4940</v>
      </c>
      <c r="K439" s="753"/>
      <c r="L439" s="753">
        <v>480564.0</v>
      </c>
      <c r="M439" s="754">
        <v>43073.0</v>
      </c>
      <c r="N439" s="754"/>
      <c r="O439" s="504" t="s">
        <v>5078</v>
      </c>
      <c r="P439" s="758">
        <v>43438.0</v>
      </c>
      <c r="Q439" s="446"/>
      <c r="R439" s="446"/>
      <c r="S439" s="446"/>
      <c r="T439" s="446"/>
      <c r="U439" s="446"/>
      <c r="V439" s="446"/>
    </row>
    <row r="440" ht="15.75" customHeight="1">
      <c r="A440" s="744">
        <f t="shared" si="4"/>
        <v>-2732</v>
      </c>
      <c r="B440" s="750" t="s">
        <v>5086</v>
      </c>
      <c r="C440" s="751" t="s">
        <v>5009</v>
      </c>
      <c r="D440" s="506"/>
      <c r="E440" s="760"/>
      <c r="F440" s="760"/>
      <c r="G440" s="752" t="s">
        <v>5087</v>
      </c>
      <c r="H440" s="506" t="s">
        <v>5088</v>
      </c>
      <c r="I440" s="506" t="s">
        <v>5089</v>
      </c>
      <c r="J440" s="439" t="s">
        <v>5090</v>
      </c>
      <c r="K440" s="753"/>
      <c r="L440" s="753">
        <v>227900.0</v>
      </c>
      <c r="M440" s="754">
        <v>43073.0</v>
      </c>
      <c r="N440" s="754"/>
      <c r="O440" s="504" t="s">
        <v>5078</v>
      </c>
      <c r="P440" s="758">
        <v>43438.0</v>
      </c>
      <c r="Q440" s="446"/>
      <c r="R440" s="446"/>
      <c r="S440" s="446"/>
      <c r="T440" s="446"/>
      <c r="U440" s="446"/>
      <c r="V440" s="446"/>
    </row>
    <row r="441" ht="15.75" customHeight="1">
      <c r="A441" s="744">
        <f t="shared" si="4"/>
        <v>-2732</v>
      </c>
      <c r="B441" s="750" t="s">
        <v>5091</v>
      </c>
      <c r="C441" s="751" t="s">
        <v>5092</v>
      </c>
      <c r="D441" s="506"/>
      <c r="E441" s="760"/>
      <c r="F441" s="760"/>
      <c r="G441" s="752" t="s">
        <v>5093</v>
      </c>
      <c r="H441" s="506"/>
      <c r="I441" s="506" t="s">
        <v>5094</v>
      </c>
      <c r="J441" s="439" t="s">
        <v>2027</v>
      </c>
      <c r="K441" s="753"/>
      <c r="L441" s="753">
        <v>103923.6</v>
      </c>
      <c r="M441" s="754">
        <v>43069.0</v>
      </c>
      <c r="N441" s="754">
        <v>43070.0</v>
      </c>
      <c r="O441" s="762" t="s">
        <v>5095</v>
      </c>
      <c r="P441" s="758">
        <v>43435.0</v>
      </c>
      <c r="Q441" s="446"/>
      <c r="R441" s="446"/>
      <c r="S441" s="446"/>
      <c r="T441" s="446"/>
      <c r="U441" s="446"/>
      <c r="V441" s="446"/>
    </row>
    <row r="442" ht="15.75" customHeight="1">
      <c r="A442" s="744">
        <f t="shared" si="4"/>
        <v>-2732</v>
      </c>
      <c r="B442" s="750" t="s">
        <v>5096</v>
      </c>
      <c r="C442" s="751" t="s">
        <v>5048</v>
      </c>
      <c r="D442" s="506"/>
      <c r="E442" s="760"/>
      <c r="F442" s="760"/>
      <c r="G442" s="752" t="s">
        <v>5093</v>
      </c>
      <c r="H442" s="506"/>
      <c r="I442" s="506" t="s">
        <v>5094</v>
      </c>
      <c r="J442" s="439" t="s">
        <v>2017</v>
      </c>
      <c r="K442" s="763"/>
      <c r="L442" s="763">
        <v>176796.0</v>
      </c>
      <c r="M442" s="754">
        <v>43069.0</v>
      </c>
      <c r="N442" s="754">
        <v>43070.0</v>
      </c>
      <c r="O442" s="762" t="s">
        <v>5095</v>
      </c>
      <c r="P442" s="758">
        <v>43435.0</v>
      </c>
      <c r="Q442" s="446"/>
      <c r="R442" s="446"/>
      <c r="S442" s="446"/>
      <c r="T442" s="446"/>
      <c r="U442" s="446"/>
      <c r="V442" s="446"/>
    </row>
    <row r="443" ht="15.75" customHeight="1">
      <c r="A443" s="744">
        <f t="shared" si="4"/>
        <v>-2732</v>
      </c>
      <c r="B443" s="750" t="s">
        <v>5097</v>
      </c>
      <c r="C443" s="751" t="s">
        <v>5098</v>
      </c>
      <c r="D443" s="506"/>
      <c r="E443" s="760"/>
      <c r="F443" s="760"/>
      <c r="G443" s="752" t="s">
        <v>5093</v>
      </c>
      <c r="H443" s="506"/>
      <c r="I443" s="506" t="s">
        <v>5094</v>
      </c>
      <c r="J443" s="439" t="s">
        <v>2010</v>
      </c>
      <c r="K443" s="763"/>
      <c r="L443" s="763">
        <v>9588.0</v>
      </c>
      <c r="M443" s="754">
        <v>43069.0</v>
      </c>
      <c r="N443" s="754">
        <v>43070.0</v>
      </c>
      <c r="O443" s="762" t="s">
        <v>5095</v>
      </c>
      <c r="P443" s="758">
        <v>43435.0</v>
      </c>
      <c r="Q443" s="446"/>
      <c r="R443" s="446"/>
      <c r="S443" s="446"/>
      <c r="T443" s="446"/>
      <c r="U443" s="446"/>
      <c r="V443" s="446"/>
    </row>
    <row r="444" ht="15.75" customHeight="1">
      <c r="A444" s="744">
        <f t="shared" si="4"/>
        <v>-2732</v>
      </c>
      <c r="B444" s="750" t="s">
        <v>5099</v>
      </c>
      <c r="C444" s="751" t="s">
        <v>5050</v>
      </c>
      <c r="D444" s="506"/>
      <c r="E444" s="760"/>
      <c r="F444" s="760"/>
      <c r="G444" s="752" t="s">
        <v>5093</v>
      </c>
      <c r="H444" s="506"/>
      <c r="I444" s="506" t="s">
        <v>5094</v>
      </c>
      <c r="J444" s="439" t="s">
        <v>2501</v>
      </c>
      <c r="K444" s="763"/>
      <c r="L444" s="763">
        <v>105774.6</v>
      </c>
      <c r="M444" s="754">
        <v>43069.0</v>
      </c>
      <c r="N444" s="754">
        <v>43070.0</v>
      </c>
      <c r="O444" s="762" t="s">
        <v>5095</v>
      </c>
      <c r="P444" s="758">
        <v>43435.0</v>
      </c>
      <c r="Q444" s="446"/>
      <c r="R444" s="446"/>
      <c r="S444" s="446"/>
      <c r="T444" s="446"/>
      <c r="U444" s="446"/>
      <c r="V444" s="446"/>
    </row>
    <row r="445" ht="15.75" customHeight="1">
      <c r="A445" s="744">
        <f t="shared" si="4"/>
        <v>-2732</v>
      </c>
      <c r="B445" s="750" t="s">
        <v>2488</v>
      </c>
      <c r="C445" s="751" t="s">
        <v>5025</v>
      </c>
      <c r="D445" s="506"/>
      <c r="E445" s="760"/>
      <c r="F445" s="760"/>
      <c r="G445" s="752" t="s">
        <v>5093</v>
      </c>
      <c r="H445" s="506"/>
      <c r="I445" s="506" t="s">
        <v>5094</v>
      </c>
      <c r="J445" s="439" t="s">
        <v>5022</v>
      </c>
      <c r="K445" s="763"/>
      <c r="L445" s="763">
        <v>7044.0</v>
      </c>
      <c r="M445" s="754">
        <v>43069.0</v>
      </c>
      <c r="N445" s="754">
        <v>43070.0</v>
      </c>
      <c r="O445" s="762" t="s">
        <v>5095</v>
      </c>
      <c r="P445" s="758">
        <v>43435.0</v>
      </c>
      <c r="Q445" s="446"/>
      <c r="R445" s="446"/>
      <c r="S445" s="446"/>
      <c r="T445" s="446"/>
      <c r="U445" s="446"/>
      <c r="V445" s="446"/>
    </row>
    <row r="446" ht="15.75" customHeight="1">
      <c r="A446" s="744">
        <f t="shared" si="4"/>
        <v>-2732</v>
      </c>
      <c r="B446" s="750" t="s">
        <v>2427</v>
      </c>
      <c r="C446" s="751" t="s">
        <v>5033</v>
      </c>
      <c r="D446" s="506"/>
      <c r="E446" s="760"/>
      <c r="F446" s="760"/>
      <c r="G446" s="752" t="s">
        <v>5093</v>
      </c>
      <c r="H446" s="506"/>
      <c r="I446" s="506" t="s">
        <v>5094</v>
      </c>
      <c r="J446" s="439" t="s">
        <v>2116</v>
      </c>
      <c r="K446" s="763"/>
      <c r="L446" s="763">
        <v>84276.0</v>
      </c>
      <c r="M446" s="754">
        <v>43069.0</v>
      </c>
      <c r="N446" s="754">
        <v>43070.0</v>
      </c>
      <c r="O446" s="762" t="s">
        <v>5095</v>
      </c>
      <c r="P446" s="758">
        <v>43435.0</v>
      </c>
      <c r="Q446" s="446"/>
      <c r="R446" s="446"/>
      <c r="S446" s="446"/>
      <c r="T446" s="446"/>
      <c r="U446" s="446"/>
      <c r="V446" s="446"/>
    </row>
    <row r="447" ht="15.75" customHeight="1">
      <c r="A447" s="744">
        <f t="shared" si="4"/>
        <v>-2732</v>
      </c>
      <c r="B447" s="750" t="s">
        <v>1563</v>
      </c>
      <c r="C447" s="751" t="s">
        <v>5060</v>
      </c>
      <c r="D447" s="506"/>
      <c r="E447" s="760"/>
      <c r="F447" s="760"/>
      <c r="G447" s="752" t="s">
        <v>5093</v>
      </c>
      <c r="H447" s="506"/>
      <c r="I447" s="506" t="s">
        <v>5094</v>
      </c>
      <c r="J447" s="439" t="s">
        <v>1799</v>
      </c>
      <c r="K447" s="763"/>
      <c r="L447" s="763">
        <v>6306.0</v>
      </c>
      <c r="M447" s="754">
        <v>43069.0</v>
      </c>
      <c r="N447" s="754">
        <v>43070.0</v>
      </c>
      <c r="O447" s="762" t="s">
        <v>5095</v>
      </c>
      <c r="P447" s="758">
        <v>43435.0</v>
      </c>
      <c r="Q447" s="446"/>
      <c r="R447" s="446"/>
      <c r="S447" s="446"/>
      <c r="T447" s="446"/>
      <c r="U447" s="446"/>
      <c r="V447" s="446"/>
    </row>
    <row r="448" ht="15.75" customHeight="1">
      <c r="A448" s="744">
        <f t="shared" si="4"/>
        <v>-2732</v>
      </c>
      <c r="B448" s="750" t="s">
        <v>5100</v>
      </c>
      <c r="C448" s="751" t="s">
        <v>3406</v>
      </c>
      <c r="D448" s="506"/>
      <c r="E448" s="760"/>
      <c r="F448" s="760"/>
      <c r="G448" s="752" t="s">
        <v>5093</v>
      </c>
      <c r="H448" s="506" t="s">
        <v>5101</v>
      </c>
      <c r="I448" s="506" t="s">
        <v>5094</v>
      </c>
      <c r="J448" s="439" t="s">
        <v>5102</v>
      </c>
      <c r="K448" s="763"/>
      <c r="L448" s="763">
        <v>202357.2</v>
      </c>
      <c r="M448" s="754">
        <v>43069.0</v>
      </c>
      <c r="N448" s="754">
        <v>43070.0</v>
      </c>
      <c r="O448" s="762" t="s">
        <v>5095</v>
      </c>
      <c r="P448" s="758">
        <v>43435.0</v>
      </c>
      <c r="Q448" s="446"/>
      <c r="R448" s="446"/>
      <c r="S448" s="446"/>
      <c r="T448" s="446"/>
      <c r="U448" s="446"/>
      <c r="V448" s="446"/>
    </row>
    <row r="449" ht="15.75" customHeight="1">
      <c r="A449" s="744">
        <f t="shared" si="4"/>
        <v>-2732</v>
      </c>
      <c r="B449" s="750" t="s">
        <v>2156</v>
      </c>
      <c r="C449" s="751" t="s">
        <v>5015</v>
      </c>
      <c r="D449" s="506"/>
      <c r="E449" s="760"/>
      <c r="F449" s="760"/>
      <c r="G449" s="752" t="s">
        <v>5093</v>
      </c>
      <c r="H449" s="506" t="s">
        <v>5101</v>
      </c>
      <c r="I449" s="506" t="s">
        <v>5094</v>
      </c>
      <c r="J449" s="439" t="s">
        <v>5103</v>
      </c>
      <c r="K449" s="764"/>
      <c r="L449" s="764">
        <v>157461.6</v>
      </c>
      <c r="M449" s="754">
        <v>43069.0</v>
      </c>
      <c r="N449" s="754">
        <v>43070.0</v>
      </c>
      <c r="O449" s="762" t="s">
        <v>5095</v>
      </c>
      <c r="P449" s="758">
        <v>43435.0</v>
      </c>
      <c r="Q449" s="446"/>
      <c r="R449" s="446"/>
      <c r="S449" s="446"/>
      <c r="T449" s="446"/>
      <c r="U449" s="446"/>
      <c r="V449" s="446"/>
    </row>
    <row r="450" ht="15.75" customHeight="1">
      <c r="A450" s="744">
        <f t="shared" si="4"/>
        <v>-2733</v>
      </c>
      <c r="B450" s="750" t="s">
        <v>2388</v>
      </c>
      <c r="C450" s="751" t="s">
        <v>5019</v>
      </c>
      <c r="D450" s="506"/>
      <c r="E450" s="760"/>
      <c r="F450" s="760"/>
      <c r="G450" s="752" t="s">
        <v>5093</v>
      </c>
      <c r="H450" s="506"/>
      <c r="I450" s="506" t="s">
        <v>5094</v>
      </c>
      <c r="J450" s="439" t="s">
        <v>5104</v>
      </c>
      <c r="K450" s="763"/>
      <c r="L450" s="763">
        <v>34122.0</v>
      </c>
      <c r="M450" s="754">
        <v>43069.0</v>
      </c>
      <c r="N450" s="754">
        <v>43070.0</v>
      </c>
      <c r="O450" s="762" t="s">
        <v>5095</v>
      </c>
      <c r="P450" s="758">
        <v>43435.0</v>
      </c>
      <c r="Q450" s="446"/>
      <c r="R450" s="446"/>
      <c r="S450" s="446"/>
      <c r="T450" s="446"/>
      <c r="U450" s="446"/>
      <c r="V450" s="446"/>
    </row>
    <row r="451" ht="15.75" customHeight="1">
      <c r="A451" s="744">
        <f t="shared" si="4"/>
        <v>-2733</v>
      </c>
      <c r="B451" s="750" t="s">
        <v>1976</v>
      </c>
      <c r="C451" s="751" t="s">
        <v>5060</v>
      </c>
      <c r="D451" s="506"/>
      <c r="E451" s="760"/>
      <c r="F451" s="760"/>
      <c r="G451" s="752" t="s">
        <v>5105</v>
      </c>
      <c r="H451" s="506"/>
      <c r="I451" s="506" t="s">
        <v>5106</v>
      </c>
      <c r="J451" s="630" t="s">
        <v>5107</v>
      </c>
      <c r="K451" s="763"/>
      <c r="L451" s="763">
        <v>14254.8</v>
      </c>
      <c r="M451" s="754">
        <v>43069.0</v>
      </c>
      <c r="N451" s="754"/>
      <c r="O451" s="504" t="s">
        <v>5108</v>
      </c>
      <c r="P451" s="758">
        <v>43434.0</v>
      </c>
      <c r="Q451" s="446"/>
      <c r="R451" s="446"/>
      <c r="S451" s="446"/>
      <c r="T451" s="446"/>
      <c r="U451" s="446"/>
      <c r="V451" s="446"/>
    </row>
    <row r="452" ht="15.75" customHeight="1">
      <c r="A452" s="744">
        <f t="shared" si="4"/>
        <v>-2733</v>
      </c>
      <c r="B452" s="750" t="s">
        <v>1964</v>
      </c>
      <c r="C452" s="751" t="s">
        <v>5043</v>
      </c>
      <c r="D452" s="506"/>
      <c r="E452" s="760"/>
      <c r="F452" s="760"/>
      <c r="G452" s="752" t="s">
        <v>5105</v>
      </c>
      <c r="H452" s="506" t="s">
        <v>5109</v>
      </c>
      <c r="I452" s="506" t="s">
        <v>5106</v>
      </c>
      <c r="J452" s="630" t="s">
        <v>5110</v>
      </c>
      <c r="K452" s="763"/>
      <c r="L452" s="763">
        <v>127410.6</v>
      </c>
      <c r="M452" s="754">
        <v>43069.0</v>
      </c>
      <c r="N452" s="754"/>
      <c r="O452" s="504" t="s">
        <v>5108</v>
      </c>
      <c r="P452" s="758">
        <v>43434.0</v>
      </c>
      <c r="Q452" s="446"/>
      <c r="R452" s="446"/>
      <c r="S452" s="446"/>
      <c r="T452" s="446"/>
      <c r="U452" s="446"/>
      <c r="V452" s="446"/>
    </row>
    <row r="453" ht="15.75" customHeight="1">
      <c r="A453" s="744">
        <f t="shared" si="4"/>
        <v>-2733</v>
      </c>
      <c r="B453" s="750" t="s">
        <v>2533</v>
      </c>
      <c r="C453" s="751" t="s">
        <v>5015</v>
      </c>
      <c r="D453" s="506"/>
      <c r="E453" s="760"/>
      <c r="F453" s="760"/>
      <c r="G453" s="752" t="s">
        <v>5105</v>
      </c>
      <c r="H453" s="506" t="s">
        <v>5111</v>
      </c>
      <c r="I453" s="506" t="s">
        <v>5106</v>
      </c>
      <c r="J453" s="630" t="s">
        <v>5112</v>
      </c>
      <c r="K453" s="763"/>
      <c r="L453" s="763">
        <v>105108.0</v>
      </c>
      <c r="M453" s="754">
        <v>43069.0</v>
      </c>
      <c r="N453" s="754"/>
      <c r="O453" s="504" t="s">
        <v>5108</v>
      </c>
      <c r="P453" s="758">
        <v>43434.0</v>
      </c>
      <c r="Q453" s="446"/>
      <c r="R453" s="446"/>
      <c r="S453" s="446"/>
      <c r="T453" s="446"/>
      <c r="U453" s="446"/>
      <c r="V453" s="446"/>
    </row>
    <row r="454" ht="15.75" customHeight="1">
      <c r="A454" s="744">
        <f t="shared" si="4"/>
        <v>-2739</v>
      </c>
      <c r="B454" s="750" t="s">
        <v>5113</v>
      </c>
      <c r="C454" s="751" t="s">
        <v>3406</v>
      </c>
      <c r="D454" s="506"/>
      <c r="E454" s="760"/>
      <c r="F454" s="760"/>
      <c r="G454" s="752" t="s">
        <v>5105</v>
      </c>
      <c r="H454" s="506" t="s">
        <v>5109</v>
      </c>
      <c r="I454" s="506" t="s">
        <v>5106</v>
      </c>
      <c r="J454" s="630" t="s">
        <v>5114</v>
      </c>
      <c r="K454" s="763"/>
      <c r="L454" s="763">
        <v>93384.0</v>
      </c>
      <c r="M454" s="754">
        <v>43069.0</v>
      </c>
      <c r="N454" s="754">
        <v>43434.0</v>
      </c>
      <c r="O454" s="504" t="s">
        <v>5108</v>
      </c>
      <c r="P454" s="758">
        <v>43434.0</v>
      </c>
      <c r="Q454" s="446"/>
      <c r="R454" s="446"/>
      <c r="S454" s="446"/>
      <c r="T454" s="446"/>
      <c r="U454" s="446"/>
      <c r="V454" s="446"/>
    </row>
    <row r="455" ht="15.75" customHeight="1">
      <c r="A455" s="744">
        <f t="shared" si="4"/>
        <v>-2739</v>
      </c>
      <c r="B455" s="750" t="s">
        <v>1905</v>
      </c>
      <c r="C455" s="751" t="s">
        <v>5115</v>
      </c>
      <c r="D455" s="506"/>
      <c r="E455" s="760"/>
      <c r="F455" s="760"/>
      <c r="G455" s="752" t="s">
        <v>5116</v>
      </c>
      <c r="H455" s="506"/>
      <c r="I455" s="506" t="s">
        <v>5117</v>
      </c>
      <c r="J455" s="630" t="s">
        <v>5118</v>
      </c>
      <c r="K455" s="763"/>
      <c r="L455" s="763">
        <v>108624.0</v>
      </c>
      <c r="M455" s="754">
        <v>43063.0</v>
      </c>
      <c r="N455" s="754"/>
      <c r="O455" s="504" t="s">
        <v>5119</v>
      </c>
      <c r="P455" s="758">
        <v>43428.0</v>
      </c>
      <c r="Q455" s="446"/>
      <c r="R455" s="446"/>
      <c r="S455" s="446"/>
      <c r="T455" s="446"/>
      <c r="U455" s="446"/>
      <c r="V455" s="446"/>
    </row>
    <row r="456" ht="28.5" customHeight="1">
      <c r="A456" s="744">
        <f t="shared" si="4"/>
        <v>-2739</v>
      </c>
      <c r="B456" s="750" t="s">
        <v>2496</v>
      </c>
      <c r="C456" s="751" t="s">
        <v>5120</v>
      </c>
      <c r="D456" s="506"/>
      <c r="E456" s="760"/>
      <c r="F456" s="760"/>
      <c r="G456" s="752" t="s">
        <v>5116</v>
      </c>
      <c r="H456" s="506"/>
      <c r="I456" s="506" t="s">
        <v>5117</v>
      </c>
      <c r="J456" s="630" t="s">
        <v>5121</v>
      </c>
      <c r="K456" s="763"/>
      <c r="L456" s="763">
        <v>2514.4</v>
      </c>
      <c r="M456" s="754">
        <v>43063.0</v>
      </c>
      <c r="N456" s="754"/>
      <c r="O456" s="504" t="s">
        <v>5119</v>
      </c>
      <c r="P456" s="758">
        <v>43428.0</v>
      </c>
      <c r="Q456" s="446"/>
      <c r="R456" s="446"/>
      <c r="S456" s="446"/>
      <c r="T456" s="446"/>
      <c r="U456" s="446"/>
      <c r="V456" s="446"/>
    </row>
    <row r="457" ht="28.5" customHeight="1">
      <c r="A457" s="744">
        <f t="shared" si="4"/>
        <v>-2739</v>
      </c>
      <c r="B457" s="750" t="s">
        <v>2124</v>
      </c>
      <c r="C457" s="751" t="s">
        <v>5122</v>
      </c>
      <c r="D457" s="506"/>
      <c r="E457" s="760"/>
      <c r="F457" s="760"/>
      <c r="G457" s="752" t="s">
        <v>5116</v>
      </c>
      <c r="H457" s="506"/>
      <c r="I457" s="506" t="s">
        <v>5117</v>
      </c>
      <c r="J457" s="630" t="s">
        <v>5123</v>
      </c>
      <c r="K457" s="763"/>
      <c r="L457" s="763">
        <v>169309.0</v>
      </c>
      <c r="M457" s="754">
        <v>43063.0</v>
      </c>
      <c r="N457" s="754"/>
      <c r="O457" s="504" t="s">
        <v>5119</v>
      </c>
      <c r="P457" s="758">
        <v>43428.0</v>
      </c>
      <c r="Q457" s="446"/>
      <c r="R457" s="446"/>
      <c r="S457" s="446"/>
      <c r="T457" s="446"/>
      <c r="U457" s="446"/>
      <c r="V457" s="446"/>
    </row>
    <row r="458">
      <c r="A458" s="744">
        <f t="shared" si="4"/>
        <v>-2739</v>
      </c>
      <c r="B458" s="750" t="s">
        <v>5124</v>
      </c>
      <c r="C458" s="751" t="s">
        <v>5125</v>
      </c>
      <c r="D458" s="506"/>
      <c r="E458" s="760"/>
      <c r="F458" s="760"/>
      <c r="G458" s="752" t="s">
        <v>5116</v>
      </c>
      <c r="H458" s="506"/>
      <c r="I458" s="506" t="s">
        <v>5117</v>
      </c>
      <c r="J458" s="630" t="s">
        <v>5126</v>
      </c>
      <c r="K458" s="763"/>
      <c r="L458" s="763">
        <v>117945.1</v>
      </c>
      <c r="M458" s="754">
        <v>43063.0</v>
      </c>
      <c r="N458" s="754"/>
      <c r="O458" s="504" t="s">
        <v>5119</v>
      </c>
      <c r="P458" s="758">
        <v>43428.0</v>
      </c>
      <c r="Q458" s="446"/>
      <c r="R458" s="446"/>
      <c r="S458" s="446"/>
      <c r="T458" s="446"/>
      <c r="U458" s="446"/>
      <c r="V458" s="446"/>
    </row>
    <row r="459">
      <c r="A459" s="744">
        <f t="shared" si="4"/>
        <v>-2739</v>
      </c>
      <c r="B459" s="750" t="s">
        <v>5127</v>
      </c>
      <c r="C459" s="751" t="s">
        <v>5128</v>
      </c>
      <c r="D459" s="506"/>
      <c r="E459" s="760"/>
      <c r="F459" s="760"/>
      <c r="G459" s="752" t="s">
        <v>5116</v>
      </c>
      <c r="H459" s="506"/>
      <c r="I459" s="506" t="s">
        <v>5117</v>
      </c>
      <c r="J459" s="630" t="s">
        <v>5129</v>
      </c>
      <c r="K459" s="763"/>
      <c r="L459" s="763">
        <v>168750.0</v>
      </c>
      <c r="M459" s="754">
        <v>43063.0</v>
      </c>
      <c r="N459" s="754"/>
      <c r="O459" s="504" t="s">
        <v>5119</v>
      </c>
      <c r="P459" s="758">
        <v>43428.0</v>
      </c>
      <c r="Q459" s="446"/>
      <c r="R459" s="446"/>
      <c r="S459" s="446"/>
      <c r="T459" s="446"/>
      <c r="U459" s="446"/>
      <c r="V459" s="446"/>
    </row>
    <row r="460" ht="33.0" customHeight="1">
      <c r="A460" s="744">
        <f t="shared" si="4"/>
        <v>-2739</v>
      </c>
      <c r="B460" s="750" t="s">
        <v>2094</v>
      </c>
      <c r="C460" s="751" t="s">
        <v>5130</v>
      </c>
      <c r="D460" s="506"/>
      <c r="E460" s="760"/>
      <c r="F460" s="760"/>
      <c r="G460" s="752" t="s">
        <v>5131</v>
      </c>
      <c r="H460" s="506"/>
      <c r="I460" s="506" t="s">
        <v>5132</v>
      </c>
      <c r="J460" s="630" t="s">
        <v>5133</v>
      </c>
      <c r="K460" s="763"/>
      <c r="L460" s="763">
        <v>85513.0</v>
      </c>
      <c r="M460" s="754">
        <v>43060.0</v>
      </c>
      <c r="N460" s="754"/>
      <c r="O460" s="504" t="s">
        <v>5119</v>
      </c>
      <c r="P460" s="758">
        <v>43428.0</v>
      </c>
      <c r="Q460" s="446"/>
      <c r="R460" s="446"/>
      <c r="S460" s="446"/>
      <c r="T460" s="446"/>
      <c r="U460" s="446"/>
      <c r="V460" s="446"/>
    </row>
    <row r="461">
      <c r="A461" s="744">
        <f t="shared" si="4"/>
        <v>-2769</v>
      </c>
      <c r="B461" s="750" t="s">
        <v>2064</v>
      </c>
      <c r="C461" s="751" t="s">
        <v>5134</v>
      </c>
      <c r="D461" s="506"/>
      <c r="E461" s="760"/>
      <c r="F461" s="760"/>
      <c r="G461" s="752" t="s">
        <v>5131</v>
      </c>
      <c r="H461" s="506"/>
      <c r="I461" s="506" t="s">
        <v>5132</v>
      </c>
      <c r="J461" s="630" t="s">
        <v>5135</v>
      </c>
      <c r="K461" s="763"/>
      <c r="L461" s="763">
        <v>746791.5</v>
      </c>
      <c r="M461" s="754">
        <v>43060.0</v>
      </c>
      <c r="N461" s="754"/>
      <c r="O461" s="504" t="s">
        <v>5119</v>
      </c>
      <c r="P461" s="758">
        <v>43428.0</v>
      </c>
      <c r="Q461" s="446"/>
      <c r="R461" s="446"/>
      <c r="S461" s="446"/>
      <c r="T461" s="446"/>
      <c r="U461" s="446"/>
      <c r="V461" s="446"/>
    </row>
    <row r="462">
      <c r="A462" s="744">
        <f t="shared" si="4"/>
        <v>-2785</v>
      </c>
      <c r="B462" s="750" t="s">
        <v>2458</v>
      </c>
      <c r="C462" s="751" t="s">
        <v>5122</v>
      </c>
      <c r="D462" s="506"/>
      <c r="E462" s="760"/>
      <c r="F462" s="760"/>
      <c r="G462" s="752" t="s">
        <v>5136</v>
      </c>
      <c r="H462" s="506"/>
      <c r="I462" s="506" t="s">
        <v>5137</v>
      </c>
      <c r="J462" s="630" t="s">
        <v>5138</v>
      </c>
      <c r="K462" s="763"/>
      <c r="L462" s="763">
        <v>105000.0</v>
      </c>
      <c r="M462" s="754">
        <v>43033.0</v>
      </c>
      <c r="N462" s="754"/>
      <c r="O462" s="504" t="s">
        <v>5139</v>
      </c>
      <c r="P462" s="758">
        <v>43398.0</v>
      </c>
      <c r="Q462" s="446"/>
      <c r="R462" s="446"/>
      <c r="S462" s="446"/>
      <c r="T462" s="446"/>
      <c r="U462" s="446"/>
      <c r="V462" s="446"/>
    </row>
    <row r="463">
      <c r="A463" s="744">
        <f t="shared" si="4"/>
        <v>-2785</v>
      </c>
      <c r="B463" s="750" t="s">
        <v>1927</v>
      </c>
      <c r="C463" s="751" t="s">
        <v>5140</v>
      </c>
      <c r="D463" s="506"/>
      <c r="E463" s="760"/>
      <c r="F463" s="760"/>
      <c r="G463" s="752" t="s">
        <v>5141</v>
      </c>
      <c r="H463" s="506"/>
      <c r="I463" s="506" t="s">
        <v>5142</v>
      </c>
      <c r="J463" s="630" t="s">
        <v>5143</v>
      </c>
      <c r="K463" s="763"/>
      <c r="L463" s="763">
        <v>2042740.17</v>
      </c>
      <c r="M463" s="754">
        <v>43017.0</v>
      </c>
      <c r="N463" s="754"/>
      <c r="O463" s="504" t="s">
        <v>5144</v>
      </c>
      <c r="P463" s="758">
        <v>43382.0</v>
      </c>
      <c r="Q463" s="446"/>
      <c r="R463" s="446"/>
      <c r="S463" s="446"/>
      <c r="T463" s="446"/>
      <c r="U463" s="446"/>
      <c r="V463" s="446"/>
    </row>
    <row r="464">
      <c r="A464" s="744">
        <f t="shared" si="4"/>
        <v>-2784</v>
      </c>
      <c r="B464" s="750" t="s">
        <v>5145</v>
      </c>
      <c r="C464" s="751" t="s">
        <v>5140</v>
      </c>
      <c r="D464" s="506"/>
      <c r="E464" s="760"/>
      <c r="F464" s="760"/>
      <c r="G464" s="752" t="s">
        <v>5146</v>
      </c>
      <c r="H464" s="506"/>
      <c r="I464" s="506" t="s">
        <v>5147</v>
      </c>
      <c r="J464" s="630" t="s">
        <v>5148</v>
      </c>
      <c r="K464" s="763"/>
      <c r="L464" s="763">
        <v>401600.0</v>
      </c>
      <c r="M464" s="754">
        <v>43017.0</v>
      </c>
      <c r="N464" s="754"/>
      <c r="O464" s="504" t="s">
        <v>5144</v>
      </c>
      <c r="P464" s="758">
        <v>43382.0</v>
      </c>
      <c r="Q464" s="446"/>
      <c r="R464" s="446"/>
      <c r="S464" s="446"/>
      <c r="T464" s="446"/>
      <c r="U464" s="446"/>
      <c r="V464" s="446"/>
    </row>
    <row r="465">
      <c r="A465" s="744">
        <f t="shared" si="4"/>
        <v>-2784</v>
      </c>
      <c r="B465" s="750" t="s">
        <v>5149</v>
      </c>
      <c r="C465" s="751" t="s">
        <v>5150</v>
      </c>
      <c r="D465" s="506"/>
      <c r="E465" s="760"/>
      <c r="F465" s="760"/>
      <c r="G465" s="752" t="s">
        <v>5151</v>
      </c>
      <c r="H465" s="506" t="s">
        <v>5152</v>
      </c>
      <c r="I465" s="506" t="s">
        <v>5153</v>
      </c>
      <c r="J465" s="630" t="s">
        <v>5154</v>
      </c>
      <c r="K465" s="763"/>
      <c r="L465" s="763">
        <v>11927.5</v>
      </c>
      <c r="M465" s="754">
        <v>43013.0</v>
      </c>
      <c r="N465" s="754">
        <v>43018.0</v>
      </c>
      <c r="O465" s="504" t="s">
        <v>5155</v>
      </c>
      <c r="P465" s="758">
        <v>43383.0</v>
      </c>
      <c r="Q465" s="446"/>
      <c r="R465" s="446"/>
      <c r="S465" s="446"/>
      <c r="T465" s="446"/>
      <c r="U465" s="446"/>
      <c r="V465" s="446"/>
    </row>
    <row r="466">
      <c r="A466" s="744">
        <f t="shared" si="4"/>
        <v>-2784</v>
      </c>
      <c r="B466" s="750" t="s">
        <v>5156</v>
      </c>
      <c r="C466" s="751" t="s">
        <v>5157</v>
      </c>
      <c r="D466" s="506"/>
      <c r="E466" s="760"/>
      <c r="F466" s="760"/>
      <c r="G466" s="752" t="s">
        <v>5151</v>
      </c>
      <c r="H466" s="506" t="s">
        <v>5152</v>
      </c>
      <c r="I466" s="506" t="s">
        <v>5153</v>
      </c>
      <c r="J466" s="630" t="s">
        <v>5158</v>
      </c>
      <c r="K466" s="763"/>
      <c r="L466" s="763">
        <v>13781.7</v>
      </c>
      <c r="M466" s="754">
        <v>43013.0</v>
      </c>
      <c r="N466" s="754">
        <v>43018.0</v>
      </c>
      <c r="O466" s="504" t="s">
        <v>5155</v>
      </c>
      <c r="P466" s="758">
        <v>43383.0</v>
      </c>
      <c r="Q466" s="446"/>
      <c r="R466" s="446"/>
      <c r="S466" s="446"/>
      <c r="T466" s="446"/>
      <c r="U466" s="446"/>
      <c r="V466" s="446"/>
    </row>
    <row r="467">
      <c r="A467" s="744">
        <f t="shared" si="4"/>
        <v>-2788</v>
      </c>
      <c r="B467" s="750" t="s">
        <v>5159</v>
      </c>
      <c r="C467" s="751" t="s">
        <v>5025</v>
      </c>
      <c r="D467" s="506"/>
      <c r="E467" s="760"/>
      <c r="F467" s="760"/>
      <c r="G467" s="752" t="s">
        <v>5151</v>
      </c>
      <c r="H467" s="506" t="s">
        <v>5152</v>
      </c>
      <c r="I467" s="506" t="s">
        <v>5153</v>
      </c>
      <c r="J467" s="630" t="s">
        <v>5160</v>
      </c>
      <c r="K467" s="763"/>
      <c r="L467" s="763">
        <v>14290.0</v>
      </c>
      <c r="M467" s="754">
        <v>43013.0</v>
      </c>
      <c r="N467" s="754">
        <v>43018.0</v>
      </c>
      <c r="O467" s="504" t="s">
        <v>5155</v>
      </c>
      <c r="P467" s="758">
        <v>43383.0</v>
      </c>
      <c r="Q467" s="446"/>
      <c r="R467" s="446"/>
      <c r="S467" s="446"/>
      <c r="T467" s="446"/>
      <c r="U467" s="446"/>
      <c r="V467" s="446"/>
    </row>
    <row r="468">
      <c r="A468" s="744">
        <f t="shared" si="4"/>
        <v>-2788</v>
      </c>
      <c r="B468" s="750" t="s">
        <v>5161</v>
      </c>
      <c r="C468" s="751" t="s">
        <v>5162</v>
      </c>
      <c r="D468" s="506"/>
      <c r="E468" s="760"/>
      <c r="F468" s="760"/>
      <c r="G468" s="752" t="s">
        <v>5163</v>
      </c>
      <c r="H468" s="506" t="s">
        <v>5164</v>
      </c>
      <c r="I468" s="506" t="s">
        <v>5165</v>
      </c>
      <c r="J468" s="759" t="s">
        <v>5166</v>
      </c>
      <c r="K468" s="763"/>
      <c r="L468" s="763">
        <v>43416.0</v>
      </c>
      <c r="M468" s="754">
        <v>43012.0</v>
      </c>
      <c r="N468" s="754">
        <v>43014.0</v>
      </c>
      <c r="O468" s="504" t="s">
        <v>5167</v>
      </c>
      <c r="P468" s="758">
        <v>43379.0</v>
      </c>
      <c r="Q468" s="446"/>
      <c r="R468" s="446"/>
      <c r="S468" s="446"/>
      <c r="T468" s="446"/>
      <c r="U468" s="446"/>
      <c r="V468" s="446"/>
    </row>
    <row r="469">
      <c r="A469" s="744">
        <f t="shared" si="4"/>
        <v>-2858</v>
      </c>
      <c r="B469" s="750" t="s">
        <v>5168</v>
      </c>
      <c r="C469" s="751" t="s">
        <v>5027</v>
      </c>
      <c r="D469" s="506"/>
      <c r="E469" s="760"/>
      <c r="F469" s="760"/>
      <c r="G469" s="752" t="s">
        <v>5163</v>
      </c>
      <c r="H469" s="506" t="s">
        <v>5164</v>
      </c>
      <c r="I469" s="506" t="s">
        <v>5165</v>
      </c>
      <c r="J469" s="759" t="s">
        <v>5169</v>
      </c>
      <c r="K469" s="763"/>
      <c r="L469" s="763">
        <v>177325.0</v>
      </c>
      <c r="M469" s="754">
        <v>43012.0</v>
      </c>
      <c r="N469" s="754">
        <v>43014.0</v>
      </c>
      <c r="O469" s="504" t="s">
        <v>5167</v>
      </c>
      <c r="P469" s="758">
        <v>43379.0</v>
      </c>
      <c r="Q469" s="446"/>
      <c r="R469" s="446"/>
      <c r="S469" s="446"/>
      <c r="T469" s="446"/>
      <c r="U469" s="446"/>
      <c r="V469" s="446"/>
    </row>
    <row r="470" ht="54.0" customHeight="1">
      <c r="A470" s="744">
        <f t="shared" si="4"/>
        <v>-2868</v>
      </c>
      <c r="B470" s="750" t="s">
        <v>5170</v>
      </c>
      <c r="C470" s="751" t="s">
        <v>4901</v>
      </c>
      <c r="D470" s="413"/>
      <c r="E470" s="760"/>
      <c r="F470" s="760"/>
      <c r="G470" s="752" t="s">
        <v>5171</v>
      </c>
      <c r="H470" s="506" t="s">
        <v>5172</v>
      </c>
      <c r="I470" s="506" t="s">
        <v>5173</v>
      </c>
      <c r="J470" s="630" t="s">
        <v>5174</v>
      </c>
      <c r="K470" s="617"/>
      <c r="L470" s="617">
        <v>515550.0</v>
      </c>
      <c r="M470" s="557">
        <v>42944.0</v>
      </c>
      <c r="N470" s="557">
        <v>42944.0</v>
      </c>
      <c r="O470" s="503" t="s">
        <v>5175</v>
      </c>
      <c r="P470" s="765">
        <v>43309.0</v>
      </c>
      <c r="Q470" s="446"/>
      <c r="R470" s="446"/>
      <c r="S470" s="446"/>
      <c r="T470" s="446"/>
      <c r="U470" s="446"/>
      <c r="V470" s="446"/>
    </row>
    <row r="471" ht="60.75" customHeight="1">
      <c r="A471" s="744">
        <f t="shared" si="4"/>
        <v>-2875</v>
      </c>
      <c r="B471" s="750" t="s">
        <v>2255</v>
      </c>
      <c r="C471" s="751" t="s">
        <v>5060</v>
      </c>
      <c r="D471" s="413"/>
      <c r="E471" s="760"/>
      <c r="F471" s="760"/>
      <c r="G471" s="752" t="s">
        <v>5176</v>
      </c>
      <c r="H471" s="506" t="s">
        <v>5177</v>
      </c>
      <c r="I471" s="506" t="s">
        <v>5178</v>
      </c>
      <c r="J471" s="630" t="s">
        <v>5179</v>
      </c>
      <c r="K471" s="617"/>
      <c r="L471" s="617">
        <v>673800.0</v>
      </c>
      <c r="M471" s="557">
        <v>42934.0</v>
      </c>
      <c r="N471" s="557">
        <v>42934.0</v>
      </c>
      <c r="O471" s="503" t="s">
        <v>5180</v>
      </c>
      <c r="P471" s="765">
        <v>43299.0</v>
      </c>
      <c r="Q471" s="446"/>
      <c r="R471" s="446"/>
      <c r="S471" s="446"/>
      <c r="T471" s="446"/>
      <c r="U471" s="446"/>
      <c r="V471" s="446"/>
    </row>
    <row r="472" ht="63.0" customHeight="1">
      <c r="A472" s="744">
        <f>O473-$A$1</f>
        <v>-46167</v>
      </c>
      <c r="B472" s="750" t="s">
        <v>5181</v>
      </c>
      <c r="C472" s="751" t="s">
        <v>5162</v>
      </c>
      <c r="D472" s="413"/>
      <c r="E472" s="760"/>
      <c r="F472" s="760"/>
      <c r="G472" s="752" t="s">
        <v>5182</v>
      </c>
      <c r="H472" s="506" t="s">
        <v>5183</v>
      </c>
      <c r="I472" s="506" t="s">
        <v>5184</v>
      </c>
      <c r="J472" s="630" t="s">
        <v>5184</v>
      </c>
      <c r="K472" s="617"/>
      <c r="L472" s="617">
        <v>262417.7</v>
      </c>
      <c r="M472" s="557">
        <v>42927.0</v>
      </c>
      <c r="N472" s="557">
        <v>42927.0</v>
      </c>
      <c r="O472" s="503" t="s">
        <v>5185</v>
      </c>
      <c r="P472" s="765">
        <v>43292.0</v>
      </c>
      <c r="Q472" s="446"/>
      <c r="R472" s="446"/>
      <c r="S472" s="446"/>
      <c r="T472" s="446"/>
      <c r="U472" s="446"/>
      <c r="V472" s="446"/>
    </row>
    <row r="473" ht="15.75" customHeight="1">
      <c r="A473" s="761"/>
      <c r="B473" s="446"/>
      <c r="C473" s="760"/>
      <c r="D473" s="712"/>
      <c r="E473" s="760"/>
      <c r="F473" s="760"/>
      <c r="G473" s="760"/>
      <c r="H473" s="712"/>
      <c r="I473" s="446"/>
      <c r="J473" s="766"/>
      <c r="K473" s="767"/>
      <c r="L473" s="768"/>
      <c r="M473" s="768"/>
      <c r="N473" s="712"/>
      <c r="O473" s="769"/>
      <c r="P473" s="446"/>
      <c r="Q473" s="446"/>
      <c r="R473" s="446"/>
      <c r="S473" s="446"/>
      <c r="T473" s="446"/>
      <c r="U473" s="446"/>
      <c r="V473" s="446"/>
    </row>
    <row r="474" ht="15.75" customHeight="1">
      <c r="A474" s="761"/>
      <c r="B474" s="446"/>
      <c r="C474" s="760"/>
      <c r="D474" s="712"/>
      <c r="E474" s="760"/>
      <c r="F474" s="760"/>
      <c r="G474" s="760"/>
      <c r="H474" s="712"/>
      <c r="I474" s="446"/>
      <c r="J474" s="766"/>
      <c r="K474" s="767"/>
      <c r="L474" s="768"/>
      <c r="M474" s="768"/>
      <c r="N474" s="712"/>
      <c r="O474" s="769"/>
      <c r="P474" s="446"/>
      <c r="Q474" s="446"/>
      <c r="R474" s="446"/>
      <c r="S474" s="446"/>
      <c r="T474" s="446"/>
      <c r="U474" s="446"/>
      <c r="V474" s="446"/>
    </row>
    <row r="475" ht="15.75" customHeight="1">
      <c r="A475" s="761"/>
      <c r="B475" s="446"/>
      <c r="C475" s="760"/>
      <c r="D475" s="712"/>
      <c r="E475" s="760"/>
      <c r="F475" s="760"/>
      <c r="G475" s="760"/>
      <c r="H475" s="712"/>
      <c r="I475" s="446"/>
      <c r="J475" s="766"/>
      <c r="K475" s="767"/>
      <c r="L475" s="768"/>
      <c r="M475" s="768"/>
      <c r="N475" s="712"/>
      <c r="O475" s="769"/>
      <c r="P475" s="446"/>
      <c r="Q475" s="446"/>
      <c r="R475" s="446"/>
      <c r="S475" s="446"/>
      <c r="T475" s="446"/>
      <c r="U475" s="446"/>
      <c r="V475" s="446"/>
    </row>
    <row r="476" ht="15.75" customHeight="1">
      <c r="A476" s="761"/>
      <c r="B476" s="446"/>
      <c r="C476" s="760"/>
      <c r="D476" s="712"/>
      <c r="E476" s="760"/>
      <c r="F476" s="760"/>
      <c r="G476" s="760"/>
      <c r="H476" s="712"/>
      <c r="I476" s="446"/>
      <c r="J476" s="766"/>
      <c r="K476" s="767"/>
      <c r="L476" s="768"/>
      <c r="M476" s="768"/>
      <c r="N476" s="712"/>
      <c r="O476" s="769"/>
      <c r="P476" s="446"/>
      <c r="Q476" s="446"/>
      <c r="R476" s="446"/>
      <c r="S476" s="446"/>
      <c r="T476" s="446"/>
      <c r="U476" s="446"/>
      <c r="V476" s="446"/>
    </row>
    <row r="477" ht="15.75" customHeight="1">
      <c r="A477" s="761"/>
      <c r="B477" s="446"/>
      <c r="C477" s="760"/>
      <c r="D477" s="712"/>
      <c r="E477" s="760"/>
      <c r="F477" s="760"/>
      <c r="G477" s="760"/>
      <c r="H477" s="712"/>
      <c r="I477" s="446"/>
      <c r="J477" s="766"/>
      <c r="K477" s="767"/>
      <c r="L477" s="768"/>
      <c r="M477" s="768"/>
      <c r="N477" s="712"/>
      <c r="O477" s="769"/>
      <c r="P477" s="446"/>
      <c r="Q477" s="446"/>
      <c r="R477" s="446"/>
      <c r="S477" s="446"/>
      <c r="T477" s="446"/>
      <c r="U477" s="446"/>
      <c r="V477" s="446"/>
    </row>
    <row r="478" ht="15.75" customHeight="1">
      <c r="A478" s="761"/>
      <c r="B478" s="446"/>
      <c r="C478" s="760"/>
      <c r="D478" s="712"/>
      <c r="E478" s="760"/>
      <c r="F478" s="760"/>
      <c r="G478" s="760"/>
      <c r="H478" s="712"/>
      <c r="I478" s="446"/>
      <c r="J478" s="766"/>
      <c r="K478" s="767"/>
      <c r="L478" s="768"/>
      <c r="M478" s="768"/>
      <c r="N478" s="712"/>
      <c r="O478" s="769"/>
      <c r="P478" s="446"/>
      <c r="Q478" s="446"/>
      <c r="R478" s="446"/>
      <c r="S478" s="446"/>
      <c r="T478" s="446"/>
      <c r="U478" s="446"/>
      <c r="V478" s="446"/>
    </row>
    <row r="479" ht="15.75" customHeight="1">
      <c r="A479" s="761"/>
      <c r="B479" s="446"/>
      <c r="C479" s="760"/>
      <c r="D479" s="712"/>
      <c r="E479" s="760"/>
      <c r="F479" s="760"/>
      <c r="G479" s="760"/>
      <c r="H479" s="712"/>
      <c r="I479" s="446"/>
      <c r="J479" s="766"/>
      <c r="K479" s="767"/>
      <c r="L479" s="768"/>
      <c r="M479" s="768"/>
      <c r="N479" s="712"/>
      <c r="O479" s="769"/>
      <c r="P479" s="446"/>
      <c r="Q479" s="446"/>
      <c r="R479" s="446"/>
      <c r="S479" s="446"/>
      <c r="T479" s="446"/>
      <c r="U479" s="446"/>
      <c r="V479" s="446"/>
    </row>
    <row r="480" ht="15.75" customHeight="1">
      <c r="A480" s="761"/>
      <c r="B480" s="446"/>
      <c r="C480" s="760"/>
      <c r="D480" s="712"/>
      <c r="E480" s="760"/>
      <c r="F480" s="760"/>
      <c r="G480" s="760"/>
      <c r="H480" s="712"/>
      <c r="I480" s="446"/>
      <c r="J480" s="766"/>
      <c r="K480" s="767"/>
      <c r="L480" s="768"/>
      <c r="M480" s="768"/>
      <c r="N480" s="712"/>
      <c r="O480" s="769"/>
      <c r="P480" s="446"/>
      <c r="Q480" s="446"/>
      <c r="R480" s="446"/>
      <c r="S480" s="446"/>
      <c r="T480" s="446"/>
      <c r="U480" s="446"/>
      <c r="V480" s="446"/>
    </row>
    <row r="481" ht="15.75" customHeight="1">
      <c r="A481" s="761"/>
      <c r="B481" s="446"/>
      <c r="C481" s="760"/>
      <c r="D481" s="712"/>
      <c r="E481" s="760"/>
      <c r="F481" s="760"/>
      <c r="G481" s="760"/>
      <c r="H481" s="712"/>
      <c r="I481" s="446"/>
      <c r="J481" s="766"/>
      <c r="K481" s="767"/>
      <c r="L481" s="768"/>
      <c r="M481" s="768"/>
      <c r="N481" s="712"/>
      <c r="O481" s="769"/>
      <c r="P481" s="446"/>
      <c r="Q481" s="446"/>
      <c r="R481" s="446"/>
      <c r="S481" s="446"/>
      <c r="T481" s="446"/>
      <c r="U481" s="446"/>
      <c r="V481" s="446"/>
    </row>
    <row r="482" ht="15.75" customHeight="1">
      <c r="A482" s="761"/>
      <c r="B482" s="446"/>
      <c r="C482" s="760"/>
      <c r="D482" s="712"/>
      <c r="E482" s="760"/>
      <c r="F482" s="760"/>
      <c r="G482" s="760"/>
      <c r="H482" s="712"/>
      <c r="I482" s="446"/>
      <c r="J482" s="766"/>
      <c r="K482" s="767"/>
      <c r="L482" s="768"/>
      <c r="M482" s="768"/>
      <c r="N482" s="712"/>
      <c r="O482" s="769"/>
      <c r="P482" s="446"/>
      <c r="Q482" s="446"/>
      <c r="R482" s="446"/>
      <c r="S482" s="446"/>
      <c r="T482" s="446"/>
      <c r="U482" s="446"/>
      <c r="V482" s="446"/>
    </row>
    <row r="483" ht="15.75" customHeight="1">
      <c r="A483" s="761"/>
      <c r="B483" s="446"/>
      <c r="C483" s="760"/>
      <c r="D483" s="712"/>
      <c r="E483" s="760"/>
      <c r="F483" s="760"/>
      <c r="G483" s="760"/>
      <c r="H483" s="712"/>
      <c r="I483" s="446"/>
      <c r="J483" s="766"/>
      <c r="K483" s="767"/>
      <c r="L483" s="768"/>
      <c r="M483" s="768"/>
      <c r="N483" s="712"/>
      <c r="O483" s="769"/>
      <c r="P483" s="446"/>
      <c r="Q483" s="446"/>
      <c r="R483" s="446"/>
      <c r="S483" s="446"/>
      <c r="T483" s="446"/>
      <c r="U483" s="446"/>
      <c r="V483" s="446"/>
    </row>
    <row r="484" ht="15.75" customHeight="1">
      <c r="A484" s="761"/>
      <c r="B484" s="446"/>
      <c r="C484" s="760"/>
      <c r="D484" s="712"/>
      <c r="E484" s="760"/>
      <c r="F484" s="760"/>
      <c r="G484" s="760"/>
      <c r="H484" s="712"/>
      <c r="I484" s="446"/>
      <c r="J484" s="766"/>
      <c r="K484" s="767"/>
      <c r="L484" s="768"/>
      <c r="M484" s="768"/>
      <c r="N484" s="712"/>
      <c r="O484" s="769"/>
      <c r="P484" s="446"/>
      <c r="Q484" s="446"/>
      <c r="R484" s="446"/>
      <c r="S484" s="446"/>
      <c r="T484" s="446"/>
      <c r="U484" s="446"/>
      <c r="V484" s="446"/>
    </row>
    <row r="485" ht="15.75" customHeight="1">
      <c r="A485" s="761"/>
      <c r="B485" s="446"/>
      <c r="C485" s="760"/>
      <c r="D485" s="712"/>
      <c r="E485" s="760"/>
      <c r="F485" s="760"/>
      <c r="G485" s="760"/>
      <c r="H485" s="712"/>
      <c r="I485" s="446"/>
      <c r="J485" s="766"/>
      <c r="K485" s="767"/>
      <c r="L485" s="768"/>
      <c r="M485" s="768"/>
      <c r="N485" s="712"/>
      <c r="O485" s="769"/>
      <c r="P485" s="446"/>
      <c r="Q485" s="446"/>
      <c r="R485" s="446"/>
      <c r="S485" s="446"/>
      <c r="T485" s="446"/>
      <c r="U485" s="446"/>
      <c r="V485" s="446"/>
    </row>
    <row r="486" ht="15.75" customHeight="1">
      <c r="A486" s="761"/>
      <c r="B486" s="446"/>
      <c r="C486" s="760"/>
      <c r="D486" s="712"/>
      <c r="E486" s="760"/>
      <c r="F486" s="760"/>
      <c r="G486" s="760"/>
      <c r="H486" s="712"/>
      <c r="I486" s="446"/>
      <c r="J486" s="766"/>
      <c r="K486" s="767"/>
      <c r="L486" s="768"/>
      <c r="M486" s="768"/>
      <c r="N486" s="712"/>
      <c r="O486" s="769"/>
      <c r="P486" s="446"/>
      <c r="Q486" s="446"/>
      <c r="R486" s="446"/>
      <c r="S486" s="446"/>
      <c r="T486" s="446"/>
      <c r="U486" s="446"/>
      <c r="V486" s="446"/>
    </row>
    <row r="487" ht="15.75" customHeight="1">
      <c r="A487" s="761"/>
      <c r="B487" s="446"/>
      <c r="C487" s="760"/>
      <c r="D487" s="712"/>
      <c r="E487" s="760"/>
      <c r="F487" s="760"/>
      <c r="G487" s="760"/>
      <c r="H487" s="712"/>
      <c r="I487" s="446"/>
      <c r="J487" s="766"/>
      <c r="K487" s="767"/>
      <c r="L487" s="768"/>
      <c r="M487" s="768"/>
      <c r="N487" s="712"/>
      <c r="O487" s="769"/>
      <c r="P487" s="446"/>
      <c r="Q487" s="446"/>
      <c r="R487" s="446"/>
      <c r="S487" s="446"/>
      <c r="T487" s="446"/>
      <c r="U487" s="446"/>
      <c r="V487" s="446"/>
    </row>
    <row r="488" ht="15.75" customHeight="1">
      <c r="A488" s="761"/>
      <c r="B488" s="446"/>
      <c r="C488" s="760"/>
      <c r="D488" s="712"/>
      <c r="E488" s="760"/>
      <c r="F488" s="760"/>
      <c r="G488" s="760"/>
      <c r="H488" s="712"/>
      <c r="I488" s="446"/>
      <c r="J488" s="766"/>
      <c r="K488" s="767"/>
      <c r="L488" s="768"/>
      <c r="M488" s="768"/>
      <c r="N488" s="712"/>
      <c r="O488" s="769"/>
      <c r="P488" s="446"/>
      <c r="Q488" s="446"/>
      <c r="R488" s="446"/>
      <c r="S488" s="446"/>
      <c r="T488" s="446"/>
      <c r="U488" s="446"/>
      <c r="V488" s="446"/>
    </row>
    <row r="489" ht="15.75" customHeight="1">
      <c r="A489" s="761"/>
      <c r="B489" s="446"/>
      <c r="C489" s="760"/>
      <c r="D489" s="712"/>
      <c r="E489" s="760"/>
      <c r="F489" s="760"/>
      <c r="G489" s="760"/>
      <c r="H489" s="712"/>
      <c r="I489" s="446"/>
      <c r="J489" s="766"/>
      <c r="K489" s="767"/>
      <c r="L489" s="768"/>
      <c r="M489" s="768"/>
      <c r="N489" s="712"/>
      <c r="O489" s="769"/>
      <c r="P489" s="446"/>
      <c r="Q489" s="446"/>
      <c r="R489" s="446"/>
      <c r="S489" s="446"/>
      <c r="T489" s="446"/>
      <c r="U489" s="446"/>
      <c r="V489" s="446"/>
    </row>
    <row r="490" ht="15.75" customHeight="1">
      <c r="A490" s="761"/>
      <c r="B490" s="446"/>
      <c r="C490" s="760"/>
      <c r="D490" s="712"/>
      <c r="E490" s="760"/>
      <c r="F490" s="760"/>
      <c r="G490" s="760"/>
      <c r="H490" s="712"/>
      <c r="I490" s="446"/>
      <c r="J490" s="766"/>
      <c r="K490" s="767"/>
      <c r="L490" s="768"/>
      <c r="M490" s="768"/>
      <c r="N490" s="712"/>
      <c r="O490" s="769"/>
      <c r="P490" s="446"/>
      <c r="Q490" s="446"/>
      <c r="R490" s="446"/>
      <c r="S490" s="446"/>
      <c r="T490" s="446"/>
      <c r="U490" s="446"/>
      <c r="V490" s="446"/>
    </row>
    <row r="491" ht="15.75" customHeight="1">
      <c r="A491" s="761"/>
      <c r="B491" s="446"/>
      <c r="C491" s="760"/>
      <c r="D491" s="712"/>
      <c r="E491" s="760"/>
      <c r="F491" s="760"/>
      <c r="G491" s="760"/>
      <c r="H491" s="712"/>
      <c r="I491" s="446"/>
      <c r="J491" s="766"/>
      <c r="K491" s="767"/>
      <c r="L491" s="768"/>
      <c r="M491" s="768"/>
      <c r="N491" s="712"/>
      <c r="O491" s="769"/>
      <c r="P491" s="446"/>
      <c r="Q491" s="446"/>
      <c r="R491" s="446"/>
      <c r="S491" s="446"/>
      <c r="T491" s="446"/>
      <c r="U491" s="446"/>
      <c r="V491" s="446"/>
    </row>
    <row r="492" ht="15.75" customHeight="1">
      <c r="A492" s="761"/>
      <c r="B492" s="446"/>
      <c r="C492" s="760"/>
      <c r="D492" s="712"/>
      <c r="E492" s="760"/>
      <c r="F492" s="760"/>
      <c r="G492" s="760"/>
      <c r="H492" s="712"/>
      <c r="I492" s="446"/>
      <c r="J492" s="766"/>
      <c r="K492" s="767"/>
      <c r="L492" s="768"/>
      <c r="M492" s="768"/>
      <c r="N492" s="712"/>
      <c r="O492" s="769"/>
      <c r="P492" s="446"/>
      <c r="Q492" s="446"/>
      <c r="R492" s="446"/>
      <c r="S492" s="446"/>
      <c r="T492" s="446"/>
      <c r="U492" s="446"/>
      <c r="V492" s="446"/>
    </row>
    <row r="493" ht="15.75" customHeight="1">
      <c r="A493" s="761"/>
      <c r="B493" s="446"/>
      <c r="C493" s="760"/>
      <c r="D493" s="712"/>
      <c r="E493" s="760"/>
      <c r="F493" s="760"/>
      <c r="G493" s="760"/>
      <c r="H493" s="712"/>
      <c r="I493" s="446"/>
      <c r="J493" s="766"/>
      <c r="K493" s="767"/>
      <c r="L493" s="768"/>
      <c r="M493" s="768"/>
      <c r="N493" s="712"/>
      <c r="O493" s="769"/>
      <c r="P493" s="446"/>
      <c r="Q493" s="446"/>
      <c r="R493" s="446"/>
      <c r="S493" s="446"/>
      <c r="T493" s="446"/>
      <c r="U493" s="446"/>
      <c r="V493" s="446"/>
    </row>
    <row r="494" ht="15.75" customHeight="1">
      <c r="A494" s="761"/>
      <c r="B494" s="446"/>
      <c r="C494" s="760"/>
      <c r="D494" s="712"/>
      <c r="E494" s="760"/>
      <c r="F494" s="760"/>
      <c r="G494" s="760"/>
      <c r="H494" s="712"/>
      <c r="I494" s="446"/>
      <c r="J494" s="766"/>
      <c r="K494" s="767"/>
      <c r="L494" s="768"/>
      <c r="M494" s="768"/>
      <c r="N494" s="712"/>
      <c r="O494" s="769"/>
      <c r="P494" s="446"/>
      <c r="Q494" s="446"/>
      <c r="R494" s="446"/>
      <c r="S494" s="446"/>
      <c r="T494" s="446"/>
      <c r="U494" s="446"/>
      <c r="V494" s="446"/>
    </row>
    <row r="495" ht="15.75" customHeight="1">
      <c r="A495" s="761"/>
      <c r="B495" s="446"/>
      <c r="C495" s="760"/>
      <c r="D495" s="712"/>
      <c r="E495" s="760"/>
      <c r="F495" s="760"/>
      <c r="G495" s="760"/>
      <c r="H495" s="712"/>
      <c r="I495" s="446"/>
      <c r="J495" s="766"/>
      <c r="K495" s="767"/>
      <c r="L495" s="768"/>
      <c r="M495" s="768"/>
      <c r="N495" s="712"/>
      <c r="O495" s="769"/>
      <c r="P495" s="446"/>
      <c r="Q495" s="446"/>
      <c r="R495" s="446"/>
      <c r="S495" s="446"/>
      <c r="T495" s="446"/>
      <c r="U495" s="446"/>
      <c r="V495" s="446"/>
    </row>
    <row r="496" ht="15.75" customHeight="1">
      <c r="A496" s="761"/>
      <c r="B496" s="446"/>
      <c r="C496" s="760"/>
      <c r="D496" s="712"/>
      <c r="E496" s="760"/>
      <c r="F496" s="760"/>
      <c r="G496" s="760"/>
      <c r="H496" s="712"/>
      <c r="I496" s="446"/>
      <c r="J496" s="766"/>
      <c r="K496" s="767"/>
      <c r="L496" s="768"/>
      <c r="M496" s="768"/>
      <c r="N496" s="712"/>
      <c r="O496" s="769"/>
      <c r="P496" s="446"/>
      <c r="Q496" s="446"/>
      <c r="R496" s="446"/>
      <c r="S496" s="446"/>
      <c r="T496" s="446"/>
      <c r="U496" s="446"/>
      <c r="V496" s="446"/>
    </row>
    <row r="497" ht="15.75" customHeight="1">
      <c r="A497" s="761"/>
      <c r="B497" s="446"/>
      <c r="C497" s="760"/>
      <c r="D497" s="712"/>
      <c r="E497" s="760"/>
      <c r="F497" s="760"/>
      <c r="G497" s="760"/>
      <c r="H497" s="712"/>
      <c r="I497" s="446"/>
      <c r="J497" s="766"/>
      <c r="K497" s="767"/>
      <c r="L497" s="768"/>
      <c r="M497" s="768"/>
      <c r="N497" s="712"/>
      <c r="O497" s="769"/>
      <c r="P497" s="446"/>
      <c r="Q497" s="446"/>
      <c r="R497" s="446"/>
      <c r="S497" s="446"/>
      <c r="T497" s="446"/>
      <c r="U497" s="446"/>
      <c r="V497" s="446"/>
    </row>
    <row r="498" ht="15.75" customHeight="1">
      <c r="A498" s="761"/>
      <c r="B498" s="446"/>
      <c r="C498" s="760"/>
      <c r="D498" s="712"/>
      <c r="E498" s="760"/>
      <c r="F498" s="760"/>
      <c r="G498" s="760"/>
      <c r="H498" s="712"/>
      <c r="I498" s="446"/>
      <c r="J498" s="766"/>
      <c r="K498" s="767"/>
      <c r="L498" s="768"/>
      <c r="M498" s="768"/>
      <c r="N498" s="712"/>
      <c r="O498" s="769"/>
      <c r="P498" s="446"/>
      <c r="Q498" s="446"/>
      <c r="R498" s="446"/>
      <c r="S498" s="446"/>
      <c r="T498" s="446"/>
      <c r="U498" s="446"/>
      <c r="V498" s="446"/>
    </row>
    <row r="499" ht="15.75" customHeight="1">
      <c r="A499" s="761"/>
      <c r="B499" s="446"/>
      <c r="C499" s="760"/>
      <c r="D499" s="712"/>
      <c r="E499" s="760"/>
      <c r="F499" s="760"/>
      <c r="G499" s="760"/>
      <c r="H499" s="712"/>
      <c r="I499" s="446"/>
      <c r="J499" s="766"/>
      <c r="K499" s="767"/>
      <c r="L499" s="768"/>
      <c r="M499" s="768"/>
      <c r="N499" s="712"/>
      <c r="O499" s="769"/>
      <c r="P499" s="446"/>
      <c r="Q499" s="446"/>
      <c r="R499" s="446"/>
      <c r="S499" s="446"/>
      <c r="T499" s="446"/>
      <c r="U499" s="446"/>
      <c r="V499" s="446"/>
    </row>
    <row r="500" ht="15.75" customHeight="1">
      <c r="A500" s="761"/>
      <c r="B500" s="446"/>
      <c r="C500" s="760"/>
      <c r="D500" s="712"/>
      <c r="E500" s="760"/>
      <c r="F500" s="760"/>
      <c r="G500" s="760"/>
      <c r="H500" s="712"/>
      <c r="I500" s="446"/>
      <c r="J500" s="766"/>
      <c r="K500" s="767"/>
      <c r="L500" s="768"/>
      <c r="M500" s="768"/>
      <c r="N500" s="712"/>
      <c r="O500" s="769"/>
      <c r="P500" s="446"/>
      <c r="Q500" s="446"/>
      <c r="R500" s="446"/>
      <c r="S500" s="446"/>
      <c r="T500" s="446"/>
      <c r="U500" s="446"/>
      <c r="V500" s="446"/>
    </row>
    <row r="501" ht="15.75" customHeight="1">
      <c r="A501" s="761"/>
      <c r="B501" s="446"/>
      <c r="C501" s="760"/>
      <c r="D501" s="712"/>
      <c r="E501" s="760"/>
      <c r="F501" s="760"/>
      <c r="G501" s="760"/>
      <c r="H501" s="712"/>
      <c r="I501" s="446"/>
      <c r="J501" s="766"/>
      <c r="K501" s="767"/>
      <c r="L501" s="768"/>
      <c r="M501" s="768"/>
      <c r="N501" s="712"/>
      <c r="O501" s="769"/>
      <c r="P501" s="446"/>
      <c r="Q501" s="446"/>
      <c r="R501" s="446"/>
      <c r="S501" s="446"/>
      <c r="T501" s="446"/>
      <c r="U501" s="446"/>
      <c r="V501" s="446"/>
    </row>
    <row r="502" ht="15.75" customHeight="1">
      <c r="A502" s="761"/>
      <c r="B502" s="446"/>
      <c r="C502" s="760"/>
      <c r="D502" s="712"/>
      <c r="E502" s="760"/>
      <c r="F502" s="760"/>
      <c r="G502" s="760"/>
      <c r="H502" s="712"/>
      <c r="I502" s="446"/>
      <c r="J502" s="766"/>
      <c r="K502" s="767"/>
      <c r="L502" s="768"/>
      <c r="M502" s="768"/>
      <c r="N502" s="712"/>
      <c r="O502" s="769"/>
      <c r="P502" s="446"/>
      <c r="Q502" s="446"/>
      <c r="R502" s="446"/>
      <c r="S502" s="446"/>
      <c r="T502" s="446"/>
      <c r="U502" s="446"/>
      <c r="V502" s="446"/>
    </row>
    <row r="503" ht="15.75" customHeight="1">
      <c r="A503" s="761"/>
      <c r="B503" s="446"/>
      <c r="C503" s="760"/>
      <c r="D503" s="712"/>
      <c r="E503" s="760"/>
      <c r="F503" s="760"/>
      <c r="G503" s="760"/>
      <c r="H503" s="712"/>
      <c r="I503" s="446"/>
      <c r="J503" s="766"/>
      <c r="K503" s="767"/>
      <c r="L503" s="768"/>
      <c r="M503" s="768"/>
      <c r="N503" s="712"/>
      <c r="O503" s="769"/>
      <c r="P503" s="446"/>
      <c r="Q503" s="446"/>
      <c r="R503" s="446"/>
      <c r="S503" s="446"/>
      <c r="T503" s="446"/>
      <c r="U503" s="446"/>
      <c r="V503" s="446"/>
    </row>
    <row r="504" ht="15.75" customHeight="1">
      <c r="A504" s="761"/>
      <c r="B504" s="446"/>
      <c r="C504" s="760"/>
      <c r="D504" s="712"/>
      <c r="E504" s="760"/>
      <c r="F504" s="760"/>
      <c r="G504" s="760"/>
      <c r="H504" s="712"/>
      <c r="I504" s="446"/>
      <c r="J504" s="766"/>
      <c r="K504" s="767"/>
      <c r="L504" s="768"/>
      <c r="M504" s="768"/>
      <c r="N504" s="712"/>
      <c r="O504" s="769"/>
      <c r="P504" s="446"/>
      <c r="Q504" s="446"/>
      <c r="R504" s="446"/>
      <c r="S504" s="446"/>
      <c r="T504" s="446"/>
      <c r="U504" s="446"/>
      <c r="V504" s="446"/>
    </row>
    <row r="505" ht="15.75" customHeight="1">
      <c r="A505" s="761"/>
      <c r="B505" s="446"/>
      <c r="C505" s="760"/>
      <c r="D505" s="712"/>
      <c r="E505" s="760"/>
      <c r="F505" s="760"/>
      <c r="G505" s="760"/>
      <c r="H505" s="712"/>
      <c r="I505" s="446"/>
      <c r="J505" s="766"/>
      <c r="K505" s="767"/>
      <c r="L505" s="768"/>
      <c r="M505" s="768"/>
      <c r="N505" s="712"/>
      <c r="O505" s="769"/>
      <c r="P505" s="446"/>
      <c r="Q505" s="446"/>
      <c r="R505" s="446"/>
      <c r="S505" s="446"/>
      <c r="T505" s="446"/>
      <c r="U505" s="446"/>
      <c r="V505" s="446"/>
    </row>
    <row r="506" ht="15.75" customHeight="1">
      <c r="A506" s="761"/>
      <c r="B506" s="446"/>
      <c r="C506" s="760"/>
      <c r="D506" s="712"/>
      <c r="E506" s="760"/>
      <c r="F506" s="760"/>
      <c r="G506" s="760"/>
      <c r="H506" s="712"/>
      <c r="I506" s="446"/>
      <c r="J506" s="766"/>
      <c r="K506" s="767"/>
      <c r="L506" s="768"/>
      <c r="M506" s="768"/>
      <c r="N506" s="712"/>
      <c r="O506" s="769"/>
      <c r="P506" s="446"/>
      <c r="Q506" s="446"/>
      <c r="R506" s="446"/>
      <c r="S506" s="446"/>
      <c r="T506" s="446"/>
      <c r="U506" s="446"/>
      <c r="V506" s="446"/>
    </row>
    <row r="507" ht="15.75" customHeight="1">
      <c r="A507" s="761"/>
      <c r="B507" s="446"/>
      <c r="C507" s="760"/>
      <c r="D507" s="712"/>
      <c r="E507" s="760"/>
      <c r="F507" s="760"/>
      <c r="G507" s="760"/>
      <c r="H507" s="712"/>
      <c r="I507" s="446"/>
      <c r="J507" s="766"/>
      <c r="K507" s="767"/>
      <c r="L507" s="768"/>
      <c r="M507" s="768"/>
      <c r="N507" s="712"/>
      <c r="O507" s="769"/>
      <c r="P507" s="446"/>
      <c r="Q507" s="446"/>
      <c r="R507" s="446"/>
      <c r="S507" s="446"/>
      <c r="T507" s="446"/>
      <c r="U507" s="446"/>
      <c r="V507" s="446"/>
    </row>
    <row r="508" ht="15.75" customHeight="1">
      <c r="A508" s="761"/>
      <c r="B508" s="446"/>
      <c r="C508" s="760"/>
      <c r="D508" s="712"/>
      <c r="E508" s="760"/>
      <c r="F508" s="760"/>
      <c r="G508" s="760"/>
      <c r="H508" s="712"/>
      <c r="I508" s="446"/>
      <c r="J508" s="766"/>
      <c r="K508" s="767"/>
      <c r="L508" s="768"/>
      <c r="M508" s="768"/>
      <c r="N508" s="712"/>
      <c r="O508" s="769"/>
      <c r="P508" s="446"/>
      <c r="Q508" s="446"/>
      <c r="R508" s="446"/>
      <c r="S508" s="446"/>
      <c r="T508" s="446"/>
      <c r="U508" s="446"/>
      <c r="V508" s="446"/>
    </row>
    <row r="509" ht="15.75" customHeight="1">
      <c r="A509" s="761"/>
      <c r="B509" s="446"/>
      <c r="C509" s="760"/>
      <c r="D509" s="712"/>
      <c r="E509" s="760"/>
      <c r="F509" s="760"/>
      <c r="G509" s="760"/>
      <c r="H509" s="712"/>
      <c r="I509" s="446"/>
      <c r="J509" s="766"/>
      <c r="K509" s="767"/>
      <c r="L509" s="768"/>
      <c r="M509" s="768"/>
      <c r="N509" s="712"/>
      <c r="O509" s="769"/>
      <c r="P509" s="446"/>
      <c r="Q509" s="446"/>
      <c r="R509" s="446"/>
      <c r="S509" s="446"/>
      <c r="T509" s="446"/>
      <c r="U509" s="446"/>
      <c r="V509" s="446"/>
    </row>
    <row r="510" ht="15.75" customHeight="1">
      <c r="A510" s="761"/>
      <c r="B510" s="446"/>
      <c r="C510" s="760"/>
      <c r="D510" s="712"/>
      <c r="E510" s="760"/>
      <c r="F510" s="760"/>
      <c r="G510" s="760"/>
      <c r="H510" s="712"/>
      <c r="I510" s="446"/>
      <c r="J510" s="766"/>
      <c r="K510" s="767"/>
      <c r="L510" s="768"/>
      <c r="M510" s="768"/>
      <c r="N510" s="712"/>
      <c r="O510" s="769"/>
      <c r="P510" s="446"/>
      <c r="Q510" s="446"/>
      <c r="R510" s="446"/>
      <c r="S510" s="446"/>
      <c r="T510" s="446"/>
      <c r="U510" s="446"/>
      <c r="V510" s="446"/>
    </row>
    <row r="511" ht="15.75" customHeight="1">
      <c r="A511" s="761"/>
      <c r="B511" s="446"/>
      <c r="C511" s="760"/>
      <c r="D511" s="712"/>
      <c r="E511" s="760"/>
      <c r="F511" s="760"/>
      <c r="G511" s="760"/>
      <c r="H511" s="712"/>
      <c r="I511" s="446"/>
      <c r="J511" s="766"/>
      <c r="K511" s="767"/>
      <c r="L511" s="768"/>
      <c r="M511" s="768"/>
      <c r="N511" s="712"/>
      <c r="O511" s="769"/>
      <c r="P511" s="446"/>
      <c r="Q511" s="446"/>
      <c r="R511" s="446"/>
      <c r="S511" s="446"/>
      <c r="T511" s="446"/>
      <c r="U511" s="446"/>
      <c r="V511" s="446"/>
    </row>
    <row r="512" ht="15.75" customHeight="1">
      <c r="A512" s="761"/>
      <c r="B512" s="446"/>
      <c r="C512" s="760"/>
      <c r="D512" s="712"/>
      <c r="E512" s="760"/>
      <c r="F512" s="760"/>
      <c r="G512" s="760"/>
      <c r="H512" s="712"/>
      <c r="I512" s="446"/>
      <c r="J512" s="766"/>
      <c r="K512" s="767"/>
      <c r="L512" s="768"/>
      <c r="M512" s="768"/>
      <c r="N512" s="712"/>
      <c r="O512" s="769"/>
      <c r="P512" s="446"/>
      <c r="Q512" s="446"/>
      <c r="R512" s="446"/>
      <c r="S512" s="446"/>
      <c r="T512" s="446"/>
      <c r="U512" s="446"/>
      <c r="V512" s="446"/>
    </row>
    <row r="513" ht="15.75" customHeight="1">
      <c r="A513" s="761"/>
      <c r="B513" s="446"/>
      <c r="C513" s="760"/>
      <c r="D513" s="712"/>
      <c r="E513" s="760"/>
      <c r="F513" s="760"/>
      <c r="G513" s="760"/>
      <c r="H513" s="712"/>
      <c r="I513" s="446"/>
      <c r="J513" s="766"/>
      <c r="K513" s="767"/>
      <c r="L513" s="768"/>
      <c r="M513" s="768"/>
      <c r="N513" s="712"/>
      <c r="O513" s="769"/>
      <c r="P513" s="446"/>
      <c r="Q513" s="446"/>
      <c r="R513" s="446"/>
      <c r="S513" s="446"/>
      <c r="T513" s="446"/>
      <c r="U513" s="446"/>
      <c r="V513" s="446"/>
    </row>
    <row r="514" ht="15.75" customHeight="1">
      <c r="A514" s="761"/>
      <c r="B514" s="446"/>
      <c r="C514" s="760"/>
      <c r="D514" s="712"/>
      <c r="E514" s="760"/>
      <c r="F514" s="760"/>
      <c r="G514" s="760"/>
      <c r="H514" s="712"/>
      <c r="I514" s="446"/>
      <c r="J514" s="766"/>
      <c r="K514" s="767"/>
      <c r="L514" s="768"/>
      <c r="M514" s="768"/>
      <c r="N514" s="712"/>
      <c r="O514" s="769"/>
      <c r="P514" s="446"/>
      <c r="Q514" s="446"/>
      <c r="R514" s="446"/>
      <c r="S514" s="446"/>
      <c r="T514" s="446"/>
      <c r="U514" s="446"/>
      <c r="V514" s="446"/>
    </row>
    <row r="515" ht="15.75" customHeight="1">
      <c r="A515" s="761"/>
      <c r="B515" s="446"/>
      <c r="C515" s="760"/>
      <c r="D515" s="712"/>
      <c r="E515" s="760"/>
      <c r="F515" s="760"/>
      <c r="G515" s="760"/>
      <c r="H515" s="712"/>
      <c r="I515" s="446"/>
      <c r="J515" s="766"/>
      <c r="K515" s="767"/>
      <c r="L515" s="768"/>
      <c r="M515" s="768"/>
      <c r="N515" s="712"/>
      <c r="O515" s="769"/>
      <c r="P515" s="446"/>
      <c r="Q515" s="446"/>
      <c r="R515" s="446"/>
      <c r="S515" s="446"/>
      <c r="T515" s="446"/>
      <c r="U515" s="446"/>
      <c r="V515" s="446"/>
    </row>
    <row r="516" ht="15.75" customHeight="1">
      <c r="A516" s="761"/>
      <c r="B516" s="446"/>
      <c r="C516" s="760"/>
      <c r="D516" s="712"/>
      <c r="E516" s="760"/>
      <c r="F516" s="760"/>
      <c r="G516" s="760"/>
      <c r="H516" s="712"/>
      <c r="I516" s="446"/>
      <c r="J516" s="766"/>
      <c r="K516" s="767"/>
      <c r="L516" s="768"/>
      <c r="M516" s="768"/>
      <c r="N516" s="712"/>
      <c r="O516" s="769"/>
      <c r="P516" s="446"/>
      <c r="Q516" s="446"/>
      <c r="R516" s="446"/>
      <c r="S516" s="446"/>
      <c r="T516" s="446"/>
      <c r="U516" s="446"/>
      <c r="V516" s="446"/>
    </row>
    <row r="517" ht="15.75" customHeight="1">
      <c r="A517" s="761"/>
      <c r="B517" s="446"/>
      <c r="C517" s="760"/>
      <c r="D517" s="712"/>
      <c r="E517" s="760"/>
      <c r="F517" s="760"/>
      <c r="G517" s="760"/>
      <c r="H517" s="712"/>
      <c r="I517" s="446"/>
      <c r="J517" s="766"/>
      <c r="K517" s="767"/>
      <c r="L517" s="768"/>
      <c r="M517" s="768"/>
      <c r="N517" s="712"/>
      <c r="O517" s="769"/>
      <c r="P517" s="446"/>
      <c r="Q517" s="446"/>
      <c r="R517" s="446"/>
      <c r="S517" s="446"/>
      <c r="T517" s="446"/>
      <c r="U517" s="446"/>
      <c r="V517" s="446"/>
    </row>
    <row r="518" ht="15.75" customHeight="1">
      <c r="A518" s="761"/>
      <c r="B518" s="446"/>
      <c r="C518" s="760"/>
      <c r="D518" s="712"/>
      <c r="E518" s="760"/>
      <c r="F518" s="760"/>
      <c r="G518" s="760"/>
      <c r="H518" s="712"/>
      <c r="I518" s="446"/>
      <c r="J518" s="766"/>
      <c r="K518" s="767"/>
      <c r="L518" s="768"/>
      <c r="M518" s="768"/>
      <c r="N518" s="712"/>
      <c r="O518" s="769"/>
      <c r="P518" s="446"/>
      <c r="Q518" s="446"/>
      <c r="R518" s="446"/>
      <c r="S518" s="446"/>
      <c r="T518" s="446"/>
      <c r="U518" s="446"/>
      <c r="V518" s="446"/>
    </row>
    <row r="519" ht="15.75" customHeight="1">
      <c r="A519" s="761"/>
      <c r="B519" s="446"/>
      <c r="C519" s="760"/>
      <c r="D519" s="712"/>
      <c r="E519" s="760"/>
      <c r="F519" s="760"/>
      <c r="G519" s="760"/>
      <c r="H519" s="712"/>
      <c r="I519" s="446"/>
      <c r="J519" s="766"/>
      <c r="K519" s="767"/>
      <c r="L519" s="768"/>
      <c r="M519" s="768"/>
      <c r="N519" s="712"/>
      <c r="O519" s="769"/>
      <c r="P519" s="446"/>
      <c r="Q519" s="446"/>
      <c r="R519" s="446"/>
      <c r="S519" s="446"/>
      <c r="T519" s="446"/>
      <c r="U519" s="446"/>
      <c r="V519" s="446"/>
    </row>
    <row r="520" ht="15.75" customHeight="1">
      <c r="A520" s="761"/>
      <c r="B520" s="446"/>
      <c r="C520" s="760"/>
      <c r="D520" s="712"/>
      <c r="E520" s="760"/>
      <c r="F520" s="760"/>
      <c r="G520" s="760"/>
      <c r="H520" s="712"/>
      <c r="I520" s="446"/>
      <c r="J520" s="766"/>
      <c r="K520" s="767"/>
      <c r="L520" s="768"/>
      <c r="M520" s="768"/>
      <c r="N520" s="712"/>
      <c r="O520" s="769"/>
      <c r="P520" s="446"/>
      <c r="Q520" s="446"/>
      <c r="R520" s="446"/>
      <c r="S520" s="446"/>
      <c r="T520" s="446"/>
      <c r="U520" s="446"/>
      <c r="V520" s="446"/>
    </row>
    <row r="521" ht="15.75" customHeight="1">
      <c r="A521" s="761"/>
      <c r="B521" s="446"/>
      <c r="C521" s="760"/>
      <c r="D521" s="712"/>
      <c r="E521" s="760"/>
      <c r="F521" s="760"/>
      <c r="G521" s="760"/>
      <c r="H521" s="712"/>
      <c r="I521" s="446"/>
      <c r="J521" s="766"/>
      <c r="K521" s="767"/>
      <c r="L521" s="768"/>
      <c r="M521" s="768"/>
      <c r="N521" s="712"/>
      <c r="O521" s="769"/>
      <c r="P521" s="446"/>
      <c r="Q521" s="446"/>
      <c r="R521" s="446"/>
      <c r="S521" s="446"/>
      <c r="T521" s="446"/>
      <c r="U521" s="446"/>
      <c r="V521" s="446"/>
    </row>
    <row r="522" ht="15.75" customHeight="1">
      <c r="A522" s="761"/>
      <c r="B522" s="446"/>
      <c r="C522" s="760"/>
      <c r="D522" s="712"/>
      <c r="E522" s="760"/>
      <c r="F522" s="760"/>
      <c r="G522" s="760"/>
      <c r="H522" s="712"/>
      <c r="I522" s="446"/>
      <c r="J522" s="766"/>
      <c r="K522" s="767"/>
      <c r="L522" s="768"/>
      <c r="M522" s="768"/>
      <c r="N522" s="712"/>
      <c r="O522" s="769"/>
      <c r="P522" s="446"/>
      <c r="Q522" s="446"/>
      <c r="R522" s="446"/>
      <c r="S522" s="446"/>
      <c r="T522" s="446"/>
      <c r="U522" s="446"/>
      <c r="V522" s="446"/>
    </row>
    <row r="523" ht="15.75" customHeight="1">
      <c r="A523" s="761"/>
      <c r="B523" s="446"/>
      <c r="C523" s="760"/>
      <c r="D523" s="712"/>
      <c r="E523" s="760"/>
      <c r="F523" s="760"/>
      <c r="G523" s="760"/>
      <c r="H523" s="712"/>
      <c r="I523" s="446"/>
      <c r="J523" s="766"/>
      <c r="K523" s="767"/>
      <c r="L523" s="768"/>
      <c r="M523" s="768"/>
      <c r="N523" s="712"/>
      <c r="O523" s="769"/>
      <c r="P523" s="446"/>
      <c r="Q523" s="446"/>
      <c r="R523" s="446"/>
      <c r="S523" s="446"/>
      <c r="T523" s="446"/>
      <c r="U523" s="446"/>
      <c r="V523" s="446"/>
    </row>
    <row r="524" ht="15.75" customHeight="1">
      <c r="A524" s="761"/>
      <c r="B524" s="446"/>
      <c r="C524" s="760"/>
      <c r="D524" s="712"/>
      <c r="E524" s="760"/>
      <c r="F524" s="760"/>
      <c r="G524" s="760"/>
      <c r="H524" s="712"/>
      <c r="I524" s="446"/>
      <c r="J524" s="766"/>
      <c r="K524" s="767"/>
      <c r="L524" s="768"/>
      <c r="M524" s="768"/>
      <c r="N524" s="712"/>
      <c r="O524" s="769"/>
      <c r="P524" s="446"/>
      <c r="Q524" s="446"/>
      <c r="R524" s="446"/>
      <c r="S524" s="446"/>
      <c r="T524" s="446"/>
      <c r="U524" s="446"/>
      <c r="V524" s="446"/>
    </row>
    <row r="525" ht="15.75" customHeight="1">
      <c r="A525" s="761"/>
      <c r="B525" s="446"/>
      <c r="C525" s="760"/>
      <c r="D525" s="712"/>
      <c r="E525" s="760"/>
      <c r="F525" s="760"/>
      <c r="G525" s="760"/>
      <c r="H525" s="712"/>
      <c r="I525" s="446"/>
      <c r="J525" s="766"/>
      <c r="K525" s="767"/>
      <c r="L525" s="768"/>
      <c r="M525" s="768"/>
      <c r="N525" s="712"/>
      <c r="O525" s="769"/>
      <c r="P525" s="446"/>
      <c r="Q525" s="446"/>
      <c r="R525" s="446"/>
      <c r="S525" s="446"/>
      <c r="T525" s="446"/>
      <c r="U525" s="446"/>
      <c r="V525" s="446"/>
    </row>
    <row r="526" ht="15.75" customHeight="1">
      <c r="A526" s="761"/>
      <c r="B526" s="446"/>
      <c r="C526" s="760"/>
      <c r="D526" s="712"/>
      <c r="E526" s="760"/>
      <c r="F526" s="760"/>
      <c r="G526" s="760"/>
      <c r="H526" s="712"/>
      <c r="I526" s="446"/>
      <c r="J526" s="766"/>
      <c r="K526" s="767"/>
      <c r="L526" s="768"/>
      <c r="M526" s="768"/>
      <c r="N526" s="712"/>
      <c r="O526" s="769"/>
      <c r="P526" s="446"/>
      <c r="Q526" s="446"/>
      <c r="R526" s="446"/>
      <c r="S526" s="446"/>
      <c r="T526" s="446"/>
      <c r="U526" s="446"/>
      <c r="V526" s="446"/>
    </row>
    <row r="527" ht="15.75" customHeight="1">
      <c r="A527" s="761"/>
      <c r="B527" s="446"/>
      <c r="C527" s="760"/>
      <c r="D527" s="712"/>
      <c r="E527" s="760"/>
      <c r="F527" s="760"/>
      <c r="G527" s="760"/>
      <c r="H527" s="712"/>
      <c r="I527" s="446"/>
      <c r="J527" s="766"/>
      <c r="K527" s="767"/>
      <c r="L527" s="768"/>
      <c r="M527" s="768"/>
      <c r="N527" s="712"/>
      <c r="O527" s="769"/>
      <c r="P527" s="446"/>
      <c r="Q527" s="446"/>
      <c r="R527" s="446"/>
      <c r="S527" s="446"/>
      <c r="T527" s="446"/>
      <c r="U527" s="446"/>
      <c r="V527" s="446"/>
    </row>
    <row r="528" ht="15.75" customHeight="1">
      <c r="A528" s="761"/>
      <c r="B528" s="446"/>
      <c r="C528" s="760"/>
      <c r="D528" s="712"/>
      <c r="E528" s="760"/>
      <c r="F528" s="760"/>
      <c r="G528" s="760"/>
      <c r="H528" s="712"/>
      <c r="I528" s="446"/>
      <c r="J528" s="766"/>
      <c r="K528" s="767"/>
      <c r="L528" s="768"/>
      <c r="M528" s="768"/>
      <c r="N528" s="712"/>
      <c r="O528" s="769"/>
      <c r="P528" s="446"/>
      <c r="Q528" s="446"/>
      <c r="R528" s="446"/>
      <c r="S528" s="446"/>
      <c r="T528" s="446"/>
      <c r="U528" s="446"/>
      <c r="V528" s="446"/>
    </row>
    <row r="529" ht="15.75" customHeight="1">
      <c r="A529" s="761"/>
      <c r="B529" s="446"/>
      <c r="C529" s="760"/>
      <c r="D529" s="712"/>
      <c r="E529" s="760"/>
      <c r="F529" s="760"/>
      <c r="G529" s="760"/>
      <c r="H529" s="712"/>
      <c r="I529" s="446"/>
      <c r="J529" s="766"/>
      <c r="K529" s="767"/>
      <c r="L529" s="768"/>
      <c r="M529" s="768"/>
      <c r="N529" s="712"/>
      <c r="O529" s="769"/>
      <c r="P529" s="446"/>
      <c r="Q529" s="446"/>
      <c r="R529" s="446"/>
      <c r="S529" s="446"/>
      <c r="T529" s="446"/>
      <c r="U529" s="446"/>
      <c r="V529" s="446"/>
    </row>
    <row r="530" ht="15.75" customHeight="1">
      <c r="A530" s="761"/>
      <c r="B530" s="446"/>
      <c r="C530" s="760"/>
      <c r="D530" s="712"/>
      <c r="E530" s="760"/>
      <c r="F530" s="760"/>
      <c r="G530" s="760"/>
      <c r="H530" s="712"/>
      <c r="I530" s="446"/>
      <c r="J530" s="766"/>
      <c r="K530" s="767"/>
      <c r="L530" s="768"/>
      <c r="M530" s="768"/>
      <c r="N530" s="712"/>
      <c r="O530" s="769"/>
      <c r="P530" s="446"/>
      <c r="Q530" s="446"/>
      <c r="R530" s="446"/>
      <c r="S530" s="446"/>
      <c r="T530" s="446"/>
      <c r="U530" s="446"/>
      <c r="V530" s="446"/>
    </row>
    <row r="531" ht="15.75" customHeight="1">
      <c r="A531" s="761"/>
      <c r="B531" s="446"/>
      <c r="C531" s="760"/>
      <c r="D531" s="712"/>
      <c r="E531" s="760"/>
      <c r="F531" s="760"/>
      <c r="G531" s="760"/>
      <c r="H531" s="712"/>
      <c r="I531" s="446"/>
      <c r="J531" s="766"/>
      <c r="K531" s="767"/>
      <c r="L531" s="768"/>
      <c r="M531" s="768"/>
      <c r="N531" s="712"/>
      <c r="O531" s="769"/>
      <c r="P531" s="446"/>
      <c r="Q531" s="446"/>
      <c r="R531" s="446"/>
      <c r="S531" s="446"/>
      <c r="T531" s="446"/>
      <c r="U531" s="446"/>
      <c r="V531" s="446"/>
    </row>
    <row r="532" ht="15.75" customHeight="1">
      <c r="A532" s="761"/>
      <c r="B532" s="446"/>
      <c r="C532" s="760"/>
      <c r="D532" s="712"/>
      <c r="E532" s="760"/>
      <c r="F532" s="760"/>
      <c r="G532" s="760"/>
      <c r="H532" s="712"/>
      <c r="I532" s="446"/>
      <c r="J532" s="766"/>
      <c r="K532" s="767"/>
      <c r="L532" s="768"/>
      <c r="M532" s="768"/>
      <c r="N532" s="712"/>
      <c r="O532" s="769"/>
      <c r="P532" s="446"/>
      <c r="Q532" s="446"/>
      <c r="R532" s="446"/>
      <c r="S532" s="446"/>
      <c r="T532" s="446"/>
      <c r="U532" s="446"/>
      <c r="V532" s="446"/>
    </row>
    <row r="533" ht="15.75" customHeight="1">
      <c r="A533" s="761"/>
      <c r="B533" s="446"/>
      <c r="C533" s="760"/>
      <c r="D533" s="712"/>
      <c r="E533" s="760"/>
      <c r="F533" s="760"/>
      <c r="G533" s="760"/>
      <c r="H533" s="712"/>
      <c r="I533" s="446"/>
      <c r="J533" s="766"/>
      <c r="K533" s="767"/>
      <c r="L533" s="768"/>
      <c r="M533" s="768"/>
      <c r="N533" s="712"/>
      <c r="O533" s="769"/>
      <c r="P533" s="446"/>
      <c r="Q533" s="446"/>
      <c r="R533" s="446"/>
      <c r="S533" s="446"/>
      <c r="T533" s="446"/>
      <c r="U533" s="446"/>
      <c r="V533" s="446"/>
    </row>
    <row r="534" ht="15.75" customHeight="1">
      <c r="A534" s="761"/>
      <c r="B534" s="446"/>
      <c r="C534" s="760"/>
      <c r="D534" s="712"/>
      <c r="E534" s="760"/>
      <c r="F534" s="760"/>
      <c r="G534" s="760"/>
      <c r="H534" s="712"/>
      <c r="I534" s="446"/>
      <c r="J534" s="766"/>
      <c r="K534" s="767"/>
      <c r="L534" s="768"/>
      <c r="M534" s="768"/>
      <c r="N534" s="712"/>
      <c r="O534" s="769"/>
      <c r="P534" s="446"/>
      <c r="Q534" s="446"/>
      <c r="R534" s="446"/>
      <c r="S534" s="446"/>
      <c r="T534" s="446"/>
      <c r="U534" s="446"/>
      <c r="V534" s="446"/>
    </row>
    <row r="535" ht="15.75" customHeight="1">
      <c r="A535" s="761"/>
      <c r="B535" s="446"/>
      <c r="C535" s="760"/>
      <c r="D535" s="712"/>
      <c r="E535" s="760"/>
      <c r="F535" s="760"/>
      <c r="G535" s="760"/>
      <c r="H535" s="712"/>
      <c r="I535" s="446"/>
      <c r="J535" s="766"/>
      <c r="K535" s="767"/>
      <c r="L535" s="768"/>
      <c r="M535" s="768"/>
      <c r="N535" s="712"/>
      <c r="O535" s="769"/>
      <c r="P535" s="446"/>
      <c r="Q535" s="446"/>
      <c r="R535" s="446"/>
      <c r="S535" s="446"/>
      <c r="T535" s="446"/>
      <c r="U535" s="446"/>
      <c r="V535" s="446"/>
    </row>
    <row r="536" ht="15.75" customHeight="1">
      <c r="A536" s="761"/>
      <c r="B536" s="446"/>
      <c r="C536" s="760"/>
      <c r="D536" s="712"/>
      <c r="E536" s="760"/>
      <c r="F536" s="760"/>
      <c r="G536" s="760"/>
      <c r="H536" s="712"/>
      <c r="I536" s="446"/>
      <c r="J536" s="766"/>
      <c r="K536" s="767"/>
      <c r="L536" s="768"/>
      <c r="M536" s="768"/>
      <c r="N536" s="712"/>
      <c r="O536" s="769"/>
      <c r="P536" s="446"/>
      <c r="Q536" s="446"/>
      <c r="R536" s="446"/>
      <c r="S536" s="446"/>
      <c r="T536" s="446"/>
      <c r="U536" s="446"/>
      <c r="V536" s="446"/>
    </row>
    <row r="537" ht="15.75" customHeight="1">
      <c r="A537" s="761"/>
      <c r="B537" s="446"/>
      <c r="C537" s="760"/>
      <c r="D537" s="712"/>
      <c r="E537" s="760"/>
      <c r="F537" s="760"/>
      <c r="G537" s="760"/>
      <c r="H537" s="712"/>
      <c r="I537" s="446"/>
      <c r="J537" s="766"/>
      <c r="K537" s="767"/>
      <c r="L537" s="768"/>
      <c r="M537" s="768"/>
      <c r="N537" s="712"/>
      <c r="O537" s="769"/>
      <c r="P537" s="446"/>
      <c r="Q537" s="446"/>
      <c r="R537" s="446"/>
      <c r="S537" s="446"/>
      <c r="T537" s="446"/>
      <c r="U537" s="446"/>
      <c r="V537" s="446"/>
    </row>
    <row r="538" ht="15.75" customHeight="1">
      <c r="A538" s="761"/>
      <c r="B538" s="446"/>
      <c r="C538" s="760"/>
      <c r="D538" s="712"/>
      <c r="E538" s="760"/>
      <c r="F538" s="760"/>
      <c r="G538" s="760"/>
      <c r="H538" s="712"/>
      <c r="I538" s="446"/>
      <c r="J538" s="766"/>
      <c r="K538" s="767"/>
      <c r="L538" s="768"/>
      <c r="M538" s="768"/>
      <c r="N538" s="712"/>
      <c r="O538" s="769"/>
      <c r="P538" s="446"/>
      <c r="Q538" s="446"/>
      <c r="R538" s="446"/>
      <c r="S538" s="446"/>
      <c r="T538" s="446"/>
      <c r="U538" s="446"/>
      <c r="V538" s="446"/>
    </row>
    <row r="539" ht="15.75" customHeight="1">
      <c r="A539" s="761"/>
      <c r="B539" s="446"/>
      <c r="C539" s="760"/>
      <c r="D539" s="712"/>
      <c r="E539" s="760"/>
      <c r="F539" s="760"/>
      <c r="G539" s="760"/>
      <c r="H539" s="712"/>
      <c r="I539" s="446"/>
      <c r="J539" s="766"/>
      <c r="K539" s="767"/>
      <c r="L539" s="768"/>
      <c r="M539" s="768"/>
      <c r="N539" s="712"/>
      <c r="O539" s="769"/>
      <c r="P539" s="446"/>
      <c r="Q539" s="446"/>
      <c r="R539" s="446"/>
      <c r="S539" s="446"/>
      <c r="T539" s="446"/>
      <c r="U539" s="446"/>
      <c r="V539" s="446"/>
    </row>
    <row r="540" ht="15.75" customHeight="1">
      <c r="A540" s="761"/>
      <c r="B540" s="446"/>
      <c r="C540" s="760"/>
      <c r="D540" s="712"/>
      <c r="E540" s="760"/>
      <c r="F540" s="760"/>
      <c r="G540" s="760"/>
      <c r="H540" s="712"/>
      <c r="I540" s="446"/>
      <c r="J540" s="766"/>
      <c r="K540" s="767"/>
      <c r="L540" s="768"/>
      <c r="M540" s="768"/>
      <c r="N540" s="712"/>
      <c r="O540" s="769"/>
      <c r="P540" s="446"/>
      <c r="Q540" s="446"/>
      <c r="R540" s="446"/>
      <c r="S540" s="446"/>
      <c r="T540" s="446"/>
      <c r="U540" s="446"/>
      <c r="V540" s="446"/>
    </row>
    <row r="541" ht="15.75" customHeight="1">
      <c r="A541" s="761"/>
      <c r="B541" s="446"/>
      <c r="C541" s="760"/>
      <c r="D541" s="712"/>
      <c r="E541" s="760"/>
      <c r="F541" s="760"/>
      <c r="G541" s="760"/>
      <c r="H541" s="712"/>
      <c r="I541" s="446"/>
      <c r="J541" s="766"/>
      <c r="K541" s="767"/>
      <c r="L541" s="768"/>
      <c r="M541" s="768"/>
      <c r="N541" s="712"/>
      <c r="O541" s="769"/>
      <c r="P541" s="446"/>
      <c r="Q541" s="446"/>
      <c r="R541" s="446"/>
      <c r="S541" s="446"/>
      <c r="T541" s="446"/>
      <c r="U541" s="446"/>
      <c r="V541" s="446"/>
    </row>
    <row r="542" ht="15.75" customHeight="1">
      <c r="A542" s="761"/>
      <c r="B542" s="446"/>
      <c r="C542" s="760"/>
      <c r="D542" s="712"/>
      <c r="E542" s="760"/>
      <c r="F542" s="760"/>
      <c r="G542" s="760"/>
      <c r="H542" s="712"/>
      <c r="I542" s="446"/>
      <c r="J542" s="766"/>
      <c r="K542" s="767"/>
      <c r="L542" s="768"/>
      <c r="M542" s="768"/>
      <c r="N542" s="712"/>
      <c r="O542" s="769"/>
      <c r="P542" s="446"/>
      <c r="Q542" s="446"/>
      <c r="R542" s="446"/>
      <c r="S542" s="446"/>
      <c r="T542" s="446"/>
      <c r="U542" s="446"/>
      <c r="V542" s="446"/>
    </row>
    <row r="543" ht="15.75" customHeight="1">
      <c r="A543" s="761"/>
      <c r="B543" s="446"/>
      <c r="C543" s="760"/>
      <c r="D543" s="712"/>
      <c r="E543" s="760"/>
      <c r="F543" s="760"/>
      <c r="G543" s="760"/>
      <c r="H543" s="712"/>
      <c r="I543" s="446"/>
      <c r="J543" s="766"/>
      <c r="K543" s="767"/>
      <c r="L543" s="768"/>
      <c r="M543" s="768"/>
      <c r="N543" s="712"/>
      <c r="O543" s="769"/>
      <c r="P543" s="446"/>
      <c r="Q543" s="446"/>
      <c r="R543" s="446"/>
      <c r="S543" s="446"/>
      <c r="T543" s="446"/>
      <c r="U543" s="446"/>
      <c r="V543" s="446"/>
    </row>
    <row r="544" ht="15.75" customHeight="1">
      <c r="A544" s="761"/>
      <c r="B544" s="446"/>
      <c r="C544" s="760"/>
      <c r="D544" s="712"/>
      <c r="E544" s="760"/>
      <c r="F544" s="760"/>
      <c r="G544" s="760"/>
      <c r="H544" s="712"/>
      <c r="I544" s="446"/>
      <c r="J544" s="766"/>
      <c r="K544" s="767"/>
      <c r="L544" s="768"/>
      <c r="M544" s="768"/>
      <c r="N544" s="712"/>
      <c r="O544" s="769"/>
      <c r="P544" s="446"/>
      <c r="Q544" s="446"/>
      <c r="R544" s="446"/>
      <c r="S544" s="446"/>
      <c r="T544" s="446"/>
      <c r="U544" s="446"/>
      <c r="V544" s="446"/>
    </row>
    <row r="545" ht="15.75" customHeight="1">
      <c r="A545" s="761"/>
      <c r="B545" s="446"/>
      <c r="C545" s="760"/>
      <c r="D545" s="712"/>
      <c r="E545" s="760"/>
      <c r="F545" s="760"/>
      <c r="G545" s="760"/>
      <c r="H545" s="712"/>
      <c r="I545" s="446"/>
      <c r="J545" s="766"/>
      <c r="K545" s="767"/>
      <c r="L545" s="768"/>
      <c r="M545" s="768"/>
      <c r="N545" s="712"/>
      <c r="O545" s="769"/>
      <c r="P545" s="446"/>
      <c r="Q545" s="446"/>
      <c r="R545" s="446"/>
      <c r="S545" s="446"/>
      <c r="T545" s="446"/>
      <c r="U545" s="446"/>
      <c r="V545" s="446"/>
    </row>
    <row r="546" ht="15.75" customHeight="1">
      <c r="A546" s="761"/>
      <c r="B546" s="446"/>
      <c r="C546" s="760"/>
      <c r="D546" s="712"/>
      <c r="E546" s="760"/>
      <c r="F546" s="760"/>
      <c r="G546" s="760"/>
      <c r="H546" s="712"/>
      <c r="I546" s="446"/>
      <c r="J546" s="766"/>
      <c r="K546" s="767"/>
      <c r="L546" s="768"/>
      <c r="M546" s="768"/>
      <c r="N546" s="712"/>
      <c r="O546" s="769"/>
      <c r="P546" s="446"/>
      <c r="Q546" s="446"/>
      <c r="R546" s="446"/>
      <c r="S546" s="446"/>
      <c r="T546" s="446"/>
      <c r="U546" s="446"/>
      <c r="V546" s="446"/>
    </row>
    <row r="547" ht="15.75" customHeight="1">
      <c r="A547" s="761"/>
      <c r="B547" s="446"/>
      <c r="C547" s="760"/>
      <c r="D547" s="712"/>
      <c r="E547" s="760"/>
      <c r="F547" s="760"/>
      <c r="G547" s="760"/>
      <c r="H547" s="712"/>
      <c r="I547" s="446"/>
      <c r="J547" s="766"/>
      <c r="K547" s="767"/>
      <c r="L547" s="768"/>
      <c r="M547" s="768"/>
      <c r="N547" s="712"/>
      <c r="O547" s="769"/>
      <c r="P547" s="446"/>
      <c r="Q547" s="446"/>
      <c r="R547" s="446"/>
      <c r="S547" s="446"/>
      <c r="T547" s="446"/>
      <c r="U547" s="446"/>
      <c r="V547" s="446"/>
    </row>
    <row r="548" ht="15.75" customHeight="1">
      <c r="A548" s="761"/>
      <c r="B548" s="446"/>
      <c r="C548" s="760"/>
      <c r="D548" s="712"/>
      <c r="E548" s="760"/>
      <c r="F548" s="760"/>
      <c r="G548" s="760"/>
      <c r="H548" s="712"/>
      <c r="I548" s="446"/>
      <c r="J548" s="766"/>
      <c r="K548" s="767"/>
      <c r="L548" s="768"/>
      <c r="M548" s="768"/>
      <c r="N548" s="712"/>
      <c r="O548" s="769"/>
      <c r="P548" s="446"/>
      <c r="Q548" s="446"/>
      <c r="R548" s="446"/>
      <c r="S548" s="446"/>
      <c r="T548" s="446"/>
      <c r="U548" s="446"/>
      <c r="V548" s="446"/>
    </row>
    <row r="549" ht="15.75" customHeight="1">
      <c r="A549" s="761"/>
      <c r="B549" s="446"/>
      <c r="C549" s="760"/>
      <c r="D549" s="712"/>
      <c r="E549" s="760"/>
      <c r="F549" s="760"/>
      <c r="G549" s="760"/>
      <c r="H549" s="712"/>
      <c r="I549" s="446"/>
      <c r="J549" s="766"/>
      <c r="K549" s="767"/>
      <c r="L549" s="768"/>
      <c r="M549" s="768"/>
      <c r="N549" s="712"/>
      <c r="O549" s="769"/>
      <c r="P549" s="446"/>
      <c r="Q549" s="446"/>
      <c r="R549" s="446"/>
      <c r="S549" s="446"/>
      <c r="T549" s="446"/>
      <c r="U549" s="446"/>
      <c r="V549" s="446"/>
    </row>
    <row r="550" ht="15.75" customHeight="1">
      <c r="A550" s="761"/>
      <c r="B550" s="446"/>
      <c r="C550" s="760"/>
      <c r="D550" s="712"/>
      <c r="E550" s="760"/>
      <c r="F550" s="760"/>
      <c r="G550" s="760"/>
      <c r="H550" s="712"/>
      <c r="I550" s="446"/>
      <c r="J550" s="766"/>
      <c r="K550" s="767"/>
      <c r="L550" s="768"/>
      <c r="M550" s="768"/>
      <c r="N550" s="712"/>
      <c r="O550" s="769"/>
      <c r="P550" s="446"/>
      <c r="Q550" s="446"/>
      <c r="R550" s="446"/>
      <c r="S550" s="446"/>
      <c r="T550" s="446"/>
      <c r="U550" s="446"/>
      <c r="V550" s="446"/>
    </row>
    <row r="551" ht="15.75" customHeight="1">
      <c r="A551" s="761"/>
      <c r="B551" s="446"/>
      <c r="C551" s="760"/>
      <c r="D551" s="712"/>
      <c r="E551" s="760"/>
      <c r="F551" s="760"/>
      <c r="G551" s="760"/>
      <c r="H551" s="712"/>
      <c r="I551" s="446"/>
      <c r="J551" s="766"/>
      <c r="K551" s="767"/>
      <c r="L551" s="768"/>
      <c r="M551" s="768"/>
      <c r="N551" s="712"/>
      <c r="O551" s="769"/>
      <c r="P551" s="446"/>
      <c r="Q551" s="446"/>
      <c r="R551" s="446"/>
      <c r="S551" s="446"/>
      <c r="T551" s="446"/>
      <c r="U551" s="446"/>
      <c r="V551" s="446"/>
    </row>
    <row r="552" ht="15.75" customHeight="1">
      <c r="A552" s="761"/>
      <c r="B552" s="446"/>
      <c r="C552" s="760"/>
      <c r="D552" s="712"/>
      <c r="E552" s="760"/>
      <c r="F552" s="760"/>
      <c r="G552" s="760"/>
      <c r="H552" s="712"/>
      <c r="I552" s="446"/>
      <c r="J552" s="766"/>
      <c r="K552" s="767"/>
      <c r="L552" s="768"/>
      <c r="M552" s="768"/>
      <c r="N552" s="712"/>
      <c r="O552" s="769"/>
      <c r="P552" s="446"/>
      <c r="Q552" s="446"/>
      <c r="R552" s="446"/>
      <c r="S552" s="446"/>
      <c r="T552" s="446"/>
      <c r="U552" s="446"/>
      <c r="V552" s="446"/>
    </row>
    <row r="553" ht="15.75" customHeight="1">
      <c r="A553" s="761"/>
      <c r="B553" s="446"/>
      <c r="C553" s="760"/>
      <c r="D553" s="712"/>
      <c r="E553" s="760"/>
      <c r="F553" s="760"/>
      <c r="G553" s="760"/>
      <c r="H553" s="712"/>
      <c r="I553" s="446"/>
      <c r="J553" s="766"/>
      <c r="K553" s="767"/>
      <c r="L553" s="768"/>
      <c r="M553" s="768"/>
      <c r="N553" s="712"/>
      <c r="O553" s="769"/>
      <c r="P553" s="446"/>
      <c r="Q553" s="446"/>
      <c r="R553" s="446"/>
      <c r="S553" s="446"/>
      <c r="T553" s="446"/>
      <c r="U553" s="446"/>
      <c r="V553" s="446"/>
    </row>
    <row r="554" ht="15.75" customHeight="1">
      <c r="A554" s="761"/>
      <c r="B554" s="446"/>
      <c r="C554" s="760"/>
      <c r="D554" s="712"/>
      <c r="E554" s="760"/>
      <c r="F554" s="760"/>
      <c r="G554" s="760"/>
      <c r="H554" s="712"/>
      <c r="I554" s="446"/>
      <c r="J554" s="766"/>
      <c r="K554" s="767"/>
      <c r="L554" s="768"/>
      <c r="M554" s="768"/>
      <c r="N554" s="712"/>
      <c r="O554" s="769"/>
      <c r="P554" s="446"/>
      <c r="Q554" s="446"/>
      <c r="R554" s="446"/>
      <c r="S554" s="446"/>
      <c r="T554" s="446"/>
      <c r="U554" s="446"/>
      <c r="V554" s="446"/>
    </row>
    <row r="555" ht="15.75" customHeight="1">
      <c r="A555" s="761"/>
      <c r="B555" s="446"/>
      <c r="C555" s="760"/>
      <c r="D555" s="712"/>
      <c r="E555" s="760"/>
      <c r="F555" s="760"/>
      <c r="G555" s="760"/>
      <c r="H555" s="712"/>
      <c r="I555" s="446"/>
      <c r="J555" s="766"/>
      <c r="K555" s="767"/>
      <c r="L555" s="768"/>
      <c r="M555" s="768"/>
      <c r="N555" s="712"/>
      <c r="O555" s="769"/>
      <c r="P555" s="446"/>
      <c r="Q555" s="446"/>
      <c r="R555" s="446"/>
      <c r="S555" s="446"/>
      <c r="T555" s="446"/>
      <c r="U555" s="446"/>
      <c r="V555" s="446"/>
    </row>
    <row r="556" ht="15.75" customHeight="1">
      <c r="A556" s="761"/>
      <c r="B556" s="446"/>
      <c r="C556" s="760"/>
      <c r="D556" s="712"/>
      <c r="E556" s="760"/>
      <c r="F556" s="760"/>
      <c r="G556" s="760"/>
      <c r="H556" s="712"/>
      <c r="I556" s="446"/>
      <c r="J556" s="766"/>
      <c r="K556" s="767"/>
      <c r="L556" s="768"/>
      <c r="M556" s="768"/>
      <c r="N556" s="712"/>
      <c r="O556" s="769"/>
      <c r="P556" s="446"/>
      <c r="Q556" s="446"/>
      <c r="R556" s="446"/>
      <c r="S556" s="446"/>
      <c r="T556" s="446"/>
      <c r="U556" s="446"/>
      <c r="V556" s="446"/>
    </row>
    <row r="557" ht="15.75" customHeight="1">
      <c r="A557" s="761"/>
      <c r="B557" s="446"/>
      <c r="C557" s="760"/>
      <c r="D557" s="712"/>
      <c r="E557" s="760"/>
      <c r="F557" s="760"/>
      <c r="G557" s="760"/>
      <c r="H557" s="712"/>
      <c r="I557" s="446"/>
      <c r="J557" s="766"/>
      <c r="K557" s="767"/>
      <c r="L557" s="768"/>
      <c r="M557" s="768"/>
      <c r="N557" s="712"/>
      <c r="O557" s="769"/>
      <c r="P557" s="446"/>
      <c r="Q557" s="446"/>
      <c r="R557" s="446"/>
      <c r="S557" s="446"/>
      <c r="T557" s="446"/>
      <c r="U557" s="446"/>
      <c r="V557" s="446"/>
    </row>
    <row r="558" ht="15.75" customHeight="1">
      <c r="A558" s="761"/>
      <c r="B558" s="446"/>
      <c r="C558" s="760"/>
      <c r="D558" s="712"/>
      <c r="E558" s="760"/>
      <c r="F558" s="760"/>
      <c r="G558" s="760"/>
      <c r="H558" s="712"/>
      <c r="I558" s="446"/>
      <c r="J558" s="766"/>
      <c r="K558" s="767"/>
      <c r="L558" s="768"/>
      <c r="M558" s="768"/>
      <c r="N558" s="712"/>
      <c r="O558" s="769"/>
      <c r="P558" s="446"/>
      <c r="Q558" s="446"/>
      <c r="R558" s="446"/>
      <c r="S558" s="446"/>
      <c r="T558" s="446"/>
      <c r="U558" s="446"/>
      <c r="V558" s="446"/>
    </row>
    <row r="559" ht="15.75" customHeight="1">
      <c r="A559" s="761"/>
      <c r="B559" s="446"/>
      <c r="C559" s="760"/>
      <c r="D559" s="712"/>
      <c r="E559" s="760"/>
      <c r="F559" s="760"/>
      <c r="G559" s="760"/>
      <c r="H559" s="712"/>
      <c r="I559" s="446"/>
      <c r="J559" s="766"/>
      <c r="K559" s="767"/>
      <c r="L559" s="768"/>
      <c r="M559" s="768"/>
      <c r="N559" s="712"/>
      <c r="O559" s="769"/>
      <c r="P559" s="446"/>
      <c r="Q559" s="446"/>
      <c r="R559" s="446"/>
      <c r="S559" s="446"/>
      <c r="T559" s="446"/>
      <c r="U559" s="446"/>
      <c r="V559" s="446"/>
    </row>
    <row r="560" ht="15.75" customHeight="1">
      <c r="A560" s="761"/>
      <c r="B560" s="446"/>
      <c r="C560" s="760"/>
      <c r="D560" s="712"/>
      <c r="E560" s="760"/>
      <c r="F560" s="760"/>
      <c r="G560" s="760"/>
      <c r="H560" s="712"/>
      <c r="I560" s="446"/>
      <c r="J560" s="766"/>
      <c r="K560" s="767"/>
      <c r="L560" s="768"/>
      <c r="M560" s="768"/>
      <c r="N560" s="712"/>
      <c r="O560" s="769"/>
      <c r="P560" s="446"/>
      <c r="Q560" s="446"/>
      <c r="R560" s="446"/>
      <c r="S560" s="446"/>
      <c r="T560" s="446"/>
      <c r="U560" s="446"/>
      <c r="V560" s="446"/>
    </row>
    <row r="561" ht="15.75" customHeight="1">
      <c r="A561" s="761"/>
      <c r="B561" s="446"/>
      <c r="C561" s="760"/>
      <c r="D561" s="712"/>
      <c r="E561" s="760"/>
      <c r="F561" s="760"/>
      <c r="G561" s="760"/>
      <c r="H561" s="712"/>
      <c r="I561" s="446"/>
      <c r="J561" s="766"/>
      <c r="K561" s="767"/>
      <c r="L561" s="768"/>
      <c r="M561" s="768"/>
      <c r="N561" s="712"/>
      <c r="O561" s="769"/>
      <c r="P561" s="446"/>
      <c r="Q561" s="446"/>
      <c r="R561" s="446"/>
      <c r="S561" s="446"/>
      <c r="T561" s="446"/>
      <c r="U561" s="446"/>
      <c r="V561" s="446"/>
    </row>
    <row r="562" ht="15.75" customHeight="1">
      <c r="A562" s="761"/>
      <c r="B562" s="446"/>
      <c r="C562" s="760"/>
      <c r="D562" s="712"/>
      <c r="E562" s="760"/>
      <c r="F562" s="760"/>
      <c r="G562" s="760"/>
      <c r="H562" s="712"/>
      <c r="I562" s="446"/>
      <c r="J562" s="766"/>
      <c r="K562" s="767"/>
      <c r="L562" s="768"/>
      <c r="M562" s="768"/>
      <c r="N562" s="712"/>
      <c r="O562" s="769"/>
      <c r="P562" s="446"/>
      <c r="Q562" s="446"/>
      <c r="R562" s="446"/>
      <c r="S562" s="446"/>
      <c r="T562" s="446"/>
      <c r="U562" s="446"/>
      <c r="V562" s="446"/>
    </row>
    <row r="563" ht="15.75" customHeight="1">
      <c r="A563" s="761"/>
      <c r="B563" s="446"/>
      <c r="C563" s="760"/>
      <c r="D563" s="712"/>
      <c r="E563" s="760"/>
      <c r="F563" s="760"/>
      <c r="G563" s="760"/>
      <c r="H563" s="712"/>
      <c r="I563" s="446"/>
      <c r="J563" s="766"/>
      <c r="K563" s="767"/>
      <c r="L563" s="768"/>
      <c r="M563" s="768"/>
      <c r="N563" s="712"/>
      <c r="O563" s="769"/>
      <c r="P563" s="446"/>
      <c r="Q563" s="446"/>
      <c r="R563" s="446"/>
      <c r="S563" s="446"/>
      <c r="T563" s="446"/>
      <c r="U563" s="446"/>
      <c r="V563" s="446"/>
    </row>
    <row r="564" ht="15.75" customHeight="1">
      <c r="A564" s="761"/>
      <c r="B564" s="446"/>
      <c r="C564" s="760"/>
      <c r="D564" s="712"/>
      <c r="E564" s="760"/>
      <c r="F564" s="760"/>
      <c r="G564" s="760"/>
      <c r="H564" s="712"/>
      <c r="I564" s="446"/>
      <c r="J564" s="766"/>
      <c r="K564" s="767"/>
      <c r="L564" s="768"/>
      <c r="M564" s="768"/>
      <c r="N564" s="712"/>
      <c r="O564" s="769"/>
      <c r="P564" s="446"/>
      <c r="Q564" s="446"/>
      <c r="R564" s="446"/>
      <c r="S564" s="446"/>
      <c r="T564" s="446"/>
      <c r="U564" s="446"/>
      <c r="V564" s="446"/>
    </row>
    <row r="565" ht="15.75" customHeight="1">
      <c r="A565" s="761"/>
      <c r="B565" s="446"/>
      <c r="C565" s="760"/>
      <c r="D565" s="712"/>
      <c r="E565" s="760"/>
      <c r="F565" s="760"/>
      <c r="G565" s="760"/>
      <c r="H565" s="712"/>
      <c r="I565" s="446"/>
      <c r="J565" s="766"/>
      <c r="K565" s="767"/>
      <c r="L565" s="768"/>
      <c r="M565" s="768"/>
      <c r="N565" s="712"/>
      <c r="O565" s="769"/>
      <c r="P565" s="446"/>
      <c r="Q565" s="446"/>
      <c r="R565" s="446"/>
      <c r="S565" s="446"/>
      <c r="T565" s="446"/>
      <c r="U565" s="446"/>
      <c r="V565" s="446"/>
    </row>
    <row r="566" ht="15.75" customHeight="1">
      <c r="A566" s="761"/>
      <c r="B566" s="446"/>
      <c r="C566" s="760"/>
      <c r="D566" s="712"/>
      <c r="E566" s="760"/>
      <c r="F566" s="760"/>
      <c r="G566" s="760"/>
      <c r="H566" s="712"/>
      <c r="I566" s="446"/>
      <c r="J566" s="766"/>
      <c r="K566" s="767"/>
      <c r="L566" s="768"/>
      <c r="M566" s="768"/>
      <c r="N566" s="712"/>
      <c r="O566" s="769"/>
      <c r="P566" s="446"/>
      <c r="Q566" s="446"/>
      <c r="R566" s="446"/>
      <c r="S566" s="446"/>
      <c r="T566" s="446"/>
      <c r="U566" s="446"/>
      <c r="V566" s="446"/>
    </row>
    <row r="567" ht="15.75" customHeight="1">
      <c r="A567" s="761"/>
      <c r="B567" s="446"/>
      <c r="C567" s="760"/>
      <c r="D567" s="712"/>
      <c r="E567" s="760"/>
      <c r="F567" s="760"/>
      <c r="G567" s="760"/>
      <c r="H567" s="712"/>
      <c r="I567" s="446"/>
      <c r="J567" s="766"/>
      <c r="K567" s="767"/>
      <c r="L567" s="768"/>
      <c r="M567" s="768"/>
      <c r="N567" s="712"/>
      <c r="O567" s="769"/>
      <c r="P567" s="446"/>
      <c r="Q567" s="446"/>
      <c r="R567" s="446"/>
      <c r="S567" s="446"/>
      <c r="T567" s="446"/>
      <c r="U567" s="446"/>
      <c r="V567" s="446"/>
    </row>
    <row r="568" ht="15.75" customHeight="1">
      <c r="A568" s="761"/>
      <c r="B568" s="446"/>
      <c r="C568" s="760"/>
      <c r="D568" s="712"/>
      <c r="E568" s="760"/>
      <c r="F568" s="760"/>
      <c r="G568" s="760"/>
      <c r="H568" s="712"/>
      <c r="I568" s="446"/>
      <c r="J568" s="766"/>
      <c r="K568" s="767"/>
      <c r="L568" s="768"/>
      <c r="M568" s="768"/>
      <c r="N568" s="712"/>
      <c r="O568" s="769"/>
      <c r="P568" s="446"/>
      <c r="Q568" s="446"/>
      <c r="R568" s="446"/>
      <c r="S568" s="446"/>
      <c r="T568" s="446"/>
      <c r="U568" s="446"/>
      <c r="V568" s="446"/>
    </row>
    <row r="569" ht="15.75" customHeight="1">
      <c r="A569" s="761"/>
      <c r="B569" s="446"/>
      <c r="C569" s="760"/>
      <c r="D569" s="712"/>
      <c r="E569" s="760"/>
      <c r="F569" s="760"/>
      <c r="G569" s="760"/>
      <c r="H569" s="712"/>
      <c r="I569" s="446"/>
      <c r="J569" s="766"/>
      <c r="K569" s="767"/>
      <c r="L569" s="768"/>
      <c r="M569" s="768"/>
      <c r="N569" s="712"/>
      <c r="O569" s="769"/>
      <c r="P569" s="446"/>
      <c r="Q569" s="446"/>
      <c r="R569" s="446"/>
      <c r="S569" s="446"/>
      <c r="T569" s="446"/>
      <c r="U569" s="446"/>
      <c r="V569" s="446"/>
    </row>
    <row r="570" ht="15.75" customHeight="1">
      <c r="A570" s="761"/>
      <c r="B570" s="446"/>
      <c r="C570" s="760"/>
      <c r="D570" s="712"/>
      <c r="E570" s="760"/>
      <c r="F570" s="760"/>
      <c r="G570" s="760"/>
      <c r="H570" s="712"/>
      <c r="I570" s="446"/>
      <c r="J570" s="766"/>
      <c r="K570" s="767"/>
      <c r="L570" s="768"/>
      <c r="M570" s="768"/>
      <c r="N570" s="712"/>
      <c r="O570" s="769"/>
      <c r="P570" s="446"/>
      <c r="Q570" s="446"/>
      <c r="R570" s="446"/>
      <c r="S570" s="446"/>
      <c r="T570" s="446"/>
      <c r="U570" s="446"/>
      <c r="V570" s="446"/>
    </row>
    <row r="571" ht="15.75" customHeight="1">
      <c r="A571" s="761"/>
      <c r="B571" s="446"/>
      <c r="C571" s="760"/>
      <c r="D571" s="712"/>
      <c r="E571" s="760"/>
      <c r="F571" s="760"/>
      <c r="G571" s="760"/>
      <c r="H571" s="712"/>
      <c r="I571" s="446"/>
      <c r="J571" s="766"/>
      <c r="K571" s="767"/>
      <c r="L571" s="768"/>
      <c r="M571" s="768"/>
      <c r="N571" s="712"/>
      <c r="O571" s="769"/>
      <c r="P571" s="446"/>
      <c r="Q571" s="446"/>
      <c r="R571" s="446"/>
      <c r="S571" s="446"/>
      <c r="T571" s="446"/>
      <c r="U571" s="446"/>
      <c r="V571" s="446"/>
    </row>
    <row r="572" ht="15.75" customHeight="1">
      <c r="A572" s="761"/>
      <c r="B572" s="446"/>
      <c r="C572" s="760"/>
      <c r="D572" s="712"/>
      <c r="E572" s="760"/>
      <c r="F572" s="760"/>
      <c r="G572" s="760"/>
      <c r="H572" s="712"/>
      <c r="I572" s="446"/>
      <c r="J572" s="766"/>
      <c r="K572" s="767"/>
      <c r="L572" s="768"/>
      <c r="M572" s="768"/>
      <c r="N572" s="712"/>
      <c r="O572" s="769"/>
      <c r="P572" s="446"/>
      <c r="Q572" s="446"/>
      <c r="R572" s="446"/>
      <c r="S572" s="446"/>
      <c r="T572" s="446"/>
      <c r="U572" s="446"/>
      <c r="V572" s="446"/>
    </row>
    <row r="573" ht="15.75" customHeight="1">
      <c r="A573" s="761"/>
      <c r="B573" s="446"/>
      <c r="C573" s="760"/>
      <c r="D573" s="712"/>
      <c r="E573" s="760"/>
      <c r="F573" s="760"/>
      <c r="G573" s="760"/>
      <c r="H573" s="712"/>
      <c r="I573" s="446"/>
      <c r="J573" s="766"/>
      <c r="K573" s="767"/>
      <c r="L573" s="768"/>
      <c r="M573" s="768"/>
      <c r="N573" s="712"/>
      <c r="O573" s="769"/>
      <c r="P573" s="446"/>
      <c r="Q573" s="446"/>
      <c r="R573" s="446"/>
      <c r="S573" s="446"/>
      <c r="T573" s="446"/>
      <c r="U573" s="446"/>
      <c r="V573" s="446"/>
    </row>
    <row r="574" ht="15.75" customHeight="1">
      <c r="A574" s="761"/>
      <c r="B574" s="446"/>
      <c r="C574" s="760"/>
      <c r="D574" s="712"/>
      <c r="E574" s="760"/>
      <c r="F574" s="760"/>
      <c r="G574" s="760"/>
      <c r="H574" s="712"/>
      <c r="I574" s="446"/>
      <c r="J574" s="766"/>
      <c r="K574" s="767"/>
      <c r="L574" s="768"/>
      <c r="M574" s="768"/>
      <c r="N574" s="712"/>
      <c r="O574" s="769"/>
      <c r="P574" s="446"/>
      <c r="Q574" s="446"/>
      <c r="R574" s="446"/>
      <c r="S574" s="446"/>
      <c r="T574" s="446"/>
      <c r="U574" s="446"/>
      <c r="V574" s="446"/>
    </row>
    <row r="575" ht="15.75" customHeight="1">
      <c r="A575" s="761"/>
      <c r="B575" s="446"/>
      <c r="C575" s="760"/>
      <c r="D575" s="712"/>
      <c r="E575" s="760"/>
      <c r="F575" s="760"/>
      <c r="G575" s="760"/>
      <c r="H575" s="712"/>
      <c r="I575" s="446"/>
      <c r="J575" s="766"/>
      <c r="K575" s="767"/>
      <c r="L575" s="768"/>
      <c r="M575" s="768"/>
      <c r="N575" s="712"/>
      <c r="O575" s="769"/>
      <c r="P575" s="446"/>
      <c r="Q575" s="446"/>
      <c r="R575" s="446"/>
      <c r="S575" s="446"/>
      <c r="T575" s="446"/>
      <c r="U575" s="446"/>
      <c r="V575" s="446"/>
    </row>
    <row r="576" ht="15.75" customHeight="1">
      <c r="A576" s="761"/>
      <c r="B576" s="446"/>
      <c r="C576" s="760"/>
      <c r="D576" s="712"/>
      <c r="E576" s="760"/>
      <c r="F576" s="760"/>
      <c r="G576" s="760"/>
      <c r="H576" s="712"/>
      <c r="I576" s="446"/>
      <c r="J576" s="766"/>
      <c r="K576" s="767"/>
      <c r="L576" s="768"/>
      <c r="M576" s="768"/>
      <c r="N576" s="712"/>
      <c r="O576" s="769"/>
      <c r="P576" s="446"/>
      <c r="Q576" s="446"/>
      <c r="R576" s="446"/>
      <c r="S576" s="446"/>
      <c r="T576" s="446"/>
      <c r="U576" s="446"/>
      <c r="V576" s="446"/>
    </row>
    <row r="577" ht="15.75" customHeight="1">
      <c r="A577" s="761"/>
      <c r="B577" s="446"/>
      <c r="C577" s="760"/>
      <c r="D577" s="712"/>
      <c r="E577" s="760"/>
      <c r="F577" s="760"/>
      <c r="G577" s="760"/>
      <c r="H577" s="712"/>
      <c r="I577" s="446"/>
      <c r="J577" s="766"/>
      <c r="K577" s="767"/>
      <c r="L577" s="768"/>
      <c r="M577" s="768"/>
      <c r="N577" s="712"/>
      <c r="O577" s="769"/>
      <c r="P577" s="446"/>
      <c r="Q577" s="446"/>
      <c r="R577" s="446"/>
      <c r="S577" s="446"/>
      <c r="T577" s="446"/>
      <c r="U577" s="446"/>
      <c r="V577" s="446"/>
    </row>
    <row r="578" ht="15.75" customHeight="1">
      <c r="A578" s="761"/>
      <c r="B578" s="446"/>
      <c r="C578" s="760"/>
      <c r="D578" s="712"/>
      <c r="E578" s="760"/>
      <c r="F578" s="760"/>
      <c r="G578" s="760"/>
      <c r="H578" s="712"/>
      <c r="I578" s="446"/>
      <c r="J578" s="766"/>
      <c r="K578" s="767"/>
      <c r="L578" s="768"/>
      <c r="M578" s="768"/>
      <c r="N578" s="712"/>
      <c r="O578" s="769"/>
      <c r="P578" s="446"/>
      <c r="Q578" s="446"/>
      <c r="R578" s="446"/>
      <c r="S578" s="446"/>
      <c r="T578" s="446"/>
      <c r="U578" s="446"/>
      <c r="V578" s="446"/>
    </row>
    <row r="579" ht="15.75" customHeight="1">
      <c r="A579" s="761"/>
      <c r="B579" s="446"/>
      <c r="C579" s="760"/>
      <c r="D579" s="712"/>
      <c r="E579" s="760"/>
      <c r="F579" s="760"/>
      <c r="G579" s="760"/>
      <c r="H579" s="712"/>
      <c r="I579" s="446"/>
      <c r="J579" s="766"/>
      <c r="K579" s="767"/>
      <c r="L579" s="768"/>
      <c r="M579" s="768"/>
      <c r="N579" s="712"/>
      <c r="O579" s="769"/>
      <c r="P579" s="446"/>
      <c r="Q579" s="446"/>
      <c r="R579" s="446"/>
      <c r="S579" s="446"/>
      <c r="T579" s="446"/>
      <c r="U579" s="446"/>
      <c r="V579" s="446"/>
    </row>
    <row r="580" ht="15.75" customHeight="1">
      <c r="A580" s="761"/>
      <c r="B580" s="446"/>
      <c r="C580" s="760"/>
      <c r="D580" s="712"/>
      <c r="E580" s="760"/>
      <c r="F580" s="760"/>
      <c r="G580" s="760"/>
      <c r="H580" s="712"/>
      <c r="I580" s="446"/>
      <c r="J580" s="766"/>
      <c r="K580" s="767"/>
      <c r="L580" s="768"/>
      <c r="M580" s="768"/>
      <c r="N580" s="712"/>
      <c r="O580" s="769"/>
      <c r="P580" s="446"/>
      <c r="Q580" s="446"/>
      <c r="R580" s="446"/>
      <c r="S580" s="446"/>
      <c r="T580" s="446"/>
      <c r="U580" s="446"/>
      <c r="V580" s="446"/>
    </row>
    <row r="581" ht="15.75" customHeight="1">
      <c r="A581" s="761"/>
      <c r="B581" s="446"/>
      <c r="C581" s="760"/>
      <c r="D581" s="712"/>
      <c r="E581" s="760"/>
      <c r="F581" s="760"/>
      <c r="G581" s="760"/>
      <c r="H581" s="712"/>
      <c r="I581" s="446"/>
      <c r="J581" s="766"/>
      <c r="K581" s="767"/>
      <c r="L581" s="768"/>
      <c r="M581" s="768"/>
      <c r="N581" s="712"/>
      <c r="O581" s="769"/>
      <c r="P581" s="446"/>
      <c r="Q581" s="446"/>
      <c r="R581" s="446"/>
      <c r="S581" s="446"/>
      <c r="T581" s="446"/>
      <c r="U581" s="446"/>
      <c r="V581" s="446"/>
    </row>
    <row r="582" ht="15.75" customHeight="1">
      <c r="A582" s="761"/>
      <c r="B582" s="446"/>
      <c r="C582" s="760"/>
      <c r="D582" s="712"/>
      <c r="E582" s="760"/>
      <c r="F582" s="760"/>
      <c r="G582" s="760"/>
      <c r="H582" s="712"/>
      <c r="I582" s="446"/>
      <c r="J582" s="766"/>
      <c r="K582" s="767"/>
      <c r="L582" s="768"/>
      <c r="M582" s="768"/>
      <c r="N582" s="712"/>
      <c r="O582" s="769"/>
      <c r="P582" s="446"/>
      <c r="Q582" s="446"/>
      <c r="R582" s="446"/>
      <c r="S582" s="446"/>
      <c r="T582" s="446"/>
      <c r="U582" s="446"/>
      <c r="V582" s="446"/>
    </row>
    <row r="583" ht="15.75" customHeight="1">
      <c r="A583" s="761"/>
      <c r="B583" s="446"/>
      <c r="C583" s="760"/>
      <c r="D583" s="712"/>
      <c r="E583" s="760"/>
      <c r="F583" s="760"/>
      <c r="G583" s="760"/>
      <c r="H583" s="712"/>
      <c r="I583" s="446"/>
      <c r="J583" s="766"/>
      <c r="K583" s="767"/>
      <c r="L583" s="768"/>
      <c r="M583" s="768"/>
      <c r="N583" s="712"/>
      <c r="O583" s="769"/>
      <c r="P583" s="446"/>
      <c r="Q583" s="446"/>
      <c r="R583" s="446"/>
      <c r="S583" s="446"/>
      <c r="T583" s="446"/>
      <c r="U583" s="446"/>
      <c r="V583" s="446"/>
    </row>
    <row r="584" ht="15.75" customHeight="1">
      <c r="A584" s="761"/>
      <c r="B584" s="446"/>
      <c r="C584" s="760"/>
      <c r="D584" s="712"/>
      <c r="E584" s="760"/>
      <c r="F584" s="760"/>
      <c r="G584" s="760"/>
      <c r="H584" s="712"/>
      <c r="I584" s="446"/>
      <c r="J584" s="766"/>
      <c r="K584" s="767"/>
      <c r="L584" s="768"/>
      <c r="M584" s="768"/>
      <c r="N584" s="712"/>
      <c r="O584" s="769"/>
      <c r="P584" s="446"/>
      <c r="Q584" s="446"/>
      <c r="R584" s="446"/>
      <c r="S584" s="446"/>
      <c r="T584" s="446"/>
      <c r="U584" s="446"/>
      <c r="V584" s="446"/>
    </row>
    <row r="585" ht="15.75" customHeight="1">
      <c r="A585" s="761"/>
      <c r="B585" s="446"/>
      <c r="C585" s="760"/>
      <c r="D585" s="712"/>
      <c r="E585" s="760"/>
      <c r="F585" s="760"/>
      <c r="G585" s="760"/>
      <c r="H585" s="712"/>
      <c r="I585" s="446"/>
      <c r="J585" s="766"/>
      <c r="K585" s="767"/>
      <c r="L585" s="768"/>
      <c r="M585" s="768"/>
      <c r="N585" s="712"/>
      <c r="O585" s="769"/>
      <c r="P585" s="446"/>
      <c r="Q585" s="446"/>
      <c r="R585" s="446"/>
      <c r="S585" s="446"/>
      <c r="T585" s="446"/>
      <c r="U585" s="446"/>
      <c r="V585" s="446"/>
    </row>
    <row r="586" ht="15.75" customHeight="1">
      <c r="A586" s="761"/>
      <c r="B586" s="446"/>
      <c r="C586" s="760"/>
      <c r="D586" s="712"/>
      <c r="E586" s="760"/>
      <c r="F586" s="760"/>
      <c r="G586" s="760"/>
      <c r="H586" s="712"/>
      <c r="I586" s="446"/>
      <c r="J586" s="766"/>
      <c r="K586" s="767"/>
      <c r="L586" s="768"/>
      <c r="M586" s="768"/>
      <c r="N586" s="712"/>
      <c r="O586" s="769"/>
      <c r="P586" s="446"/>
      <c r="Q586" s="446"/>
      <c r="R586" s="446"/>
      <c r="S586" s="446"/>
      <c r="T586" s="446"/>
      <c r="U586" s="446"/>
      <c r="V586" s="446"/>
    </row>
    <row r="587" ht="15.75" customHeight="1">
      <c r="A587" s="761"/>
      <c r="B587" s="446"/>
      <c r="C587" s="760"/>
      <c r="D587" s="712"/>
      <c r="E587" s="760"/>
      <c r="F587" s="760"/>
      <c r="G587" s="760"/>
      <c r="H587" s="712"/>
      <c r="I587" s="446"/>
      <c r="J587" s="766"/>
      <c r="K587" s="767"/>
      <c r="L587" s="768"/>
      <c r="M587" s="768"/>
      <c r="N587" s="712"/>
      <c r="O587" s="769"/>
      <c r="P587" s="446"/>
      <c r="Q587" s="446"/>
      <c r="R587" s="446"/>
      <c r="S587" s="446"/>
      <c r="T587" s="446"/>
      <c r="U587" s="446"/>
      <c r="V587" s="446"/>
    </row>
    <row r="588" ht="15.75" customHeight="1">
      <c r="A588" s="761"/>
      <c r="B588" s="446"/>
      <c r="C588" s="760"/>
      <c r="D588" s="712"/>
      <c r="E588" s="760"/>
      <c r="F588" s="760"/>
      <c r="G588" s="760"/>
      <c r="H588" s="712"/>
      <c r="I588" s="446"/>
      <c r="J588" s="766"/>
      <c r="K588" s="767"/>
      <c r="L588" s="768"/>
      <c r="M588" s="768"/>
      <c r="N588" s="712"/>
      <c r="O588" s="769"/>
      <c r="P588" s="446"/>
      <c r="Q588" s="446"/>
      <c r="R588" s="446"/>
      <c r="S588" s="446"/>
      <c r="T588" s="446"/>
      <c r="U588" s="446"/>
      <c r="V588" s="446"/>
    </row>
    <row r="589" ht="15.75" customHeight="1">
      <c r="A589" s="761"/>
      <c r="B589" s="446"/>
      <c r="C589" s="760"/>
      <c r="D589" s="712"/>
      <c r="E589" s="760"/>
      <c r="F589" s="760"/>
      <c r="G589" s="760"/>
      <c r="H589" s="712"/>
      <c r="I589" s="446"/>
      <c r="J589" s="766"/>
      <c r="K589" s="767"/>
      <c r="L589" s="768"/>
      <c r="M589" s="768"/>
      <c r="N589" s="712"/>
      <c r="O589" s="769"/>
      <c r="P589" s="446"/>
      <c r="Q589" s="446"/>
      <c r="R589" s="446"/>
      <c r="S589" s="446"/>
      <c r="T589" s="446"/>
      <c r="U589" s="446"/>
      <c r="V589" s="446"/>
    </row>
    <row r="590" ht="15.75" customHeight="1">
      <c r="A590" s="761"/>
      <c r="B590" s="446"/>
      <c r="C590" s="760"/>
      <c r="D590" s="712"/>
      <c r="E590" s="760"/>
      <c r="F590" s="760"/>
      <c r="G590" s="760"/>
      <c r="H590" s="712"/>
      <c r="I590" s="446"/>
      <c r="J590" s="766"/>
      <c r="K590" s="767"/>
      <c r="L590" s="768"/>
      <c r="M590" s="768"/>
      <c r="N590" s="712"/>
      <c r="O590" s="769"/>
      <c r="P590" s="446"/>
      <c r="Q590" s="446"/>
      <c r="R590" s="446"/>
      <c r="S590" s="446"/>
      <c r="T590" s="446"/>
      <c r="U590" s="446"/>
      <c r="V590" s="446"/>
    </row>
    <row r="591" ht="15.75" customHeight="1">
      <c r="A591" s="761"/>
      <c r="B591" s="446"/>
      <c r="C591" s="760"/>
      <c r="D591" s="712"/>
      <c r="E591" s="760"/>
      <c r="F591" s="760"/>
      <c r="G591" s="760"/>
      <c r="H591" s="712"/>
      <c r="I591" s="446"/>
      <c r="J591" s="766"/>
      <c r="K591" s="767"/>
      <c r="L591" s="768"/>
      <c r="M591" s="768"/>
      <c r="N591" s="712"/>
      <c r="O591" s="769"/>
      <c r="P591" s="446"/>
      <c r="Q591" s="446"/>
      <c r="R591" s="446"/>
      <c r="S591" s="446"/>
      <c r="T591" s="446"/>
      <c r="U591" s="446"/>
      <c r="V591" s="446"/>
    </row>
    <row r="592" ht="15.75" customHeight="1">
      <c r="A592" s="761"/>
      <c r="B592" s="446"/>
      <c r="C592" s="760"/>
      <c r="D592" s="712"/>
      <c r="E592" s="760"/>
      <c r="F592" s="760"/>
      <c r="G592" s="760"/>
      <c r="H592" s="712"/>
      <c r="I592" s="446"/>
      <c r="J592" s="766"/>
      <c r="K592" s="767"/>
      <c r="L592" s="768"/>
      <c r="M592" s="768"/>
      <c r="N592" s="712"/>
      <c r="O592" s="769"/>
      <c r="P592" s="446"/>
      <c r="Q592" s="446"/>
      <c r="R592" s="446"/>
      <c r="S592" s="446"/>
      <c r="T592" s="446"/>
      <c r="U592" s="446"/>
      <c r="V592" s="446"/>
    </row>
    <row r="593" ht="15.75" customHeight="1">
      <c r="A593" s="761"/>
      <c r="B593" s="446"/>
      <c r="C593" s="760"/>
      <c r="D593" s="712"/>
      <c r="E593" s="760"/>
      <c r="F593" s="760"/>
      <c r="G593" s="760"/>
      <c r="H593" s="712"/>
      <c r="I593" s="446"/>
      <c r="J593" s="766"/>
      <c r="K593" s="767"/>
      <c r="L593" s="768"/>
      <c r="M593" s="768"/>
      <c r="N593" s="712"/>
      <c r="O593" s="769"/>
      <c r="P593" s="446"/>
      <c r="Q593" s="446"/>
      <c r="R593" s="446"/>
      <c r="S593" s="446"/>
      <c r="T593" s="446"/>
      <c r="U593" s="446"/>
      <c r="V593" s="446"/>
    </row>
    <row r="594" ht="15.75" customHeight="1">
      <c r="A594" s="761"/>
      <c r="B594" s="446"/>
      <c r="C594" s="760"/>
      <c r="D594" s="712"/>
      <c r="E594" s="760"/>
      <c r="F594" s="760"/>
      <c r="G594" s="760"/>
      <c r="H594" s="712"/>
      <c r="I594" s="446"/>
      <c r="J594" s="766"/>
      <c r="K594" s="767"/>
      <c r="L594" s="768"/>
      <c r="M594" s="768"/>
      <c r="N594" s="712"/>
      <c r="O594" s="769"/>
      <c r="P594" s="446"/>
      <c r="Q594" s="446"/>
      <c r="R594" s="446"/>
      <c r="S594" s="446"/>
      <c r="T594" s="446"/>
      <c r="U594" s="446"/>
      <c r="V594" s="446"/>
    </row>
    <row r="595" ht="15.75" customHeight="1">
      <c r="A595" s="761"/>
      <c r="B595" s="446"/>
      <c r="C595" s="760"/>
      <c r="D595" s="712"/>
      <c r="E595" s="760"/>
      <c r="F595" s="760"/>
      <c r="G595" s="760"/>
      <c r="H595" s="712"/>
      <c r="I595" s="446"/>
      <c r="J595" s="766"/>
      <c r="K595" s="767"/>
      <c r="L595" s="768"/>
      <c r="M595" s="768"/>
      <c r="N595" s="712"/>
      <c r="O595" s="769"/>
      <c r="P595" s="446"/>
      <c r="Q595" s="446"/>
      <c r="R595" s="446"/>
      <c r="S595" s="446"/>
      <c r="T595" s="446"/>
      <c r="U595" s="446"/>
      <c r="V595" s="446"/>
    </row>
    <row r="596" ht="15.75" customHeight="1">
      <c r="A596" s="761"/>
      <c r="B596" s="446"/>
      <c r="C596" s="760"/>
      <c r="D596" s="712"/>
      <c r="E596" s="760"/>
      <c r="F596" s="760"/>
      <c r="G596" s="760"/>
      <c r="H596" s="712"/>
      <c r="I596" s="446"/>
      <c r="J596" s="766"/>
      <c r="K596" s="767"/>
      <c r="L596" s="768"/>
      <c r="M596" s="768"/>
      <c r="N596" s="712"/>
      <c r="O596" s="769"/>
      <c r="P596" s="446"/>
      <c r="Q596" s="446"/>
      <c r="R596" s="446"/>
      <c r="S596" s="446"/>
      <c r="T596" s="446"/>
      <c r="U596" s="446"/>
      <c r="V596" s="446"/>
    </row>
    <row r="597" ht="15.75" customHeight="1">
      <c r="A597" s="761"/>
      <c r="B597" s="446"/>
      <c r="C597" s="760"/>
      <c r="D597" s="712"/>
      <c r="E597" s="760"/>
      <c r="F597" s="760"/>
      <c r="G597" s="760"/>
      <c r="H597" s="712"/>
      <c r="I597" s="446"/>
      <c r="J597" s="766"/>
      <c r="K597" s="767"/>
      <c r="L597" s="768"/>
      <c r="M597" s="768"/>
      <c r="N597" s="712"/>
      <c r="O597" s="769"/>
      <c r="P597" s="446"/>
      <c r="Q597" s="446"/>
      <c r="R597" s="446"/>
      <c r="S597" s="446"/>
      <c r="T597" s="446"/>
      <c r="U597" s="446"/>
      <c r="V597" s="446"/>
    </row>
    <row r="598" ht="15.75" customHeight="1">
      <c r="A598" s="761"/>
      <c r="B598" s="446"/>
      <c r="C598" s="760"/>
      <c r="D598" s="712"/>
      <c r="E598" s="760"/>
      <c r="F598" s="760"/>
      <c r="G598" s="760"/>
      <c r="H598" s="712"/>
      <c r="I598" s="446"/>
      <c r="J598" s="766"/>
      <c r="K598" s="767"/>
      <c r="L598" s="768"/>
      <c r="M598" s="768"/>
      <c r="N598" s="712"/>
      <c r="O598" s="769"/>
      <c r="P598" s="446"/>
      <c r="Q598" s="446"/>
      <c r="R598" s="446"/>
      <c r="S598" s="446"/>
      <c r="T598" s="446"/>
      <c r="U598" s="446"/>
      <c r="V598" s="446"/>
    </row>
    <row r="599" ht="15.75" customHeight="1">
      <c r="A599" s="761"/>
      <c r="B599" s="446"/>
      <c r="C599" s="760"/>
      <c r="D599" s="712"/>
      <c r="E599" s="760"/>
      <c r="F599" s="760"/>
      <c r="G599" s="760"/>
      <c r="H599" s="712"/>
      <c r="I599" s="446"/>
      <c r="J599" s="766"/>
      <c r="K599" s="767"/>
      <c r="L599" s="768"/>
      <c r="M599" s="768"/>
      <c r="N599" s="712"/>
      <c r="O599" s="769"/>
      <c r="P599" s="446"/>
      <c r="Q599" s="446"/>
      <c r="R599" s="446"/>
      <c r="S599" s="446"/>
      <c r="T599" s="446"/>
      <c r="U599" s="446"/>
      <c r="V599" s="446"/>
    </row>
    <row r="600" ht="15.75" customHeight="1">
      <c r="A600" s="761"/>
      <c r="B600" s="446"/>
      <c r="C600" s="760"/>
      <c r="D600" s="712"/>
      <c r="E600" s="760"/>
      <c r="F600" s="760"/>
      <c r="G600" s="760"/>
      <c r="H600" s="712"/>
      <c r="I600" s="446"/>
      <c r="J600" s="766"/>
      <c r="K600" s="767"/>
      <c r="L600" s="768"/>
      <c r="M600" s="768"/>
      <c r="N600" s="712"/>
      <c r="O600" s="769"/>
      <c r="P600" s="446"/>
      <c r="Q600" s="446"/>
      <c r="R600" s="446"/>
      <c r="S600" s="446"/>
      <c r="T600" s="446"/>
      <c r="U600" s="446"/>
      <c r="V600" s="446"/>
    </row>
    <row r="601" ht="15.75" customHeight="1">
      <c r="A601" s="761"/>
      <c r="B601" s="446"/>
      <c r="C601" s="760"/>
      <c r="D601" s="712"/>
      <c r="E601" s="760"/>
      <c r="F601" s="760"/>
      <c r="G601" s="760"/>
      <c r="H601" s="712"/>
      <c r="I601" s="446"/>
      <c r="J601" s="766"/>
      <c r="K601" s="767"/>
      <c r="L601" s="768"/>
      <c r="M601" s="768"/>
      <c r="N601" s="712"/>
      <c r="O601" s="769"/>
      <c r="P601" s="446"/>
      <c r="Q601" s="446"/>
      <c r="R601" s="446"/>
      <c r="S601" s="446"/>
      <c r="T601" s="446"/>
      <c r="U601" s="446"/>
      <c r="V601" s="446"/>
    </row>
    <row r="602" ht="15.75" customHeight="1">
      <c r="A602" s="761"/>
      <c r="B602" s="446"/>
      <c r="C602" s="760"/>
      <c r="D602" s="712"/>
      <c r="E602" s="760"/>
      <c r="F602" s="760"/>
      <c r="G602" s="760"/>
      <c r="H602" s="712"/>
      <c r="I602" s="446"/>
      <c r="J602" s="766"/>
      <c r="K602" s="767"/>
      <c r="L602" s="768"/>
      <c r="M602" s="768"/>
      <c r="N602" s="712"/>
      <c r="O602" s="769"/>
      <c r="P602" s="446"/>
      <c r="Q602" s="446"/>
      <c r="R602" s="446"/>
      <c r="S602" s="446"/>
      <c r="T602" s="446"/>
      <c r="U602" s="446"/>
      <c r="V602" s="446"/>
    </row>
    <row r="603" ht="15.75" customHeight="1">
      <c r="A603" s="761"/>
      <c r="B603" s="446"/>
      <c r="C603" s="760"/>
      <c r="D603" s="712"/>
      <c r="E603" s="760"/>
      <c r="F603" s="760"/>
      <c r="G603" s="760"/>
      <c r="H603" s="712"/>
      <c r="I603" s="446"/>
      <c r="J603" s="766"/>
      <c r="K603" s="767"/>
      <c r="L603" s="768"/>
      <c r="M603" s="768"/>
      <c r="N603" s="712"/>
      <c r="O603" s="769"/>
      <c r="P603" s="446"/>
      <c r="Q603" s="446"/>
      <c r="R603" s="446"/>
      <c r="S603" s="446"/>
      <c r="T603" s="446"/>
      <c r="U603" s="446"/>
      <c r="V603" s="446"/>
    </row>
    <row r="604" ht="15.75" customHeight="1">
      <c r="A604" s="761"/>
      <c r="B604" s="446"/>
      <c r="C604" s="760"/>
      <c r="D604" s="712"/>
      <c r="E604" s="760"/>
      <c r="F604" s="760"/>
      <c r="G604" s="760"/>
      <c r="H604" s="712"/>
      <c r="I604" s="446"/>
      <c r="J604" s="766"/>
      <c r="K604" s="767"/>
      <c r="L604" s="768"/>
      <c r="M604" s="768"/>
      <c r="N604" s="712"/>
      <c r="O604" s="769"/>
      <c r="P604" s="446"/>
      <c r="Q604" s="446"/>
      <c r="R604" s="446"/>
      <c r="S604" s="446"/>
      <c r="T604" s="446"/>
      <c r="U604" s="446"/>
      <c r="V604" s="446"/>
    </row>
    <row r="605" ht="15.75" customHeight="1">
      <c r="A605" s="761"/>
      <c r="B605" s="446"/>
      <c r="C605" s="760"/>
      <c r="D605" s="712"/>
      <c r="E605" s="760"/>
      <c r="F605" s="760"/>
      <c r="G605" s="760"/>
      <c r="H605" s="712"/>
      <c r="I605" s="446"/>
      <c r="J605" s="766"/>
      <c r="K605" s="767"/>
      <c r="L605" s="768"/>
      <c r="M605" s="768"/>
      <c r="N605" s="712"/>
      <c r="O605" s="769"/>
      <c r="P605" s="446"/>
      <c r="Q605" s="446"/>
      <c r="R605" s="446"/>
      <c r="S605" s="446"/>
      <c r="T605" s="446"/>
      <c r="U605" s="446"/>
      <c r="V605" s="446"/>
    </row>
    <row r="606" ht="15.75" customHeight="1">
      <c r="A606" s="761"/>
      <c r="B606" s="446"/>
      <c r="C606" s="760"/>
      <c r="D606" s="712"/>
      <c r="E606" s="760"/>
      <c r="F606" s="760"/>
      <c r="G606" s="760"/>
      <c r="H606" s="712"/>
      <c r="I606" s="446"/>
      <c r="J606" s="766"/>
      <c r="K606" s="767"/>
      <c r="L606" s="768"/>
      <c r="M606" s="768"/>
      <c r="N606" s="712"/>
      <c r="O606" s="769"/>
      <c r="P606" s="446"/>
      <c r="Q606" s="446"/>
      <c r="R606" s="446"/>
      <c r="S606" s="446"/>
      <c r="T606" s="446"/>
      <c r="U606" s="446"/>
      <c r="V606" s="446"/>
    </row>
    <row r="607" ht="15.75" customHeight="1">
      <c r="A607" s="761"/>
      <c r="B607" s="446"/>
      <c r="C607" s="760"/>
      <c r="D607" s="712"/>
      <c r="E607" s="760"/>
      <c r="F607" s="760"/>
      <c r="G607" s="760"/>
      <c r="H607" s="712"/>
      <c r="I607" s="446"/>
      <c r="J607" s="766"/>
      <c r="K607" s="767"/>
      <c r="L607" s="768"/>
      <c r="M607" s="768"/>
      <c r="N607" s="712"/>
      <c r="O607" s="769"/>
      <c r="P607" s="446"/>
      <c r="Q607" s="446"/>
      <c r="R607" s="446"/>
      <c r="S607" s="446"/>
      <c r="T607" s="446"/>
      <c r="U607" s="446"/>
      <c r="V607" s="446"/>
    </row>
    <row r="608" ht="15.75" customHeight="1">
      <c r="A608" s="761"/>
      <c r="B608" s="446"/>
      <c r="C608" s="760"/>
      <c r="D608" s="712"/>
      <c r="E608" s="760"/>
      <c r="F608" s="760"/>
      <c r="G608" s="760"/>
      <c r="H608" s="712"/>
      <c r="I608" s="446"/>
      <c r="J608" s="766"/>
      <c r="K608" s="767"/>
      <c r="L608" s="768"/>
      <c r="M608" s="768"/>
      <c r="N608" s="712"/>
      <c r="O608" s="769"/>
      <c r="P608" s="446"/>
      <c r="Q608" s="446"/>
      <c r="R608" s="446"/>
      <c r="S608" s="446"/>
      <c r="T608" s="446"/>
      <c r="U608" s="446"/>
      <c r="V608" s="446"/>
    </row>
    <row r="609" ht="15.75" customHeight="1">
      <c r="A609" s="761"/>
      <c r="B609" s="446"/>
      <c r="C609" s="760"/>
      <c r="D609" s="712"/>
      <c r="E609" s="760"/>
      <c r="F609" s="760"/>
      <c r="G609" s="760"/>
      <c r="H609" s="712"/>
      <c r="I609" s="446"/>
      <c r="J609" s="766"/>
      <c r="K609" s="767"/>
      <c r="L609" s="768"/>
      <c r="M609" s="768"/>
      <c r="N609" s="712"/>
      <c r="O609" s="769"/>
      <c r="P609" s="446"/>
      <c r="Q609" s="446"/>
      <c r="R609" s="446"/>
      <c r="S609" s="446"/>
      <c r="T609" s="446"/>
      <c r="U609" s="446"/>
      <c r="V609" s="446"/>
    </row>
    <row r="610" ht="15.75" customHeight="1">
      <c r="A610" s="761"/>
      <c r="B610" s="446"/>
      <c r="C610" s="760"/>
      <c r="D610" s="712"/>
      <c r="E610" s="760"/>
      <c r="F610" s="760"/>
      <c r="G610" s="760"/>
      <c r="H610" s="712"/>
      <c r="I610" s="446"/>
      <c r="J610" s="766"/>
      <c r="K610" s="767"/>
      <c r="L610" s="768"/>
      <c r="M610" s="768"/>
      <c r="N610" s="712"/>
      <c r="O610" s="769"/>
      <c r="P610" s="446"/>
      <c r="Q610" s="446"/>
      <c r="R610" s="446"/>
      <c r="S610" s="446"/>
      <c r="T610" s="446"/>
      <c r="U610" s="446"/>
      <c r="V610" s="446"/>
    </row>
    <row r="611" ht="15.75" customHeight="1">
      <c r="A611" s="761"/>
      <c r="B611" s="446"/>
      <c r="C611" s="760"/>
      <c r="D611" s="712"/>
      <c r="E611" s="760"/>
      <c r="F611" s="760"/>
      <c r="G611" s="760"/>
      <c r="H611" s="712"/>
      <c r="I611" s="446"/>
      <c r="J611" s="766"/>
      <c r="K611" s="767"/>
      <c r="L611" s="768"/>
      <c r="M611" s="768"/>
      <c r="N611" s="712"/>
      <c r="O611" s="769"/>
      <c r="P611" s="446"/>
      <c r="Q611" s="446"/>
      <c r="R611" s="446"/>
      <c r="S611" s="446"/>
      <c r="T611" s="446"/>
      <c r="U611" s="446"/>
      <c r="V611" s="446"/>
    </row>
    <row r="612" ht="15.75" customHeight="1">
      <c r="A612" s="761"/>
      <c r="B612" s="446"/>
      <c r="C612" s="760"/>
      <c r="D612" s="712"/>
      <c r="E612" s="760"/>
      <c r="F612" s="760"/>
      <c r="G612" s="760"/>
      <c r="H612" s="712"/>
      <c r="I612" s="446"/>
      <c r="J612" s="766"/>
      <c r="K612" s="767"/>
      <c r="L612" s="768"/>
      <c r="M612" s="768"/>
      <c r="N612" s="712"/>
      <c r="O612" s="769"/>
      <c r="P612" s="446"/>
      <c r="Q612" s="446"/>
      <c r="R612" s="446"/>
      <c r="S612" s="446"/>
      <c r="T612" s="446"/>
      <c r="U612" s="446"/>
      <c r="V612" s="446"/>
    </row>
    <row r="613" ht="15.75" customHeight="1">
      <c r="A613" s="761"/>
      <c r="B613" s="446"/>
      <c r="C613" s="760"/>
      <c r="D613" s="712"/>
      <c r="E613" s="760"/>
      <c r="F613" s="760"/>
      <c r="G613" s="760"/>
      <c r="H613" s="712"/>
      <c r="I613" s="446"/>
      <c r="J613" s="766"/>
      <c r="K613" s="767"/>
      <c r="L613" s="768"/>
      <c r="M613" s="768"/>
      <c r="N613" s="712"/>
      <c r="O613" s="769"/>
      <c r="P613" s="446"/>
      <c r="Q613" s="446"/>
      <c r="R613" s="446"/>
      <c r="S613" s="446"/>
      <c r="T613" s="446"/>
      <c r="U613" s="446"/>
      <c r="V613" s="446"/>
    </row>
    <row r="614" ht="15.75" customHeight="1">
      <c r="A614" s="761"/>
      <c r="B614" s="446"/>
      <c r="C614" s="760"/>
      <c r="D614" s="712"/>
      <c r="E614" s="760"/>
      <c r="F614" s="760"/>
      <c r="G614" s="760"/>
      <c r="H614" s="712"/>
      <c r="I614" s="446"/>
      <c r="J614" s="766"/>
      <c r="K614" s="767"/>
      <c r="L614" s="768"/>
      <c r="M614" s="768"/>
      <c r="N614" s="712"/>
      <c r="O614" s="769"/>
      <c r="P614" s="446"/>
      <c r="Q614" s="446"/>
      <c r="R614" s="446"/>
      <c r="S614" s="446"/>
      <c r="T614" s="446"/>
      <c r="U614" s="446"/>
      <c r="V614" s="446"/>
    </row>
    <row r="615" ht="15.75" customHeight="1">
      <c r="A615" s="761"/>
      <c r="B615" s="446"/>
      <c r="C615" s="760"/>
      <c r="D615" s="712"/>
      <c r="E615" s="760"/>
      <c r="F615" s="760"/>
      <c r="G615" s="760"/>
      <c r="H615" s="712"/>
      <c r="I615" s="446"/>
      <c r="J615" s="766"/>
      <c r="K615" s="767"/>
      <c r="L615" s="768"/>
      <c r="M615" s="768"/>
      <c r="N615" s="712"/>
      <c r="O615" s="769"/>
      <c r="P615" s="446"/>
      <c r="Q615" s="446"/>
      <c r="R615" s="446"/>
      <c r="S615" s="446"/>
      <c r="T615" s="446"/>
      <c r="U615" s="446"/>
      <c r="V615" s="446"/>
    </row>
    <row r="616" ht="15.75" customHeight="1">
      <c r="A616" s="761"/>
      <c r="B616" s="446"/>
      <c r="C616" s="760"/>
      <c r="D616" s="712"/>
      <c r="E616" s="760"/>
      <c r="F616" s="760"/>
      <c r="G616" s="760"/>
      <c r="H616" s="712"/>
      <c r="I616" s="446"/>
      <c r="J616" s="766"/>
      <c r="K616" s="767"/>
      <c r="L616" s="768"/>
      <c r="M616" s="768"/>
      <c r="N616" s="712"/>
      <c r="O616" s="769"/>
      <c r="P616" s="446"/>
      <c r="Q616" s="446"/>
      <c r="R616" s="446"/>
      <c r="S616" s="446"/>
      <c r="T616" s="446"/>
      <c r="U616" s="446"/>
      <c r="V616" s="446"/>
    </row>
    <row r="617" ht="15.75" customHeight="1">
      <c r="A617" s="761"/>
      <c r="B617" s="446"/>
      <c r="C617" s="760"/>
      <c r="D617" s="712"/>
      <c r="E617" s="760"/>
      <c r="F617" s="760"/>
      <c r="G617" s="760"/>
      <c r="H617" s="712"/>
      <c r="I617" s="446"/>
      <c r="J617" s="766"/>
      <c r="K617" s="767"/>
      <c r="L617" s="768"/>
      <c r="M617" s="768"/>
      <c r="N617" s="712"/>
      <c r="O617" s="769"/>
      <c r="P617" s="446"/>
      <c r="Q617" s="446"/>
      <c r="R617" s="446"/>
      <c r="S617" s="446"/>
      <c r="T617" s="446"/>
      <c r="U617" s="446"/>
      <c r="V617" s="446"/>
    </row>
    <row r="618" ht="15.75" customHeight="1">
      <c r="A618" s="761"/>
      <c r="B618" s="446"/>
      <c r="C618" s="760"/>
      <c r="D618" s="712"/>
      <c r="E618" s="760"/>
      <c r="F618" s="760"/>
      <c r="G618" s="760"/>
      <c r="H618" s="712"/>
      <c r="I618" s="446"/>
      <c r="J618" s="766"/>
      <c r="K618" s="767"/>
      <c r="L618" s="768"/>
      <c r="M618" s="768"/>
      <c r="N618" s="712"/>
      <c r="O618" s="769"/>
      <c r="P618" s="446"/>
      <c r="Q618" s="446"/>
      <c r="R618" s="446"/>
      <c r="S618" s="446"/>
      <c r="T618" s="446"/>
      <c r="U618" s="446"/>
      <c r="V618" s="446"/>
    </row>
    <row r="619" ht="15.75" customHeight="1">
      <c r="A619" s="761"/>
      <c r="B619" s="446"/>
      <c r="C619" s="760"/>
      <c r="D619" s="712"/>
      <c r="E619" s="760"/>
      <c r="F619" s="760"/>
      <c r="G619" s="760"/>
      <c r="H619" s="712"/>
      <c r="I619" s="446"/>
      <c r="J619" s="766"/>
      <c r="K619" s="767"/>
      <c r="L619" s="768"/>
      <c r="M619" s="768"/>
      <c r="N619" s="712"/>
      <c r="O619" s="769"/>
      <c r="P619" s="446"/>
      <c r="Q619" s="446"/>
      <c r="R619" s="446"/>
      <c r="S619" s="446"/>
      <c r="T619" s="446"/>
      <c r="U619" s="446"/>
      <c r="V619" s="446"/>
    </row>
    <row r="620" ht="15.75" customHeight="1">
      <c r="A620" s="761"/>
      <c r="B620" s="446"/>
      <c r="C620" s="760"/>
      <c r="D620" s="712"/>
      <c r="E620" s="760"/>
      <c r="F620" s="760"/>
      <c r="G620" s="760"/>
      <c r="H620" s="712"/>
      <c r="I620" s="446"/>
      <c r="J620" s="766"/>
      <c r="K620" s="767"/>
      <c r="L620" s="768"/>
      <c r="M620" s="768"/>
      <c r="N620" s="712"/>
      <c r="O620" s="769"/>
      <c r="P620" s="446"/>
      <c r="Q620" s="446"/>
      <c r="R620" s="446"/>
      <c r="S620" s="446"/>
      <c r="T620" s="446"/>
      <c r="U620" s="446"/>
      <c r="V620" s="446"/>
    </row>
    <row r="621" ht="15.75" customHeight="1">
      <c r="A621" s="761"/>
      <c r="B621" s="446"/>
      <c r="C621" s="760"/>
      <c r="D621" s="712"/>
      <c r="E621" s="760"/>
      <c r="F621" s="760"/>
      <c r="G621" s="760"/>
      <c r="H621" s="712"/>
      <c r="I621" s="446"/>
      <c r="J621" s="766"/>
      <c r="K621" s="767"/>
      <c r="L621" s="768"/>
      <c r="M621" s="768"/>
      <c r="N621" s="712"/>
      <c r="O621" s="769"/>
      <c r="P621" s="446"/>
      <c r="Q621" s="446"/>
      <c r="R621" s="446"/>
      <c r="S621" s="446"/>
      <c r="T621" s="446"/>
      <c r="U621" s="446"/>
      <c r="V621" s="446"/>
    </row>
    <row r="622" ht="15.75" customHeight="1">
      <c r="A622" s="761"/>
      <c r="B622" s="446"/>
      <c r="C622" s="760"/>
      <c r="D622" s="712"/>
      <c r="E622" s="760"/>
      <c r="F622" s="760"/>
      <c r="G622" s="760"/>
      <c r="H622" s="712"/>
      <c r="I622" s="446"/>
      <c r="J622" s="766"/>
      <c r="K622" s="767"/>
      <c r="L622" s="768"/>
      <c r="M622" s="768"/>
      <c r="N622" s="712"/>
      <c r="O622" s="769"/>
      <c r="P622" s="446"/>
      <c r="Q622" s="446"/>
      <c r="R622" s="446"/>
      <c r="S622" s="446"/>
      <c r="T622" s="446"/>
      <c r="U622" s="446"/>
      <c r="V622" s="446"/>
    </row>
    <row r="623" ht="15.75" customHeight="1">
      <c r="A623" s="761"/>
      <c r="B623" s="446"/>
      <c r="C623" s="760"/>
      <c r="D623" s="712"/>
      <c r="E623" s="760"/>
      <c r="F623" s="760"/>
      <c r="G623" s="760"/>
      <c r="H623" s="712"/>
      <c r="I623" s="446"/>
      <c r="J623" s="766"/>
      <c r="K623" s="767"/>
      <c r="L623" s="768"/>
      <c r="M623" s="768"/>
      <c r="N623" s="712"/>
      <c r="O623" s="769"/>
      <c r="P623" s="446"/>
      <c r="Q623" s="446"/>
      <c r="R623" s="446"/>
      <c r="S623" s="446"/>
      <c r="T623" s="446"/>
      <c r="U623" s="446"/>
      <c r="V623" s="446"/>
    </row>
    <row r="624" ht="15.75" customHeight="1">
      <c r="A624" s="761"/>
      <c r="B624" s="446"/>
      <c r="C624" s="760"/>
      <c r="D624" s="712"/>
      <c r="E624" s="760"/>
      <c r="F624" s="760"/>
      <c r="G624" s="760"/>
      <c r="H624" s="712"/>
      <c r="I624" s="446"/>
      <c r="J624" s="766"/>
      <c r="K624" s="767"/>
      <c r="L624" s="768"/>
      <c r="M624" s="768"/>
      <c r="N624" s="712"/>
      <c r="O624" s="769"/>
      <c r="P624" s="446"/>
      <c r="Q624" s="446"/>
      <c r="R624" s="446"/>
      <c r="S624" s="446"/>
      <c r="T624" s="446"/>
      <c r="U624" s="446"/>
      <c r="V624" s="446"/>
    </row>
    <row r="625" ht="15.75" customHeight="1">
      <c r="A625" s="761"/>
      <c r="B625" s="446"/>
      <c r="C625" s="760"/>
      <c r="D625" s="712"/>
      <c r="E625" s="760"/>
      <c r="F625" s="760"/>
      <c r="G625" s="760"/>
      <c r="H625" s="712"/>
      <c r="I625" s="446"/>
      <c r="J625" s="766"/>
      <c r="K625" s="767"/>
      <c r="L625" s="768"/>
      <c r="M625" s="768"/>
      <c r="N625" s="712"/>
      <c r="O625" s="769"/>
      <c r="P625" s="446"/>
      <c r="Q625" s="446"/>
      <c r="R625" s="446"/>
      <c r="S625" s="446"/>
      <c r="T625" s="446"/>
      <c r="U625" s="446"/>
      <c r="V625" s="446"/>
    </row>
    <row r="626" ht="15.75" customHeight="1">
      <c r="A626" s="761"/>
      <c r="B626" s="446"/>
      <c r="C626" s="760"/>
      <c r="D626" s="712"/>
      <c r="E626" s="760"/>
      <c r="F626" s="760"/>
      <c r="G626" s="760"/>
      <c r="H626" s="712"/>
      <c r="I626" s="446"/>
      <c r="J626" s="766"/>
      <c r="K626" s="767"/>
      <c r="L626" s="768"/>
      <c r="M626" s="768"/>
      <c r="N626" s="712"/>
      <c r="O626" s="769"/>
      <c r="P626" s="446"/>
      <c r="Q626" s="446"/>
      <c r="R626" s="446"/>
      <c r="S626" s="446"/>
      <c r="T626" s="446"/>
      <c r="U626" s="446"/>
      <c r="V626" s="446"/>
    </row>
    <row r="627" ht="15.75" customHeight="1">
      <c r="A627" s="761"/>
      <c r="B627" s="446"/>
      <c r="C627" s="760"/>
      <c r="D627" s="712"/>
      <c r="E627" s="760"/>
      <c r="F627" s="760"/>
      <c r="G627" s="760"/>
      <c r="H627" s="712"/>
      <c r="I627" s="446"/>
      <c r="J627" s="766"/>
      <c r="K627" s="767"/>
      <c r="L627" s="768"/>
      <c r="M627" s="768"/>
      <c r="N627" s="712"/>
      <c r="O627" s="769"/>
      <c r="P627" s="446"/>
      <c r="Q627" s="446"/>
      <c r="R627" s="446"/>
      <c r="S627" s="446"/>
      <c r="T627" s="446"/>
      <c r="U627" s="446"/>
      <c r="V627" s="446"/>
    </row>
    <row r="628" ht="15.75" customHeight="1">
      <c r="A628" s="761"/>
      <c r="B628" s="446"/>
      <c r="C628" s="760"/>
      <c r="D628" s="712"/>
      <c r="E628" s="760"/>
      <c r="F628" s="760"/>
      <c r="G628" s="760"/>
      <c r="H628" s="712"/>
      <c r="I628" s="446"/>
      <c r="J628" s="766"/>
      <c r="K628" s="767"/>
      <c r="L628" s="768"/>
      <c r="M628" s="768"/>
      <c r="N628" s="712"/>
      <c r="O628" s="769"/>
      <c r="P628" s="446"/>
      <c r="Q628" s="446"/>
      <c r="R628" s="446"/>
      <c r="S628" s="446"/>
      <c r="T628" s="446"/>
      <c r="U628" s="446"/>
      <c r="V628" s="446"/>
    </row>
    <row r="629" ht="15.75" customHeight="1">
      <c r="A629" s="761"/>
      <c r="B629" s="446"/>
      <c r="C629" s="760"/>
      <c r="D629" s="712"/>
      <c r="E629" s="760"/>
      <c r="F629" s="760"/>
      <c r="G629" s="760"/>
      <c r="H629" s="712"/>
      <c r="I629" s="446"/>
      <c r="J629" s="766"/>
      <c r="K629" s="767"/>
      <c r="L629" s="768"/>
      <c r="M629" s="768"/>
      <c r="N629" s="712"/>
      <c r="O629" s="769"/>
      <c r="P629" s="446"/>
      <c r="Q629" s="446"/>
      <c r="R629" s="446"/>
      <c r="S629" s="446"/>
      <c r="T629" s="446"/>
      <c r="U629" s="446"/>
      <c r="V629" s="446"/>
    </row>
    <row r="630" ht="15.75" customHeight="1">
      <c r="A630" s="761"/>
      <c r="B630" s="446"/>
      <c r="C630" s="760"/>
      <c r="D630" s="712"/>
      <c r="E630" s="760"/>
      <c r="F630" s="760"/>
      <c r="G630" s="760"/>
      <c r="H630" s="712"/>
      <c r="I630" s="446"/>
      <c r="J630" s="766"/>
      <c r="K630" s="767"/>
      <c r="L630" s="768"/>
      <c r="M630" s="768"/>
      <c r="N630" s="712"/>
      <c r="O630" s="769"/>
      <c r="P630" s="446"/>
      <c r="Q630" s="446"/>
      <c r="R630" s="446"/>
      <c r="S630" s="446"/>
      <c r="T630" s="446"/>
      <c r="U630" s="446"/>
      <c r="V630" s="446"/>
    </row>
    <row r="631" ht="15.75" customHeight="1">
      <c r="A631" s="761"/>
      <c r="B631" s="446"/>
      <c r="C631" s="760"/>
      <c r="D631" s="712"/>
      <c r="E631" s="760"/>
      <c r="F631" s="760"/>
      <c r="G631" s="760"/>
      <c r="H631" s="712"/>
      <c r="I631" s="446"/>
      <c r="J631" s="766"/>
      <c r="K631" s="767"/>
      <c r="L631" s="768"/>
      <c r="M631" s="768"/>
      <c r="N631" s="712"/>
      <c r="O631" s="769"/>
      <c r="P631" s="446"/>
      <c r="Q631" s="446"/>
      <c r="R631" s="446"/>
      <c r="S631" s="446"/>
      <c r="T631" s="446"/>
      <c r="U631" s="446"/>
      <c r="V631" s="446"/>
    </row>
    <row r="632" ht="15.75" customHeight="1">
      <c r="A632" s="761"/>
      <c r="B632" s="446"/>
      <c r="C632" s="760"/>
      <c r="D632" s="712"/>
      <c r="E632" s="760"/>
      <c r="F632" s="760"/>
      <c r="G632" s="760"/>
      <c r="H632" s="712"/>
      <c r="I632" s="446"/>
      <c r="J632" s="766"/>
      <c r="K632" s="767"/>
      <c r="L632" s="768"/>
      <c r="M632" s="768"/>
      <c r="N632" s="712"/>
      <c r="O632" s="769"/>
      <c r="P632" s="446"/>
      <c r="Q632" s="446"/>
      <c r="R632" s="446"/>
      <c r="S632" s="446"/>
      <c r="T632" s="446"/>
      <c r="U632" s="446"/>
      <c r="V632" s="446"/>
    </row>
    <row r="633" ht="15.75" customHeight="1">
      <c r="A633" s="761"/>
      <c r="B633" s="446"/>
      <c r="C633" s="760"/>
      <c r="D633" s="712"/>
      <c r="E633" s="760"/>
      <c r="F633" s="760"/>
      <c r="G633" s="760"/>
      <c r="H633" s="712"/>
      <c r="I633" s="446"/>
      <c r="J633" s="766"/>
      <c r="K633" s="767"/>
      <c r="L633" s="768"/>
      <c r="M633" s="768"/>
      <c r="N633" s="712"/>
      <c r="O633" s="769"/>
      <c r="P633" s="446"/>
      <c r="Q633" s="446"/>
      <c r="R633" s="446"/>
      <c r="S633" s="446"/>
      <c r="T633" s="446"/>
      <c r="U633" s="446"/>
      <c r="V633" s="446"/>
    </row>
    <row r="634" ht="15.75" customHeight="1">
      <c r="A634" s="761"/>
      <c r="B634" s="446"/>
      <c r="C634" s="760"/>
      <c r="D634" s="712"/>
      <c r="E634" s="760"/>
      <c r="F634" s="760"/>
      <c r="G634" s="760"/>
      <c r="H634" s="712"/>
      <c r="I634" s="446"/>
      <c r="J634" s="766"/>
      <c r="K634" s="767"/>
      <c r="L634" s="768"/>
      <c r="M634" s="768"/>
      <c r="N634" s="712"/>
      <c r="O634" s="769"/>
      <c r="P634" s="446"/>
      <c r="Q634" s="446"/>
      <c r="R634" s="446"/>
      <c r="S634" s="446"/>
      <c r="T634" s="446"/>
      <c r="U634" s="446"/>
      <c r="V634" s="446"/>
    </row>
    <row r="635" ht="15.75" customHeight="1">
      <c r="A635" s="761"/>
      <c r="B635" s="446"/>
      <c r="C635" s="760"/>
      <c r="D635" s="712"/>
      <c r="E635" s="760"/>
      <c r="F635" s="760"/>
      <c r="G635" s="760"/>
      <c r="H635" s="712"/>
      <c r="I635" s="446"/>
      <c r="J635" s="766"/>
      <c r="K635" s="767"/>
      <c r="L635" s="768"/>
      <c r="M635" s="768"/>
      <c r="N635" s="712"/>
      <c r="O635" s="769"/>
      <c r="P635" s="446"/>
      <c r="Q635" s="446"/>
      <c r="R635" s="446"/>
      <c r="S635" s="446"/>
      <c r="T635" s="446"/>
      <c r="U635" s="446"/>
      <c r="V635" s="446"/>
    </row>
    <row r="636" ht="15.75" customHeight="1">
      <c r="A636" s="761"/>
      <c r="B636" s="446"/>
      <c r="C636" s="760"/>
      <c r="D636" s="712"/>
      <c r="E636" s="760"/>
      <c r="F636" s="760"/>
      <c r="G636" s="760"/>
      <c r="H636" s="712"/>
      <c r="I636" s="446"/>
      <c r="J636" s="766"/>
      <c r="K636" s="767"/>
      <c r="L636" s="768"/>
      <c r="M636" s="768"/>
      <c r="N636" s="712"/>
      <c r="O636" s="769"/>
      <c r="P636" s="446"/>
      <c r="Q636" s="446"/>
      <c r="R636" s="446"/>
      <c r="S636" s="446"/>
      <c r="T636" s="446"/>
      <c r="U636" s="446"/>
      <c r="V636" s="446"/>
    </row>
    <row r="637" ht="15.75" customHeight="1">
      <c r="A637" s="761"/>
      <c r="B637" s="446"/>
      <c r="C637" s="760"/>
      <c r="D637" s="712"/>
      <c r="E637" s="760"/>
      <c r="F637" s="760"/>
      <c r="G637" s="760"/>
      <c r="H637" s="712"/>
      <c r="I637" s="446"/>
      <c r="J637" s="766"/>
      <c r="K637" s="767"/>
      <c r="L637" s="768"/>
      <c r="M637" s="768"/>
      <c r="N637" s="712"/>
      <c r="O637" s="769"/>
      <c r="P637" s="446"/>
      <c r="Q637" s="446"/>
      <c r="R637" s="446"/>
      <c r="S637" s="446"/>
      <c r="T637" s="446"/>
      <c r="U637" s="446"/>
      <c r="V637" s="446"/>
    </row>
    <row r="638" ht="15.75" customHeight="1">
      <c r="A638" s="761"/>
      <c r="B638" s="446"/>
      <c r="C638" s="760"/>
      <c r="D638" s="712"/>
      <c r="E638" s="760"/>
      <c r="F638" s="760"/>
      <c r="G638" s="760"/>
      <c r="H638" s="712"/>
      <c r="I638" s="446"/>
      <c r="J638" s="766"/>
      <c r="K638" s="767"/>
      <c r="L638" s="768"/>
      <c r="M638" s="768"/>
      <c r="N638" s="712"/>
      <c r="O638" s="769"/>
      <c r="P638" s="446"/>
      <c r="Q638" s="446"/>
      <c r="R638" s="446"/>
      <c r="S638" s="446"/>
      <c r="T638" s="446"/>
      <c r="U638" s="446"/>
      <c r="V638" s="446"/>
    </row>
    <row r="639" ht="15.75" customHeight="1">
      <c r="A639" s="761"/>
      <c r="B639" s="446"/>
      <c r="C639" s="760"/>
      <c r="D639" s="712"/>
      <c r="E639" s="760"/>
      <c r="F639" s="760"/>
      <c r="G639" s="760"/>
      <c r="H639" s="712"/>
      <c r="I639" s="446"/>
      <c r="J639" s="766"/>
      <c r="K639" s="767"/>
      <c r="L639" s="768"/>
      <c r="M639" s="768"/>
      <c r="N639" s="712"/>
      <c r="O639" s="769"/>
      <c r="P639" s="446"/>
      <c r="Q639" s="446"/>
      <c r="R639" s="446"/>
      <c r="S639" s="446"/>
      <c r="T639" s="446"/>
      <c r="U639" s="446"/>
      <c r="V639" s="446"/>
    </row>
    <row r="640" ht="15.75" customHeight="1">
      <c r="A640" s="761"/>
      <c r="B640" s="446"/>
      <c r="C640" s="760"/>
      <c r="D640" s="712"/>
      <c r="E640" s="760"/>
      <c r="F640" s="760"/>
      <c r="G640" s="760"/>
      <c r="H640" s="712"/>
      <c r="I640" s="446"/>
      <c r="J640" s="766"/>
      <c r="K640" s="767"/>
      <c r="L640" s="768"/>
      <c r="M640" s="768"/>
      <c r="N640" s="712"/>
      <c r="O640" s="769"/>
      <c r="P640" s="446"/>
      <c r="Q640" s="446"/>
      <c r="R640" s="446"/>
      <c r="S640" s="446"/>
      <c r="T640" s="446"/>
      <c r="U640" s="446"/>
      <c r="V640" s="446"/>
    </row>
    <row r="641" ht="15.75" customHeight="1">
      <c r="A641" s="761"/>
      <c r="B641" s="446"/>
      <c r="C641" s="760"/>
      <c r="D641" s="712"/>
      <c r="E641" s="760"/>
      <c r="F641" s="760"/>
      <c r="G641" s="760"/>
      <c r="H641" s="712"/>
      <c r="I641" s="446"/>
      <c r="J641" s="766"/>
      <c r="K641" s="767"/>
      <c r="L641" s="768"/>
      <c r="M641" s="768"/>
      <c r="N641" s="712"/>
      <c r="O641" s="769"/>
      <c r="P641" s="446"/>
      <c r="Q641" s="446"/>
      <c r="R641" s="446"/>
      <c r="S641" s="446"/>
      <c r="T641" s="446"/>
      <c r="U641" s="446"/>
      <c r="V641" s="446"/>
    </row>
    <row r="642" ht="15.75" customHeight="1">
      <c r="A642" s="761"/>
      <c r="B642" s="446"/>
      <c r="C642" s="760"/>
      <c r="D642" s="712"/>
      <c r="E642" s="760"/>
      <c r="F642" s="760"/>
      <c r="G642" s="760"/>
      <c r="H642" s="712"/>
      <c r="I642" s="446"/>
      <c r="J642" s="766"/>
      <c r="K642" s="767"/>
      <c r="L642" s="768"/>
      <c r="M642" s="768"/>
      <c r="N642" s="712"/>
      <c r="O642" s="769"/>
      <c r="P642" s="446"/>
      <c r="Q642" s="446"/>
      <c r="R642" s="446"/>
      <c r="S642" s="446"/>
      <c r="T642" s="446"/>
      <c r="U642" s="446"/>
      <c r="V642" s="446"/>
    </row>
    <row r="643" ht="15.75" customHeight="1">
      <c r="A643" s="761"/>
      <c r="B643" s="446"/>
      <c r="C643" s="760"/>
      <c r="D643" s="712"/>
      <c r="E643" s="760"/>
      <c r="F643" s="760"/>
      <c r="G643" s="760"/>
      <c r="H643" s="712"/>
      <c r="I643" s="446"/>
      <c r="J643" s="766"/>
      <c r="K643" s="767"/>
      <c r="L643" s="768"/>
      <c r="M643" s="768"/>
      <c r="N643" s="712"/>
      <c r="O643" s="769"/>
      <c r="P643" s="446"/>
      <c r="Q643" s="446"/>
      <c r="R643" s="446"/>
      <c r="S643" s="446"/>
      <c r="T643" s="446"/>
      <c r="U643" s="446"/>
      <c r="V643" s="446"/>
    </row>
    <row r="644" ht="15.75" customHeight="1">
      <c r="A644" s="761"/>
      <c r="B644" s="446"/>
      <c r="C644" s="760"/>
      <c r="D644" s="712"/>
      <c r="E644" s="760"/>
      <c r="F644" s="760"/>
      <c r="G644" s="760"/>
      <c r="H644" s="712"/>
      <c r="I644" s="446"/>
      <c r="J644" s="766"/>
      <c r="K644" s="767"/>
      <c r="L644" s="768"/>
      <c r="M644" s="768"/>
      <c r="N644" s="712"/>
      <c r="O644" s="769"/>
      <c r="P644" s="446"/>
      <c r="Q644" s="446"/>
      <c r="R644" s="446"/>
      <c r="S644" s="446"/>
      <c r="T644" s="446"/>
      <c r="U644" s="446"/>
      <c r="V644" s="446"/>
    </row>
    <row r="645" ht="15.75" customHeight="1">
      <c r="A645" s="761"/>
      <c r="B645" s="446"/>
      <c r="C645" s="760"/>
      <c r="D645" s="712"/>
      <c r="E645" s="760"/>
      <c r="F645" s="760"/>
      <c r="G645" s="760"/>
      <c r="H645" s="712"/>
      <c r="I645" s="446"/>
      <c r="J645" s="766"/>
      <c r="K645" s="767"/>
      <c r="L645" s="768"/>
      <c r="M645" s="768"/>
      <c r="N645" s="712"/>
      <c r="O645" s="769"/>
      <c r="P645" s="446"/>
      <c r="Q645" s="446"/>
      <c r="R645" s="446"/>
      <c r="S645" s="446"/>
      <c r="T645" s="446"/>
      <c r="U645" s="446"/>
      <c r="V645" s="446"/>
    </row>
    <row r="646" ht="15.75" customHeight="1">
      <c r="A646" s="761"/>
      <c r="B646" s="446"/>
      <c r="C646" s="760"/>
      <c r="D646" s="712"/>
      <c r="E646" s="760"/>
      <c r="F646" s="760"/>
      <c r="G646" s="760"/>
      <c r="H646" s="712"/>
      <c r="I646" s="446"/>
      <c r="J646" s="766"/>
      <c r="K646" s="767"/>
      <c r="L646" s="768"/>
      <c r="M646" s="768"/>
      <c r="N646" s="712"/>
      <c r="O646" s="769"/>
      <c r="P646" s="446"/>
      <c r="Q646" s="446"/>
      <c r="R646" s="446"/>
      <c r="S646" s="446"/>
      <c r="T646" s="446"/>
      <c r="U646" s="446"/>
      <c r="V646" s="446"/>
    </row>
    <row r="647" ht="15.75" customHeight="1">
      <c r="A647" s="761"/>
      <c r="B647" s="446"/>
      <c r="C647" s="760"/>
      <c r="D647" s="712"/>
      <c r="E647" s="760"/>
      <c r="F647" s="760"/>
      <c r="G647" s="760"/>
      <c r="H647" s="712"/>
      <c r="I647" s="446"/>
      <c r="J647" s="766"/>
      <c r="K647" s="767"/>
      <c r="L647" s="768"/>
      <c r="M647" s="768"/>
      <c r="N647" s="712"/>
      <c r="O647" s="769"/>
      <c r="P647" s="446"/>
      <c r="Q647" s="446"/>
      <c r="R647" s="446"/>
      <c r="S647" s="446"/>
      <c r="T647" s="446"/>
      <c r="U647" s="446"/>
      <c r="V647" s="446"/>
    </row>
    <row r="648" ht="15.75" customHeight="1">
      <c r="A648" s="761"/>
      <c r="B648" s="446"/>
      <c r="C648" s="760"/>
      <c r="D648" s="712"/>
      <c r="E648" s="760"/>
      <c r="F648" s="760"/>
      <c r="G648" s="760"/>
      <c r="H648" s="712"/>
      <c r="I648" s="446"/>
      <c r="J648" s="766"/>
      <c r="K648" s="767"/>
      <c r="L648" s="768"/>
      <c r="M648" s="768"/>
      <c r="N648" s="712"/>
      <c r="O648" s="769"/>
      <c r="P648" s="446"/>
      <c r="Q648" s="446"/>
      <c r="R648" s="446"/>
      <c r="S648" s="446"/>
      <c r="T648" s="446"/>
      <c r="U648" s="446"/>
      <c r="V648" s="446"/>
    </row>
    <row r="649" ht="15.75" customHeight="1">
      <c r="A649" s="761"/>
      <c r="B649" s="446"/>
      <c r="C649" s="760"/>
      <c r="D649" s="712"/>
      <c r="E649" s="760"/>
      <c r="F649" s="760"/>
      <c r="G649" s="760"/>
      <c r="H649" s="712"/>
      <c r="I649" s="446"/>
      <c r="J649" s="766"/>
      <c r="K649" s="767"/>
      <c r="L649" s="768"/>
      <c r="M649" s="768"/>
      <c r="N649" s="712"/>
      <c r="O649" s="769"/>
      <c r="P649" s="446"/>
      <c r="Q649" s="446"/>
      <c r="R649" s="446"/>
      <c r="S649" s="446"/>
      <c r="T649" s="446"/>
      <c r="U649" s="446"/>
      <c r="V649" s="446"/>
    </row>
    <row r="650" ht="15.75" customHeight="1">
      <c r="A650" s="761"/>
      <c r="B650" s="446"/>
      <c r="C650" s="760"/>
      <c r="D650" s="712"/>
      <c r="E650" s="760"/>
      <c r="F650" s="760"/>
      <c r="G650" s="760"/>
      <c r="H650" s="712"/>
      <c r="I650" s="446"/>
      <c r="J650" s="766"/>
      <c r="K650" s="767"/>
      <c r="L650" s="768"/>
      <c r="M650" s="768"/>
      <c r="N650" s="712"/>
      <c r="O650" s="769"/>
      <c r="P650" s="446"/>
      <c r="Q650" s="446"/>
      <c r="R650" s="446"/>
      <c r="S650" s="446"/>
      <c r="T650" s="446"/>
      <c r="U650" s="446"/>
      <c r="V650" s="446"/>
    </row>
    <row r="651" ht="15.75" customHeight="1">
      <c r="A651" s="761"/>
      <c r="B651" s="446"/>
      <c r="C651" s="760"/>
      <c r="D651" s="712"/>
      <c r="E651" s="760"/>
      <c r="F651" s="760"/>
      <c r="G651" s="760"/>
      <c r="H651" s="712"/>
      <c r="I651" s="446"/>
      <c r="J651" s="766"/>
      <c r="K651" s="767"/>
      <c r="L651" s="768"/>
      <c r="M651" s="768"/>
      <c r="N651" s="712"/>
      <c r="O651" s="769"/>
      <c r="P651" s="446"/>
      <c r="Q651" s="446"/>
      <c r="R651" s="446"/>
      <c r="S651" s="446"/>
      <c r="T651" s="446"/>
      <c r="U651" s="446"/>
      <c r="V651" s="446"/>
    </row>
    <row r="652" ht="15.75" customHeight="1">
      <c r="A652" s="761"/>
      <c r="B652" s="446"/>
      <c r="C652" s="760"/>
      <c r="D652" s="712"/>
      <c r="E652" s="760"/>
      <c r="F652" s="760"/>
      <c r="G652" s="760"/>
      <c r="H652" s="712"/>
      <c r="I652" s="446"/>
      <c r="J652" s="766"/>
      <c r="K652" s="767"/>
      <c r="L652" s="768"/>
      <c r="M652" s="768"/>
      <c r="N652" s="712"/>
      <c r="O652" s="769"/>
      <c r="P652" s="446"/>
      <c r="Q652" s="446"/>
      <c r="R652" s="446"/>
      <c r="S652" s="446"/>
      <c r="T652" s="446"/>
      <c r="U652" s="446"/>
      <c r="V652" s="446"/>
    </row>
    <row r="653" ht="15.75" customHeight="1">
      <c r="A653" s="761"/>
      <c r="B653" s="446"/>
      <c r="C653" s="760"/>
      <c r="D653" s="712"/>
      <c r="E653" s="760"/>
      <c r="F653" s="760"/>
      <c r="G653" s="760"/>
      <c r="H653" s="712"/>
      <c r="I653" s="446"/>
      <c r="J653" s="766"/>
      <c r="K653" s="767"/>
      <c r="L653" s="768"/>
      <c r="M653" s="768"/>
      <c r="N653" s="712"/>
      <c r="O653" s="769"/>
      <c r="P653" s="446"/>
      <c r="Q653" s="446"/>
      <c r="R653" s="446"/>
      <c r="S653" s="446"/>
      <c r="T653" s="446"/>
      <c r="U653" s="446"/>
      <c r="V653" s="446"/>
    </row>
    <row r="654" ht="15.75" customHeight="1">
      <c r="A654" s="761"/>
      <c r="B654" s="446"/>
      <c r="C654" s="760"/>
      <c r="D654" s="712"/>
      <c r="E654" s="760"/>
      <c r="F654" s="760"/>
      <c r="G654" s="760"/>
      <c r="H654" s="712"/>
      <c r="I654" s="446"/>
      <c r="J654" s="766"/>
      <c r="K654" s="767"/>
      <c r="L654" s="768"/>
      <c r="M654" s="768"/>
      <c r="N654" s="712"/>
      <c r="O654" s="769"/>
      <c r="P654" s="446"/>
      <c r="Q654" s="446"/>
      <c r="R654" s="446"/>
      <c r="S654" s="446"/>
      <c r="T654" s="446"/>
      <c r="U654" s="446"/>
      <c r="V654" s="446"/>
    </row>
    <row r="655" ht="15.75" customHeight="1">
      <c r="A655" s="761"/>
      <c r="B655" s="446"/>
      <c r="C655" s="760"/>
      <c r="D655" s="712"/>
      <c r="E655" s="760"/>
      <c r="F655" s="760"/>
      <c r="G655" s="760"/>
      <c r="H655" s="712"/>
      <c r="I655" s="446"/>
      <c r="J655" s="766"/>
      <c r="K655" s="767"/>
      <c r="L655" s="768"/>
      <c r="M655" s="768"/>
      <c r="N655" s="712"/>
      <c r="O655" s="769"/>
      <c r="P655" s="446"/>
      <c r="Q655" s="446"/>
      <c r="R655" s="446"/>
      <c r="S655" s="446"/>
      <c r="T655" s="446"/>
      <c r="U655" s="446"/>
      <c r="V655" s="446"/>
    </row>
    <row r="656" ht="15.75" customHeight="1">
      <c r="A656" s="761"/>
      <c r="B656" s="446"/>
      <c r="C656" s="760"/>
      <c r="D656" s="712"/>
      <c r="E656" s="760"/>
      <c r="F656" s="760"/>
      <c r="G656" s="760"/>
      <c r="H656" s="712"/>
      <c r="I656" s="446"/>
      <c r="J656" s="766"/>
      <c r="K656" s="767"/>
      <c r="L656" s="768"/>
      <c r="M656" s="768"/>
      <c r="N656" s="712"/>
      <c r="O656" s="769"/>
      <c r="P656" s="446"/>
      <c r="Q656" s="446"/>
      <c r="R656" s="446"/>
      <c r="S656" s="446"/>
      <c r="T656" s="446"/>
      <c r="U656" s="446"/>
      <c r="V656" s="446"/>
    </row>
    <row r="657" ht="15.75" customHeight="1">
      <c r="A657" s="761"/>
      <c r="B657" s="446"/>
      <c r="C657" s="760"/>
      <c r="D657" s="712"/>
      <c r="E657" s="760"/>
      <c r="F657" s="760"/>
      <c r="G657" s="760"/>
      <c r="H657" s="712"/>
      <c r="I657" s="446"/>
      <c r="J657" s="766"/>
      <c r="K657" s="767"/>
      <c r="L657" s="768"/>
      <c r="M657" s="768"/>
      <c r="N657" s="712"/>
      <c r="O657" s="769"/>
      <c r="P657" s="446"/>
      <c r="Q657" s="446"/>
      <c r="R657" s="446"/>
      <c r="S657" s="446"/>
      <c r="T657" s="446"/>
      <c r="U657" s="446"/>
      <c r="V657" s="446"/>
    </row>
    <row r="658" ht="15.75" customHeight="1">
      <c r="A658" s="761"/>
      <c r="B658" s="446"/>
      <c r="C658" s="760"/>
      <c r="D658" s="712"/>
      <c r="E658" s="760"/>
      <c r="F658" s="760"/>
      <c r="G658" s="760"/>
      <c r="H658" s="712"/>
      <c r="I658" s="446"/>
      <c r="J658" s="766"/>
      <c r="K658" s="767"/>
      <c r="L658" s="768"/>
      <c r="M658" s="768"/>
      <c r="N658" s="712"/>
      <c r="O658" s="769"/>
      <c r="P658" s="446"/>
      <c r="Q658" s="446"/>
      <c r="R658" s="446"/>
      <c r="S658" s="446"/>
      <c r="T658" s="446"/>
      <c r="U658" s="446"/>
      <c r="V658" s="446"/>
    </row>
    <row r="659" ht="15.75" customHeight="1">
      <c r="A659" s="761"/>
      <c r="B659" s="446"/>
      <c r="C659" s="760"/>
      <c r="D659" s="712"/>
      <c r="E659" s="760"/>
      <c r="F659" s="760"/>
      <c r="G659" s="760"/>
      <c r="H659" s="712"/>
      <c r="I659" s="446"/>
      <c r="J659" s="766"/>
      <c r="K659" s="767"/>
      <c r="L659" s="768"/>
      <c r="M659" s="768"/>
      <c r="N659" s="712"/>
      <c r="O659" s="769"/>
      <c r="P659" s="446"/>
      <c r="Q659" s="446"/>
      <c r="R659" s="446"/>
      <c r="S659" s="446"/>
      <c r="T659" s="446"/>
      <c r="U659" s="446"/>
      <c r="V659" s="446"/>
    </row>
    <row r="660" ht="15.75" customHeight="1">
      <c r="A660" s="761"/>
      <c r="B660" s="446"/>
      <c r="C660" s="760"/>
      <c r="D660" s="712"/>
      <c r="E660" s="760"/>
      <c r="F660" s="760"/>
      <c r="G660" s="760"/>
      <c r="H660" s="712"/>
      <c r="I660" s="446"/>
      <c r="J660" s="766"/>
      <c r="K660" s="767"/>
      <c r="L660" s="768"/>
      <c r="M660" s="768"/>
      <c r="N660" s="712"/>
      <c r="O660" s="769"/>
      <c r="P660" s="446"/>
      <c r="Q660" s="446"/>
      <c r="R660" s="446"/>
      <c r="S660" s="446"/>
      <c r="T660" s="446"/>
      <c r="U660" s="446"/>
      <c r="V660" s="446"/>
    </row>
    <row r="661" ht="15.75" customHeight="1">
      <c r="A661" s="761"/>
      <c r="B661" s="446"/>
      <c r="C661" s="760"/>
      <c r="D661" s="712"/>
      <c r="E661" s="760"/>
      <c r="F661" s="760"/>
      <c r="G661" s="760"/>
      <c r="H661" s="712"/>
      <c r="I661" s="446"/>
      <c r="J661" s="766"/>
      <c r="K661" s="767"/>
      <c r="L661" s="768"/>
      <c r="M661" s="768"/>
      <c r="N661" s="712"/>
      <c r="O661" s="769"/>
      <c r="P661" s="446"/>
      <c r="Q661" s="446"/>
      <c r="R661" s="446"/>
      <c r="S661" s="446"/>
      <c r="T661" s="446"/>
      <c r="U661" s="446"/>
      <c r="V661" s="446"/>
    </row>
    <row r="662" ht="15.75" customHeight="1">
      <c r="A662" s="761"/>
      <c r="B662" s="446"/>
      <c r="C662" s="760"/>
      <c r="D662" s="712"/>
      <c r="E662" s="760"/>
      <c r="F662" s="760"/>
      <c r="G662" s="760"/>
      <c r="H662" s="712"/>
      <c r="I662" s="446"/>
      <c r="J662" s="766"/>
      <c r="K662" s="767"/>
      <c r="L662" s="768"/>
      <c r="M662" s="768"/>
      <c r="N662" s="712"/>
      <c r="O662" s="769"/>
      <c r="P662" s="446"/>
      <c r="Q662" s="446"/>
      <c r="R662" s="446"/>
      <c r="S662" s="446"/>
      <c r="T662" s="446"/>
      <c r="U662" s="446"/>
      <c r="V662" s="446"/>
    </row>
    <row r="663" ht="15.75" customHeight="1">
      <c r="A663" s="761"/>
      <c r="B663" s="446"/>
      <c r="C663" s="760"/>
      <c r="D663" s="712"/>
      <c r="E663" s="760"/>
      <c r="F663" s="760"/>
      <c r="G663" s="760"/>
      <c r="H663" s="712"/>
      <c r="I663" s="446"/>
      <c r="J663" s="766"/>
      <c r="K663" s="767"/>
      <c r="L663" s="768"/>
      <c r="M663" s="768"/>
      <c r="N663" s="712"/>
      <c r="O663" s="769"/>
      <c r="P663" s="446"/>
      <c r="Q663" s="446"/>
      <c r="R663" s="446"/>
      <c r="S663" s="446"/>
      <c r="T663" s="446"/>
      <c r="U663" s="446"/>
      <c r="V663" s="446"/>
    </row>
    <row r="664" ht="15.75" customHeight="1">
      <c r="A664" s="761"/>
      <c r="B664" s="446"/>
      <c r="C664" s="760"/>
      <c r="D664" s="712"/>
      <c r="E664" s="760"/>
      <c r="F664" s="760"/>
      <c r="G664" s="760"/>
      <c r="H664" s="712"/>
      <c r="I664" s="446"/>
      <c r="J664" s="766"/>
      <c r="K664" s="767"/>
      <c r="L664" s="768"/>
      <c r="M664" s="768"/>
      <c r="N664" s="712"/>
      <c r="O664" s="769"/>
      <c r="P664" s="446"/>
      <c r="Q664" s="446"/>
      <c r="R664" s="446"/>
      <c r="S664" s="446"/>
      <c r="T664" s="446"/>
      <c r="U664" s="446"/>
      <c r="V664" s="446"/>
    </row>
    <row r="665" ht="15.75" customHeight="1">
      <c r="A665" s="761"/>
      <c r="B665" s="446"/>
      <c r="C665" s="760"/>
      <c r="D665" s="712"/>
      <c r="E665" s="760"/>
      <c r="F665" s="760"/>
      <c r="G665" s="760"/>
      <c r="H665" s="712"/>
      <c r="I665" s="446"/>
      <c r="J665" s="766"/>
      <c r="K665" s="767"/>
      <c r="L665" s="768"/>
      <c r="M665" s="768"/>
      <c r="N665" s="712"/>
      <c r="O665" s="769"/>
      <c r="P665" s="446"/>
      <c r="Q665" s="446"/>
      <c r="R665" s="446"/>
      <c r="S665" s="446"/>
      <c r="T665" s="446"/>
      <c r="U665" s="446"/>
      <c r="V665" s="446"/>
    </row>
    <row r="666" ht="15.75" customHeight="1">
      <c r="A666" s="761"/>
      <c r="B666" s="446"/>
      <c r="C666" s="760"/>
      <c r="D666" s="712"/>
      <c r="E666" s="760"/>
      <c r="F666" s="760"/>
      <c r="G666" s="760"/>
      <c r="H666" s="712"/>
      <c r="I666" s="446"/>
      <c r="J666" s="766"/>
      <c r="K666" s="767"/>
      <c r="L666" s="768"/>
      <c r="M666" s="768"/>
      <c r="N666" s="712"/>
      <c r="O666" s="769"/>
      <c r="P666" s="446"/>
      <c r="Q666" s="446"/>
      <c r="R666" s="446"/>
      <c r="S666" s="446"/>
      <c r="T666" s="446"/>
      <c r="U666" s="446"/>
      <c r="V666" s="446"/>
    </row>
    <row r="667" ht="15.75" customHeight="1">
      <c r="A667" s="761"/>
      <c r="B667" s="446"/>
      <c r="C667" s="760"/>
      <c r="D667" s="712"/>
      <c r="E667" s="760"/>
      <c r="F667" s="760"/>
      <c r="G667" s="760"/>
      <c r="H667" s="712"/>
      <c r="I667" s="446"/>
      <c r="J667" s="766"/>
      <c r="K667" s="767"/>
      <c r="L667" s="768"/>
      <c r="M667" s="768"/>
      <c r="N667" s="712"/>
      <c r="O667" s="769"/>
      <c r="P667" s="446"/>
      <c r="Q667" s="446"/>
      <c r="R667" s="446"/>
      <c r="S667" s="446"/>
      <c r="T667" s="446"/>
      <c r="U667" s="446"/>
      <c r="V667" s="446"/>
    </row>
    <row r="668" ht="15.75" customHeight="1">
      <c r="A668" s="761"/>
      <c r="B668" s="446"/>
      <c r="C668" s="760"/>
      <c r="D668" s="712"/>
      <c r="E668" s="760"/>
      <c r="F668" s="760"/>
      <c r="G668" s="760"/>
      <c r="H668" s="712"/>
      <c r="I668" s="446"/>
      <c r="J668" s="766"/>
      <c r="K668" s="767"/>
      <c r="L668" s="768"/>
      <c r="M668" s="768"/>
      <c r="N668" s="712"/>
      <c r="O668" s="769"/>
      <c r="P668" s="446"/>
      <c r="Q668" s="446"/>
      <c r="R668" s="446"/>
      <c r="S668" s="446"/>
      <c r="T668" s="446"/>
      <c r="U668" s="446"/>
      <c r="V668" s="446"/>
    </row>
    <row r="669" ht="15.75" customHeight="1">
      <c r="A669" s="761"/>
      <c r="B669" s="446"/>
      <c r="C669" s="760"/>
      <c r="D669" s="712"/>
      <c r="E669" s="760"/>
      <c r="F669" s="760"/>
      <c r="G669" s="760"/>
      <c r="H669" s="712"/>
      <c r="I669" s="446"/>
      <c r="J669" s="766"/>
      <c r="K669" s="767"/>
      <c r="L669" s="768"/>
      <c r="M669" s="768"/>
      <c r="N669" s="712"/>
      <c r="O669" s="769"/>
      <c r="P669" s="446"/>
      <c r="Q669" s="446"/>
      <c r="R669" s="446"/>
      <c r="S669" s="446"/>
      <c r="T669" s="446"/>
      <c r="U669" s="446"/>
      <c r="V669" s="446"/>
    </row>
    <row r="670" ht="15.75" customHeight="1">
      <c r="A670" s="761"/>
      <c r="B670" s="446"/>
      <c r="C670" s="760"/>
      <c r="D670" s="712"/>
      <c r="E670" s="760"/>
      <c r="F670" s="760"/>
      <c r="G670" s="760"/>
      <c r="H670" s="712"/>
      <c r="I670" s="446"/>
      <c r="J670" s="766"/>
      <c r="K670" s="767"/>
      <c r="L670" s="768"/>
      <c r="M670" s="768"/>
      <c r="N670" s="712"/>
      <c r="O670" s="769"/>
      <c r="P670" s="446"/>
      <c r="Q670" s="446"/>
      <c r="R670" s="446"/>
      <c r="S670" s="446"/>
      <c r="T670" s="446"/>
      <c r="U670" s="446"/>
      <c r="V670" s="446"/>
    </row>
    <row r="671" ht="15.75" customHeight="1">
      <c r="A671" s="761"/>
      <c r="B671" s="446"/>
      <c r="C671" s="760"/>
      <c r="D671" s="712"/>
      <c r="E671" s="760"/>
      <c r="F671" s="760"/>
      <c r="G671" s="760"/>
      <c r="H671" s="712"/>
      <c r="I671" s="446"/>
      <c r="J671" s="766"/>
      <c r="K671" s="767"/>
      <c r="L671" s="768"/>
      <c r="M671" s="768"/>
      <c r="N671" s="712"/>
      <c r="O671" s="769"/>
      <c r="P671" s="446"/>
      <c r="Q671" s="446"/>
      <c r="R671" s="446"/>
      <c r="S671" s="446"/>
      <c r="T671" s="446"/>
      <c r="U671" s="446"/>
      <c r="V671" s="446"/>
    </row>
    <row r="672" ht="15.75" customHeight="1">
      <c r="A672" s="761"/>
      <c r="B672" s="446"/>
      <c r="C672" s="760"/>
      <c r="D672" s="712"/>
      <c r="E672" s="760"/>
      <c r="F672" s="760"/>
      <c r="G672" s="760"/>
      <c r="H672" s="712"/>
      <c r="I672" s="446"/>
      <c r="J672" s="766"/>
      <c r="K672" s="767"/>
      <c r="L672" s="768"/>
      <c r="M672" s="768"/>
      <c r="N672" s="712"/>
      <c r="O672" s="769"/>
      <c r="P672" s="446"/>
      <c r="Q672" s="446"/>
      <c r="R672" s="446"/>
      <c r="S672" s="446"/>
      <c r="T672" s="446"/>
      <c r="U672" s="446"/>
      <c r="V672" s="446"/>
    </row>
    <row r="673" ht="15.75" customHeight="1">
      <c r="A673" s="761"/>
      <c r="B673" s="446"/>
      <c r="C673" s="760"/>
      <c r="D673" s="712"/>
      <c r="E673" s="760"/>
      <c r="F673" s="760"/>
      <c r="G673" s="760"/>
      <c r="H673" s="712"/>
      <c r="I673" s="446"/>
      <c r="J673" s="766"/>
      <c r="K673" s="767"/>
      <c r="L673" s="768"/>
      <c r="M673" s="768"/>
      <c r="N673" s="712"/>
      <c r="O673" s="769"/>
      <c r="P673" s="446"/>
      <c r="Q673" s="446"/>
      <c r="R673" s="446"/>
      <c r="S673" s="446"/>
      <c r="T673" s="446"/>
      <c r="U673" s="446"/>
      <c r="V673" s="446"/>
    </row>
    <row r="674" ht="15.75" customHeight="1">
      <c r="A674" s="761"/>
      <c r="B674" s="446"/>
      <c r="C674" s="760"/>
      <c r="D674" s="712"/>
      <c r="E674" s="760"/>
      <c r="F674" s="760"/>
      <c r="G674" s="760"/>
      <c r="H674" s="712"/>
      <c r="I674" s="446"/>
      <c r="J674" s="766"/>
      <c r="K674" s="767"/>
      <c r="L674" s="768"/>
      <c r="M674" s="768"/>
      <c r="N674" s="712"/>
      <c r="O674" s="769"/>
      <c r="P674" s="446"/>
      <c r="Q674" s="446"/>
      <c r="R674" s="446"/>
      <c r="S674" s="446"/>
      <c r="T674" s="446"/>
      <c r="U674" s="446"/>
      <c r="V674" s="446"/>
    </row>
    <row r="675" ht="15.75" customHeight="1">
      <c r="A675" s="761"/>
      <c r="B675" s="446"/>
      <c r="C675" s="760"/>
      <c r="D675" s="712"/>
      <c r="E675" s="760"/>
      <c r="F675" s="760"/>
      <c r="G675" s="760"/>
      <c r="H675" s="712"/>
      <c r="I675" s="446"/>
      <c r="J675" s="766"/>
      <c r="K675" s="767"/>
      <c r="L675" s="768"/>
      <c r="M675" s="768"/>
      <c r="N675" s="712"/>
      <c r="O675" s="769"/>
      <c r="P675" s="446"/>
      <c r="Q675" s="446"/>
      <c r="R675" s="446"/>
      <c r="S675" s="446"/>
      <c r="T675" s="446"/>
      <c r="U675" s="446"/>
      <c r="V675" s="446"/>
    </row>
    <row r="676" ht="15.75" customHeight="1">
      <c r="A676" s="761"/>
      <c r="B676" s="446"/>
      <c r="C676" s="760"/>
      <c r="D676" s="712"/>
      <c r="E676" s="760"/>
      <c r="F676" s="760"/>
      <c r="G676" s="760"/>
      <c r="H676" s="712"/>
      <c r="I676" s="446"/>
      <c r="J676" s="766"/>
      <c r="K676" s="767"/>
      <c r="L676" s="768"/>
      <c r="M676" s="768"/>
      <c r="N676" s="712"/>
      <c r="O676" s="769"/>
      <c r="P676" s="446"/>
      <c r="Q676" s="446"/>
      <c r="R676" s="446"/>
      <c r="S676" s="446"/>
      <c r="T676" s="446"/>
      <c r="U676" s="446"/>
      <c r="V676" s="446"/>
    </row>
    <row r="677" ht="15.75" customHeight="1">
      <c r="A677" s="761"/>
      <c r="B677" s="446"/>
      <c r="C677" s="760"/>
      <c r="D677" s="712"/>
      <c r="E677" s="760"/>
      <c r="F677" s="760"/>
      <c r="G677" s="760"/>
      <c r="H677" s="712"/>
      <c r="I677" s="446"/>
      <c r="J677" s="766"/>
      <c r="K677" s="767"/>
      <c r="L677" s="768"/>
      <c r="M677" s="768"/>
      <c r="N677" s="712"/>
      <c r="O677" s="769"/>
      <c r="P677" s="446"/>
      <c r="Q677" s="446"/>
      <c r="R677" s="446"/>
      <c r="S677" s="446"/>
      <c r="T677" s="446"/>
      <c r="U677" s="446"/>
      <c r="V677" s="446"/>
    </row>
    <row r="678" ht="15.75" customHeight="1">
      <c r="A678" s="761"/>
      <c r="B678" s="446"/>
      <c r="C678" s="760"/>
      <c r="D678" s="712"/>
      <c r="E678" s="760"/>
      <c r="F678" s="760"/>
      <c r="G678" s="760"/>
      <c r="H678" s="712"/>
      <c r="I678" s="446"/>
      <c r="J678" s="766"/>
      <c r="K678" s="767"/>
      <c r="L678" s="768"/>
      <c r="M678" s="768"/>
      <c r="N678" s="712"/>
      <c r="O678" s="769"/>
      <c r="P678" s="446"/>
      <c r="Q678" s="446"/>
      <c r="R678" s="446"/>
      <c r="S678" s="446"/>
      <c r="T678" s="446"/>
      <c r="U678" s="446"/>
      <c r="V678" s="446"/>
    </row>
    <row r="679" ht="15.75" customHeight="1">
      <c r="A679" s="761"/>
      <c r="B679" s="446"/>
      <c r="C679" s="760"/>
      <c r="D679" s="712"/>
      <c r="E679" s="760"/>
      <c r="F679" s="760"/>
      <c r="G679" s="760"/>
      <c r="H679" s="712"/>
      <c r="I679" s="446"/>
      <c r="J679" s="766"/>
      <c r="K679" s="767"/>
      <c r="L679" s="768"/>
      <c r="M679" s="768"/>
      <c r="N679" s="712"/>
      <c r="O679" s="769"/>
      <c r="P679" s="446"/>
      <c r="Q679" s="446"/>
      <c r="R679" s="446"/>
      <c r="S679" s="446"/>
      <c r="T679" s="446"/>
      <c r="U679" s="446"/>
      <c r="V679" s="446"/>
    </row>
    <row r="680" ht="15.75" customHeight="1">
      <c r="A680" s="761"/>
      <c r="B680" s="446"/>
      <c r="C680" s="760"/>
      <c r="D680" s="712"/>
      <c r="E680" s="760"/>
      <c r="F680" s="760"/>
      <c r="G680" s="760"/>
      <c r="H680" s="712"/>
      <c r="I680" s="446"/>
      <c r="J680" s="766"/>
      <c r="K680" s="767"/>
      <c r="L680" s="768"/>
      <c r="M680" s="768"/>
      <c r="N680" s="712"/>
      <c r="O680" s="769"/>
      <c r="P680" s="446"/>
      <c r="Q680" s="446"/>
      <c r="R680" s="446"/>
      <c r="S680" s="446"/>
      <c r="T680" s="446"/>
      <c r="U680" s="446"/>
      <c r="V680" s="446"/>
    </row>
    <row r="681" ht="15.75" customHeight="1">
      <c r="A681" s="761"/>
      <c r="B681" s="446"/>
      <c r="C681" s="760"/>
      <c r="D681" s="712"/>
      <c r="E681" s="760"/>
      <c r="F681" s="760"/>
      <c r="G681" s="760"/>
      <c r="H681" s="712"/>
      <c r="I681" s="446"/>
      <c r="J681" s="766"/>
      <c r="K681" s="767"/>
      <c r="L681" s="768"/>
      <c r="M681" s="768"/>
      <c r="N681" s="712"/>
      <c r="O681" s="769"/>
      <c r="P681" s="446"/>
      <c r="Q681" s="446"/>
      <c r="R681" s="446"/>
      <c r="S681" s="446"/>
      <c r="T681" s="446"/>
      <c r="U681" s="446"/>
      <c r="V681" s="446"/>
    </row>
    <row r="682" ht="15.75" customHeight="1">
      <c r="A682" s="761"/>
      <c r="B682" s="446"/>
      <c r="C682" s="760"/>
      <c r="D682" s="712"/>
      <c r="E682" s="760"/>
      <c r="F682" s="760"/>
      <c r="G682" s="760"/>
      <c r="H682" s="712"/>
      <c r="I682" s="446"/>
      <c r="J682" s="766"/>
      <c r="K682" s="767"/>
      <c r="L682" s="768"/>
      <c r="M682" s="768"/>
      <c r="N682" s="712"/>
      <c r="O682" s="769"/>
      <c r="P682" s="446"/>
      <c r="Q682" s="446"/>
      <c r="R682" s="446"/>
      <c r="S682" s="446"/>
      <c r="T682" s="446"/>
      <c r="U682" s="446"/>
      <c r="V682" s="446"/>
    </row>
    <row r="683" ht="15.75" customHeight="1">
      <c r="A683" s="761"/>
      <c r="B683" s="446"/>
      <c r="C683" s="760"/>
      <c r="D683" s="712"/>
      <c r="E683" s="760"/>
      <c r="F683" s="760"/>
      <c r="G683" s="760"/>
      <c r="H683" s="712"/>
      <c r="I683" s="446"/>
      <c r="J683" s="766"/>
      <c r="K683" s="767"/>
      <c r="L683" s="768"/>
      <c r="M683" s="768"/>
      <c r="N683" s="712"/>
      <c r="O683" s="769"/>
      <c r="P683" s="446"/>
      <c r="Q683" s="446"/>
      <c r="R683" s="446"/>
      <c r="S683" s="446"/>
      <c r="T683" s="446"/>
      <c r="U683" s="446"/>
      <c r="V683" s="446"/>
    </row>
    <row r="684" ht="15.75" customHeight="1">
      <c r="A684" s="761"/>
      <c r="B684" s="446"/>
      <c r="C684" s="760"/>
      <c r="D684" s="712"/>
      <c r="E684" s="760"/>
      <c r="F684" s="760"/>
      <c r="G684" s="760"/>
      <c r="H684" s="712"/>
      <c r="I684" s="446"/>
      <c r="J684" s="766"/>
      <c r="K684" s="767"/>
      <c r="L684" s="768"/>
      <c r="M684" s="768"/>
      <c r="N684" s="712"/>
      <c r="O684" s="769"/>
      <c r="P684" s="446"/>
      <c r="Q684" s="446"/>
      <c r="R684" s="446"/>
      <c r="S684" s="446"/>
      <c r="T684" s="446"/>
      <c r="U684" s="446"/>
      <c r="V684" s="446"/>
    </row>
    <row r="685" ht="15.75" customHeight="1">
      <c r="A685" s="761"/>
      <c r="B685" s="446"/>
      <c r="C685" s="760"/>
      <c r="D685" s="712"/>
      <c r="E685" s="760"/>
      <c r="F685" s="760"/>
      <c r="G685" s="760"/>
      <c r="H685" s="712"/>
      <c r="I685" s="446"/>
      <c r="J685" s="766"/>
      <c r="K685" s="767"/>
      <c r="L685" s="768"/>
      <c r="M685" s="768"/>
      <c r="N685" s="712"/>
      <c r="O685" s="769"/>
      <c r="P685" s="446"/>
      <c r="Q685" s="446"/>
      <c r="R685" s="446"/>
      <c r="S685" s="446"/>
      <c r="T685" s="446"/>
      <c r="U685" s="446"/>
      <c r="V685" s="446"/>
    </row>
    <row r="686" ht="15.75" customHeight="1">
      <c r="A686" s="761"/>
      <c r="B686" s="446"/>
      <c r="C686" s="760"/>
      <c r="D686" s="712"/>
      <c r="E686" s="760"/>
      <c r="F686" s="760"/>
      <c r="G686" s="760"/>
      <c r="H686" s="712"/>
      <c r="I686" s="446"/>
      <c r="J686" s="766"/>
      <c r="K686" s="767"/>
      <c r="L686" s="768"/>
      <c r="M686" s="768"/>
      <c r="N686" s="712"/>
      <c r="O686" s="769"/>
      <c r="P686" s="446"/>
      <c r="Q686" s="446"/>
      <c r="R686" s="446"/>
      <c r="S686" s="446"/>
      <c r="T686" s="446"/>
      <c r="U686" s="446"/>
      <c r="V686" s="446"/>
    </row>
    <row r="687" ht="15.75" customHeight="1">
      <c r="A687" s="761"/>
      <c r="B687" s="446"/>
      <c r="C687" s="760"/>
      <c r="D687" s="712"/>
      <c r="E687" s="760"/>
      <c r="F687" s="760"/>
      <c r="G687" s="760"/>
      <c r="H687" s="712"/>
      <c r="I687" s="446"/>
      <c r="J687" s="766"/>
      <c r="K687" s="767"/>
      <c r="L687" s="768"/>
      <c r="M687" s="768"/>
      <c r="N687" s="712"/>
      <c r="O687" s="769"/>
      <c r="P687" s="446"/>
      <c r="Q687" s="446"/>
      <c r="R687" s="446"/>
      <c r="S687" s="446"/>
      <c r="T687" s="446"/>
      <c r="U687" s="446"/>
      <c r="V687" s="446"/>
    </row>
    <row r="688" ht="15.75" customHeight="1">
      <c r="A688" s="761"/>
      <c r="B688" s="446"/>
      <c r="C688" s="760"/>
      <c r="D688" s="712"/>
      <c r="E688" s="760"/>
      <c r="F688" s="760"/>
      <c r="G688" s="760"/>
      <c r="H688" s="712"/>
      <c r="I688" s="446"/>
      <c r="J688" s="766"/>
      <c r="K688" s="767"/>
      <c r="L688" s="768"/>
      <c r="M688" s="768"/>
      <c r="N688" s="712"/>
      <c r="O688" s="769"/>
      <c r="P688" s="446"/>
      <c r="Q688" s="446"/>
      <c r="R688" s="446"/>
      <c r="S688" s="446"/>
      <c r="T688" s="446"/>
      <c r="U688" s="446"/>
      <c r="V688" s="446"/>
    </row>
    <row r="689" ht="15.75" customHeight="1">
      <c r="A689" s="761"/>
      <c r="B689" s="446"/>
      <c r="C689" s="760"/>
      <c r="D689" s="712"/>
      <c r="E689" s="760"/>
      <c r="F689" s="760"/>
      <c r="G689" s="760"/>
      <c r="H689" s="712"/>
      <c r="I689" s="446"/>
      <c r="J689" s="766"/>
      <c r="K689" s="767"/>
      <c r="L689" s="768"/>
      <c r="M689" s="768"/>
      <c r="N689" s="712"/>
      <c r="O689" s="769"/>
      <c r="P689" s="446"/>
      <c r="Q689" s="446"/>
      <c r="R689" s="446"/>
      <c r="S689" s="446"/>
      <c r="T689" s="446"/>
      <c r="U689" s="446"/>
      <c r="V689" s="446"/>
    </row>
    <row r="690" ht="15.75" customHeight="1">
      <c r="A690" s="761"/>
      <c r="B690" s="446"/>
      <c r="C690" s="760"/>
      <c r="D690" s="712"/>
      <c r="E690" s="760"/>
      <c r="F690" s="760"/>
      <c r="G690" s="760"/>
      <c r="H690" s="712"/>
      <c r="I690" s="446"/>
      <c r="J690" s="766"/>
      <c r="K690" s="767"/>
      <c r="L690" s="768"/>
      <c r="M690" s="768"/>
      <c r="N690" s="712"/>
      <c r="O690" s="769"/>
      <c r="P690" s="446"/>
      <c r="Q690" s="446"/>
      <c r="R690" s="446"/>
      <c r="S690" s="446"/>
      <c r="T690" s="446"/>
      <c r="U690" s="446"/>
      <c r="V690" s="446"/>
    </row>
    <row r="691" ht="15.75" customHeight="1">
      <c r="A691" s="761"/>
      <c r="B691" s="446"/>
      <c r="C691" s="760"/>
      <c r="D691" s="712"/>
      <c r="E691" s="760"/>
      <c r="F691" s="760"/>
      <c r="G691" s="760"/>
      <c r="H691" s="712"/>
      <c r="I691" s="446"/>
      <c r="J691" s="766"/>
      <c r="K691" s="767"/>
      <c r="L691" s="768"/>
      <c r="M691" s="768"/>
      <c r="N691" s="712"/>
      <c r="O691" s="769"/>
      <c r="P691" s="446"/>
      <c r="Q691" s="446"/>
      <c r="R691" s="446"/>
      <c r="S691" s="446"/>
      <c r="T691" s="446"/>
      <c r="U691" s="446"/>
      <c r="V691" s="446"/>
    </row>
    <row r="692" ht="15.75" customHeight="1">
      <c r="A692" s="761"/>
      <c r="B692" s="446"/>
      <c r="C692" s="760"/>
      <c r="D692" s="712"/>
      <c r="E692" s="760"/>
      <c r="F692" s="760"/>
      <c r="G692" s="760"/>
      <c r="H692" s="712"/>
      <c r="I692" s="446"/>
      <c r="J692" s="766"/>
      <c r="K692" s="767"/>
      <c r="L692" s="768"/>
      <c r="M692" s="768"/>
      <c r="N692" s="712"/>
      <c r="O692" s="769"/>
      <c r="P692" s="446"/>
      <c r="Q692" s="446"/>
      <c r="R692" s="446"/>
      <c r="S692" s="446"/>
      <c r="T692" s="446"/>
      <c r="U692" s="446"/>
      <c r="V692" s="446"/>
    </row>
    <row r="693" ht="15.75" customHeight="1">
      <c r="A693" s="761"/>
      <c r="B693" s="446"/>
      <c r="C693" s="760"/>
      <c r="D693" s="712"/>
      <c r="E693" s="760"/>
      <c r="F693" s="760"/>
      <c r="G693" s="760"/>
      <c r="H693" s="712"/>
      <c r="I693" s="446"/>
      <c r="J693" s="766"/>
      <c r="K693" s="767"/>
      <c r="L693" s="768"/>
      <c r="M693" s="768"/>
      <c r="N693" s="712"/>
      <c r="O693" s="769"/>
      <c r="P693" s="446"/>
      <c r="Q693" s="446"/>
      <c r="R693" s="446"/>
      <c r="S693" s="446"/>
      <c r="T693" s="446"/>
      <c r="U693" s="446"/>
      <c r="V693" s="446"/>
    </row>
    <row r="694" ht="15.75" customHeight="1">
      <c r="A694" s="761"/>
      <c r="B694" s="446"/>
      <c r="C694" s="760"/>
      <c r="D694" s="712"/>
      <c r="E694" s="760"/>
      <c r="F694" s="760"/>
      <c r="G694" s="760"/>
      <c r="H694" s="712"/>
      <c r="I694" s="446"/>
      <c r="J694" s="766"/>
      <c r="K694" s="767"/>
      <c r="L694" s="768"/>
      <c r="M694" s="768"/>
      <c r="N694" s="712"/>
      <c r="O694" s="769"/>
      <c r="P694" s="446"/>
      <c r="Q694" s="446"/>
      <c r="R694" s="446"/>
      <c r="S694" s="446"/>
      <c r="T694" s="446"/>
      <c r="U694" s="446"/>
      <c r="V694" s="446"/>
    </row>
    <row r="695" ht="15.75" customHeight="1">
      <c r="A695" s="761"/>
      <c r="B695" s="446"/>
      <c r="C695" s="760"/>
      <c r="D695" s="712"/>
      <c r="E695" s="760"/>
      <c r="F695" s="760"/>
      <c r="G695" s="760"/>
      <c r="H695" s="712"/>
      <c r="I695" s="446"/>
      <c r="J695" s="766"/>
      <c r="K695" s="767"/>
      <c r="L695" s="768"/>
      <c r="M695" s="768"/>
      <c r="N695" s="712"/>
      <c r="O695" s="769"/>
      <c r="P695" s="446"/>
      <c r="Q695" s="446"/>
      <c r="R695" s="446"/>
      <c r="S695" s="446"/>
      <c r="T695" s="446"/>
      <c r="U695" s="446"/>
      <c r="V695" s="446"/>
    </row>
    <row r="696" ht="15.75" customHeight="1">
      <c r="A696" s="761"/>
      <c r="B696" s="446"/>
      <c r="C696" s="760"/>
      <c r="D696" s="712"/>
      <c r="E696" s="760"/>
      <c r="F696" s="760"/>
      <c r="G696" s="760"/>
      <c r="H696" s="712"/>
      <c r="I696" s="446"/>
      <c r="J696" s="766"/>
      <c r="K696" s="767"/>
      <c r="L696" s="768"/>
      <c r="M696" s="768"/>
      <c r="N696" s="712"/>
      <c r="O696" s="769"/>
      <c r="P696" s="446"/>
      <c r="Q696" s="446"/>
      <c r="R696" s="446"/>
      <c r="S696" s="446"/>
      <c r="T696" s="446"/>
      <c r="U696" s="446"/>
      <c r="V696" s="446"/>
    </row>
    <row r="697" ht="15.75" customHeight="1">
      <c r="A697" s="761"/>
      <c r="B697" s="446"/>
      <c r="C697" s="760"/>
      <c r="D697" s="712"/>
      <c r="E697" s="760"/>
      <c r="F697" s="760"/>
      <c r="G697" s="760"/>
      <c r="H697" s="712"/>
      <c r="I697" s="446"/>
      <c r="J697" s="766"/>
      <c r="K697" s="767"/>
      <c r="L697" s="768"/>
      <c r="M697" s="768"/>
      <c r="N697" s="712"/>
      <c r="O697" s="769"/>
      <c r="P697" s="446"/>
      <c r="Q697" s="446"/>
      <c r="R697" s="446"/>
      <c r="S697" s="446"/>
      <c r="T697" s="446"/>
      <c r="U697" s="446"/>
      <c r="V697" s="446"/>
    </row>
    <row r="698" ht="15.75" customHeight="1">
      <c r="A698" s="761"/>
      <c r="B698" s="446"/>
      <c r="C698" s="760"/>
      <c r="D698" s="712"/>
      <c r="E698" s="760"/>
      <c r="F698" s="760"/>
      <c r="G698" s="760"/>
      <c r="H698" s="712"/>
      <c r="I698" s="446"/>
      <c r="J698" s="766"/>
      <c r="K698" s="767"/>
      <c r="L698" s="768"/>
      <c r="M698" s="768"/>
      <c r="N698" s="712"/>
      <c r="O698" s="769"/>
      <c r="P698" s="446"/>
      <c r="Q698" s="446"/>
      <c r="R698" s="446"/>
      <c r="S698" s="446"/>
      <c r="T698" s="446"/>
      <c r="U698" s="446"/>
      <c r="V698" s="446"/>
    </row>
    <row r="699" ht="15.75" customHeight="1">
      <c r="A699" s="761"/>
      <c r="B699" s="446"/>
      <c r="C699" s="760"/>
      <c r="D699" s="712"/>
      <c r="E699" s="760"/>
      <c r="F699" s="760"/>
      <c r="G699" s="760"/>
      <c r="H699" s="712"/>
      <c r="I699" s="446"/>
      <c r="J699" s="766"/>
      <c r="K699" s="767"/>
      <c r="L699" s="768"/>
      <c r="M699" s="768"/>
      <c r="N699" s="712"/>
      <c r="O699" s="769"/>
      <c r="P699" s="446"/>
      <c r="Q699" s="446"/>
      <c r="R699" s="446"/>
      <c r="S699" s="446"/>
      <c r="T699" s="446"/>
      <c r="U699" s="446"/>
      <c r="V699" s="446"/>
    </row>
    <row r="700" ht="15.75" customHeight="1">
      <c r="A700" s="761"/>
      <c r="B700" s="446"/>
      <c r="C700" s="760"/>
      <c r="D700" s="712"/>
      <c r="E700" s="760"/>
      <c r="F700" s="760"/>
      <c r="G700" s="760"/>
      <c r="H700" s="712"/>
      <c r="I700" s="446"/>
      <c r="J700" s="766"/>
      <c r="K700" s="767"/>
      <c r="L700" s="768"/>
      <c r="M700" s="768"/>
      <c r="N700" s="712"/>
      <c r="O700" s="769"/>
      <c r="P700" s="446"/>
      <c r="Q700" s="446"/>
      <c r="R700" s="446"/>
      <c r="S700" s="446"/>
      <c r="T700" s="446"/>
      <c r="U700" s="446"/>
      <c r="V700" s="446"/>
    </row>
    <row r="701" ht="15.75" customHeight="1">
      <c r="A701" s="761"/>
      <c r="B701" s="446"/>
      <c r="C701" s="760"/>
      <c r="D701" s="712"/>
      <c r="E701" s="760"/>
      <c r="F701" s="760"/>
      <c r="G701" s="760"/>
      <c r="H701" s="712"/>
      <c r="I701" s="446"/>
      <c r="J701" s="766"/>
      <c r="K701" s="767"/>
      <c r="L701" s="768"/>
      <c r="M701" s="768"/>
      <c r="N701" s="712"/>
      <c r="O701" s="769"/>
      <c r="P701" s="446"/>
      <c r="Q701" s="446"/>
      <c r="R701" s="446"/>
      <c r="S701" s="446"/>
      <c r="T701" s="446"/>
      <c r="U701" s="446"/>
      <c r="V701" s="446"/>
    </row>
    <row r="702" ht="15.75" customHeight="1">
      <c r="A702" s="761"/>
      <c r="B702" s="446"/>
      <c r="C702" s="760"/>
      <c r="D702" s="712"/>
      <c r="E702" s="760"/>
      <c r="F702" s="760"/>
      <c r="G702" s="760"/>
      <c r="H702" s="712"/>
      <c r="I702" s="446"/>
      <c r="J702" s="766"/>
      <c r="K702" s="767"/>
      <c r="L702" s="768"/>
      <c r="M702" s="768"/>
      <c r="N702" s="712"/>
      <c r="O702" s="769"/>
      <c r="P702" s="446"/>
      <c r="Q702" s="446"/>
      <c r="R702" s="446"/>
      <c r="S702" s="446"/>
      <c r="T702" s="446"/>
      <c r="U702" s="446"/>
      <c r="V702" s="446"/>
    </row>
    <row r="703" ht="15.75" customHeight="1">
      <c r="A703" s="761"/>
      <c r="B703" s="446"/>
      <c r="C703" s="760"/>
      <c r="D703" s="712"/>
      <c r="E703" s="760"/>
      <c r="F703" s="760"/>
      <c r="G703" s="760"/>
      <c r="H703" s="712"/>
      <c r="I703" s="446"/>
      <c r="J703" s="766"/>
      <c r="K703" s="767"/>
      <c r="L703" s="768"/>
      <c r="M703" s="768"/>
      <c r="N703" s="712"/>
      <c r="O703" s="769"/>
      <c r="P703" s="446"/>
      <c r="Q703" s="446"/>
      <c r="R703" s="446"/>
      <c r="S703" s="446"/>
      <c r="T703" s="446"/>
      <c r="U703" s="446"/>
      <c r="V703" s="446"/>
    </row>
    <row r="704" ht="15.75" customHeight="1">
      <c r="A704" s="761"/>
      <c r="B704" s="446"/>
      <c r="C704" s="760"/>
      <c r="D704" s="712"/>
      <c r="E704" s="760"/>
      <c r="F704" s="760"/>
      <c r="G704" s="760"/>
      <c r="H704" s="712"/>
      <c r="I704" s="446"/>
      <c r="J704" s="766"/>
      <c r="K704" s="767"/>
      <c r="L704" s="768"/>
      <c r="M704" s="768"/>
      <c r="N704" s="712"/>
      <c r="O704" s="769"/>
      <c r="P704" s="446"/>
      <c r="Q704" s="446"/>
      <c r="R704" s="446"/>
      <c r="S704" s="446"/>
      <c r="T704" s="446"/>
      <c r="U704" s="446"/>
      <c r="V704" s="446"/>
    </row>
    <row r="705" ht="15.75" customHeight="1">
      <c r="A705" s="761"/>
      <c r="B705" s="446"/>
      <c r="C705" s="760"/>
      <c r="D705" s="712"/>
      <c r="E705" s="760"/>
      <c r="F705" s="760"/>
      <c r="G705" s="760"/>
      <c r="H705" s="712"/>
      <c r="I705" s="446"/>
      <c r="J705" s="766"/>
      <c r="K705" s="767"/>
      <c r="L705" s="768"/>
      <c r="M705" s="768"/>
      <c r="N705" s="712"/>
      <c r="O705" s="769"/>
      <c r="P705" s="446"/>
      <c r="Q705" s="446"/>
      <c r="R705" s="446"/>
      <c r="S705" s="446"/>
      <c r="T705" s="446"/>
      <c r="U705" s="446"/>
      <c r="V705" s="446"/>
    </row>
    <row r="706" ht="15.75" customHeight="1">
      <c r="A706" s="761"/>
      <c r="B706" s="446"/>
      <c r="C706" s="760"/>
      <c r="D706" s="712"/>
      <c r="E706" s="760"/>
      <c r="F706" s="760"/>
      <c r="G706" s="760"/>
      <c r="H706" s="712"/>
      <c r="I706" s="446"/>
      <c r="J706" s="766"/>
      <c r="K706" s="767"/>
      <c r="L706" s="768"/>
      <c r="M706" s="768"/>
      <c r="N706" s="712"/>
      <c r="O706" s="769"/>
      <c r="P706" s="446"/>
      <c r="Q706" s="446"/>
      <c r="R706" s="446"/>
      <c r="S706" s="446"/>
      <c r="T706" s="446"/>
      <c r="U706" s="446"/>
      <c r="V706" s="446"/>
    </row>
    <row r="707" ht="15.75" customHeight="1">
      <c r="A707" s="761"/>
      <c r="B707" s="446"/>
      <c r="C707" s="760"/>
      <c r="D707" s="712"/>
      <c r="E707" s="760"/>
      <c r="F707" s="760"/>
      <c r="G707" s="760"/>
      <c r="H707" s="712"/>
      <c r="I707" s="446"/>
      <c r="J707" s="766"/>
      <c r="K707" s="767"/>
      <c r="L707" s="768"/>
      <c r="M707" s="768"/>
      <c r="N707" s="712"/>
      <c r="O707" s="769"/>
      <c r="P707" s="446"/>
      <c r="Q707" s="446"/>
      <c r="R707" s="446"/>
      <c r="S707" s="446"/>
      <c r="T707" s="446"/>
      <c r="U707" s="446"/>
      <c r="V707" s="446"/>
    </row>
    <row r="708" ht="15.75" customHeight="1">
      <c r="A708" s="761"/>
      <c r="B708" s="446"/>
      <c r="C708" s="760"/>
      <c r="D708" s="712"/>
      <c r="E708" s="760"/>
      <c r="F708" s="760"/>
      <c r="G708" s="760"/>
      <c r="H708" s="712"/>
      <c r="I708" s="446"/>
      <c r="J708" s="766"/>
      <c r="K708" s="767"/>
      <c r="L708" s="768"/>
      <c r="M708" s="768"/>
      <c r="N708" s="712"/>
      <c r="O708" s="769"/>
      <c r="P708" s="446"/>
      <c r="Q708" s="446"/>
      <c r="R708" s="446"/>
      <c r="S708" s="446"/>
      <c r="T708" s="446"/>
      <c r="U708" s="446"/>
      <c r="V708" s="446"/>
    </row>
    <row r="709" ht="15.75" customHeight="1">
      <c r="A709" s="761"/>
      <c r="B709" s="446"/>
      <c r="C709" s="760"/>
      <c r="D709" s="712"/>
      <c r="E709" s="760"/>
      <c r="F709" s="760"/>
      <c r="G709" s="760"/>
      <c r="H709" s="712"/>
      <c r="I709" s="446"/>
      <c r="J709" s="766"/>
      <c r="K709" s="767"/>
      <c r="L709" s="768"/>
      <c r="M709" s="768"/>
      <c r="N709" s="712"/>
      <c r="O709" s="769"/>
      <c r="P709" s="446"/>
      <c r="Q709" s="446"/>
      <c r="R709" s="446"/>
      <c r="S709" s="446"/>
      <c r="T709" s="446"/>
      <c r="U709" s="446"/>
      <c r="V709" s="446"/>
    </row>
    <row r="710" ht="15.75" customHeight="1">
      <c r="A710" s="761"/>
      <c r="B710" s="446"/>
      <c r="C710" s="760"/>
      <c r="D710" s="712"/>
      <c r="E710" s="760"/>
      <c r="F710" s="760"/>
      <c r="G710" s="760"/>
      <c r="H710" s="712"/>
      <c r="I710" s="446"/>
      <c r="J710" s="766"/>
      <c r="K710" s="767"/>
      <c r="L710" s="768"/>
      <c r="M710" s="768"/>
      <c r="N710" s="712"/>
      <c r="O710" s="769"/>
      <c r="P710" s="446"/>
      <c r="Q710" s="446"/>
      <c r="R710" s="446"/>
      <c r="S710" s="446"/>
      <c r="T710" s="446"/>
      <c r="U710" s="446"/>
      <c r="V710" s="446"/>
    </row>
    <row r="711" ht="15.75" customHeight="1">
      <c r="A711" s="761"/>
      <c r="B711" s="446"/>
      <c r="C711" s="760"/>
      <c r="D711" s="712"/>
      <c r="E711" s="760"/>
      <c r="F711" s="760"/>
      <c r="G711" s="760"/>
      <c r="H711" s="712"/>
      <c r="I711" s="446"/>
      <c r="J711" s="766"/>
      <c r="K711" s="767"/>
      <c r="L711" s="768"/>
      <c r="M711" s="768"/>
      <c r="N711" s="712"/>
      <c r="O711" s="769"/>
      <c r="P711" s="446"/>
      <c r="Q711" s="446"/>
      <c r="R711" s="446"/>
      <c r="S711" s="446"/>
      <c r="T711" s="446"/>
      <c r="U711" s="446"/>
      <c r="V711" s="446"/>
    </row>
    <row r="712" ht="15.75" customHeight="1">
      <c r="A712" s="761"/>
      <c r="B712" s="446"/>
      <c r="C712" s="760"/>
      <c r="D712" s="712"/>
      <c r="E712" s="760"/>
      <c r="F712" s="760"/>
      <c r="G712" s="760"/>
      <c r="H712" s="712"/>
      <c r="I712" s="446"/>
      <c r="J712" s="766"/>
      <c r="K712" s="767"/>
      <c r="L712" s="768"/>
      <c r="M712" s="768"/>
      <c r="N712" s="712"/>
      <c r="O712" s="769"/>
      <c r="P712" s="446"/>
      <c r="Q712" s="446"/>
      <c r="R712" s="446"/>
      <c r="S712" s="446"/>
      <c r="T712" s="446"/>
      <c r="U712" s="446"/>
      <c r="V712" s="446"/>
    </row>
    <row r="713" ht="15.75" customHeight="1">
      <c r="A713" s="761"/>
      <c r="B713" s="446"/>
      <c r="C713" s="760"/>
      <c r="D713" s="712"/>
      <c r="E713" s="760"/>
      <c r="F713" s="760"/>
      <c r="G713" s="760"/>
      <c r="H713" s="712"/>
      <c r="I713" s="446"/>
      <c r="J713" s="766"/>
      <c r="K713" s="767"/>
      <c r="L713" s="768"/>
      <c r="M713" s="768"/>
      <c r="N713" s="712"/>
      <c r="O713" s="769"/>
      <c r="P713" s="446"/>
      <c r="Q713" s="446"/>
      <c r="R713" s="446"/>
      <c r="S713" s="446"/>
      <c r="T713" s="446"/>
      <c r="U713" s="446"/>
      <c r="V713" s="446"/>
    </row>
    <row r="714" ht="15.75" customHeight="1">
      <c r="A714" s="761"/>
      <c r="B714" s="446"/>
      <c r="C714" s="760"/>
      <c r="D714" s="712"/>
      <c r="E714" s="760"/>
      <c r="F714" s="760"/>
      <c r="G714" s="760"/>
      <c r="H714" s="712"/>
      <c r="I714" s="446"/>
      <c r="J714" s="766"/>
      <c r="K714" s="767"/>
      <c r="L714" s="768"/>
      <c r="M714" s="768"/>
      <c r="N714" s="712"/>
      <c r="O714" s="769"/>
      <c r="P714" s="446"/>
      <c r="Q714" s="446"/>
      <c r="R714" s="446"/>
      <c r="S714" s="446"/>
      <c r="T714" s="446"/>
      <c r="U714" s="446"/>
      <c r="V714" s="446"/>
    </row>
    <row r="715" ht="15.75" customHeight="1">
      <c r="A715" s="761"/>
      <c r="B715" s="446"/>
      <c r="C715" s="760"/>
      <c r="D715" s="712"/>
      <c r="E715" s="760"/>
      <c r="F715" s="760"/>
      <c r="G715" s="760"/>
      <c r="H715" s="712"/>
      <c r="I715" s="446"/>
      <c r="J715" s="766"/>
      <c r="K715" s="767"/>
      <c r="L715" s="768"/>
      <c r="M715" s="768"/>
      <c r="N715" s="712"/>
      <c r="O715" s="769"/>
      <c r="P715" s="446"/>
      <c r="Q715" s="446"/>
      <c r="R715" s="446"/>
      <c r="S715" s="446"/>
      <c r="T715" s="446"/>
      <c r="U715" s="446"/>
      <c r="V715" s="446"/>
    </row>
    <row r="716" ht="15.75" customHeight="1">
      <c r="A716" s="761"/>
      <c r="B716" s="446"/>
      <c r="C716" s="760"/>
      <c r="D716" s="712"/>
      <c r="E716" s="760"/>
      <c r="F716" s="760"/>
      <c r="G716" s="760"/>
      <c r="H716" s="712"/>
      <c r="I716" s="446"/>
      <c r="J716" s="766"/>
      <c r="K716" s="767"/>
      <c r="L716" s="768"/>
      <c r="M716" s="768"/>
      <c r="N716" s="712"/>
      <c r="O716" s="769"/>
      <c r="P716" s="446"/>
      <c r="Q716" s="446"/>
      <c r="R716" s="446"/>
      <c r="S716" s="446"/>
      <c r="T716" s="446"/>
      <c r="U716" s="446"/>
      <c r="V716" s="446"/>
    </row>
    <row r="717" ht="15.75" customHeight="1">
      <c r="A717" s="761"/>
      <c r="B717" s="446"/>
      <c r="C717" s="760"/>
      <c r="D717" s="712"/>
      <c r="E717" s="760"/>
      <c r="F717" s="760"/>
      <c r="G717" s="760"/>
      <c r="H717" s="712"/>
      <c r="I717" s="446"/>
      <c r="J717" s="766"/>
      <c r="K717" s="767"/>
      <c r="L717" s="768"/>
      <c r="M717" s="768"/>
      <c r="N717" s="712"/>
      <c r="O717" s="769"/>
      <c r="P717" s="446"/>
      <c r="Q717" s="446"/>
      <c r="R717" s="446"/>
      <c r="S717" s="446"/>
      <c r="T717" s="446"/>
      <c r="U717" s="446"/>
      <c r="V717" s="446"/>
    </row>
    <row r="718" ht="15.75" customHeight="1">
      <c r="A718" s="761"/>
      <c r="B718" s="446"/>
      <c r="C718" s="760"/>
      <c r="D718" s="712"/>
      <c r="E718" s="760"/>
      <c r="F718" s="760"/>
      <c r="G718" s="760"/>
      <c r="H718" s="712"/>
      <c r="I718" s="446"/>
      <c r="J718" s="766"/>
      <c r="K718" s="767"/>
      <c r="L718" s="768"/>
      <c r="M718" s="768"/>
      <c r="N718" s="712"/>
      <c r="O718" s="769"/>
      <c r="P718" s="446"/>
      <c r="Q718" s="446"/>
      <c r="R718" s="446"/>
      <c r="S718" s="446"/>
      <c r="T718" s="446"/>
      <c r="U718" s="446"/>
      <c r="V718" s="446"/>
    </row>
    <row r="719" ht="15.75" customHeight="1">
      <c r="A719" s="761"/>
      <c r="B719" s="446"/>
      <c r="C719" s="760"/>
      <c r="D719" s="712"/>
      <c r="E719" s="760"/>
      <c r="F719" s="760"/>
      <c r="G719" s="760"/>
      <c r="H719" s="712"/>
      <c r="I719" s="446"/>
      <c r="J719" s="766"/>
      <c r="K719" s="767"/>
      <c r="L719" s="768"/>
      <c r="M719" s="768"/>
      <c r="N719" s="712"/>
      <c r="O719" s="769"/>
      <c r="P719" s="446"/>
      <c r="Q719" s="446"/>
      <c r="R719" s="446"/>
      <c r="S719" s="446"/>
      <c r="T719" s="446"/>
      <c r="U719" s="446"/>
      <c r="V719" s="446"/>
    </row>
    <row r="720" ht="15.75" customHeight="1">
      <c r="A720" s="761"/>
      <c r="B720" s="446"/>
      <c r="C720" s="760"/>
      <c r="D720" s="712"/>
      <c r="E720" s="760"/>
      <c r="F720" s="760"/>
      <c r="G720" s="760"/>
      <c r="H720" s="712"/>
      <c r="I720" s="446"/>
      <c r="J720" s="766"/>
      <c r="K720" s="767"/>
      <c r="L720" s="768"/>
      <c r="M720" s="768"/>
      <c r="N720" s="712"/>
      <c r="O720" s="769"/>
      <c r="P720" s="446"/>
      <c r="Q720" s="446"/>
      <c r="R720" s="446"/>
      <c r="S720" s="446"/>
      <c r="T720" s="446"/>
      <c r="U720" s="446"/>
      <c r="V720" s="446"/>
    </row>
    <row r="721" ht="15.75" customHeight="1">
      <c r="A721" s="761"/>
      <c r="B721" s="446"/>
      <c r="C721" s="760"/>
      <c r="D721" s="712"/>
      <c r="E721" s="760"/>
      <c r="F721" s="760"/>
      <c r="G721" s="760"/>
      <c r="H721" s="712"/>
      <c r="I721" s="446"/>
      <c r="J721" s="766"/>
      <c r="K721" s="767"/>
      <c r="L721" s="768"/>
      <c r="M721" s="768"/>
      <c r="N721" s="712"/>
      <c r="O721" s="769"/>
      <c r="P721" s="446"/>
      <c r="Q721" s="446"/>
      <c r="R721" s="446"/>
      <c r="S721" s="446"/>
      <c r="T721" s="446"/>
      <c r="U721" s="446"/>
      <c r="V721" s="446"/>
    </row>
    <row r="722" ht="15.75" customHeight="1">
      <c r="A722" s="761"/>
      <c r="B722" s="446"/>
      <c r="C722" s="760"/>
      <c r="D722" s="712"/>
      <c r="E722" s="760"/>
      <c r="F722" s="760"/>
      <c r="G722" s="760"/>
      <c r="H722" s="712"/>
      <c r="I722" s="446"/>
      <c r="J722" s="766"/>
      <c r="K722" s="767"/>
      <c r="L722" s="768"/>
      <c r="M722" s="768"/>
      <c r="N722" s="712"/>
      <c r="O722" s="769"/>
      <c r="P722" s="446"/>
      <c r="Q722" s="446"/>
      <c r="R722" s="446"/>
      <c r="S722" s="446"/>
      <c r="T722" s="446"/>
      <c r="U722" s="446"/>
      <c r="V722" s="446"/>
    </row>
    <row r="723" ht="15.75" customHeight="1">
      <c r="A723" s="761"/>
      <c r="B723" s="446"/>
      <c r="C723" s="760"/>
      <c r="D723" s="712"/>
      <c r="E723" s="760"/>
      <c r="F723" s="760"/>
      <c r="G723" s="760"/>
      <c r="H723" s="712"/>
      <c r="I723" s="446"/>
      <c r="J723" s="766"/>
      <c r="K723" s="767"/>
      <c r="L723" s="768"/>
      <c r="M723" s="768"/>
      <c r="N723" s="712"/>
      <c r="O723" s="769"/>
      <c r="P723" s="446"/>
      <c r="Q723" s="446"/>
      <c r="R723" s="446"/>
      <c r="S723" s="446"/>
      <c r="T723" s="446"/>
      <c r="U723" s="446"/>
      <c r="V723" s="446"/>
    </row>
    <row r="724" ht="15.75" customHeight="1">
      <c r="A724" s="761"/>
      <c r="B724" s="446"/>
      <c r="C724" s="760"/>
      <c r="D724" s="712"/>
      <c r="E724" s="760"/>
      <c r="F724" s="760"/>
      <c r="G724" s="760"/>
      <c r="H724" s="712"/>
      <c r="I724" s="446"/>
      <c r="J724" s="766"/>
      <c r="K724" s="767"/>
      <c r="L724" s="768"/>
      <c r="M724" s="768"/>
      <c r="N724" s="712"/>
      <c r="O724" s="769"/>
      <c r="P724" s="446"/>
      <c r="Q724" s="446"/>
      <c r="R724" s="446"/>
      <c r="S724" s="446"/>
      <c r="T724" s="446"/>
      <c r="U724" s="446"/>
      <c r="V724" s="446"/>
    </row>
    <row r="725" ht="15.75" customHeight="1">
      <c r="A725" s="761"/>
      <c r="B725" s="446"/>
      <c r="C725" s="760"/>
      <c r="D725" s="712"/>
      <c r="E725" s="760"/>
      <c r="F725" s="760"/>
      <c r="G725" s="760"/>
      <c r="H725" s="712"/>
      <c r="I725" s="446"/>
      <c r="J725" s="766"/>
      <c r="K725" s="767"/>
      <c r="L725" s="768"/>
      <c r="M725" s="768"/>
      <c r="N725" s="712"/>
      <c r="O725" s="769"/>
      <c r="P725" s="446"/>
      <c r="Q725" s="446"/>
      <c r="R725" s="446"/>
      <c r="S725" s="446"/>
      <c r="T725" s="446"/>
      <c r="U725" s="446"/>
      <c r="V725" s="446"/>
    </row>
    <row r="726" ht="15.75" customHeight="1">
      <c r="A726" s="761"/>
      <c r="B726" s="446"/>
      <c r="C726" s="760"/>
      <c r="D726" s="712"/>
      <c r="E726" s="760"/>
      <c r="F726" s="760"/>
      <c r="G726" s="760"/>
      <c r="H726" s="712"/>
      <c r="I726" s="446"/>
      <c r="J726" s="766"/>
      <c r="K726" s="767"/>
      <c r="L726" s="768"/>
      <c r="M726" s="768"/>
      <c r="N726" s="712"/>
      <c r="O726" s="769"/>
      <c r="P726" s="446"/>
      <c r="Q726" s="446"/>
      <c r="R726" s="446"/>
      <c r="S726" s="446"/>
      <c r="T726" s="446"/>
      <c r="U726" s="446"/>
      <c r="V726" s="446"/>
    </row>
    <row r="727" ht="15.75" customHeight="1">
      <c r="A727" s="761"/>
      <c r="B727" s="446"/>
      <c r="C727" s="760"/>
      <c r="D727" s="712"/>
      <c r="E727" s="760"/>
      <c r="F727" s="760"/>
      <c r="G727" s="760"/>
      <c r="H727" s="712"/>
      <c r="I727" s="446"/>
      <c r="J727" s="766"/>
      <c r="K727" s="767"/>
      <c r="L727" s="768"/>
      <c r="M727" s="768"/>
      <c r="N727" s="712"/>
      <c r="O727" s="769"/>
      <c r="P727" s="446"/>
      <c r="Q727" s="446"/>
      <c r="R727" s="446"/>
      <c r="S727" s="446"/>
      <c r="T727" s="446"/>
      <c r="U727" s="446"/>
      <c r="V727" s="446"/>
    </row>
    <row r="728" ht="15.75" customHeight="1">
      <c r="A728" s="761"/>
      <c r="B728" s="446"/>
      <c r="C728" s="760"/>
      <c r="D728" s="712"/>
      <c r="E728" s="760"/>
      <c r="F728" s="760"/>
      <c r="G728" s="760"/>
      <c r="H728" s="712"/>
      <c r="I728" s="446"/>
      <c r="J728" s="766"/>
      <c r="K728" s="767"/>
      <c r="L728" s="768"/>
      <c r="M728" s="768"/>
      <c r="N728" s="712"/>
      <c r="O728" s="769"/>
      <c r="P728" s="446"/>
      <c r="Q728" s="446"/>
      <c r="R728" s="446"/>
      <c r="S728" s="446"/>
      <c r="T728" s="446"/>
      <c r="U728" s="446"/>
      <c r="V728" s="446"/>
    </row>
    <row r="729" ht="15.75" customHeight="1">
      <c r="A729" s="761"/>
      <c r="B729" s="446"/>
      <c r="C729" s="760"/>
      <c r="D729" s="712"/>
      <c r="E729" s="760"/>
      <c r="F729" s="760"/>
      <c r="G729" s="760"/>
      <c r="H729" s="712"/>
      <c r="I729" s="446"/>
      <c r="J729" s="766"/>
      <c r="K729" s="767"/>
      <c r="L729" s="768"/>
      <c r="M729" s="768"/>
      <c r="N729" s="712"/>
      <c r="O729" s="769"/>
      <c r="P729" s="446"/>
      <c r="Q729" s="446"/>
      <c r="R729" s="446"/>
      <c r="S729" s="446"/>
      <c r="T729" s="446"/>
      <c r="U729" s="446"/>
      <c r="V729" s="446"/>
    </row>
    <row r="730" ht="15.75" customHeight="1">
      <c r="A730" s="761"/>
      <c r="B730" s="446"/>
      <c r="C730" s="760"/>
      <c r="D730" s="712"/>
      <c r="E730" s="760"/>
      <c r="F730" s="760"/>
      <c r="G730" s="760"/>
      <c r="H730" s="712"/>
      <c r="I730" s="446"/>
      <c r="J730" s="766"/>
      <c r="K730" s="767"/>
      <c r="L730" s="768"/>
      <c r="M730" s="768"/>
      <c r="N730" s="712"/>
      <c r="O730" s="769"/>
      <c r="P730" s="446"/>
      <c r="Q730" s="446"/>
      <c r="R730" s="446"/>
      <c r="S730" s="446"/>
      <c r="T730" s="446"/>
      <c r="U730" s="446"/>
      <c r="V730" s="446"/>
    </row>
    <row r="731" ht="15.75" customHeight="1">
      <c r="A731" s="761"/>
      <c r="B731" s="446"/>
      <c r="C731" s="760"/>
      <c r="D731" s="712"/>
      <c r="E731" s="760"/>
      <c r="F731" s="760"/>
      <c r="G731" s="760"/>
      <c r="H731" s="712"/>
      <c r="I731" s="446"/>
      <c r="J731" s="766"/>
      <c r="K731" s="767"/>
      <c r="L731" s="768"/>
      <c r="M731" s="768"/>
      <c r="N731" s="712"/>
      <c r="O731" s="769"/>
      <c r="P731" s="446"/>
      <c r="Q731" s="446"/>
      <c r="R731" s="446"/>
      <c r="S731" s="446"/>
      <c r="T731" s="446"/>
      <c r="U731" s="446"/>
      <c r="V731" s="446"/>
    </row>
    <row r="732" ht="15.75" customHeight="1">
      <c r="A732" s="761"/>
      <c r="B732" s="446"/>
      <c r="C732" s="760"/>
      <c r="D732" s="712"/>
      <c r="E732" s="760"/>
      <c r="F732" s="760"/>
      <c r="G732" s="760"/>
      <c r="H732" s="712"/>
      <c r="I732" s="446"/>
      <c r="J732" s="766"/>
      <c r="K732" s="767"/>
      <c r="L732" s="768"/>
      <c r="M732" s="768"/>
      <c r="N732" s="712"/>
      <c r="O732" s="769"/>
      <c r="P732" s="446"/>
      <c r="Q732" s="446"/>
      <c r="R732" s="446"/>
      <c r="S732" s="446"/>
      <c r="T732" s="446"/>
      <c r="U732" s="446"/>
      <c r="V732" s="446"/>
    </row>
    <row r="733" ht="15.75" customHeight="1">
      <c r="A733" s="761"/>
      <c r="B733" s="446"/>
      <c r="C733" s="760"/>
      <c r="D733" s="712"/>
      <c r="E733" s="760"/>
      <c r="F733" s="760"/>
      <c r="G733" s="760"/>
      <c r="H733" s="712"/>
      <c r="I733" s="446"/>
      <c r="J733" s="766"/>
      <c r="K733" s="767"/>
      <c r="L733" s="768"/>
      <c r="M733" s="768"/>
      <c r="N733" s="712"/>
      <c r="O733" s="769"/>
      <c r="P733" s="446"/>
      <c r="Q733" s="446"/>
      <c r="R733" s="446"/>
      <c r="S733" s="446"/>
      <c r="T733" s="446"/>
      <c r="U733" s="446"/>
      <c r="V733" s="446"/>
    </row>
    <row r="734" ht="15.75" customHeight="1">
      <c r="A734" s="761"/>
      <c r="B734" s="446"/>
      <c r="C734" s="760"/>
      <c r="D734" s="712"/>
      <c r="E734" s="760"/>
      <c r="F734" s="760"/>
      <c r="G734" s="760"/>
      <c r="H734" s="712"/>
      <c r="I734" s="446"/>
      <c r="J734" s="766"/>
      <c r="K734" s="767"/>
      <c r="L734" s="768"/>
      <c r="M734" s="768"/>
      <c r="N734" s="712"/>
      <c r="O734" s="769"/>
      <c r="P734" s="446"/>
      <c r="Q734" s="446"/>
      <c r="R734" s="446"/>
      <c r="S734" s="446"/>
      <c r="T734" s="446"/>
      <c r="U734" s="446"/>
      <c r="V734" s="446"/>
    </row>
    <row r="735" ht="15.75" customHeight="1">
      <c r="A735" s="761"/>
      <c r="B735" s="446"/>
      <c r="C735" s="760"/>
      <c r="D735" s="712"/>
      <c r="E735" s="760"/>
      <c r="F735" s="760"/>
      <c r="G735" s="760"/>
      <c r="H735" s="712"/>
      <c r="I735" s="446"/>
      <c r="J735" s="766"/>
      <c r="K735" s="767"/>
      <c r="L735" s="768"/>
      <c r="M735" s="768"/>
      <c r="N735" s="712"/>
      <c r="O735" s="769"/>
      <c r="P735" s="446"/>
      <c r="Q735" s="446"/>
      <c r="R735" s="446"/>
      <c r="S735" s="446"/>
      <c r="T735" s="446"/>
      <c r="U735" s="446"/>
      <c r="V735" s="446"/>
    </row>
    <row r="736" ht="15.75" customHeight="1">
      <c r="A736" s="761"/>
      <c r="B736" s="446"/>
      <c r="C736" s="760"/>
      <c r="D736" s="712"/>
      <c r="E736" s="760"/>
      <c r="F736" s="760"/>
      <c r="G736" s="760"/>
      <c r="H736" s="712"/>
      <c r="I736" s="446"/>
      <c r="J736" s="766"/>
      <c r="K736" s="767"/>
      <c r="L736" s="768"/>
      <c r="M736" s="768"/>
      <c r="N736" s="712"/>
      <c r="O736" s="769"/>
      <c r="P736" s="446"/>
      <c r="Q736" s="446"/>
      <c r="R736" s="446"/>
      <c r="S736" s="446"/>
      <c r="T736" s="446"/>
      <c r="U736" s="446"/>
      <c r="V736" s="446"/>
    </row>
    <row r="737" ht="15.75" customHeight="1">
      <c r="A737" s="761"/>
      <c r="B737" s="446"/>
      <c r="C737" s="760"/>
      <c r="D737" s="712"/>
      <c r="E737" s="760"/>
      <c r="F737" s="760"/>
      <c r="G737" s="760"/>
      <c r="H737" s="712"/>
      <c r="I737" s="446"/>
      <c r="J737" s="766"/>
      <c r="K737" s="767"/>
      <c r="L737" s="768"/>
      <c r="M737" s="768"/>
      <c r="N737" s="712"/>
      <c r="O737" s="769"/>
      <c r="P737" s="446"/>
      <c r="Q737" s="446"/>
      <c r="R737" s="446"/>
      <c r="S737" s="446"/>
      <c r="T737" s="446"/>
      <c r="U737" s="446"/>
      <c r="V737" s="446"/>
    </row>
    <row r="738" ht="15.75" customHeight="1">
      <c r="A738" s="761"/>
      <c r="B738" s="446"/>
      <c r="C738" s="760"/>
      <c r="D738" s="712"/>
      <c r="E738" s="760"/>
      <c r="F738" s="760"/>
      <c r="G738" s="760"/>
      <c r="H738" s="712"/>
      <c r="I738" s="446"/>
      <c r="J738" s="766"/>
      <c r="K738" s="767"/>
      <c r="L738" s="768"/>
      <c r="M738" s="768"/>
      <c r="N738" s="712"/>
      <c r="O738" s="769"/>
      <c r="P738" s="446"/>
      <c r="Q738" s="446"/>
      <c r="R738" s="446"/>
      <c r="S738" s="446"/>
      <c r="T738" s="446"/>
      <c r="U738" s="446"/>
      <c r="V738" s="446"/>
    </row>
    <row r="739" ht="15.75" customHeight="1">
      <c r="A739" s="761"/>
      <c r="B739" s="446"/>
      <c r="C739" s="760"/>
      <c r="D739" s="712"/>
      <c r="E739" s="760"/>
      <c r="F739" s="760"/>
      <c r="G739" s="760"/>
      <c r="H739" s="712"/>
      <c r="I739" s="446"/>
      <c r="J739" s="766"/>
      <c r="K739" s="767"/>
      <c r="L739" s="768"/>
      <c r="M739" s="768"/>
      <c r="N739" s="712"/>
      <c r="O739" s="769"/>
      <c r="P739" s="446"/>
      <c r="Q739" s="446"/>
      <c r="R739" s="446"/>
      <c r="S739" s="446"/>
      <c r="T739" s="446"/>
      <c r="U739" s="446"/>
      <c r="V739" s="446"/>
    </row>
    <row r="740" ht="15.75" customHeight="1">
      <c r="A740" s="761"/>
      <c r="B740" s="446"/>
      <c r="C740" s="760"/>
      <c r="D740" s="712"/>
      <c r="E740" s="760"/>
      <c r="F740" s="760"/>
      <c r="G740" s="760"/>
      <c r="H740" s="712"/>
      <c r="I740" s="446"/>
      <c r="J740" s="766"/>
      <c r="K740" s="767"/>
      <c r="L740" s="768"/>
      <c r="M740" s="768"/>
      <c r="N740" s="712"/>
      <c r="O740" s="769"/>
      <c r="P740" s="446"/>
      <c r="Q740" s="446"/>
      <c r="R740" s="446"/>
      <c r="S740" s="446"/>
      <c r="T740" s="446"/>
      <c r="U740" s="446"/>
      <c r="V740" s="446"/>
    </row>
    <row r="741" ht="15.75" customHeight="1">
      <c r="A741" s="761"/>
      <c r="B741" s="446"/>
      <c r="C741" s="760"/>
      <c r="D741" s="712"/>
      <c r="E741" s="760"/>
      <c r="F741" s="760"/>
      <c r="G741" s="760"/>
      <c r="H741" s="712"/>
      <c r="I741" s="446"/>
      <c r="J741" s="766"/>
      <c r="K741" s="767"/>
      <c r="L741" s="768"/>
      <c r="M741" s="768"/>
      <c r="N741" s="712"/>
      <c r="O741" s="769"/>
      <c r="P741" s="446"/>
      <c r="Q741" s="446"/>
      <c r="R741" s="446"/>
      <c r="S741" s="446"/>
      <c r="T741" s="446"/>
      <c r="U741" s="446"/>
      <c r="V741" s="446"/>
    </row>
    <row r="742" ht="15.75" customHeight="1">
      <c r="A742" s="761"/>
      <c r="B742" s="446"/>
      <c r="C742" s="760"/>
      <c r="D742" s="712"/>
      <c r="E742" s="760"/>
      <c r="F742" s="760"/>
      <c r="G742" s="760"/>
      <c r="H742" s="712"/>
      <c r="I742" s="446"/>
      <c r="J742" s="766"/>
      <c r="K742" s="767"/>
      <c r="L742" s="768"/>
      <c r="M742" s="768"/>
      <c r="N742" s="712"/>
      <c r="O742" s="769"/>
      <c r="P742" s="446"/>
      <c r="Q742" s="446"/>
      <c r="R742" s="446"/>
      <c r="S742" s="446"/>
      <c r="T742" s="446"/>
      <c r="U742" s="446"/>
      <c r="V742" s="446"/>
    </row>
    <row r="743" ht="15.75" customHeight="1">
      <c r="A743" s="761"/>
      <c r="B743" s="446"/>
      <c r="C743" s="760"/>
      <c r="D743" s="712"/>
      <c r="E743" s="760"/>
      <c r="F743" s="760"/>
      <c r="G743" s="760"/>
      <c r="H743" s="712"/>
      <c r="I743" s="446"/>
      <c r="J743" s="766"/>
      <c r="K743" s="767"/>
      <c r="L743" s="768"/>
      <c r="M743" s="768"/>
      <c r="N743" s="712"/>
      <c r="O743" s="769"/>
      <c r="P743" s="446"/>
      <c r="Q743" s="446"/>
      <c r="R743" s="446"/>
      <c r="S743" s="446"/>
      <c r="T743" s="446"/>
      <c r="U743" s="446"/>
      <c r="V743" s="446"/>
    </row>
    <row r="744" ht="15.75" customHeight="1">
      <c r="A744" s="761"/>
      <c r="B744" s="446"/>
      <c r="C744" s="760"/>
      <c r="D744" s="712"/>
      <c r="E744" s="760"/>
      <c r="F744" s="760"/>
      <c r="G744" s="760"/>
      <c r="H744" s="712"/>
      <c r="I744" s="446"/>
      <c r="J744" s="766"/>
      <c r="K744" s="767"/>
      <c r="L744" s="768"/>
      <c r="M744" s="768"/>
      <c r="N744" s="712"/>
      <c r="O744" s="769"/>
      <c r="P744" s="446"/>
      <c r="Q744" s="446"/>
      <c r="R744" s="446"/>
      <c r="S744" s="446"/>
      <c r="T744" s="446"/>
      <c r="U744" s="446"/>
      <c r="V744" s="446"/>
    </row>
    <row r="745" ht="15.75" customHeight="1">
      <c r="A745" s="761"/>
      <c r="B745" s="446"/>
      <c r="C745" s="760"/>
      <c r="D745" s="712"/>
      <c r="E745" s="760"/>
      <c r="F745" s="760"/>
      <c r="G745" s="760"/>
      <c r="H745" s="712"/>
      <c r="I745" s="446"/>
      <c r="J745" s="766"/>
      <c r="K745" s="767"/>
      <c r="L745" s="768"/>
      <c r="M745" s="768"/>
      <c r="N745" s="712"/>
      <c r="O745" s="769"/>
      <c r="P745" s="446"/>
      <c r="Q745" s="446"/>
      <c r="R745" s="446"/>
      <c r="S745" s="446"/>
      <c r="T745" s="446"/>
      <c r="U745" s="446"/>
      <c r="V745" s="446"/>
    </row>
    <row r="746" ht="15.75" customHeight="1">
      <c r="A746" s="761"/>
      <c r="B746" s="446"/>
      <c r="C746" s="760"/>
      <c r="D746" s="712"/>
      <c r="E746" s="760"/>
      <c r="F746" s="760"/>
      <c r="G746" s="760"/>
      <c r="H746" s="712"/>
      <c r="I746" s="446"/>
      <c r="J746" s="766"/>
      <c r="K746" s="767"/>
      <c r="L746" s="768"/>
      <c r="M746" s="768"/>
      <c r="N746" s="712"/>
      <c r="O746" s="769"/>
      <c r="P746" s="446"/>
      <c r="Q746" s="446"/>
      <c r="R746" s="446"/>
      <c r="S746" s="446"/>
      <c r="T746" s="446"/>
      <c r="U746" s="446"/>
      <c r="V746" s="446"/>
    </row>
    <row r="747" ht="15.75" customHeight="1">
      <c r="A747" s="761"/>
      <c r="B747" s="446"/>
      <c r="C747" s="760"/>
      <c r="D747" s="712"/>
      <c r="E747" s="760"/>
      <c r="F747" s="760"/>
      <c r="G747" s="760"/>
      <c r="H747" s="712"/>
      <c r="I747" s="446"/>
      <c r="J747" s="766"/>
      <c r="K747" s="767"/>
      <c r="L747" s="768"/>
      <c r="M747" s="768"/>
      <c r="N747" s="712"/>
      <c r="O747" s="769"/>
      <c r="P747" s="446"/>
      <c r="Q747" s="446"/>
      <c r="R747" s="446"/>
      <c r="S747" s="446"/>
      <c r="T747" s="446"/>
      <c r="U747" s="446"/>
      <c r="V747" s="446"/>
    </row>
    <row r="748" ht="15.75" customHeight="1">
      <c r="A748" s="761"/>
      <c r="B748" s="446"/>
      <c r="C748" s="760"/>
      <c r="D748" s="712"/>
      <c r="E748" s="760"/>
      <c r="F748" s="760"/>
      <c r="G748" s="760"/>
      <c r="H748" s="712"/>
      <c r="I748" s="446"/>
      <c r="J748" s="766"/>
      <c r="K748" s="767"/>
      <c r="L748" s="768"/>
      <c r="M748" s="768"/>
      <c r="N748" s="712"/>
      <c r="O748" s="769"/>
      <c r="P748" s="446"/>
      <c r="Q748" s="446"/>
      <c r="R748" s="446"/>
      <c r="S748" s="446"/>
      <c r="T748" s="446"/>
      <c r="U748" s="446"/>
      <c r="V748" s="446"/>
    </row>
    <row r="749" ht="15.75" customHeight="1">
      <c r="A749" s="761"/>
      <c r="B749" s="446"/>
      <c r="C749" s="760"/>
      <c r="D749" s="712"/>
      <c r="E749" s="760"/>
      <c r="F749" s="760"/>
      <c r="G749" s="760"/>
      <c r="H749" s="712"/>
      <c r="I749" s="446"/>
      <c r="J749" s="766"/>
      <c r="K749" s="767"/>
      <c r="L749" s="768"/>
      <c r="M749" s="768"/>
      <c r="N749" s="712"/>
      <c r="O749" s="769"/>
      <c r="P749" s="446"/>
      <c r="Q749" s="446"/>
      <c r="R749" s="446"/>
      <c r="S749" s="446"/>
      <c r="T749" s="446"/>
      <c r="U749" s="446"/>
      <c r="V749" s="446"/>
    </row>
    <row r="750" ht="15.75" customHeight="1">
      <c r="A750" s="761"/>
      <c r="B750" s="446"/>
      <c r="C750" s="760"/>
      <c r="D750" s="712"/>
      <c r="E750" s="760"/>
      <c r="F750" s="760"/>
      <c r="G750" s="760"/>
      <c r="H750" s="712"/>
      <c r="I750" s="446"/>
      <c r="J750" s="766"/>
      <c r="K750" s="767"/>
      <c r="L750" s="768"/>
      <c r="M750" s="768"/>
      <c r="N750" s="712"/>
      <c r="O750" s="769"/>
      <c r="P750" s="446"/>
      <c r="Q750" s="446"/>
      <c r="R750" s="446"/>
      <c r="S750" s="446"/>
      <c r="T750" s="446"/>
      <c r="U750" s="446"/>
      <c r="V750" s="446"/>
    </row>
    <row r="751" ht="15.75" customHeight="1">
      <c r="A751" s="761"/>
      <c r="B751" s="446"/>
      <c r="C751" s="760"/>
      <c r="D751" s="712"/>
      <c r="E751" s="760"/>
      <c r="F751" s="760"/>
      <c r="G751" s="760"/>
      <c r="H751" s="712"/>
      <c r="I751" s="446"/>
      <c r="J751" s="766"/>
      <c r="K751" s="767"/>
      <c r="L751" s="768"/>
      <c r="M751" s="768"/>
      <c r="N751" s="712"/>
      <c r="O751" s="769"/>
      <c r="P751" s="446"/>
      <c r="Q751" s="446"/>
      <c r="R751" s="446"/>
      <c r="S751" s="446"/>
      <c r="T751" s="446"/>
      <c r="U751" s="446"/>
      <c r="V751" s="446"/>
    </row>
    <row r="752" ht="15.75" customHeight="1">
      <c r="A752" s="761"/>
      <c r="B752" s="446"/>
      <c r="C752" s="760"/>
      <c r="D752" s="712"/>
      <c r="E752" s="760"/>
      <c r="F752" s="760"/>
      <c r="G752" s="760"/>
      <c r="H752" s="712"/>
      <c r="I752" s="446"/>
      <c r="J752" s="766"/>
      <c r="K752" s="767"/>
      <c r="L752" s="768"/>
      <c r="M752" s="768"/>
      <c r="N752" s="712"/>
      <c r="O752" s="769"/>
      <c r="P752" s="446"/>
      <c r="Q752" s="446"/>
      <c r="R752" s="446"/>
      <c r="S752" s="446"/>
      <c r="T752" s="446"/>
      <c r="U752" s="446"/>
      <c r="V752" s="446"/>
    </row>
    <row r="753" ht="15.75" customHeight="1">
      <c r="A753" s="761"/>
      <c r="B753" s="446"/>
      <c r="C753" s="760"/>
      <c r="D753" s="712"/>
      <c r="E753" s="760"/>
      <c r="F753" s="760"/>
      <c r="G753" s="760"/>
      <c r="H753" s="712"/>
      <c r="I753" s="446"/>
      <c r="J753" s="766"/>
      <c r="K753" s="767"/>
      <c r="L753" s="768"/>
      <c r="M753" s="768"/>
      <c r="N753" s="712"/>
      <c r="O753" s="769"/>
      <c r="P753" s="446"/>
      <c r="Q753" s="446"/>
      <c r="R753" s="446"/>
      <c r="S753" s="446"/>
      <c r="T753" s="446"/>
      <c r="U753" s="446"/>
      <c r="V753" s="446"/>
    </row>
    <row r="754" ht="15.75" customHeight="1">
      <c r="A754" s="761"/>
      <c r="B754" s="446"/>
      <c r="C754" s="760"/>
      <c r="D754" s="712"/>
      <c r="E754" s="760"/>
      <c r="F754" s="760"/>
      <c r="G754" s="760"/>
      <c r="H754" s="712"/>
      <c r="I754" s="446"/>
      <c r="J754" s="766"/>
      <c r="K754" s="767"/>
      <c r="L754" s="768"/>
      <c r="M754" s="768"/>
      <c r="N754" s="712"/>
      <c r="O754" s="769"/>
      <c r="P754" s="446"/>
      <c r="Q754" s="446"/>
      <c r="R754" s="446"/>
      <c r="S754" s="446"/>
      <c r="T754" s="446"/>
      <c r="U754" s="446"/>
      <c r="V754" s="446"/>
    </row>
    <row r="755" ht="15.75" customHeight="1">
      <c r="A755" s="761"/>
      <c r="B755" s="446"/>
      <c r="C755" s="760"/>
      <c r="D755" s="712"/>
      <c r="E755" s="760"/>
      <c r="F755" s="760"/>
      <c r="G755" s="760"/>
      <c r="H755" s="712"/>
      <c r="I755" s="446"/>
      <c r="J755" s="766"/>
      <c r="K755" s="767"/>
      <c r="L755" s="768"/>
      <c r="M755" s="768"/>
      <c r="N755" s="712"/>
      <c r="O755" s="769"/>
      <c r="P755" s="446"/>
      <c r="Q755" s="446"/>
      <c r="R755" s="446"/>
      <c r="S755" s="446"/>
      <c r="T755" s="446"/>
      <c r="U755" s="446"/>
      <c r="V755" s="446"/>
    </row>
    <row r="756" ht="15.75" customHeight="1">
      <c r="A756" s="761"/>
      <c r="B756" s="446"/>
      <c r="C756" s="760"/>
      <c r="D756" s="712"/>
      <c r="E756" s="760"/>
      <c r="F756" s="760"/>
      <c r="G756" s="760"/>
      <c r="H756" s="712"/>
      <c r="I756" s="446"/>
      <c r="J756" s="766"/>
      <c r="K756" s="767"/>
      <c r="L756" s="768"/>
      <c r="M756" s="768"/>
      <c r="N756" s="712"/>
      <c r="O756" s="769"/>
      <c r="P756" s="446"/>
      <c r="Q756" s="446"/>
      <c r="R756" s="446"/>
      <c r="S756" s="446"/>
      <c r="T756" s="446"/>
      <c r="U756" s="446"/>
      <c r="V756" s="446"/>
    </row>
    <row r="757" ht="15.75" customHeight="1">
      <c r="A757" s="761"/>
      <c r="B757" s="446"/>
      <c r="C757" s="760"/>
      <c r="D757" s="712"/>
      <c r="E757" s="760"/>
      <c r="F757" s="760"/>
      <c r="G757" s="760"/>
      <c r="H757" s="712"/>
      <c r="I757" s="446"/>
      <c r="J757" s="766"/>
      <c r="K757" s="767"/>
      <c r="L757" s="768"/>
      <c r="M757" s="768"/>
      <c r="N757" s="712"/>
      <c r="O757" s="769"/>
      <c r="P757" s="446"/>
      <c r="Q757" s="446"/>
      <c r="R757" s="446"/>
      <c r="S757" s="446"/>
      <c r="T757" s="446"/>
      <c r="U757" s="446"/>
      <c r="V757" s="446"/>
    </row>
    <row r="758" ht="15.75" customHeight="1">
      <c r="A758" s="761"/>
      <c r="B758" s="446"/>
      <c r="C758" s="760"/>
      <c r="D758" s="712"/>
      <c r="E758" s="760"/>
      <c r="F758" s="760"/>
      <c r="G758" s="760"/>
      <c r="H758" s="712"/>
      <c r="I758" s="446"/>
      <c r="J758" s="766"/>
      <c r="K758" s="767"/>
      <c r="L758" s="768"/>
      <c r="M758" s="768"/>
      <c r="N758" s="712"/>
      <c r="O758" s="769"/>
      <c r="P758" s="446"/>
      <c r="Q758" s="446"/>
      <c r="R758" s="446"/>
      <c r="S758" s="446"/>
      <c r="T758" s="446"/>
      <c r="U758" s="446"/>
      <c r="V758" s="446"/>
    </row>
    <row r="759" ht="15.75" customHeight="1">
      <c r="A759" s="761"/>
      <c r="B759" s="446"/>
      <c r="C759" s="760"/>
      <c r="D759" s="712"/>
      <c r="E759" s="760"/>
      <c r="F759" s="760"/>
      <c r="G759" s="760"/>
      <c r="H759" s="712"/>
      <c r="I759" s="446"/>
      <c r="J759" s="766"/>
      <c r="K759" s="767"/>
      <c r="L759" s="768"/>
      <c r="M759" s="768"/>
      <c r="N759" s="712"/>
      <c r="O759" s="769"/>
      <c r="P759" s="446"/>
      <c r="Q759" s="446"/>
      <c r="R759" s="446"/>
      <c r="S759" s="446"/>
      <c r="T759" s="446"/>
      <c r="U759" s="446"/>
      <c r="V759" s="446"/>
    </row>
    <row r="760" ht="15.75" customHeight="1">
      <c r="A760" s="761"/>
      <c r="B760" s="446"/>
      <c r="C760" s="760"/>
      <c r="D760" s="712"/>
      <c r="E760" s="760"/>
      <c r="F760" s="760"/>
      <c r="G760" s="760"/>
      <c r="H760" s="712"/>
      <c r="I760" s="446"/>
      <c r="J760" s="766"/>
      <c r="K760" s="767"/>
      <c r="L760" s="768"/>
      <c r="M760" s="768"/>
      <c r="N760" s="712"/>
      <c r="O760" s="769"/>
      <c r="P760" s="446"/>
      <c r="Q760" s="446"/>
      <c r="R760" s="446"/>
      <c r="S760" s="446"/>
      <c r="T760" s="446"/>
      <c r="U760" s="446"/>
      <c r="V760" s="446"/>
    </row>
    <row r="761" ht="15.75" customHeight="1">
      <c r="A761" s="761"/>
      <c r="B761" s="446"/>
      <c r="C761" s="760"/>
      <c r="D761" s="712"/>
      <c r="E761" s="760"/>
      <c r="F761" s="760"/>
      <c r="G761" s="760"/>
      <c r="H761" s="712"/>
      <c r="I761" s="446"/>
      <c r="J761" s="766"/>
      <c r="K761" s="767"/>
      <c r="L761" s="768"/>
      <c r="M761" s="768"/>
      <c r="N761" s="712"/>
      <c r="O761" s="769"/>
      <c r="P761" s="446"/>
      <c r="Q761" s="446"/>
      <c r="R761" s="446"/>
      <c r="S761" s="446"/>
      <c r="T761" s="446"/>
      <c r="U761" s="446"/>
      <c r="V761" s="446"/>
    </row>
    <row r="762" ht="15.75" customHeight="1">
      <c r="A762" s="761"/>
      <c r="B762" s="446"/>
      <c r="C762" s="760"/>
      <c r="D762" s="712"/>
      <c r="E762" s="760"/>
      <c r="F762" s="760"/>
      <c r="G762" s="760"/>
      <c r="H762" s="712"/>
      <c r="I762" s="446"/>
      <c r="J762" s="766"/>
      <c r="K762" s="767"/>
      <c r="L762" s="768"/>
      <c r="M762" s="768"/>
      <c r="N762" s="712"/>
      <c r="O762" s="769"/>
      <c r="P762" s="446"/>
      <c r="Q762" s="446"/>
      <c r="R762" s="446"/>
      <c r="S762" s="446"/>
      <c r="T762" s="446"/>
      <c r="U762" s="446"/>
      <c r="V762" s="446"/>
    </row>
    <row r="763" ht="15.75" customHeight="1">
      <c r="A763" s="761"/>
      <c r="B763" s="446"/>
      <c r="C763" s="760"/>
      <c r="D763" s="712"/>
      <c r="E763" s="760"/>
      <c r="F763" s="760"/>
      <c r="G763" s="760"/>
      <c r="H763" s="712"/>
      <c r="I763" s="446"/>
      <c r="J763" s="766"/>
      <c r="K763" s="767"/>
      <c r="L763" s="768"/>
      <c r="M763" s="768"/>
      <c r="N763" s="712"/>
      <c r="O763" s="769"/>
      <c r="P763" s="446"/>
      <c r="Q763" s="446"/>
      <c r="R763" s="446"/>
      <c r="S763" s="446"/>
      <c r="T763" s="446"/>
      <c r="U763" s="446"/>
      <c r="V763" s="446"/>
    </row>
    <row r="764" ht="15.75" customHeight="1">
      <c r="A764" s="761"/>
      <c r="B764" s="446"/>
      <c r="C764" s="760"/>
      <c r="D764" s="712"/>
      <c r="E764" s="760"/>
      <c r="F764" s="760"/>
      <c r="G764" s="760"/>
      <c r="H764" s="712"/>
      <c r="I764" s="446"/>
      <c r="J764" s="766"/>
      <c r="K764" s="767"/>
      <c r="L764" s="768"/>
      <c r="M764" s="768"/>
      <c r="N764" s="712"/>
      <c r="O764" s="769"/>
      <c r="P764" s="446"/>
      <c r="Q764" s="446"/>
      <c r="R764" s="446"/>
      <c r="S764" s="446"/>
      <c r="T764" s="446"/>
      <c r="U764" s="446"/>
      <c r="V764" s="446"/>
    </row>
    <row r="765" ht="15.75" customHeight="1">
      <c r="A765" s="761"/>
      <c r="B765" s="446"/>
      <c r="C765" s="760"/>
      <c r="D765" s="712"/>
      <c r="E765" s="760"/>
      <c r="F765" s="760"/>
      <c r="G765" s="760"/>
      <c r="H765" s="712"/>
      <c r="I765" s="446"/>
      <c r="J765" s="766"/>
      <c r="K765" s="767"/>
      <c r="L765" s="768"/>
      <c r="M765" s="768"/>
      <c r="N765" s="712"/>
      <c r="O765" s="769"/>
      <c r="P765" s="446"/>
      <c r="Q765" s="446"/>
      <c r="R765" s="446"/>
      <c r="S765" s="446"/>
      <c r="T765" s="446"/>
      <c r="U765" s="446"/>
      <c r="V765" s="446"/>
    </row>
    <row r="766" ht="15.75" customHeight="1">
      <c r="A766" s="761"/>
      <c r="B766" s="446"/>
      <c r="C766" s="760"/>
      <c r="D766" s="712"/>
      <c r="E766" s="760"/>
      <c r="F766" s="760"/>
      <c r="G766" s="760"/>
      <c r="H766" s="712"/>
      <c r="I766" s="446"/>
      <c r="J766" s="766"/>
      <c r="K766" s="767"/>
      <c r="L766" s="768"/>
      <c r="M766" s="768"/>
      <c r="N766" s="712"/>
      <c r="O766" s="769"/>
      <c r="P766" s="446"/>
      <c r="Q766" s="446"/>
      <c r="R766" s="446"/>
      <c r="S766" s="446"/>
      <c r="T766" s="446"/>
      <c r="U766" s="446"/>
      <c r="V766" s="446"/>
    </row>
    <row r="767" ht="15.75" customHeight="1">
      <c r="A767" s="761"/>
      <c r="B767" s="446"/>
      <c r="C767" s="760"/>
      <c r="D767" s="712"/>
      <c r="E767" s="760"/>
      <c r="F767" s="760"/>
      <c r="G767" s="760"/>
      <c r="H767" s="712"/>
      <c r="I767" s="446"/>
      <c r="J767" s="766"/>
      <c r="K767" s="767"/>
      <c r="L767" s="768"/>
      <c r="M767" s="768"/>
      <c r="N767" s="712"/>
      <c r="O767" s="769"/>
      <c r="P767" s="446"/>
      <c r="Q767" s="446"/>
      <c r="R767" s="446"/>
      <c r="S767" s="446"/>
      <c r="T767" s="446"/>
      <c r="U767" s="446"/>
      <c r="V767" s="446"/>
    </row>
    <row r="768" ht="15.75" customHeight="1">
      <c r="A768" s="761"/>
      <c r="B768" s="446"/>
      <c r="C768" s="760"/>
      <c r="D768" s="712"/>
      <c r="E768" s="760"/>
      <c r="F768" s="760"/>
      <c r="G768" s="760"/>
      <c r="H768" s="712"/>
      <c r="I768" s="446"/>
      <c r="J768" s="766"/>
      <c r="K768" s="767"/>
      <c r="L768" s="768"/>
      <c r="M768" s="768"/>
      <c r="N768" s="712"/>
      <c r="O768" s="769"/>
      <c r="P768" s="446"/>
      <c r="Q768" s="446"/>
      <c r="R768" s="446"/>
      <c r="S768" s="446"/>
      <c r="T768" s="446"/>
      <c r="U768" s="446"/>
      <c r="V768" s="446"/>
    </row>
    <row r="769" ht="15.75" customHeight="1">
      <c r="A769" s="761"/>
      <c r="B769" s="446"/>
      <c r="C769" s="760"/>
      <c r="D769" s="712"/>
      <c r="E769" s="760"/>
      <c r="F769" s="760"/>
      <c r="G769" s="760"/>
      <c r="H769" s="712"/>
      <c r="I769" s="446"/>
      <c r="J769" s="766"/>
      <c r="K769" s="767"/>
      <c r="L769" s="768"/>
      <c r="M769" s="768"/>
      <c r="N769" s="712"/>
      <c r="O769" s="769"/>
      <c r="P769" s="446"/>
      <c r="Q769" s="446"/>
      <c r="R769" s="446"/>
      <c r="S769" s="446"/>
      <c r="T769" s="446"/>
      <c r="U769" s="446"/>
      <c r="V769" s="446"/>
    </row>
    <row r="770" ht="15.75" customHeight="1">
      <c r="A770" s="761"/>
      <c r="B770" s="446"/>
      <c r="C770" s="760"/>
      <c r="D770" s="712"/>
      <c r="E770" s="760"/>
      <c r="F770" s="760"/>
      <c r="G770" s="760"/>
      <c r="H770" s="712"/>
      <c r="I770" s="446"/>
      <c r="J770" s="766"/>
      <c r="K770" s="767"/>
      <c r="L770" s="768"/>
      <c r="M770" s="768"/>
      <c r="N770" s="712"/>
      <c r="O770" s="769"/>
      <c r="P770" s="446"/>
      <c r="Q770" s="446"/>
      <c r="R770" s="446"/>
      <c r="S770" s="446"/>
      <c r="T770" s="446"/>
      <c r="U770" s="446"/>
      <c r="V770" s="446"/>
    </row>
    <row r="771" ht="15.75" customHeight="1">
      <c r="A771" s="761"/>
      <c r="B771" s="446"/>
      <c r="C771" s="760"/>
      <c r="D771" s="712"/>
      <c r="E771" s="760"/>
      <c r="F771" s="760"/>
      <c r="G771" s="760"/>
      <c r="H771" s="712"/>
      <c r="I771" s="446"/>
      <c r="J771" s="766"/>
      <c r="K771" s="767"/>
      <c r="L771" s="768"/>
      <c r="M771" s="768"/>
      <c r="N771" s="712"/>
      <c r="O771" s="769"/>
      <c r="P771" s="446"/>
      <c r="Q771" s="446"/>
      <c r="R771" s="446"/>
      <c r="S771" s="446"/>
      <c r="T771" s="446"/>
      <c r="U771" s="446"/>
      <c r="V771" s="446"/>
    </row>
    <row r="772" ht="15.75" customHeight="1">
      <c r="A772" s="761"/>
      <c r="B772" s="446"/>
      <c r="C772" s="760"/>
      <c r="D772" s="712"/>
      <c r="E772" s="760"/>
      <c r="F772" s="760"/>
      <c r="G772" s="760"/>
      <c r="H772" s="712"/>
      <c r="I772" s="446"/>
      <c r="J772" s="766"/>
      <c r="K772" s="767"/>
      <c r="L772" s="768"/>
      <c r="M772" s="768"/>
      <c r="N772" s="712"/>
      <c r="O772" s="769"/>
      <c r="P772" s="446"/>
      <c r="Q772" s="446"/>
      <c r="R772" s="446"/>
      <c r="S772" s="446"/>
      <c r="T772" s="446"/>
      <c r="U772" s="446"/>
      <c r="V772" s="446"/>
    </row>
    <row r="773" ht="15.75" customHeight="1">
      <c r="A773" s="761"/>
      <c r="B773" s="446"/>
      <c r="C773" s="760"/>
      <c r="D773" s="712"/>
      <c r="E773" s="760"/>
      <c r="F773" s="760"/>
      <c r="G773" s="760"/>
      <c r="H773" s="712"/>
      <c r="I773" s="446"/>
      <c r="J773" s="766"/>
      <c r="K773" s="767"/>
      <c r="L773" s="768"/>
      <c r="M773" s="768"/>
      <c r="N773" s="712"/>
      <c r="O773" s="769"/>
      <c r="P773" s="446"/>
      <c r="Q773" s="446"/>
      <c r="R773" s="446"/>
      <c r="S773" s="446"/>
      <c r="T773" s="446"/>
      <c r="U773" s="446"/>
      <c r="V773" s="446"/>
    </row>
    <row r="774" ht="15.75" customHeight="1">
      <c r="A774" s="761"/>
      <c r="B774" s="446"/>
      <c r="C774" s="760"/>
      <c r="D774" s="712"/>
      <c r="E774" s="760"/>
      <c r="F774" s="760"/>
      <c r="G774" s="760"/>
      <c r="H774" s="712"/>
      <c r="I774" s="446"/>
      <c r="J774" s="766"/>
      <c r="K774" s="767"/>
      <c r="L774" s="768"/>
      <c r="M774" s="768"/>
      <c r="N774" s="712"/>
      <c r="O774" s="769"/>
      <c r="P774" s="446"/>
      <c r="Q774" s="446"/>
      <c r="R774" s="446"/>
      <c r="S774" s="446"/>
      <c r="T774" s="446"/>
      <c r="U774" s="446"/>
      <c r="V774" s="446"/>
    </row>
    <row r="775" ht="15.75" customHeight="1">
      <c r="A775" s="761"/>
      <c r="B775" s="446"/>
      <c r="C775" s="760"/>
      <c r="D775" s="712"/>
      <c r="E775" s="760"/>
      <c r="F775" s="760"/>
      <c r="G775" s="760"/>
      <c r="H775" s="712"/>
      <c r="I775" s="446"/>
      <c r="J775" s="766"/>
      <c r="K775" s="767"/>
      <c r="L775" s="768"/>
      <c r="M775" s="768"/>
      <c r="N775" s="712"/>
      <c r="O775" s="769"/>
      <c r="P775" s="446"/>
      <c r="Q775" s="446"/>
      <c r="R775" s="446"/>
      <c r="S775" s="446"/>
      <c r="T775" s="446"/>
      <c r="U775" s="446"/>
      <c r="V775" s="446"/>
    </row>
    <row r="776" ht="15.75" customHeight="1">
      <c r="A776" s="761"/>
      <c r="B776" s="446"/>
      <c r="C776" s="760"/>
      <c r="D776" s="712"/>
      <c r="E776" s="760"/>
      <c r="F776" s="760"/>
      <c r="G776" s="760"/>
      <c r="H776" s="712"/>
      <c r="I776" s="446"/>
      <c r="J776" s="766"/>
      <c r="K776" s="767"/>
      <c r="L776" s="768"/>
      <c r="M776" s="768"/>
      <c r="N776" s="712"/>
      <c r="O776" s="769"/>
      <c r="P776" s="446"/>
      <c r="Q776" s="446"/>
      <c r="R776" s="446"/>
      <c r="S776" s="446"/>
      <c r="T776" s="446"/>
      <c r="U776" s="446"/>
      <c r="V776" s="446"/>
    </row>
    <row r="777" ht="15.75" customHeight="1">
      <c r="A777" s="761"/>
      <c r="B777" s="446"/>
      <c r="C777" s="760"/>
      <c r="D777" s="712"/>
      <c r="E777" s="760"/>
      <c r="F777" s="760"/>
      <c r="G777" s="760"/>
      <c r="H777" s="712"/>
      <c r="I777" s="446"/>
      <c r="J777" s="766"/>
      <c r="K777" s="767"/>
      <c r="L777" s="768"/>
      <c r="M777" s="768"/>
      <c r="N777" s="712"/>
      <c r="O777" s="769"/>
      <c r="P777" s="446"/>
      <c r="Q777" s="446"/>
      <c r="R777" s="446"/>
      <c r="S777" s="446"/>
      <c r="T777" s="446"/>
      <c r="U777" s="446"/>
      <c r="V777" s="446"/>
    </row>
    <row r="778" ht="15.75" customHeight="1">
      <c r="A778" s="761"/>
      <c r="B778" s="446"/>
      <c r="C778" s="760"/>
      <c r="D778" s="712"/>
      <c r="E778" s="760"/>
      <c r="F778" s="760"/>
      <c r="G778" s="760"/>
      <c r="H778" s="712"/>
      <c r="I778" s="446"/>
      <c r="J778" s="766"/>
      <c r="K778" s="767"/>
      <c r="L778" s="768"/>
      <c r="M778" s="768"/>
      <c r="N778" s="712"/>
      <c r="O778" s="769"/>
      <c r="P778" s="446"/>
      <c r="Q778" s="446"/>
      <c r="R778" s="446"/>
      <c r="S778" s="446"/>
      <c r="T778" s="446"/>
      <c r="U778" s="446"/>
      <c r="V778" s="446"/>
    </row>
    <row r="779" ht="15.75" customHeight="1">
      <c r="A779" s="761"/>
      <c r="B779" s="446"/>
      <c r="C779" s="760"/>
      <c r="D779" s="712"/>
      <c r="E779" s="760"/>
      <c r="F779" s="760"/>
      <c r="G779" s="760"/>
      <c r="H779" s="712"/>
      <c r="I779" s="446"/>
      <c r="J779" s="766"/>
      <c r="K779" s="767"/>
      <c r="L779" s="768"/>
      <c r="M779" s="768"/>
      <c r="N779" s="712"/>
      <c r="O779" s="769"/>
      <c r="P779" s="446"/>
      <c r="Q779" s="446"/>
      <c r="R779" s="446"/>
      <c r="S779" s="446"/>
      <c r="T779" s="446"/>
      <c r="U779" s="446"/>
      <c r="V779" s="446"/>
    </row>
    <row r="780" ht="15.75" customHeight="1">
      <c r="A780" s="761"/>
      <c r="B780" s="446"/>
      <c r="C780" s="760"/>
      <c r="D780" s="712"/>
      <c r="E780" s="760"/>
      <c r="F780" s="760"/>
      <c r="G780" s="760"/>
      <c r="H780" s="712"/>
      <c r="I780" s="446"/>
      <c r="J780" s="766"/>
      <c r="K780" s="767"/>
      <c r="L780" s="768"/>
      <c r="M780" s="768"/>
      <c r="N780" s="712"/>
      <c r="O780" s="769"/>
      <c r="P780" s="446"/>
      <c r="Q780" s="446"/>
      <c r="R780" s="446"/>
      <c r="S780" s="446"/>
      <c r="T780" s="446"/>
      <c r="U780" s="446"/>
      <c r="V780" s="446"/>
    </row>
    <row r="781" ht="15.75" customHeight="1">
      <c r="A781" s="761"/>
      <c r="B781" s="446"/>
      <c r="C781" s="760"/>
      <c r="D781" s="712"/>
      <c r="E781" s="760"/>
      <c r="F781" s="760"/>
      <c r="G781" s="760"/>
      <c r="H781" s="712"/>
      <c r="I781" s="446"/>
      <c r="J781" s="766"/>
      <c r="K781" s="767"/>
      <c r="L781" s="768"/>
      <c r="M781" s="768"/>
      <c r="N781" s="712"/>
      <c r="O781" s="769"/>
      <c r="P781" s="446"/>
      <c r="Q781" s="446"/>
      <c r="R781" s="446"/>
      <c r="S781" s="446"/>
      <c r="T781" s="446"/>
      <c r="U781" s="446"/>
      <c r="V781" s="446"/>
    </row>
    <row r="782" ht="15.75" customHeight="1">
      <c r="A782" s="761"/>
      <c r="B782" s="446"/>
      <c r="C782" s="760"/>
      <c r="D782" s="712"/>
      <c r="E782" s="760"/>
      <c r="F782" s="760"/>
      <c r="G782" s="760"/>
      <c r="H782" s="712"/>
      <c r="I782" s="446"/>
      <c r="J782" s="766"/>
      <c r="K782" s="767"/>
      <c r="L782" s="768"/>
      <c r="M782" s="768"/>
      <c r="N782" s="712"/>
      <c r="O782" s="769"/>
      <c r="P782" s="446"/>
      <c r="Q782" s="446"/>
      <c r="R782" s="446"/>
      <c r="S782" s="446"/>
      <c r="T782" s="446"/>
      <c r="U782" s="446"/>
      <c r="V782" s="446"/>
    </row>
    <row r="783" ht="15.75" customHeight="1">
      <c r="A783" s="761"/>
      <c r="B783" s="446"/>
      <c r="C783" s="760"/>
      <c r="D783" s="712"/>
      <c r="E783" s="760"/>
      <c r="F783" s="760"/>
      <c r="G783" s="760"/>
      <c r="H783" s="712"/>
      <c r="I783" s="446"/>
      <c r="J783" s="766"/>
      <c r="K783" s="767"/>
      <c r="L783" s="768"/>
      <c r="M783" s="768"/>
      <c r="N783" s="712"/>
      <c r="O783" s="769"/>
      <c r="P783" s="446"/>
      <c r="Q783" s="446"/>
      <c r="R783" s="446"/>
      <c r="S783" s="446"/>
      <c r="T783" s="446"/>
      <c r="U783" s="446"/>
      <c r="V783" s="446"/>
    </row>
    <row r="784" ht="15.75" customHeight="1">
      <c r="A784" s="761"/>
      <c r="B784" s="446"/>
      <c r="C784" s="760"/>
      <c r="D784" s="712"/>
      <c r="E784" s="760"/>
      <c r="F784" s="760"/>
      <c r="G784" s="760"/>
      <c r="H784" s="712"/>
      <c r="I784" s="446"/>
      <c r="J784" s="766"/>
      <c r="K784" s="767"/>
      <c r="L784" s="768"/>
      <c r="M784" s="768"/>
      <c r="N784" s="712"/>
      <c r="O784" s="769"/>
      <c r="P784" s="446"/>
      <c r="Q784" s="446"/>
      <c r="R784" s="446"/>
      <c r="S784" s="446"/>
      <c r="T784" s="446"/>
      <c r="U784" s="446"/>
      <c r="V784" s="446"/>
    </row>
    <row r="785" ht="15.75" customHeight="1">
      <c r="A785" s="761"/>
      <c r="B785" s="446"/>
      <c r="C785" s="760"/>
      <c r="D785" s="712"/>
      <c r="E785" s="760"/>
      <c r="F785" s="760"/>
      <c r="G785" s="760"/>
      <c r="H785" s="712"/>
      <c r="I785" s="446"/>
      <c r="J785" s="766"/>
      <c r="K785" s="767"/>
      <c r="L785" s="768"/>
      <c r="M785" s="768"/>
      <c r="N785" s="712"/>
      <c r="O785" s="769"/>
      <c r="P785" s="446"/>
      <c r="Q785" s="446"/>
      <c r="R785" s="446"/>
      <c r="S785" s="446"/>
      <c r="T785" s="446"/>
      <c r="U785" s="446"/>
      <c r="V785" s="446"/>
    </row>
    <row r="786" ht="15.75" customHeight="1">
      <c r="A786" s="761"/>
      <c r="B786" s="446"/>
      <c r="C786" s="760"/>
      <c r="D786" s="712"/>
      <c r="E786" s="760"/>
      <c r="F786" s="760"/>
      <c r="G786" s="760"/>
      <c r="H786" s="712"/>
      <c r="I786" s="446"/>
      <c r="J786" s="766"/>
      <c r="K786" s="767"/>
      <c r="L786" s="768"/>
      <c r="M786" s="768"/>
      <c r="N786" s="712"/>
      <c r="O786" s="769"/>
      <c r="P786" s="446"/>
      <c r="Q786" s="446"/>
      <c r="R786" s="446"/>
      <c r="S786" s="446"/>
      <c r="T786" s="446"/>
      <c r="U786" s="446"/>
      <c r="V786" s="446"/>
    </row>
    <row r="787" ht="15.75" customHeight="1">
      <c r="A787" s="761"/>
      <c r="B787" s="446"/>
      <c r="C787" s="760"/>
      <c r="D787" s="712"/>
      <c r="E787" s="760"/>
      <c r="F787" s="760"/>
      <c r="G787" s="760"/>
      <c r="H787" s="712"/>
      <c r="I787" s="446"/>
      <c r="J787" s="766"/>
      <c r="K787" s="767"/>
      <c r="L787" s="768"/>
      <c r="M787" s="768"/>
      <c r="N787" s="712"/>
      <c r="O787" s="769"/>
      <c r="P787" s="446"/>
      <c r="Q787" s="446"/>
      <c r="R787" s="446"/>
      <c r="S787" s="446"/>
      <c r="T787" s="446"/>
      <c r="U787" s="446"/>
      <c r="V787" s="446"/>
    </row>
    <row r="788" ht="15.75" customHeight="1">
      <c r="A788" s="761"/>
      <c r="B788" s="446"/>
      <c r="C788" s="760"/>
      <c r="D788" s="712"/>
      <c r="E788" s="760"/>
      <c r="F788" s="760"/>
      <c r="G788" s="760"/>
      <c r="H788" s="712"/>
      <c r="I788" s="446"/>
      <c r="J788" s="766"/>
      <c r="K788" s="767"/>
      <c r="L788" s="768"/>
      <c r="M788" s="768"/>
      <c r="N788" s="712"/>
      <c r="O788" s="769"/>
      <c r="P788" s="446"/>
      <c r="Q788" s="446"/>
      <c r="R788" s="446"/>
      <c r="S788" s="446"/>
      <c r="T788" s="446"/>
      <c r="U788" s="446"/>
      <c r="V788" s="446"/>
    </row>
    <row r="789" ht="15.75" customHeight="1">
      <c r="A789" s="761"/>
      <c r="B789" s="446"/>
      <c r="C789" s="760"/>
      <c r="D789" s="712"/>
      <c r="E789" s="760"/>
      <c r="F789" s="760"/>
      <c r="G789" s="760"/>
      <c r="H789" s="712"/>
      <c r="I789" s="446"/>
      <c r="J789" s="766"/>
      <c r="K789" s="767"/>
      <c r="L789" s="768"/>
      <c r="M789" s="768"/>
      <c r="N789" s="712"/>
      <c r="O789" s="769"/>
      <c r="P789" s="446"/>
      <c r="Q789" s="446"/>
      <c r="R789" s="446"/>
      <c r="S789" s="446"/>
      <c r="T789" s="446"/>
      <c r="U789" s="446"/>
      <c r="V789" s="446"/>
    </row>
    <row r="790" ht="15.75" customHeight="1">
      <c r="A790" s="761"/>
      <c r="B790" s="446"/>
      <c r="C790" s="760"/>
      <c r="D790" s="712"/>
      <c r="E790" s="760"/>
      <c r="F790" s="760"/>
      <c r="G790" s="760"/>
      <c r="H790" s="712"/>
      <c r="I790" s="446"/>
      <c r="J790" s="766"/>
      <c r="K790" s="767"/>
      <c r="L790" s="768"/>
      <c r="M790" s="768"/>
      <c r="N790" s="712"/>
      <c r="O790" s="769"/>
      <c r="P790" s="446"/>
      <c r="Q790" s="446"/>
      <c r="R790" s="446"/>
      <c r="S790" s="446"/>
      <c r="T790" s="446"/>
      <c r="U790" s="446"/>
      <c r="V790" s="446"/>
    </row>
    <row r="791" ht="15.75" customHeight="1">
      <c r="A791" s="761"/>
      <c r="B791" s="446"/>
      <c r="C791" s="760"/>
      <c r="D791" s="712"/>
      <c r="E791" s="760"/>
      <c r="F791" s="760"/>
      <c r="G791" s="760"/>
      <c r="H791" s="712"/>
      <c r="I791" s="446"/>
      <c r="J791" s="766"/>
      <c r="K791" s="767"/>
      <c r="L791" s="768"/>
      <c r="M791" s="768"/>
      <c r="N791" s="712"/>
      <c r="O791" s="769"/>
      <c r="P791" s="446"/>
      <c r="Q791" s="446"/>
      <c r="R791" s="446"/>
      <c r="S791" s="446"/>
      <c r="T791" s="446"/>
      <c r="U791" s="446"/>
      <c r="V791" s="446"/>
    </row>
    <row r="792" ht="15.75" customHeight="1">
      <c r="A792" s="761"/>
      <c r="B792" s="446"/>
      <c r="C792" s="760"/>
      <c r="D792" s="712"/>
      <c r="E792" s="760"/>
      <c r="F792" s="760"/>
      <c r="G792" s="760"/>
      <c r="H792" s="712"/>
      <c r="I792" s="446"/>
      <c r="J792" s="766"/>
      <c r="K792" s="767"/>
      <c r="L792" s="768"/>
      <c r="M792" s="768"/>
      <c r="N792" s="712"/>
      <c r="O792" s="769"/>
      <c r="P792" s="446"/>
      <c r="Q792" s="446"/>
      <c r="R792" s="446"/>
      <c r="S792" s="446"/>
      <c r="T792" s="446"/>
      <c r="U792" s="446"/>
      <c r="V792" s="446"/>
    </row>
    <row r="793" ht="15.75" customHeight="1">
      <c r="A793" s="761"/>
      <c r="B793" s="446"/>
      <c r="C793" s="760"/>
      <c r="D793" s="712"/>
      <c r="E793" s="760"/>
      <c r="F793" s="760"/>
      <c r="G793" s="760"/>
      <c r="H793" s="712"/>
      <c r="I793" s="446"/>
      <c r="J793" s="766"/>
      <c r="K793" s="767"/>
      <c r="L793" s="768"/>
      <c r="M793" s="768"/>
      <c r="N793" s="712"/>
      <c r="O793" s="769"/>
      <c r="P793" s="446"/>
      <c r="Q793" s="446"/>
      <c r="R793" s="446"/>
      <c r="S793" s="446"/>
      <c r="T793" s="446"/>
      <c r="U793" s="446"/>
      <c r="V793" s="446"/>
    </row>
    <row r="794" ht="15.75" customHeight="1">
      <c r="A794" s="761"/>
      <c r="B794" s="446"/>
      <c r="C794" s="760"/>
      <c r="D794" s="712"/>
      <c r="E794" s="760"/>
      <c r="F794" s="760"/>
      <c r="G794" s="760"/>
      <c r="H794" s="712"/>
      <c r="I794" s="446"/>
      <c r="J794" s="766"/>
      <c r="K794" s="767"/>
      <c r="L794" s="768"/>
      <c r="M794" s="768"/>
      <c r="N794" s="712"/>
      <c r="O794" s="769"/>
      <c r="P794" s="446"/>
      <c r="Q794" s="446"/>
      <c r="R794" s="446"/>
      <c r="S794" s="446"/>
      <c r="T794" s="446"/>
      <c r="U794" s="446"/>
      <c r="V794" s="446"/>
    </row>
    <row r="795" ht="15.75" customHeight="1">
      <c r="A795" s="761"/>
      <c r="B795" s="446"/>
      <c r="C795" s="760"/>
      <c r="D795" s="712"/>
      <c r="E795" s="760"/>
      <c r="F795" s="760"/>
      <c r="G795" s="760"/>
      <c r="H795" s="712"/>
      <c r="I795" s="446"/>
      <c r="J795" s="766"/>
      <c r="K795" s="767"/>
      <c r="L795" s="768"/>
      <c r="M795" s="768"/>
      <c r="N795" s="712"/>
      <c r="O795" s="769"/>
      <c r="P795" s="446"/>
      <c r="Q795" s="446"/>
      <c r="R795" s="446"/>
      <c r="S795" s="446"/>
      <c r="T795" s="446"/>
      <c r="U795" s="446"/>
      <c r="V795" s="446"/>
    </row>
    <row r="796" ht="15.75" customHeight="1">
      <c r="A796" s="761"/>
      <c r="B796" s="446"/>
      <c r="C796" s="760"/>
      <c r="D796" s="712"/>
      <c r="E796" s="760"/>
      <c r="F796" s="760"/>
      <c r="G796" s="760"/>
      <c r="H796" s="712"/>
      <c r="I796" s="446"/>
      <c r="J796" s="766"/>
      <c r="K796" s="767"/>
      <c r="L796" s="768"/>
      <c r="M796" s="768"/>
      <c r="N796" s="712"/>
      <c r="O796" s="769"/>
      <c r="P796" s="446"/>
      <c r="Q796" s="446"/>
      <c r="R796" s="446"/>
      <c r="S796" s="446"/>
      <c r="T796" s="446"/>
      <c r="U796" s="446"/>
      <c r="V796" s="446"/>
    </row>
    <row r="797" ht="15.75" customHeight="1">
      <c r="A797" s="761"/>
      <c r="B797" s="446"/>
      <c r="C797" s="760"/>
      <c r="D797" s="712"/>
      <c r="E797" s="760"/>
      <c r="F797" s="760"/>
      <c r="G797" s="760"/>
      <c r="H797" s="712"/>
      <c r="I797" s="446"/>
      <c r="J797" s="766"/>
      <c r="K797" s="767"/>
      <c r="L797" s="768"/>
      <c r="M797" s="768"/>
      <c r="N797" s="712"/>
      <c r="O797" s="769"/>
      <c r="P797" s="446"/>
      <c r="Q797" s="446"/>
      <c r="R797" s="446"/>
      <c r="S797" s="446"/>
      <c r="T797" s="446"/>
      <c r="U797" s="446"/>
      <c r="V797" s="446"/>
    </row>
    <row r="798" ht="15.75" customHeight="1">
      <c r="A798" s="761"/>
      <c r="B798" s="446"/>
      <c r="C798" s="760"/>
      <c r="D798" s="712"/>
      <c r="E798" s="760"/>
      <c r="F798" s="760"/>
      <c r="G798" s="760"/>
      <c r="H798" s="712"/>
      <c r="I798" s="446"/>
      <c r="J798" s="766"/>
      <c r="K798" s="767"/>
      <c r="L798" s="768"/>
      <c r="M798" s="768"/>
      <c r="N798" s="712"/>
      <c r="O798" s="769"/>
      <c r="P798" s="446"/>
      <c r="Q798" s="446"/>
      <c r="R798" s="446"/>
      <c r="S798" s="446"/>
      <c r="T798" s="446"/>
      <c r="U798" s="446"/>
      <c r="V798" s="446"/>
    </row>
    <row r="799" ht="15.75" customHeight="1">
      <c r="A799" s="761"/>
      <c r="B799" s="446"/>
      <c r="C799" s="760"/>
      <c r="D799" s="712"/>
      <c r="E799" s="760"/>
      <c r="F799" s="760"/>
      <c r="G799" s="760"/>
      <c r="H799" s="712"/>
      <c r="I799" s="446"/>
      <c r="J799" s="766"/>
      <c r="K799" s="767"/>
      <c r="L799" s="768"/>
      <c r="M799" s="768"/>
      <c r="N799" s="712"/>
      <c r="O799" s="769"/>
      <c r="P799" s="446"/>
      <c r="Q799" s="446"/>
      <c r="R799" s="446"/>
      <c r="S799" s="446"/>
      <c r="T799" s="446"/>
      <c r="U799" s="446"/>
      <c r="V799" s="446"/>
    </row>
    <row r="800" ht="15.75" customHeight="1">
      <c r="A800" s="761"/>
      <c r="B800" s="446"/>
      <c r="C800" s="760"/>
      <c r="D800" s="712"/>
      <c r="E800" s="760"/>
      <c r="F800" s="760"/>
      <c r="G800" s="760"/>
      <c r="H800" s="712"/>
      <c r="I800" s="446"/>
      <c r="J800" s="766"/>
      <c r="K800" s="767"/>
      <c r="L800" s="768"/>
      <c r="M800" s="768"/>
      <c r="N800" s="712"/>
      <c r="O800" s="769"/>
      <c r="P800" s="446"/>
      <c r="Q800" s="446"/>
      <c r="R800" s="446"/>
      <c r="S800" s="446"/>
      <c r="T800" s="446"/>
      <c r="U800" s="446"/>
      <c r="V800" s="446"/>
    </row>
    <row r="801" ht="15.75" customHeight="1">
      <c r="A801" s="761"/>
      <c r="B801" s="446"/>
      <c r="C801" s="760"/>
      <c r="D801" s="712"/>
      <c r="E801" s="760"/>
      <c r="F801" s="760"/>
      <c r="G801" s="760"/>
      <c r="H801" s="712"/>
      <c r="I801" s="446"/>
      <c r="J801" s="766"/>
      <c r="K801" s="767"/>
      <c r="L801" s="768"/>
      <c r="M801" s="768"/>
      <c r="N801" s="712"/>
      <c r="O801" s="769"/>
      <c r="P801" s="446"/>
      <c r="Q801" s="446"/>
      <c r="R801" s="446"/>
      <c r="S801" s="446"/>
      <c r="T801" s="446"/>
      <c r="U801" s="446"/>
      <c r="V801" s="446"/>
    </row>
    <row r="802" ht="15.75" customHeight="1">
      <c r="A802" s="761"/>
      <c r="B802" s="446"/>
      <c r="C802" s="760"/>
      <c r="D802" s="712"/>
      <c r="E802" s="760"/>
      <c r="F802" s="760"/>
      <c r="G802" s="760"/>
      <c r="H802" s="712"/>
      <c r="I802" s="446"/>
      <c r="J802" s="766"/>
      <c r="K802" s="767"/>
      <c r="L802" s="768"/>
      <c r="M802" s="768"/>
      <c r="N802" s="712"/>
      <c r="O802" s="769"/>
      <c r="P802" s="446"/>
      <c r="Q802" s="446"/>
      <c r="R802" s="446"/>
      <c r="S802" s="446"/>
      <c r="T802" s="446"/>
      <c r="U802" s="446"/>
      <c r="V802" s="446"/>
    </row>
    <row r="803" ht="15.75" customHeight="1">
      <c r="A803" s="761"/>
      <c r="B803" s="446"/>
      <c r="C803" s="760"/>
      <c r="D803" s="712"/>
      <c r="E803" s="760"/>
      <c r="F803" s="760"/>
      <c r="G803" s="760"/>
      <c r="H803" s="712"/>
      <c r="I803" s="446"/>
      <c r="J803" s="766"/>
      <c r="K803" s="767"/>
      <c r="L803" s="768"/>
      <c r="M803" s="768"/>
      <c r="N803" s="712"/>
      <c r="O803" s="769"/>
      <c r="P803" s="446"/>
      <c r="Q803" s="446"/>
      <c r="R803" s="446"/>
      <c r="S803" s="446"/>
      <c r="T803" s="446"/>
      <c r="U803" s="446"/>
      <c r="V803" s="446"/>
    </row>
    <row r="804" ht="15.75" customHeight="1">
      <c r="A804" s="761"/>
      <c r="B804" s="446"/>
      <c r="C804" s="760"/>
      <c r="D804" s="712"/>
      <c r="E804" s="760"/>
      <c r="F804" s="760"/>
      <c r="G804" s="760"/>
      <c r="H804" s="712"/>
      <c r="I804" s="446"/>
      <c r="J804" s="766"/>
      <c r="K804" s="767"/>
      <c r="L804" s="768"/>
      <c r="M804" s="768"/>
      <c r="N804" s="712"/>
      <c r="O804" s="769"/>
      <c r="P804" s="446"/>
      <c r="Q804" s="446"/>
      <c r="R804" s="446"/>
      <c r="S804" s="446"/>
      <c r="T804" s="446"/>
      <c r="U804" s="446"/>
      <c r="V804" s="446"/>
    </row>
    <row r="805" ht="15.75" customHeight="1">
      <c r="A805" s="761"/>
      <c r="B805" s="446"/>
      <c r="C805" s="760"/>
      <c r="D805" s="712"/>
      <c r="E805" s="760"/>
      <c r="F805" s="760"/>
      <c r="G805" s="760"/>
      <c r="H805" s="712"/>
      <c r="I805" s="446"/>
      <c r="J805" s="766"/>
      <c r="K805" s="767"/>
      <c r="L805" s="768"/>
      <c r="M805" s="768"/>
      <c r="N805" s="712"/>
      <c r="O805" s="769"/>
      <c r="P805" s="446"/>
      <c r="Q805" s="446"/>
      <c r="R805" s="446"/>
      <c r="S805" s="446"/>
      <c r="T805" s="446"/>
      <c r="U805" s="446"/>
      <c r="V805" s="446"/>
    </row>
    <row r="806" ht="15.75" customHeight="1">
      <c r="A806" s="761"/>
      <c r="B806" s="446"/>
      <c r="C806" s="760"/>
      <c r="D806" s="712"/>
      <c r="E806" s="760"/>
      <c r="F806" s="760"/>
      <c r="G806" s="760"/>
      <c r="H806" s="712"/>
      <c r="I806" s="446"/>
      <c r="J806" s="766"/>
      <c r="K806" s="767"/>
      <c r="L806" s="768"/>
      <c r="M806" s="768"/>
      <c r="N806" s="712"/>
      <c r="O806" s="769"/>
      <c r="P806" s="446"/>
      <c r="Q806" s="446"/>
      <c r="R806" s="446"/>
      <c r="S806" s="446"/>
      <c r="T806" s="446"/>
      <c r="U806" s="446"/>
      <c r="V806" s="446"/>
    </row>
    <row r="807" ht="15.75" customHeight="1">
      <c r="A807" s="761"/>
      <c r="B807" s="446"/>
      <c r="C807" s="760"/>
      <c r="D807" s="712"/>
      <c r="E807" s="760"/>
      <c r="F807" s="760"/>
      <c r="G807" s="760"/>
      <c r="H807" s="712"/>
      <c r="I807" s="446"/>
      <c r="J807" s="766"/>
      <c r="K807" s="767"/>
      <c r="L807" s="768"/>
      <c r="M807" s="768"/>
      <c r="N807" s="712"/>
      <c r="O807" s="769"/>
      <c r="P807" s="446"/>
      <c r="Q807" s="446"/>
      <c r="R807" s="446"/>
      <c r="S807" s="446"/>
      <c r="T807" s="446"/>
      <c r="U807" s="446"/>
      <c r="V807" s="446"/>
    </row>
    <row r="808" ht="15.75" customHeight="1">
      <c r="A808" s="761"/>
      <c r="B808" s="446"/>
      <c r="C808" s="760"/>
      <c r="D808" s="712"/>
      <c r="E808" s="760"/>
      <c r="F808" s="760"/>
      <c r="G808" s="760"/>
      <c r="H808" s="712"/>
      <c r="I808" s="446"/>
      <c r="J808" s="766"/>
      <c r="K808" s="767"/>
      <c r="L808" s="768"/>
      <c r="M808" s="768"/>
      <c r="N808" s="712"/>
      <c r="O808" s="769"/>
      <c r="P808" s="446"/>
      <c r="Q808" s="446"/>
      <c r="R808" s="446"/>
      <c r="S808" s="446"/>
      <c r="T808" s="446"/>
      <c r="U808" s="446"/>
      <c r="V808" s="446"/>
    </row>
    <row r="809" ht="15.75" customHeight="1">
      <c r="A809" s="761"/>
      <c r="B809" s="446"/>
      <c r="C809" s="760"/>
      <c r="D809" s="712"/>
      <c r="E809" s="760"/>
      <c r="F809" s="760"/>
      <c r="G809" s="760"/>
      <c r="H809" s="712"/>
      <c r="I809" s="446"/>
      <c r="J809" s="766"/>
      <c r="K809" s="767"/>
      <c r="L809" s="768"/>
      <c r="M809" s="768"/>
      <c r="N809" s="712"/>
      <c r="O809" s="769"/>
      <c r="P809" s="446"/>
      <c r="Q809" s="446"/>
      <c r="R809" s="446"/>
      <c r="S809" s="446"/>
      <c r="T809" s="446"/>
      <c r="U809" s="446"/>
      <c r="V809" s="446"/>
    </row>
    <row r="810" ht="15.75" customHeight="1">
      <c r="A810" s="761"/>
      <c r="B810" s="446"/>
      <c r="C810" s="760"/>
      <c r="D810" s="712"/>
      <c r="E810" s="760"/>
      <c r="F810" s="760"/>
      <c r="G810" s="760"/>
      <c r="H810" s="712"/>
      <c r="I810" s="446"/>
      <c r="J810" s="766"/>
      <c r="K810" s="767"/>
      <c r="L810" s="768"/>
      <c r="M810" s="768"/>
      <c r="N810" s="712"/>
      <c r="O810" s="769"/>
      <c r="P810" s="446"/>
      <c r="Q810" s="446"/>
      <c r="R810" s="446"/>
      <c r="S810" s="446"/>
      <c r="T810" s="446"/>
      <c r="U810" s="446"/>
      <c r="V810" s="446"/>
    </row>
    <row r="811" ht="15.75" customHeight="1">
      <c r="A811" s="761"/>
      <c r="B811" s="446"/>
      <c r="C811" s="760"/>
      <c r="D811" s="712"/>
      <c r="E811" s="760"/>
      <c r="F811" s="760"/>
      <c r="G811" s="760"/>
      <c r="H811" s="712"/>
      <c r="I811" s="446"/>
      <c r="J811" s="766"/>
      <c r="K811" s="767"/>
      <c r="L811" s="768"/>
      <c r="M811" s="768"/>
      <c r="N811" s="712"/>
      <c r="O811" s="769"/>
      <c r="P811" s="446"/>
      <c r="Q811" s="446"/>
      <c r="R811" s="446"/>
      <c r="S811" s="446"/>
      <c r="T811" s="446"/>
      <c r="U811" s="446"/>
      <c r="V811" s="446"/>
    </row>
    <row r="812" ht="15.75" customHeight="1">
      <c r="A812" s="761"/>
      <c r="B812" s="446"/>
      <c r="C812" s="760"/>
      <c r="D812" s="712"/>
      <c r="E812" s="760"/>
      <c r="F812" s="760"/>
      <c r="G812" s="760"/>
      <c r="H812" s="712"/>
      <c r="I812" s="446"/>
      <c r="J812" s="766"/>
      <c r="K812" s="767"/>
      <c r="L812" s="768"/>
      <c r="M812" s="768"/>
      <c r="N812" s="712"/>
      <c r="O812" s="769"/>
      <c r="P812" s="446"/>
      <c r="Q812" s="446"/>
      <c r="R812" s="446"/>
      <c r="S812" s="446"/>
      <c r="T812" s="446"/>
      <c r="U812" s="446"/>
      <c r="V812" s="446"/>
    </row>
    <row r="813" ht="15.75" customHeight="1">
      <c r="A813" s="761"/>
      <c r="B813" s="446"/>
      <c r="C813" s="760"/>
      <c r="D813" s="712"/>
      <c r="E813" s="760"/>
      <c r="F813" s="760"/>
      <c r="G813" s="760"/>
      <c r="H813" s="712"/>
      <c r="I813" s="446"/>
      <c r="J813" s="766"/>
      <c r="K813" s="767"/>
      <c r="L813" s="768"/>
      <c r="M813" s="768"/>
      <c r="N813" s="712"/>
      <c r="O813" s="769"/>
      <c r="P813" s="446"/>
      <c r="Q813" s="446"/>
      <c r="R813" s="446"/>
      <c r="S813" s="446"/>
      <c r="T813" s="446"/>
      <c r="U813" s="446"/>
      <c r="V813" s="446"/>
    </row>
    <row r="814" ht="15.75" customHeight="1">
      <c r="A814" s="761"/>
      <c r="B814" s="446"/>
      <c r="C814" s="760"/>
      <c r="D814" s="712"/>
      <c r="E814" s="760"/>
      <c r="F814" s="760"/>
      <c r="G814" s="760"/>
      <c r="H814" s="712"/>
      <c r="I814" s="446"/>
      <c r="J814" s="766"/>
      <c r="K814" s="767"/>
      <c r="L814" s="768"/>
      <c r="M814" s="768"/>
      <c r="N814" s="712"/>
      <c r="O814" s="769"/>
      <c r="P814" s="446"/>
      <c r="Q814" s="446"/>
      <c r="R814" s="446"/>
      <c r="S814" s="446"/>
      <c r="T814" s="446"/>
      <c r="U814" s="446"/>
      <c r="V814" s="446"/>
    </row>
    <row r="815" ht="15.75" customHeight="1">
      <c r="A815" s="761"/>
      <c r="B815" s="446"/>
      <c r="C815" s="760"/>
      <c r="D815" s="712"/>
      <c r="E815" s="760"/>
      <c r="F815" s="760"/>
      <c r="G815" s="760"/>
      <c r="H815" s="712"/>
      <c r="I815" s="446"/>
      <c r="J815" s="766"/>
      <c r="K815" s="767"/>
      <c r="L815" s="768"/>
      <c r="M815" s="768"/>
      <c r="N815" s="712"/>
      <c r="O815" s="769"/>
      <c r="P815" s="446"/>
      <c r="Q815" s="446"/>
      <c r="R815" s="446"/>
      <c r="S815" s="446"/>
      <c r="T815" s="446"/>
      <c r="U815" s="446"/>
      <c r="V815" s="446"/>
    </row>
    <row r="816" ht="15.75" customHeight="1">
      <c r="A816" s="761"/>
      <c r="B816" s="446"/>
      <c r="C816" s="760"/>
      <c r="D816" s="712"/>
      <c r="E816" s="760"/>
      <c r="F816" s="760"/>
      <c r="G816" s="760"/>
      <c r="H816" s="712"/>
      <c r="I816" s="446"/>
      <c r="J816" s="766"/>
      <c r="K816" s="767"/>
      <c r="L816" s="768"/>
      <c r="M816" s="768"/>
      <c r="N816" s="712"/>
      <c r="O816" s="769"/>
      <c r="P816" s="446"/>
      <c r="Q816" s="446"/>
      <c r="R816" s="446"/>
      <c r="S816" s="446"/>
      <c r="T816" s="446"/>
      <c r="U816" s="446"/>
      <c r="V816" s="446"/>
    </row>
    <row r="817" ht="15.75" customHeight="1">
      <c r="A817" s="761"/>
      <c r="B817" s="446"/>
      <c r="C817" s="760"/>
      <c r="D817" s="712"/>
      <c r="E817" s="760"/>
      <c r="F817" s="760"/>
      <c r="G817" s="760"/>
      <c r="H817" s="712"/>
      <c r="I817" s="446"/>
      <c r="J817" s="766"/>
      <c r="K817" s="767"/>
      <c r="L817" s="768"/>
      <c r="M817" s="768"/>
      <c r="N817" s="712"/>
      <c r="O817" s="769"/>
      <c r="P817" s="446"/>
      <c r="Q817" s="446"/>
      <c r="R817" s="446"/>
      <c r="S817" s="446"/>
      <c r="T817" s="446"/>
      <c r="U817" s="446"/>
      <c r="V817" s="446"/>
    </row>
    <row r="818" ht="15.75" customHeight="1">
      <c r="A818" s="761"/>
      <c r="B818" s="446"/>
      <c r="C818" s="760"/>
      <c r="D818" s="712"/>
      <c r="E818" s="760"/>
      <c r="F818" s="760"/>
      <c r="G818" s="760"/>
      <c r="H818" s="712"/>
      <c r="I818" s="446"/>
      <c r="J818" s="766"/>
      <c r="K818" s="767"/>
      <c r="L818" s="768"/>
      <c r="M818" s="768"/>
      <c r="N818" s="712"/>
      <c r="O818" s="769"/>
      <c r="P818" s="446"/>
      <c r="Q818" s="446"/>
      <c r="R818" s="446"/>
      <c r="S818" s="446"/>
      <c r="T818" s="446"/>
      <c r="U818" s="446"/>
      <c r="V818" s="446"/>
    </row>
    <row r="819" ht="15.75" customHeight="1">
      <c r="A819" s="761"/>
      <c r="B819" s="446"/>
      <c r="C819" s="760"/>
      <c r="D819" s="712"/>
      <c r="E819" s="760"/>
      <c r="F819" s="760"/>
      <c r="G819" s="760"/>
      <c r="H819" s="712"/>
      <c r="I819" s="446"/>
      <c r="J819" s="766"/>
      <c r="K819" s="767"/>
      <c r="L819" s="768"/>
      <c r="M819" s="768"/>
      <c r="N819" s="712"/>
      <c r="O819" s="769"/>
      <c r="P819" s="446"/>
      <c r="Q819" s="446"/>
      <c r="R819" s="446"/>
      <c r="S819" s="446"/>
      <c r="T819" s="446"/>
      <c r="U819" s="446"/>
      <c r="V819" s="446"/>
    </row>
    <row r="820" ht="15.75" customHeight="1">
      <c r="A820" s="761"/>
      <c r="B820" s="446"/>
      <c r="C820" s="760"/>
      <c r="D820" s="712"/>
      <c r="E820" s="760"/>
      <c r="F820" s="760"/>
      <c r="G820" s="760"/>
      <c r="H820" s="712"/>
      <c r="I820" s="446"/>
      <c r="J820" s="766"/>
      <c r="K820" s="767"/>
      <c r="L820" s="768"/>
      <c r="M820" s="768"/>
      <c r="N820" s="712"/>
      <c r="O820" s="769"/>
      <c r="P820" s="446"/>
      <c r="Q820" s="446"/>
      <c r="R820" s="446"/>
      <c r="S820" s="446"/>
      <c r="T820" s="446"/>
      <c r="U820" s="446"/>
      <c r="V820" s="446"/>
    </row>
    <row r="821" ht="15.75" customHeight="1">
      <c r="A821" s="761"/>
      <c r="B821" s="446"/>
      <c r="C821" s="760"/>
      <c r="D821" s="712"/>
      <c r="E821" s="760"/>
      <c r="F821" s="760"/>
      <c r="G821" s="760"/>
      <c r="H821" s="712"/>
      <c r="I821" s="446"/>
      <c r="J821" s="766"/>
      <c r="K821" s="767"/>
      <c r="L821" s="768"/>
      <c r="M821" s="768"/>
      <c r="N821" s="712"/>
      <c r="O821" s="769"/>
      <c r="P821" s="446"/>
      <c r="Q821" s="446"/>
      <c r="R821" s="446"/>
      <c r="S821" s="446"/>
      <c r="T821" s="446"/>
      <c r="U821" s="446"/>
      <c r="V821" s="446"/>
    </row>
    <row r="822" ht="15.75" customHeight="1">
      <c r="A822" s="761"/>
      <c r="B822" s="446"/>
      <c r="C822" s="760"/>
      <c r="D822" s="712"/>
      <c r="E822" s="760"/>
      <c r="F822" s="760"/>
      <c r="G822" s="760"/>
      <c r="H822" s="712"/>
      <c r="I822" s="446"/>
      <c r="J822" s="766"/>
      <c r="K822" s="767"/>
      <c r="L822" s="768"/>
      <c r="M822" s="768"/>
      <c r="N822" s="712"/>
      <c r="O822" s="769"/>
      <c r="P822" s="446"/>
      <c r="Q822" s="446"/>
      <c r="R822" s="446"/>
      <c r="S822" s="446"/>
      <c r="T822" s="446"/>
      <c r="U822" s="446"/>
      <c r="V822" s="446"/>
    </row>
    <row r="823" ht="15.75" customHeight="1">
      <c r="A823" s="761"/>
      <c r="B823" s="446"/>
      <c r="C823" s="760"/>
      <c r="D823" s="712"/>
      <c r="E823" s="760"/>
      <c r="F823" s="760"/>
      <c r="G823" s="760"/>
      <c r="H823" s="712"/>
      <c r="I823" s="446"/>
      <c r="J823" s="766"/>
      <c r="K823" s="767"/>
      <c r="L823" s="768"/>
      <c r="M823" s="768"/>
      <c r="N823" s="712"/>
      <c r="O823" s="769"/>
      <c r="P823" s="446"/>
      <c r="Q823" s="446"/>
      <c r="R823" s="446"/>
      <c r="S823" s="446"/>
      <c r="T823" s="446"/>
      <c r="U823" s="446"/>
      <c r="V823" s="446"/>
    </row>
    <row r="824" ht="15.75" customHeight="1">
      <c r="A824" s="761"/>
      <c r="B824" s="446"/>
      <c r="C824" s="760"/>
      <c r="D824" s="712"/>
      <c r="E824" s="760"/>
      <c r="F824" s="760"/>
      <c r="G824" s="760"/>
      <c r="H824" s="712"/>
      <c r="I824" s="446"/>
      <c r="J824" s="766"/>
      <c r="K824" s="767"/>
      <c r="L824" s="768"/>
      <c r="M824" s="768"/>
      <c r="N824" s="712"/>
      <c r="O824" s="769"/>
      <c r="P824" s="446"/>
      <c r="Q824" s="446"/>
      <c r="R824" s="446"/>
      <c r="S824" s="446"/>
      <c r="T824" s="446"/>
      <c r="U824" s="446"/>
      <c r="V824" s="446"/>
    </row>
    <row r="825" ht="15.75" customHeight="1">
      <c r="A825" s="761"/>
      <c r="B825" s="446"/>
      <c r="C825" s="760"/>
      <c r="D825" s="712"/>
      <c r="E825" s="760"/>
      <c r="F825" s="760"/>
      <c r="G825" s="760"/>
      <c r="H825" s="712"/>
      <c r="I825" s="446"/>
      <c r="J825" s="766"/>
      <c r="K825" s="767"/>
      <c r="L825" s="768"/>
      <c r="M825" s="768"/>
      <c r="N825" s="712"/>
      <c r="O825" s="769"/>
      <c r="P825" s="446"/>
      <c r="Q825" s="446"/>
      <c r="R825" s="446"/>
      <c r="S825" s="446"/>
      <c r="T825" s="446"/>
      <c r="U825" s="446"/>
      <c r="V825" s="446"/>
    </row>
    <row r="826" ht="15.75" customHeight="1">
      <c r="A826" s="761"/>
      <c r="B826" s="446"/>
      <c r="C826" s="760"/>
      <c r="D826" s="712"/>
      <c r="E826" s="760"/>
      <c r="F826" s="760"/>
      <c r="G826" s="760"/>
      <c r="H826" s="712"/>
      <c r="I826" s="446"/>
      <c r="J826" s="766"/>
      <c r="K826" s="767"/>
      <c r="L826" s="768"/>
      <c r="M826" s="768"/>
      <c r="N826" s="712"/>
      <c r="O826" s="769"/>
      <c r="P826" s="446"/>
      <c r="Q826" s="446"/>
      <c r="R826" s="446"/>
      <c r="S826" s="446"/>
      <c r="T826" s="446"/>
      <c r="U826" s="446"/>
      <c r="V826" s="446"/>
    </row>
    <row r="827" ht="15.75" customHeight="1">
      <c r="A827" s="761"/>
      <c r="B827" s="446"/>
      <c r="C827" s="760"/>
      <c r="D827" s="712"/>
      <c r="E827" s="760"/>
      <c r="F827" s="760"/>
      <c r="G827" s="760"/>
      <c r="H827" s="712"/>
      <c r="I827" s="446"/>
      <c r="J827" s="766"/>
      <c r="K827" s="767"/>
      <c r="L827" s="768"/>
      <c r="M827" s="768"/>
      <c r="N827" s="712"/>
      <c r="O827" s="769"/>
      <c r="P827" s="446"/>
      <c r="Q827" s="446"/>
      <c r="R827" s="446"/>
      <c r="S827" s="446"/>
      <c r="T827" s="446"/>
      <c r="U827" s="446"/>
      <c r="V827" s="446"/>
    </row>
    <row r="828" ht="15.75" customHeight="1">
      <c r="A828" s="761"/>
      <c r="B828" s="446"/>
      <c r="C828" s="760"/>
      <c r="D828" s="712"/>
      <c r="E828" s="760"/>
      <c r="F828" s="760"/>
      <c r="G828" s="760"/>
      <c r="H828" s="712"/>
      <c r="I828" s="446"/>
      <c r="J828" s="766"/>
      <c r="K828" s="767"/>
      <c r="L828" s="768"/>
      <c r="M828" s="768"/>
      <c r="N828" s="712"/>
      <c r="O828" s="769"/>
      <c r="P828" s="446"/>
      <c r="Q828" s="446"/>
      <c r="R828" s="446"/>
      <c r="S828" s="446"/>
      <c r="T828" s="446"/>
      <c r="U828" s="446"/>
      <c r="V828" s="446"/>
    </row>
    <row r="829" ht="15.75" customHeight="1">
      <c r="A829" s="761"/>
      <c r="B829" s="446"/>
      <c r="C829" s="760"/>
      <c r="D829" s="712"/>
      <c r="E829" s="760"/>
      <c r="F829" s="760"/>
      <c r="G829" s="760"/>
      <c r="H829" s="712"/>
      <c r="I829" s="446"/>
      <c r="J829" s="766"/>
      <c r="K829" s="767"/>
      <c r="L829" s="768"/>
      <c r="M829" s="768"/>
      <c r="N829" s="712"/>
      <c r="O829" s="769"/>
      <c r="P829" s="446"/>
      <c r="Q829" s="446"/>
      <c r="R829" s="446"/>
      <c r="S829" s="446"/>
      <c r="T829" s="446"/>
      <c r="U829" s="446"/>
      <c r="V829" s="446"/>
    </row>
    <row r="830" ht="15.75" customHeight="1">
      <c r="A830" s="761"/>
      <c r="B830" s="446"/>
      <c r="C830" s="760"/>
      <c r="D830" s="712"/>
      <c r="E830" s="760"/>
      <c r="F830" s="760"/>
      <c r="G830" s="760"/>
      <c r="H830" s="712"/>
      <c r="I830" s="446"/>
      <c r="J830" s="766"/>
      <c r="K830" s="767"/>
      <c r="L830" s="768"/>
      <c r="M830" s="768"/>
      <c r="N830" s="712"/>
      <c r="O830" s="769"/>
      <c r="P830" s="446"/>
      <c r="Q830" s="446"/>
      <c r="R830" s="446"/>
      <c r="S830" s="446"/>
      <c r="T830" s="446"/>
      <c r="U830" s="446"/>
      <c r="V830" s="446"/>
    </row>
    <row r="831" ht="15.75" customHeight="1">
      <c r="A831" s="761"/>
      <c r="B831" s="446"/>
      <c r="C831" s="760"/>
      <c r="D831" s="712"/>
      <c r="E831" s="760"/>
      <c r="F831" s="760"/>
      <c r="G831" s="760"/>
      <c r="H831" s="712"/>
      <c r="I831" s="446"/>
      <c r="J831" s="766"/>
      <c r="K831" s="767"/>
      <c r="L831" s="768"/>
      <c r="M831" s="768"/>
      <c r="N831" s="712"/>
      <c r="O831" s="769"/>
      <c r="P831" s="446"/>
      <c r="Q831" s="446"/>
      <c r="R831" s="446"/>
      <c r="S831" s="446"/>
      <c r="T831" s="446"/>
      <c r="U831" s="446"/>
      <c r="V831" s="446"/>
    </row>
    <row r="832" ht="15.75" customHeight="1">
      <c r="A832" s="761"/>
      <c r="B832" s="446"/>
      <c r="C832" s="760"/>
      <c r="D832" s="712"/>
      <c r="E832" s="760"/>
      <c r="F832" s="760"/>
      <c r="G832" s="760"/>
      <c r="H832" s="712"/>
      <c r="I832" s="446"/>
      <c r="J832" s="766"/>
      <c r="K832" s="767"/>
      <c r="L832" s="768"/>
      <c r="M832" s="768"/>
      <c r="N832" s="712"/>
      <c r="O832" s="769"/>
      <c r="P832" s="446"/>
      <c r="Q832" s="446"/>
      <c r="R832" s="446"/>
      <c r="S832" s="446"/>
      <c r="T832" s="446"/>
      <c r="U832" s="446"/>
      <c r="V832" s="446"/>
    </row>
    <row r="833" ht="15.75" customHeight="1">
      <c r="A833" s="761"/>
      <c r="B833" s="446"/>
      <c r="C833" s="760"/>
      <c r="D833" s="712"/>
      <c r="E833" s="760"/>
      <c r="F833" s="760"/>
      <c r="G833" s="760"/>
      <c r="H833" s="712"/>
      <c r="I833" s="446"/>
      <c r="J833" s="766"/>
      <c r="K833" s="767"/>
      <c r="L833" s="768"/>
      <c r="M833" s="768"/>
      <c r="N833" s="712"/>
      <c r="O833" s="769"/>
      <c r="P833" s="446"/>
      <c r="Q833" s="446"/>
      <c r="R833" s="446"/>
      <c r="S833" s="446"/>
      <c r="T833" s="446"/>
      <c r="U833" s="446"/>
      <c r="V833" s="446"/>
    </row>
    <row r="834" ht="15.75" customHeight="1">
      <c r="A834" s="761"/>
      <c r="B834" s="446"/>
      <c r="C834" s="760"/>
      <c r="D834" s="712"/>
      <c r="E834" s="760"/>
      <c r="F834" s="760"/>
      <c r="G834" s="760"/>
      <c r="H834" s="712"/>
      <c r="I834" s="446"/>
      <c r="J834" s="766"/>
      <c r="K834" s="767"/>
      <c r="L834" s="768"/>
      <c r="M834" s="768"/>
      <c r="N834" s="712"/>
      <c r="O834" s="769"/>
      <c r="P834" s="446"/>
      <c r="Q834" s="446"/>
      <c r="R834" s="446"/>
      <c r="S834" s="446"/>
      <c r="T834" s="446"/>
      <c r="U834" s="446"/>
      <c r="V834" s="446"/>
    </row>
    <row r="835" ht="15.75" customHeight="1">
      <c r="A835" s="761"/>
      <c r="B835" s="446"/>
      <c r="C835" s="760"/>
      <c r="D835" s="712"/>
      <c r="E835" s="760"/>
      <c r="F835" s="760"/>
      <c r="G835" s="760"/>
      <c r="H835" s="712"/>
      <c r="I835" s="446"/>
      <c r="J835" s="766"/>
      <c r="K835" s="767"/>
      <c r="L835" s="768"/>
      <c r="M835" s="768"/>
      <c r="N835" s="712"/>
      <c r="O835" s="769"/>
      <c r="P835" s="446"/>
      <c r="Q835" s="446"/>
      <c r="R835" s="446"/>
      <c r="S835" s="446"/>
      <c r="T835" s="446"/>
      <c r="U835" s="446"/>
      <c r="V835" s="446"/>
    </row>
    <row r="836" ht="15.75" customHeight="1">
      <c r="A836" s="761"/>
      <c r="B836" s="446"/>
      <c r="C836" s="760"/>
      <c r="D836" s="712"/>
      <c r="E836" s="760"/>
      <c r="F836" s="760"/>
      <c r="G836" s="760"/>
      <c r="H836" s="712"/>
      <c r="I836" s="446"/>
      <c r="J836" s="766"/>
      <c r="K836" s="767"/>
      <c r="L836" s="768"/>
      <c r="M836" s="768"/>
      <c r="N836" s="712"/>
      <c r="O836" s="769"/>
      <c r="P836" s="446"/>
      <c r="Q836" s="446"/>
      <c r="R836" s="446"/>
      <c r="S836" s="446"/>
      <c r="T836" s="446"/>
      <c r="U836" s="446"/>
      <c r="V836" s="446"/>
    </row>
    <row r="837" ht="15.75" customHeight="1">
      <c r="A837" s="761"/>
      <c r="B837" s="446"/>
      <c r="C837" s="760"/>
      <c r="D837" s="712"/>
      <c r="E837" s="760"/>
      <c r="F837" s="760"/>
      <c r="G837" s="760"/>
      <c r="H837" s="712"/>
      <c r="I837" s="446"/>
      <c r="J837" s="766"/>
      <c r="K837" s="767"/>
      <c r="L837" s="768"/>
      <c r="M837" s="768"/>
      <c r="N837" s="712"/>
      <c r="O837" s="769"/>
      <c r="P837" s="446"/>
      <c r="Q837" s="446"/>
      <c r="R837" s="446"/>
      <c r="S837" s="446"/>
      <c r="T837" s="446"/>
      <c r="U837" s="446"/>
      <c r="V837" s="446"/>
    </row>
    <row r="838" ht="15.75" customHeight="1">
      <c r="A838" s="761"/>
      <c r="B838" s="446"/>
      <c r="C838" s="760"/>
      <c r="D838" s="712"/>
      <c r="E838" s="760"/>
      <c r="F838" s="760"/>
      <c r="G838" s="760"/>
      <c r="H838" s="712"/>
      <c r="I838" s="446"/>
      <c r="J838" s="766"/>
      <c r="K838" s="767"/>
      <c r="L838" s="768"/>
      <c r="M838" s="768"/>
      <c r="N838" s="712"/>
      <c r="O838" s="769"/>
      <c r="P838" s="446"/>
      <c r="Q838" s="446"/>
      <c r="R838" s="446"/>
      <c r="S838" s="446"/>
      <c r="T838" s="446"/>
      <c r="U838" s="446"/>
      <c r="V838" s="446"/>
    </row>
    <row r="839" ht="15.75" customHeight="1">
      <c r="A839" s="761"/>
      <c r="B839" s="446"/>
      <c r="C839" s="760"/>
      <c r="D839" s="712"/>
      <c r="E839" s="760"/>
      <c r="F839" s="760"/>
      <c r="G839" s="760"/>
      <c r="H839" s="712"/>
      <c r="I839" s="446"/>
      <c r="J839" s="766"/>
      <c r="K839" s="767"/>
      <c r="L839" s="768"/>
      <c r="M839" s="768"/>
      <c r="N839" s="712"/>
      <c r="O839" s="769"/>
      <c r="P839" s="446"/>
      <c r="Q839" s="446"/>
      <c r="R839" s="446"/>
      <c r="S839" s="446"/>
      <c r="T839" s="446"/>
      <c r="U839" s="446"/>
      <c r="V839" s="446"/>
    </row>
    <row r="840" ht="15.75" customHeight="1">
      <c r="A840" s="761"/>
      <c r="B840" s="446"/>
      <c r="C840" s="760"/>
      <c r="D840" s="712"/>
      <c r="E840" s="760"/>
      <c r="F840" s="760"/>
      <c r="G840" s="760"/>
      <c r="H840" s="712"/>
      <c r="I840" s="446"/>
      <c r="J840" s="766"/>
      <c r="K840" s="767"/>
      <c r="L840" s="768"/>
      <c r="M840" s="768"/>
      <c r="N840" s="712"/>
      <c r="O840" s="769"/>
      <c r="P840" s="446"/>
      <c r="Q840" s="446"/>
      <c r="R840" s="446"/>
      <c r="S840" s="446"/>
      <c r="T840" s="446"/>
      <c r="U840" s="446"/>
      <c r="V840" s="446"/>
    </row>
    <row r="841" ht="15.75" customHeight="1">
      <c r="A841" s="761"/>
      <c r="B841" s="446"/>
      <c r="C841" s="760"/>
      <c r="D841" s="712"/>
      <c r="E841" s="760"/>
      <c r="F841" s="760"/>
      <c r="G841" s="760"/>
      <c r="H841" s="712"/>
      <c r="I841" s="446"/>
      <c r="J841" s="766"/>
      <c r="K841" s="767"/>
      <c r="L841" s="768"/>
      <c r="M841" s="768"/>
      <c r="N841" s="712"/>
      <c r="O841" s="769"/>
      <c r="P841" s="446"/>
      <c r="Q841" s="446"/>
      <c r="R841" s="446"/>
      <c r="S841" s="446"/>
      <c r="T841" s="446"/>
      <c r="U841" s="446"/>
      <c r="V841" s="446"/>
    </row>
    <row r="842" ht="15.75" customHeight="1">
      <c r="A842" s="761"/>
      <c r="B842" s="446"/>
      <c r="C842" s="760"/>
      <c r="D842" s="712"/>
      <c r="E842" s="760"/>
      <c r="F842" s="760"/>
      <c r="G842" s="760"/>
      <c r="H842" s="712"/>
      <c r="I842" s="446"/>
      <c r="J842" s="766"/>
      <c r="K842" s="767"/>
      <c r="L842" s="768"/>
      <c r="M842" s="768"/>
      <c r="N842" s="712"/>
      <c r="O842" s="769"/>
      <c r="P842" s="446"/>
      <c r="Q842" s="446"/>
      <c r="R842" s="446"/>
      <c r="S842" s="446"/>
      <c r="T842" s="446"/>
      <c r="U842" s="446"/>
      <c r="V842" s="446"/>
    </row>
    <row r="843" ht="15.75" customHeight="1">
      <c r="A843" s="761"/>
      <c r="B843" s="446"/>
      <c r="C843" s="760"/>
      <c r="D843" s="712"/>
      <c r="E843" s="760"/>
      <c r="F843" s="760"/>
      <c r="G843" s="760"/>
      <c r="H843" s="712"/>
      <c r="I843" s="446"/>
      <c r="J843" s="766"/>
      <c r="K843" s="767"/>
      <c r="L843" s="768"/>
      <c r="M843" s="768"/>
      <c r="N843" s="712"/>
      <c r="O843" s="769"/>
      <c r="P843" s="446"/>
      <c r="Q843" s="446"/>
      <c r="R843" s="446"/>
      <c r="S843" s="446"/>
      <c r="T843" s="446"/>
      <c r="U843" s="446"/>
      <c r="V843" s="446"/>
    </row>
    <row r="844" ht="15.75" customHeight="1">
      <c r="A844" s="761"/>
      <c r="B844" s="446"/>
      <c r="C844" s="760"/>
      <c r="D844" s="712"/>
      <c r="E844" s="760"/>
      <c r="F844" s="760"/>
      <c r="G844" s="760"/>
      <c r="H844" s="712"/>
      <c r="I844" s="446"/>
      <c r="J844" s="766"/>
      <c r="K844" s="767"/>
      <c r="L844" s="768"/>
      <c r="M844" s="768"/>
      <c r="N844" s="712"/>
      <c r="O844" s="769"/>
      <c r="P844" s="446"/>
      <c r="Q844" s="446"/>
      <c r="R844" s="446"/>
      <c r="S844" s="446"/>
      <c r="T844" s="446"/>
      <c r="U844" s="446"/>
      <c r="V844" s="446"/>
    </row>
    <row r="845" ht="15.75" customHeight="1">
      <c r="A845" s="761"/>
      <c r="B845" s="446"/>
      <c r="C845" s="760"/>
      <c r="D845" s="712"/>
      <c r="E845" s="760"/>
      <c r="F845" s="760"/>
      <c r="G845" s="760"/>
      <c r="H845" s="712"/>
      <c r="I845" s="446"/>
      <c r="J845" s="766"/>
      <c r="K845" s="767"/>
      <c r="L845" s="768"/>
      <c r="M845" s="768"/>
      <c r="N845" s="712"/>
      <c r="O845" s="769"/>
      <c r="P845" s="446"/>
      <c r="Q845" s="446"/>
      <c r="R845" s="446"/>
      <c r="S845" s="446"/>
      <c r="T845" s="446"/>
      <c r="U845" s="446"/>
      <c r="V845" s="446"/>
    </row>
    <row r="846" ht="15.75" customHeight="1">
      <c r="A846" s="761"/>
      <c r="B846" s="446"/>
      <c r="C846" s="760"/>
      <c r="D846" s="712"/>
      <c r="E846" s="760"/>
      <c r="F846" s="760"/>
      <c r="G846" s="760"/>
      <c r="H846" s="712"/>
      <c r="I846" s="446"/>
      <c r="J846" s="766"/>
      <c r="K846" s="767"/>
      <c r="L846" s="768"/>
      <c r="M846" s="768"/>
      <c r="N846" s="712"/>
      <c r="O846" s="769"/>
      <c r="P846" s="446"/>
      <c r="Q846" s="446"/>
      <c r="R846" s="446"/>
      <c r="S846" s="446"/>
      <c r="T846" s="446"/>
      <c r="U846" s="446"/>
      <c r="V846" s="446"/>
    </row>
    <row r="847" ht="15.75" customHeight="1">
      <c r="A847" s="761"/>
      <c r="B847" s="446"/>
      <c r="C847" s="760"/>
      <c r="D847" s="712"/>
      <c r="E847" s="760"/>
      <c r="F847" s="760"/>
      <c r="G847" s="760"/>
      <c r="H847" s="712"/>
      <c r="I847" s="446"/>
      <c r="J847" s="766"/>
      <c r="K847" s="767"/>
      <c r="L847" s="768"/>
      <c r="M847" s="768"/>
      <c r="N847" s="712"/>
      <c r="O847" s="769"/>
      <c r="P847" s="446"/>
      <c r="Q847" s="446"/>
      <c r="R847" s="446"/>
      <c r="S847" s="446"/>
      <c r="T847" s="446"/>
      <c r="U847" s="446"/>
      <c r="V847" s="446"/>
    </row>
    <row r="848" ht="15.75" customHeight="1">
      <c r="A848" s="761"/>
      <c r="B848" s="446"/>
      <c r="C848" s="760"/>
      <c r="D848" s="712"/>
      <c r="E848" s="760"/>
      <c r="F848" s="760"/>
      <c r="G848" s="760"/>
      <c r="H848" s="712"/>
      <c r="I848" s="446"/>
      <c r="J848" s="766"/>
      <c r="K848" s="767"/>
      <c r="L848" s="768"/>
      <c r="M848" s="768"/>
      <c r="N848" s="712"/>
      <c r="O848" s="769"/>
      <c r="P848" s="446"/>
      <c r="Q848" s="446"/>
      <c r="R848" s="446"/>
      <c r="S848" s="446"/>
      <c r="T848" s="446"/>
      <c r="U848" s="446"/>
      <c r="V848" s="446"/>
    </row>
    <row r="849" ht="15.75" customHeight="1">
      <c r="A849" s="761"/>
      <c r="B849" s="446"/>
      <c r="C849" s="760"/>
      <c r="D849" s="712"/>
      <c r="E849" s="760"/>
      <c r="F849" s="760"/>
      <c r="G849" s="760"/>
      <c r="H849" s="712"/>
      <c r="I849" s="446"/>
      <c r="J849" s="766"/>
      <c r="K849" s="767"/>
      <c r="L849" s="768"/>
      <c r="M849" s="768"/>
      <c r="N849" s="712"/>
      <c r="O849" s="769"/>
      <c r="P849" s="446"/>
      <c r="Q849" s="446"/>
      <c r="R849" s="446"/>
      <c r="S849" s="446"/>
      <c r="T849" s="446"/>
      <c r="U849" s="446"/>
      <c r="V849" s="446"/>
    </row>
    <row r="850" ht="15.75" customHeight="1">
      <c r="A850" s="761"/>
      <c r="B850" s="446"/>
      <c r="C850" s="760"/>
      <c r="D850" s="712"/>
      <c r="E850" s="760"/>
      <c r="F850" s="760"/>
      <c r="G850" s="760"/>
      <c r="H850" s="712"/>
      <c r="I850" s="446"/>
      <c r="J850" s="766"/>
      <c r="K850" s="767"/>
      <c r="L850" s="768"/>
      <c r="M850" s="768"/>
      <c r="N850" s="712"/>
      <c r="O850" s="769"/>
      <c r="P850" s="446"/>
      <c r="Q850" s="446"/>
      <c r="R850" s="446"/>
      <c r="S850" s="446"/>
      <c r="T850" s="446"/>
      <c r="U850" s="446"/>
      <c r="V850" s="446"/>
    </row>
    <row r="851" ht="15.75" customHeight="1">
      <c r="A851" s="761"/>
      <c r="B851" s="446"/>
      <c r="C851" s="760"/>
      <c r="D851" s="712"/>
      <c r="E851" s="760"/>
      <c r="F851" s="760"/>
      <c r="G851" s="760"/>
      <c r="H851" s="712"/>
      <c r="I851" s="446"/>
      <c r="J851" s="766"/>
      <c r="K851" s="767"/>
      <c r="L851" s="768"/>
      <c r="M851" s="768"/>
      <c r="N851" s="712"/>
      <c r="O851" s="769"/>
      <c r="P851" s="446"/>
      <c r="Q851" s="446"/>
      <c r="R851" s="446"/>
      <c r="S851" s="446"/>
      <c r="T851" s="446"/>
      <c r="U851" s="446"/>
      <c r="V851" s="446"/>
    </row>
    <row r="852" ht="15.75" customHeight="1">
      <c r="A852" s="761"/>
      <c r="B852" s="446"/>
      <c r="C852" s="760"/>
      <c r="D852" s="712"/>
      <c r="E852" s="760"/>
      <c r="F852" s="760"/>
      <c r="G852" s="760"/>
      <c r="H852" s="712"/>
      <c r="I852" s="446"/>
      <c r="J852" s="766"/>
      <c r="K852" s="767"/>
      <c r="L852" s="768"/>
      <c r="M852" s="768"/>
      <c r="N852" s="712"/>
      <c r="O852" s="769"/>
      <c r="P852" s="446"/>
      <c r="Q852" s="446"/>
      <c r="R852" s="446"/>
      <c r="S852" s="446"/>
      <c r="T852" s="446"/>
      <c r="U852" s="446"/>
      <c r="V852" s="446"/>
    </row>
    <row r="853" ht="15.75" customHeight="1">
      <c r="A853" s="761"/>
      <c r="B853" s="446"/>
      <c r="C853" s="760"/>
      <c r="D853" s="712"/>
      <c r="E853" s="760"/>
      <c r="F853" s="760"/>
      <c r="G853" s="760"/>
      <c r="H853" s="712"/>
      <c r="I853" s="446"/>
      <c r="J853" s="766"/>
      <c r="K853" s="767"/>
      <c r="L853" s="768"/>
      <c r="M853" s="768"/>
      <c r="N853" s="712"/>
      <c r="O853" s="769"/>
      <c r="P853" s="446"/>
      <c r="Q853" s="446"/>
      <c r="R853" s="446"/>
      <c r="S853" s="446"/>
      <c r="T853" s="446"/>
      <c r="U853" s="446"/>
      <c r="V853" s="446"/>
    </row>
    <row r="854" ht="15.75" customHeight="1">
      <c r="A854" s="761"/>
      <c r="B854" s="446"/>
      <c r="C854" s="760"/>
      <c r="D854" s="712"/>
      <c r="E854" s="760"/>
      <c r="F854" s="760"/>
      <c r="G854" s="760"/>
      <c r="H854" s="712"/>
      <c r="I854" s="446"/>
      <c r="J854" s="766"/>
      <c r="K854" s="767"/>
      <c r="L854" s="768"/>
      <c r="M854" s="768"/>
      <c r="N854" s="712"/>
      <c r="O854" s="769"/>
      <c r="P854" s="446"/>
      <c r="Q854" s="446"/>
      <c r="R854" s="446"/>
      <c r="S854" s="446"/>
      <c r="T854" s="446"/>
      <c r="U854" s="446"/>
      <c r="V854" s="446"/>
    </row>
    <row r="855" ht="15.75" customHeight="1">
      <c r="A855" s="761"/>
      <c r="B855" s="446"/>
      <c r="C855" s="760"/>
      <c r="D855" s="712"/>
      <c r="E855" s="760"/>
      <c r="F855" s="760"/>
      <c r="G855" s="760"/>
      <c r="H855" s="712"/>
      <c r="I855" s="446"/>
      <c r="J855" s="766"/>
      <c r="K855" s="767"/>
      <c r="L855" s="768"/>
      <c r="M855" s="768"/>
      <c r="N855" s="712"/>
      <c r="O855" s="769"/>
      <c r="P855" s="446"/>
      <c r="Q855" s="446"/>
      <c r="R855" s="446"/>
      <c r="S855" s="446"/>
      <c r="T855" s="446"/>
      <c r="U855" s="446"/>
      <c r="V855" s="446"/>
    </row>
    <row r="856" ht="15.75" customHeight="1">
      <c r="A856" s="761"/>
      <c r="B856" s="446"/>
      <c r="C856" s="760"/>
      <c r="D856" s="712"/>
      <c r="E856" s="760"/>
      <c r="F856" s="760"/>
      <c r="G856" s="760"/>
      <c r="H856" s="712"/>
      <c r="I856" s="446"/>
      <c r="J856" s="766"/>
      <c r="K856" s="767"/>
      <c r="L856" s="768"/>
      <c r="M856" s="768"/>
      <c r="N856" s="712"/>
      <c r="O856" s="769"/>
      <c r="P856" s="446"/>
      <c r="Q856" s="446"/>
      <c r="R856" s="446"/>
      <c r="S856" s="446"/>
      <c r="T856" s="446"/>
      <c r="U856" s="446"/>
      <c r="V856" s="446"/>
    </row>
    <row r="857" ht="15.75" customHeight="1">
      <c r="A857" s="761"/>
      <c r="B857" s="446"/>
      <c r="C857" s="760"/>
      <c r="D857" s="712"/>
      <c r="E857" s="760"/>
      <c r="F857" s="760"/>
      <c r="G857" s="760"/>
      <c r="H857" s="712"/>
      <c r="I857" s="446"/>
      <c r="J857" s="766"/>
      <c r="K857" s="767"/>
      <c r="L857" s="768"/>
      <c r="M857" s="768"/>
      <c r="N857" s="712"/>
      <c r="O857" s="769"/>
      <c r="P857" s="446"/>
      <c r="Q857" s="446"/>
      <c r="R857" s="446"/>
      <c r="S857" s="446"/>
      <c r="T857" s="446"/>
      <c r="U857" s="446"/>
      <c r="V857" s="446"/>
    </row>
    <row r="858" ht="15.75" customHeight="1">
      <c r="A858" s="761"/>
      <c r="B858" s="446"/>
      <c r="C858" s="760"/>
      <c r="D858" s="712"/>
      <c r="E858" s="760"/>
      <c r="F858" s="760"/>
      <c r="G858" s="760"/>
      <c r="H858" s="712"/>
      <c r="I858" s="446"/>
      <c r="J858" s="766"/>
      <c r="K858" s="767"/>
      <c r="L858" s="768"/>
      <c r="M858" s="768"/>
      <c r="N858" s="712"/>
      <c r="O858" s="769"/>
      <c r="P858" s="446"/>
      <c r="Q858" s="446"/>
      <c r="R858" s="446"/>
      <c r="S858" s="446"/>
      <c r="T858" s="446"/>
      <c r="U858" s="446"/>
      <c r="V858" s="446"/>
    </row>
    <row r="859" ht="15.75" customHeight="1">
      <c r="A859" s="761"/>
      <c r="B859" s="446"/>
      <c r="C859" s="760"/>
      <c r="D859" s="712"/>
      <c r="E859" s="760"/>
      <c r="F859" s="760"/>
      <c r="G859" s="760"/>
      <c r="H859" s="712"/>
      <c r="I859" s="446"/>
      <c r="J859" s="766"/>
      <c r="K859" s="767"/>
      <c r="L859" s="768"/>
      <c r="M859" s="768"/>
      <c r="N859" s="712"/>
      <c r="O859" s="769"/>
      <c r="P859" s="446"/>
      <c r="Q859" s="446"/>
      <c r="R859" s="446"/>
      <c r="S859" s="446"/>
      <c r="T859" s="446"/>
      <c r="U859" s="446"/>
      <c r="V859" s="446"/>
    </row>
    <row r="860" ht="15.75" customHeight="1">
      <c r="A860" s="761"/>
      <c r="B860" s="446"/>
      <c r="C860" s="760"/>
      <c r="D860" s="712"/>
      <c r="E860" s="760"/>
      <c r="F860" s="760"/>
      <c r="G860" s="760"/>
      <c r="H860" s="712"/>
      <c r="I860" s="446"/>
      <c r="J860" s="766"/>
      <c r="K860" s="767"/>
      <c r="L860" s="768"/>
      <c r="M860" s="768"/>
      <c r="N860" s="712"/>
      <c r="O860" s="769"/>
      <c r="P860" s="446"/>
      <c r="Q860" s="446"/>
      <c r="R860" s="446"/>
      <c r="S860" s="446"/>
      <c r="T860" s="446"/>
      <c r="U860" s="446"/>
      <c r="V860" s="446"/>
    </row>
    <row r="861" ht="15.75" customHeight="1">
      <c r="A861" s="761"/>
      <c r="B861" s="446"/>
      <c r="C861" s="760"/>
      <c r="D861" s="712"/>
      <c r="E861" s="760"/>
      <c r="F861" s="760"/>
      <c r="G861" s="760"/>
      <c r="H861" s="712"/>
      <c r="I861" s="446"/>
      <c r="J861" s="766"/>
      <c r="K861" s="767"/>
      <c r="L861" s="768"/>
      <c r="M861" s="768"/>
      <c r="N861" s="712"/>
      <c r="O861" s="769"/>
      <c r="P861" s="446"/>
      <c r="Q861" s="446"/>
      <c r="R861" s="446"/>
      <c r="S861" s="446"/>
      <c r="T861" s="446"/>
      <c r="U861" s="446"/>
      <c r="V861" s="446"/>
    </row>
    <row r="862" ht="15.75" customHeight="1">
      <c r="A862" s="761"/>
      <c r="B862" s="446"/>
      <c r="C862" s="760"/>
      <c r="D862" s="712"/>
      <c r="E862" s="760"/>
      <c r="F862" s="760"/>
      <c r="G862" s="760"/>
      <c r="H862" s="712"/>
      <c r="I862" s="446"/>
      <c r="J862" s="766"/>
      <c r="K862" s="767"/>
      <c r="L862" s="768"/>
      <c r="M862" s="768"/>
      <c r="N862" s="712"/>
      <c r="O862" s="769"/>
      <c r="P862" s="446"/>
      <c r="Q862" s="446"/>
      <c r="R862" s="446"/>
      <c r="S862" s="446"/>
      <c r="T862" s="446"/>
      <c r="U862" s="446"/>
      <c r="V862" s="446"/>
    </row>
    <row r="863" ht="15.75" customHeight="1">
      <c r="A863" s="761"/>
      <c r="B863" s="446"/>
      <c r="C863" s="760"/>
      <c r="D863" s="712"/>
      <c r="E863" s="760"/>
      <c r="F863" s="760"/>
      <c r="G863" s="760"/>
      <c r="H863" s="712"/>
      <c r="I863" s="446"/>
      <c r="J863" s="766"/>
      <c r="K863" s="767"/>
      <c r="L863" s="768"/>
      <c r="M863" s="768"/>
      <c r="N863" s="712"/>
      <c r="O863" s="769"/>
      <c r="P863" s="446"/>
      <c r="Q863" s="446"/>
      <c r="R863" s="446"/>
      <c r="S863" s="446"/>
      <c r="T863" s="446"/>
      <c r="U863" s="446"/>
      <c r="V863" s="446"/>
    </row>
    <row r="864" ht="15.75" customHeight="1">
      <c r="A864" s="761"/>
      <c r="B864" s="446"/>
      <c r="C864" s="760"/>
      <c r="D864" s="712"/>
      <c r="E864" s="760"/>
      <c r="F864" s="760"/>
      <c r="G864" s="760"/>
      <c r="H864" s="712"/>
      <c r="I864" s="446"/>
      <c r="J864" s="766"/>
      <c r="K864" s="767"/>
      <c r="L864" s="768"/>
      <c r="M864" s="768"/>
      <c r="N864" s="712"/>
      <c r="O864" s="769"/>
      <c r="P864" s="446"/>
      <c r="Q864" s="446"/>
      <c r="R864" s="446"/>
      <c r="S864" s="446"/>
      <c r="T864" s="446"/>
      <c r="U864" s="446"/>
      <c r="V864" s="446"/>
    </row>
    <row r="865" ht="15.75" customHeight="1">
      <c r="A865" s="761"/>
      <c r="B865" s="446"/>
      <c r="C865" s="760"/>
      <c r="D865" s="712"/>
      <c r="E865" s="760"/>
      <c r="F865" s="760"/>
      <c r="G865" s="760"/>
      <c r="H865" s="712"/>
      <c r="I865" s="446"/>
      <c r="J865" s="766"/>
      <c r="K865" s="767"/>
      <c r="L865" s="768"/>
      <c r="M865" s="768"/>
      <c r="N865" s="712"/>
      <c r="O865" s="769"/>
      <c r="P865" s="446"/>
      <c r="Q865" s="446"/>
      <c r="R865" s="446"/>
      <c r="S865" s="446"/>
      <c r="T865" s="446"/>
      <c r="U865" s="446"/>
      <c r="V865" s="446"/>
    </row>
    <row r="866" ht="15.75" customHeight="1">
      <c r="A866" s="761"/>
      <c r="B866" s="446"/>
      <c r="C866" s="760"/>
      <c r="D866" s="712"/>
      <c r="E866" s="760"/>
      <c r="F866" s="760"/>
      <c r="G866" s="760"/>
      <c r="H866" s="712"/>
      <c r="I866" s="446"/>
      <c r="J866" s="766"/>
      <c r="K866" s="767"/>
      <c r="L866" s="768"/>
      <c r="M866" s="768"/>
      <c r="N866" s="712"/>
      <c r="O866" s="769"/>
      <c r="P866" s="446"/>
      <c r="Q866" s="446"/>
      <c r="R866" s="446"/>
      <c r="S866" s="446"/>
      <c r="T866" s="446"/>
      <c r="U866" s="446"/>
      <c r="V866" s="446"/>
    </row>
    <row r="867" ht="15.75" customHeight="1">
      <c r="A867" s="761"/>
      <c r="B867" s="446"/>
      <c r="C867" s="760"/>
      <c r="D867" s="712"/>
      <c r="E867" s="760"/>
      <c r="F867" s="760"/>
      <c r="G867" s="760"/>
      <c r="H867" s="712"/>
      <c r="I867" s="446"/>
      <c r="J867" s="766"/>
      <c r="K867" s="767"/>
      <c r="L867" s="768"/>
      <c r="M867" s="768"/>
      <c r="N867" s="712"/>
      <c r="O867" s="769"/>
      <c r="P867" s="446"/>
      <c r="Q867" s="446"/>
      <c r="R867" s="446"/>
      <c r="S867" s="446"/>
      <c r="T867" s="446"/>
      <c r="U867" s="446"/>
      <c r="V867" s="446"/>
    </row>
    <row r="868" ht="15.75" customHeight="1">
      <c r="A868" s="761"/>
      <c r="B868" s="446"/>
      <c r="C868" s="760"/>
      <c r="D868" s="712"/>
      <c r="E868" s="760"/>
      <c r="F868" s="760"/>
      <c r="G868" s="760"/>
      <c r="H868" s="712"/>
      <c r="I868" s="446"/>
      <c r="J868" s="766"/>
      <c r="K868" s="767"/>
      <c r="L868" s="768"/>
      <c r="M868" s="768"/>
      <c r="N868" s="712"/>
      <c r="O868" s="769"/>
      <c r="P868" s="446"/>
      <c r="Q868" s="446"/>
      <c r="R868" s="446"/>
      <c r="S868" s="446"/>
      <c r="T868" s="446"/>
      <c r="U868" s="446"/>
      <c r="V868" s="446"/>
    </row>
    <row r="869" ht="15.75" customHeight="1">
      <c r="A869" s="761"/>
      <c r="B869" s="446"/>
      <c r="C869" s="760"/>
      <c r="D869" s="712"/>
      <c r="E869" s="760"/>
      <c r="F869" s="760"/>
      <c r="G869" s="760"/>
      <c r="H869" s="712"/>
      <c r="I869" s="446"/>
      <c r="J869" s="766"/>
      <c r="K869" s="767"/>
      <c r="L869" s="768"/>
      <c r="M869" s="768"/>
      <c r="N869" s="712"/>
      <c r="O869" s="769"/>
      <c r="P869" s="446"/>
      <c r="Q869" s="446"/>
      <c r="R869" s="446"/>
      <c r="S869" s="446"/>
      <c r="T869" s="446"/>
      <c r="U869" s="446"/>
      <c r="V869" s="446"/>
    </row>
    <row r="870" ht="15.75" customHeight="1">
      <c r="A870" s="761"/>
      <c r="B870" s="446"/>
      <c r="C870" s="760"/>
      <c r="D870" s="712"/>
      <c r="E870" s="760"/>
      <c r="F870" s="760"/>
      <c r="G870" s="760"/>
      <c r="H870" s="712"/>
      <c r="I870" s="446"/>
      <c r="J870" s="766"/>
      <c r="K870" s="767"/>
      <c r="L870" s="768"/>
      <c r="M870" s="768"/>
      <c r="N870" s="712"/>
      <c r="O870" s="769"/>
      <c r="P870" s="446"/>
      <c r="Q870" s="446"/>
      <c r="R870" s="446"/>
      <c r="S870" s="446"/>
      <c r="T870" s="446"/>
      <c r="U870" s="446"/>
      <c r="V870" s="446"/>
    </row>
    <row r="871" ht="15.75" customHeight="1">
      <c r="A871" s="761"/>
      <c r="B871" s="446"/>
      <c r="C871" s="760"/>
      <c r="D871" s="712"/>
      <c r="E871" s="760"/>
      <c r="F871" s="760"/>
      <c r="G871" s="760"/>
      <c r="H871" s="712"/>
      <c r="I871" s="446"/>
      <c r="J871" s="766"/>
      <c r="K871" s="767"/>
      <c r="L871" s="768"/>
      <c r="M871" s="768"/>
      <c r="N871" s="712"/>
      <c r="O871" s="769"/>
      <c r="P871" s="446"/>
      <c r="Q871" s="446"/>
      <c r="R871" s="446"/>
      <c r="S871" s="446"/>
      <c r="T871" s="446"/>
      <c r="U871" s="446"/>
      <c r="V871" s="446"/>
    </row>
    <row r="872" ht="15.75" customHeight="1">
      <c r="A872" s="761"/>
      <c r="B872" s="446"/>
      <c r="C872" s="760"/>
      <c r="D872" s="712"/>
      <c r="E872" s="760"/>
      <c r="F872" s="760"/>
      <c r="G872" s="760"/>
      <c r="H872" s="712"/>
      <c r="I872" s="446"/>
      <c r="J872" s="766"/>
      <c r="K872" s="767"/>
      <c r="L872" s="768"/>
      <c r="M872" s="768"/>
      <c r="N872" s="712"/>
      <c r="O872" s="769"/>
      <c r="P872" s="446"/>
      <c r="Q872" s="446"/>
      <c r="R872" s="446"/>
      <c r="S872" s="446"/>
      <c r="T872" s="446"/>
      <c r="U872" s="446"/>
      <c r="V872" s="446"/>
    </row>
    <row r="873" ht="15.75" customHeight="1">
      <c r="A873" s="761"/>
      <c r="B873" s="446"/>
      <c r="C873" s="760"/>
      <c r="D873" s="712"/>
      <c r="E873" s="760"/>
      <c r="F873" s="760"/>
      <c r="G873" s="760"/>
      <c r="H873" s="712"/>
      <c r="I873" s="446"/>
      <c r="J873" s="766"/>
      <c r="K873" s="767"/>
      <c r="L873" s="768"/>
      <c r="M873" s="768"/>
      <c r="N873" s="712"/>
      <c r="O873" s="769"/>
      <c r="P873" s="446"/>
      <c r="Q873" s="446"/>
      <c r="R873" s="446"/>
      <c r="S873" s="446"/>
      <c r="T873" s="446"/>
      <c r="U873" s="446"/>
      <c r="V873" s="446"/>
    </row>
    <row r="874" ht="15.75" customHeight="1">
      <c r="A874" s="761"/>
      <c r="B874" s="446"/>
      <c r="C874" s="760"/>
      <c r="D874" s="712"/>
      <c r="E874" s="760"/>
      <c r="F874" s="760"/>
      <c r="G874" s="760"/>
      <c r="H874" s="712"/>
      <c r="I874" s="446"/>
      <c r="J874" s="766"/>
      <c r="K874" s="767"/>
      <c r="L874" s="768"/>
      <c r="M874" s="768"/>
      <c r="N874" s="712"/>
      <c r="O874" s="769"/>
      <c r="P874" s="446"/>
      <c r="Q874" s="446"/>
      <c r="R874" s="446"/>
      <c r="S874" s="446"/>
      <c r="T874" s="446"/>
      <c r="U874" s="446"/>
      <c r="V874" s="446"/>
    </row>
    <row r="875" ht="15.75" customHeight="1">
      <c r="A875" s="761"/>
      <c r="B875" s="446"/>
      <c r="C875" s="760"/>
      <c r="D875" s="712"/>
      <c r="E875" s="760"/>
      <c r="F875" s="760"/>
      <c r="G875" s="760"/>
      <c r="H875" s="712"/>
      <c r="I875" s="446"/>
      <c r="J875" s="766"/>
      <c r="K875" s="767"/>
      <c r="L875" s="768"/>
      <c r="M875" s="768"/>
      <c r="N875" s="712"/>
      <c r="O875" s="769"/>
      <c r="P875" s="446"/>
      <c r="Q875" s="446"/>
      <c r="R875" s="446"/>
      <c r="S875" s="446"/>
      <c r="T875" s="446"/>
      <c r="U875" s="446"/>
      <c r="V875" s="446"/>
    </row>
    <row r="876" ht="15.75" customHeight="1">
      <c r="A876" s="761"/>
      <c r="B876" s="446"/>
      <c r="C876" s="760"/>
      <c r="D876" s="712"/>
      <c r="E876" s="760"/>
      <c r="F876" s="760"/>
      <c r="G876" s="760"/>
      <c r="H876" s="712"/>
      <c r="I876" s="446"/>
      <c r="J876" s="766"/>
      <c r="K876" s="767"/>
      <c r="L876" s="768"/>
      <c r="M876" s="768"/>
      <c r="N876" s="712"/>
      <c r="O876" s="769"/>
      <c r="P876" s="446"/>
      <c r="Q876" s="446"/>
      <c r="R876" s="446"/>
      <c r="S876" s="446"/>
      <c r="T876" s="446"/>
      <c r="U876" s="446"/>
      <c r="V876" s="446"/>
    </row>
    <row r="877" ht="15.75" customHeight="1">
      <c r="A877" s="761"/>
      <c r="B877" s="446"/>
      <c r="C877" s="760"/>
      <c r="D877" s="712"/>
      <c r="E877" s="760"/>
      <c r="F877" s="760"/>
      <c r="G877" s="760"/>
      <c r="H877" s="712"/>
      <c r="I877" s="446"/>
      <c r="J877" s="766"/>
      <c r="K877" s="767"/>
      <c r="L877" s="768"/>
      <c r="M877" s="768"/>
      <c r="N877" s="712"/>
      <c r="O877" s="769"/>
      <c r="P877" s="446"/>
      <c r="Q877" s="446"/>
      <c r="R877" s="446"/>
      <c r="S877" s="446"/>
      <c r="T877" s="446"/>
      <c r="U877" s="446"/>
      <c r="V877" s="446"/>
    </row>
    <row r="878" ht="15.75" customHeight="1">
      <c r="A878" s="761"/>
      <c r="B878" s="446"/>
      <c r="C878" s="760"/>
      <c r="D878" s="712"/>
      <c r="E878" s="760"/>
      <c r="F878" s="760"/>
      <c r="G878" s="760"/>
      <c r="H878" s="712"/>
      <c r="I878" s="446"/>
      <c r="J878" s="766"/>
      <c r="K878" s="767"/>
      <c r="L878" s="768"/>
      <c r="M878" s="768"/>
      <c r="N878" s="712"/>
      <c r="O878" s="769"/>
      <c r="P878" s="446"/>
      <c r="Q878" s="446"/>
      <c r="R878" s="446"/>
      <c r="S878" s="446"/>
      <c r="T878" s="446"/>
      <c r="U878" s="446"/>
      <c r="V878" s="446"/>
    </row>
    <row r="879" ht="15.75" customHeight="1">
      <c r="A879" s="761"/>
      <c r="B879" s="446"/>
      <c r="C879" s="760"/>
      <c r="D879" s="712"/>
      <c r="E879" s="760"/>
      <c r="F879" s="760"/>
      <c r="G879" s="760"/>
      <c r="H879" s="712"/>
      <c r="I879" s="446"/>
      <c r="J879" s="766"/>
      <c r="K879" s="767"/>
      <c r="L879" s="768"/>
      <c r="M879" s="768"/>
      <c r="N879" s="712"/>
      <c r="O879" s="769"/>
      <c r="P879" s="446"/>
      <c r="Q879" s="446"/>
      <c r="R879" s="446"/>
      <c r="S879" s="446"/>
      <c r="T879" s="446"/>
      <c r="U879" s="446"/>
      <c r="V879" s="446"/>
    </row>
    <row r="880" ht="15.75" customHeight="1">
      <c r="A880" s="761"/>
      <c r="B880" s="446"/>
      <c r="C880" s="760"/>
      <c r="D880" s="712"/>
      <c r="E880" s="760"/>
      <c r="F880" s="760"/>
      <c r="G880" s="760"/>
      <c r="H880" s="712"/>
      <c r="I880" s="446"/>
      <c r="J880" s="766"/>
      <c r="K880" s="767"/>
      <c r="L880" s="768"/>
      <c r="M880" s="768"/>
      <c r="N880" s="712"/>
      <c r="O880" s="769"/>
      <c r="P880" s="446"/>
      <c r="Q880" s="446"/>
      <c r="R880" s="446"/>
      <c r="S880" s="446"/>
      <c r="T880" s="446"/>
      <c r="U880" s="446"/>
      <c r="V880" s="446"/>
    </row>
    <row r="881" ht="15.75" customHeight="1">
      <c r="A881" s="761"/>
      <c r="B881" s="446"/>
      <c r="C881" s="760"/>
      <c r="D881" s="712"/>
      <c r="E881" s="760"/>
      <c r="F881" s="760"/>
      <c r="G881" s="760"/>
      <c r="H881" s="712"/>
      <c r="I881" s="446"/>
      <c r="J881" s="766"/>
      <c r="K881" s="767"/>
      <c r="L881" s="768"/>
      <c r="M881" s="768"/>
      <c r="N881" s="712"/>
      <c r="O881" s="769"/>
      <c r="P881" s="446"/>
      <c r="Q881" s="446"/>
      <c r="R881" s="446"/>
      <c r="S881" s="446"/>
      <c r="T881" s="446"/>
      <c r="U881" s="446"/>
      <c r="V881" s="446"/>
    </row>
    <row r="882" ht="15.75" customHeight="1">
      <c r="A882" s="761"/>
      <c r="B882" s="446"/>
      <c r="C882" s="760"/>
      <c r="D882" s="712"/>
      <c r="E882" s="760"/>
      <c r="F882" s="760"/>
      <c r="G882" s="760"/>
      <c r="H882" s="712"/>
      <c r="I882" s="446"/>
      <c r="J882" s="766"/>
      <c r="K882" s="767"/>
      <c r="L882" s="768"/>
      <c r="M882" s="768"/>
      <c r="N882" s="712"/>
      <c r="O882" s="769"/>
      <c r="P882" s="446"/>
      <c r="Q882" s="446"/>
      <c r="R882" s="446"/>
      <c r="S882" s="446"/>
      <c r="T882" s="446"/>
      <c r="U882" s="446"/>
      <c r="V882" s="446"/>
    </row>
    <row r="883" ht="15.75" customHeight="1">
      <c r="A883" s="761"/>
      <c r="B883" s="446"/>
      <c r="C883" s="760"/>
      <c r="D883" s="712"/>
      <c r="E883" s="760"/>
      <c r="F883" s="760"/>
      <c r="G883" s="760"/>
      <c r="H883" s="712"/>
      <c r="I883" s="446"/>
      <c r="J883" s="766"/>
      <c r="K883" s="767"/>
      <c r="L883" s="768"/>
      <c r="M883" s="768"/>
      <c r="N883" s="712"/>
      <c r="O883" s="769"/>
      <c r="P883" s="446"/>
      <c r="Q883" s="446"/>
      <c r="R883" s="446"/>
      <c r="S883" s="446"/>
      <c r="T883" s="446"/>
      <c r="U883" s="446"/>
      <c r="V883" s="446"/>
    </row>
    <row r="884" ht="15.75" customHeight="1">
      <c r="A884" s="761"/>
      <c r="B884" s="446"/>
      <c r="C884" s="760"/>
      <c r="D884" s="712"/>
      <c r="E884" s="760"/>
      <c r="F884" s="760"/>
      <c r="G884" s="760"/>
      <c r="H884" s="712"/>
      <c r="I884" s="446"/>
      <c r="J884" s="766"/>
      <c r="K884" s="767"/>
      <c r="L884" s="768"/>
      <c r="M884" s="768"/>
      <c r="N884" s="712"/>
      <c r="O884" s="769"/>
      <c r="P884" s="446"/>
      <c r="Q884" s="446"/>
      <c r="R884" s="446"/>
      <c r="S884" s="446"/>
      <c r="T884" s="446"/>
      <c r="U884" s="446"/>
      <c r="V884" s="446"/>
    </row>
    <row r="885" ht="15.75" customHeight="1">
      <c r="A885" s="761"/>
      <c r="B885" s="446"/>
      <c r="C885" s="760"/>
      <c r="D885" s="712"/>
      <c r="E885" s="760"/>
      <c r="F885" s="760"/>
      <c r="G885" s="760"/>
      <c r="H885" s="712"/>
      <c r="I885" s="446"/>
      <c r="J885" s="766"/>
      <c r="K885" s="767"/>
      <c r="L885" s="768"/>
      <c r="M885" s="768"/>
      <c r="N885" s="712"/>
      <c r="O885" s="769"/>
      <c r="P885" s="446"/>
      <c r="Q885" s="446"/>
      <c r="R885" s="446"/>
      <c r="S885" s="446"/>
      <c r="T885" s="446"/>
      <c r="U885" s="446"/>
      <c r="V885" s="446"/>
    </row>
    <row r="886" ht="15.75" customHeight="1">
      <c r="A886" s="761"/>
      <c r="B886" s="446"/>
      <c r="C886" s="760"/>
      <c r="D886" s="712"/>
      <c r="E886" s="760"/>
      <c r="F886" s="760"/>
      <c r="G886" s="760"/>
      <c r="H886" s="712"/>
      <c r="I886" s="446"/>
      <c r="J886" s="766"/>
      <c r="K886" s="767"/>
      <c r="L886" s="768"/>
      <c r="M886" s="768"/>
      <c r="N886" s="712"/>
      <c r="O886" s="769"/>
      <c r="P886" s="446"/>
      <c r="Q886" s="446"/>
      <c r="R886" s="446"/>
      <c r="S886" s="446"/>
      <c r="T886" s="446"/>
      <c r="U886" s="446"/>
      <c r="V886" s="446"/>
    </row>
    <row r="887" ht="15.75" customHeight="1">
      <c r="A887" s="761"/>
      <c r="B887" s="446"/>
      <c r="C887" s="760"/>
      <c r="D887" s="712"/>
      <c r="E887" s="760"/>
      <c r="F887" s="760"/>
      <c r="G887" s="760"/>
      <c r="H887" s="712"/>
      <c r="I887" s="446"/>
      <c r="J887" s="766"/>
      <c r="K887" s="767"/>
      <c r="L887" s="768"/>
      <c r="M887" s="768"/>
      <c r="N887" s="712"/>
      <c r="O887" s="769"/>
      <c r="P887" s="446"/>
      <c r="Q887" s="446"/>
      <c r="R887" s="446"/>
      <c r="S887" s="446"/>
      <c r="T887" s="446"/>
      <c r="U887" s="446"/>
      <c r="V887" s="446"/>
    </row>
    <row r="888" ht="15.75" customHeight="1">
      <c r="A888" s="761"/>
      <c r="B888" s="446"/>
      <c r="C888" s="760"/>
      <c r="D888" s="712"/>
      <c r="E888" s="760"/>
      <c r="F888" s="760"/>
      <c r="G888" s="760"/>
      <c r="H888" s="712"/>
      <c r="I888" s="446"/>
      <c r="J888" s="766"/>
      <c r="K888" s="767"/>
      <c r="L888" s="768"/>
      <c r="M888" s="768"/>
      <c r="N888" s="712"/>
      <c r="O888" s="769"/>
      <c r="P888" s="446"/>
      <c r="Q888" s="446"/>
      <c r="R888" s="446"/>
      <c r="S888" s="446"/>
      <c r="T888" s="446"/>
      <c r="U888" s="446"/>
      <c r="V888" s="446"/>
    </row>
    <row r="889" ht="15.75" customHeight="1">
      <c r="A889" s="761"/>
      <c r="B889" s="446"/>
      <c r="C889" s="760"/>
      <c r="D889" s="712"/>
      <c r="E889" s="760"/>
      <c r="F889" s="760"/>
      <c r="G889" s="760"/>
      <c r="H889" s="712"/>
      <c r="I889" s="446"/>
      <c r="J889" s="766"/>
      <c r="K889" s="767"/>
      <c r="L889" s="768"/>
      <c r="M889" s="768"/>
      <c r="N889" s="712"/>
      <c r="O889" s="769"/>
      <c r="P889" s="446"/>
      <c r="Q889" s="446"/>
      <c r="R889" s="446"/>
      <c r="S889" s="446"/>
      <c r="T889" s="446"/>
      <c r="U889" s="446"/>
      <c r="V889" s="446"/>
    </row>
    <row r="890" ht="15.75" customHeight="1">
      <c r="A890" s="761"/>
      <c r="B890" s="446"/>
      <c r="C890" s="760"/>
      <c r="D890" s="712"/>
      <c r="E890" s="760"/>
      <c r="F890" s="760"/>
      <c r="G890" s="760"/>
      <c r="H890" s="712"/>
      <c r="I890" s="446"/>
      <c r="J890" s="766"/>
      <c r="K890" s="767"/>
      <c r="L890" s="768"/>
      <c r="M890" s="768"/>
      <c r="N890" s="712"/>
      <c r="O890" s="769"/>
      <c r="P890" s="446"/>
      <c r="Q890" s="446"/>
      <c r="R890" s="446"/>
      <c r="S890" s="446"/>
      <c r="T890" s="446"/>
      <c r="U890" s="446"/>
      <c r="V890" s="446"/>
    </row>
    <row r="891" ht="15.75" customHeight="1">
      <c r="A891" s="761"/>
      <c r="B891" s="446"/>
      <c r="C891" s="760"/>
      <c r="D891" s="712"/>
      <c r="E891" s="760"/>
      <c r="F891" s="760"/>
      <c r="G891" s="760"/>
      <c r="H891" s="712"/>
      <c r="I891" s="446"/>
      <c r="J891" s="766"/>
      <c r="K891" s="767"/>
      <c r="L891" s="768"/>
      <c r="M891" s="768"/>
      <c r="N891" s="712"/>
      <c r="O891" s="769"/>
      <c r="P891" s="446"/>
      <c r="Q891" s="446"/>
      <c r="R891" s="446"/>
      <c r="S891" s="446"/>
      <c r="T891" s="446"/>
      <c r="U891" s="446"/>
      <c r="V891" s="446"/>
    </row>
    <row r="892" ht="15.75" customHeight="1">
      <c r="A892" s="761"/>
      <c r="B892" s="446"/>
      <c r="C892" s="760"/>
      <c r="D892" s="712"/>
      <c r="E892" s="760"/>
      <c r="F892" s="760"/>
      <c r="G892" s="760"/>
      <c r="H892" s="712"/>
      <c r="I892" s="446"/>
      <c r="J892" s="766"/>
      <c r="K892" s="767"/>
      <c r="L892" s="768"/>
      <c r="M892" s="768"/>
      <c r="N892" s="712"/>
      <c r="O892" s="769"/>
      <c r="P892" s="446"/>
      <c r="Q892" s="446"/>
      <c r="R892" s="446"/>
      <c r="S892" s="446"/>
      <c r="T892" s="446"/>
      <c r="U892" s="446"/>
      <c r="V892" s="446"/>
    </row>
    <row r="893" ht="15.75" customHeight="1">
      <c r="A893" s="761"/>
      <c r="B893" s="446"/>
      <c r="C893" s="760"/>
      <c r="D893" s="712"/>
      <c r="E893" s="760"/>
      <c r="F893" s="760"/>
      <c r="G893" s="760"/>
      <c r="H893" s="712"/>
      <c r="I893" s="446"/>
      <c r="J893" s="766"/>
      <c r="K893" s="767"/>
      <c r="L893" s="768"/>
      <c r="M893" s="768"/>
      <c r="N893" s="712"/>
      <c r="O893" s="769"/>
      <c r="P893" s="446"/>
      <c r="Q893" s="446"/>
      <c r="R893" s="446"/>
      <c r="S893" s="446"/>
      <c r="T893" s="446"/>
      <c r="U893" s="446"/>
      <c r="V893" s="446"/>
    </row>
    <row r="894" ht="15.75" customHeight="1">
      <c r="A894" s="761"/>
      <c r="B894" s="446"/>
      <c r="C894" s="760"/>
      <c r="D894" s="712"/>
      <c r="E894" s="760"/>
      <c r="F894" s="760"/>
      <c r="G894" s="760"/>
      <c r="H894" s="712"/>
      <c r="I894" s="446"/>
      <c r="J894" s="766"/>
      <c r="K894" s="767"/>
      <c r="L894" s="768"/>
      <c r="M894" s="768"/>
      <c r="N894" s="712"/>
      <c r="O894" s="769"/>
      <c r="P894" s="446"/>
      <c r="Q894" s="446"/>
      <c r="R894" s="446"/>
      <c r="S894" s="446"/>
      <c r="T894" s="446"/>
      <c r="U894" s="446"/>
      <c r="V894" s="446"/>
    </row>
    <row r="895" ht="15.75" customHeight="1">
      <c r="A895" s="761"/>
      <c r="B895" s="446"/>
      <c r="C895" s="760"/>
      <c r="D895" s="712"/>
      <c r="E895" s="760"/>
      <c r="F895" s="760"/>
      <c r="G895" s="760"/>
      <c r="H895" s="712"/>
      <c r="I895" s="446"/>
      <c r="J895" s="766"/>
      <c r="K895" s="767"/>
      <c r="L895" s="768"/>
      <c r="M895" s="768"/>
      <c r="N895" s="712"/>
      <c r="O895" s="769"/>
      <c r="P895" s="446"/>
      <c r="Q895" s="446"/>
      <c r="R895" s="446"/>
      <c r="S895" s="446"/>
      <c r="T895" s="446"/>
      <c r="U895" s="446"/>
      <c r="V895" s="446"/>
    </row>
    <row r="896" ht="15.75" customHeight="1">
      <c r="A896" s="761"/>
      <c r="B896" s="446"/>
      <c r="C896" s="760"/>
      <c r="D896" s="712"/>
      <c r="E896" s="760"/>
      <c r="F896" s="760"/>
      <c r="G896" s="760"/>
      <c r="H896" s="712"/>
      <c r="I896" s="446"/>
      <c r="J896" s="766"/>
      <c r="K896" s="767"/>
      <c r="L896" s="768"/>
      <c r="M896" s="768"/>
      <c r="N896" s="712"/>
      <c r="O896" s="769"/>
      <c r="P896" s="446"/>
      <c r="Q896" s="446"/>
      <c r="R896" s="446"/>
      <c r="S896" s="446"/>
      <c r="T896" s="446"/>
      <c r="U896" s="446"/>
      <c r="V896" s="446"/>
    </row>
    <row r="897" ht="15.75" customHeight="1">
      <c r="A897" s="761"/>
      <c r="B897" s="446"/>
      <c r="C897" s="760"/>
      <c r="D897" s="712"/>
      <c r="E897" s="760"/>
      <c r="F897" s="760"/>
      <c r="G897" s="760"/>
      <c r="H897" s="712"/>
      <c r="I897" s="446"/>
      <c r="J897" s="766"/>
      <c r="K897" s="767"/>
      <c r="L897" s="768"/>
      <c r="M897" s="768"/>
      <c r="N897" s="712"/>
      <c r="O897" s="769"/>
      <c r="P897" s="446"/>
      <c r="Q897" s="446"/>
      <c r="R897" s="446"/>
      <c r="S897" s="446"/>
      <c r="T897" s="446"/>
      <c r="U897" s="446"/>
      <c r="V897" s="446"/>
    </row>
    <row r="898" ht="15.75" customHeight="1">
      <c r="A898" s="761"/>
      <c r="B898" s="446"/>
      <c r="C898" s="760"/>
      <c r="D898" s="712"/>
      <c r="E898" s="760"/>
      <c r="F898" s="760"/>
      <c r="G898" s="760"/>
      <c r="H898" s="712"/>
      <c r="I898" s="446"/>
      <c r="J898" s="766"/>
      <c r="K898" s="767"/>
      <c r="L898" s="768"/>
      <c r="M898" s="768"/>
      <c r="N898" s="712"/>
      <c r="O898" s="769"/>
      <c r="P898" s="446"/>
      <c r="Q898" s="446"/>
      <c r="R898" s="446"/>
      <c r="S898" s="446"/>
      <c r="T898" s="446"/>
      <c r="U898" s="446"/>
      <c r="V898" s="446"/>
    </row>
    <row r="899" ht="15.75" customHeight="1">
      <c r="A899" s="761"/>
      <c r="B899" s="446"/>
      <c r="C899" s="760"/>
      <c r="D899" s="712"/>
      <c r="E899" s="760"/>
      <c r="F899" s="760"/>
      <c r="G899" s="760"/>
      <c r="H899" s="712"/>
      <c r="I899" s="446"/>
      <c r="J899" s="766"/>
      <c r="K899" s="767"/>
      <c r="L899" s="768"/>
      <c r="M899" s="768"/>
      <c r="N899" s="712"/>
      <c r="O899" s="769"/>
      <c r="P899" s="446"/>
      <c r="Q899" s="446"/>
      <c r="R899" s="446"/>
      <c r="S899" s="446"/>
      <c r="T899" s="446"/>
      <c r="U899" s="446"/>
      <c r="V899" s="446"/>
    </row>
    <row r="900" ht="15.75" customHeight="1">
      <c r="A900" s="761"/>
      <c r="B900" s="446"/>
      <c r="C900" s="760"/>
      <c r="D900" s="712"/>
      <c r="E900" s="760"/>
      <c r="F900" s="760"/>
      <c r="G900" s="760"/>
      <c r="H900" s="712"/>
      <c r="I900" s="446"/>
      <c r="J900" s="766"/>
      <c r="K900" s="767"/>
      <c r="L900" s="768"/>
      <c r="M900" s="768"/>
      <c r="N900" s="712"/>
      <c r="O900" s="769"/>
      <c r="P900" s="446"/>
      <c r="Q900" s="446"/>
      <c r="R900" s="446"/>
      <c r="S900" s="446"/>
      <c r="T900" s="446"/>
      <c r="U900" s="446"/>
      <c r="V900" s="446"/>
    </row>
    <row r="901" ht="15.75" customHeight="1">
      <c r="A901" s="761"/>
      <c r="B901" s="446"/>
      <c r="C901" s="760"/>
      <c r="D901" s="712"/>
      <c r="E901" s="760"/>
      <c r="F901" s="760"/>
      <c r="G901" s="760"/>
      <c r="H901" s="712"/>
      <c r="I901" s="446"/>
      <c r="J901" s="766"/>
      <c r="K901" s="767"/>
      <c r="L901" s="768"/>
      <c r="M901" s="768"/>
      <c r="N901" s="712"/>
      <c r="O901" s="769"/>
      <c r="P901" s="446"/>
      <c r="Q901" s="446"/>
      <c r="R901" s="446"/>
      <c r="S901" s="446"/>
      <c r="T901" s="446"/>
      <c r="U901" s="446"/>
      <c r="V901" s="446"/>
    </row>
    <row r="902" ht="15.75" customHeight="1">
      <c r="A902" s="761"/>
      <c r="B902" s="446"/>
      <c r="C902" s="760"/>
      <c r="D902" s="712"/>
      <c r="E902" s="760"/>
      <c r="F902" s="760"/>
      <c r="G902" s="760"/>
      <c r="H902" s="712"/>
      <c r="I902" s="446"/>
      <c r="J902" s="766"/>
      <c r="K902" s="767"/>
      <c r="L902" s="768"/>
      <c r="M902" s="768"/>
      <c r="N902" s="712"/>
      <c r="O902" s="769"/>
      <c r="P902" s="446"/>
      <c r="Q902" s="446"/>
      <c r="R902" s="446"/>
      <c r="S902" s="446"/>
      <c r="T902" s="446"/>
      <c r="U902" s="446"/>
      <c r="V902" s="446"/>
    </row>
    <row r="903" ht="15.75" customHeight="1">
      <c r="A903" s="761"/>
      <c r="B903" s="446"/>
      <c r="C903" s="760"/>
      <c r="D903" s="712"/>
      <c r="E903" s="760"/>
      <c r="F903" s="760"/>
      <c r="G903" s="760"/>
      <c r="H903" s="712"/>
      <c r="I903" s="446"/>
      <c r="J903" s="766"/>
      <c r="K903" s="767"/>
      <c r="L903" s="768"/>
      <c r="M903" s="768"/>
      <c r="N903" s="712"/>
      <c r="O903" s="769"/>
      <c r="P903" s="446"/>
      <c r="Q903" s="446"/>
      <c r="R903" s="446"/>
      <c r="S903" s="446"/>
      <c r="T903" s="446"/>
      <c r="U903" s="446"/>
      <c r="V903" s="446"/>
    </row>
    <row r="904" ht="15.75" customHeight="1">
      <c r="A904" s="761"/>
      <c r="B904" s="446"/>
      <c r="C904" s="760"/>
      <c r="D904" s="712"/>
      <c r="E904" s="760"/>
      <c r="F904" s="760"/>
      <c r="G904" s="760"/>
      <c r="H904" s="712"/>
      <c r="I904" s="446"/>
      <c r="J904" s="766"/>
      <c r="K904" s="767"/>
      <c r="L904" s="768"/>
      <c r="M904" s="768"/>
      <c r="N904" s="712"/>
      <c r="O904" s="769"/>
      <c r="P904" s="446"/>
      <c r="Q904" s="446"/>
      <c r="R904" s="446"/>
      <c r="S904" s="446"/>
      <c r="T904" s="446"/>
      <c r="U904" s="446"/>
      <c r="V904" s="446"/>
    </row>
    <row r="905" ht="15.75" customHeight="1">
      <c r="A905" s="761"/>
      <c r="B905" s="446"/>
      <c r="C905" s="760"/>
      <c r="D905" s="712"/>
      <c r="E905" s="760"/>
      <c r="F905" s="760"/>
      <c r="G905" s="760"/>
      <c r="H905" s="712"/>
      <c r="I905" s="446"/>
      <c r="J905" s="766"/>
      <c r="K905" s="767"/>
      <c r="L905" s="768"/>
      <c r="M905" s="768"/>
      <c r="N905" s="712"/>
      <c r="O905" s="769"/>
      <c r="P905" s="446"/>
      <c r="Q905" s="446"/>
      <c r="R905" s="446"/>
      <c r="S905" s="446"/>
      <c r="T905" s="446"/>
      <c r="U905" s="446"/>
      <c r="V905" s="446"/>
    </row>
    <row r="906" ht="15.75" customHeight="1">
      <c r="A906" s="761"/>
      <c r="B906" s="446"/>
      <c r="C906" s="760"/>
      <c r="D906" s="712"/>
      <c r="E906" s="760"/>
      <c r="F906" s="760"/>
      <c r="G906" s="760"/>
      <c r="H906" s="712"/>
      <c r="I906" s="446"/>
      <c r="J906" s="766"/>
      <c r="K906" s="767"/>
      <c r="L906" s="768"/>
      <c r="M906" s="768"/>
      <c r="N906" s="712"/>
      <c r="O906" s="769"/>
      <c r="P906" s="446"/>
      <c r="Q906" s="446"/>
      <c r="R906" s="446"/>
      <c r="S906" s="446"/>
      <c r="T906" s="446"/>
      <c r="U906" s="446"/>
      <c r="V906" s="446"/>
    </row>
    <row r="907" ht="15.75" customHeight="1">
      <c r="A907" s="761"/>
      <c r="B907" s="446"/>
      <c r="C907" s="760"/>
      <c r="D907" s="712"/>
      <c r="E907" s="760"/>
      <c r="F907" s="760"/>
      <c r="G907" s="760"/>
      <c r="H907" s="712"/>
      <c r="I907" s="446"/>
      <c r="J907" s="766"/>
      <c r="K907" s="767"/>
      <c r="L907" s="768"/>
      <c r="M907" s="768"/>
      <c r="N907" s="712"/>
      <c r="O907" s="769"/>
      <c r="P907" s="446"/>
      <c r="Q907" s="446"/>
      <c r="R907" s="446"/>
      <c r="S907" s="446"/>
      <c r="T907" s="446"/>
      <c r="U907" s="446"/>
      <c r="V907" s="446"/>
    </row>
    <row r="908" ht="15.75" customHeight="1">
      <c r="A908" s="761"/>
      <c r="B908" s="446"/>
      <c r="C908" s="760"/>
      <c r="D908" s="712"/>
      <c r="E908" s="760"/>
      <c r="F908" s="760"/>
      <c r="G908" s="760"/>
      <c r="H908" s="712"/>
      <c r="I908" s="446"/>
      <c r="J908" s="766"/>
      <c r="K908" s="767"/>
      <c r="L908" s="768"/>
      <c r="M908" s="768"/>
      <c r="N908" s="712"/>
      <c r="O908" s="769"/>
      <c r="P908" s="446"/>
      <c r="Q908" s="446"/>
      <c r="R908" s="446"/>
      <c r="S908" s="446"/>
      <c r="T908" s="446"/>
      <c r="U908" s="446"/>
      <c r="V908" s="446"/>
    </row>
    <row r="909" ht="15.75" customHeight="1">
      <c r="A909" s="761"/>
      <c r="B909" s="446"/>
      <c r="C909" s="760"/>
      <c r="D909" s="712"/>
      <c r="E909" s="760"/>
      <c r="F909" s="760"/>
      <c r="G909" s="760"/>
      <c r="H909" s="712"/>
      <c r="I909" s="446"/>
      <c r="J909" s="766"/>
      <c r="K909" s="767"/>
      <c r="L909" s="768"/>
      <c r="M909" s="768"/>
      <c r="N909" s="712"/>
      <c r="O909" s="769"/>
      <c r="P909" s="446"/>
      <c r="Q909" s="446"/>
      <c r="R909" s="446"/>
      <c r="S909" s="446"/>
      <c r="T909" s="446"/>
      <c r="U909" s="446"/>
      <c r="V909" s="446"/>
    </row>
    <row r="910" ht="15.75" customHeight="1">
      <c r="A910" s="761"/>
      <c r="B910" s="446"/>
      <c r="C910" s="760"/>
      <c r="D910" s="712"/>
      <c r="E910" s="760"/>
      <c r="F910" s="760"/>
      <c r="G910" s="760"/>
      <c r="H910" s="712"/>
      <c r="I910" s="446"/>
      <c r="J910" s="766"/>
      <c r="K910" s="767"/>
      <c r="L910" s="768"/>
      <c r="M910" s="768"/>
      <c r="N910" s="712"/>
      <c r="O910" s="769"/>
      <c r="P910" s="446"/>
      <c r="Q910" s="446"/>
      <c r="R910" s="446"/>
      <c r="S910" s="446"/>
      <c r="T910" s="446"/>
      <c r="U910" s="446"/>
      <c r="V910" s="446"/>
    </row>
    <row r="911" ht="15.75" customHeight="1">
      <c r="A911" s="761"/>
      <c r="B911" s="446"/>
      <c r="C911" s="760"/>
      <c r="D911" s="712"/>
      <c r="E911" s="760"/>
      <c r="F911" s="760"/>
      <c r="G911" s="760"/>
      <c r="H911" s="712"/>
      <c r="I911" s="446"/>
      <c r="J911" s="766"/>
      <c r="K911" s="767"/>
      <c r="L911" s="768"/>
      <c r="M911" s="768"/>
      <c r="N911" s="712"/>
      <c r="O911" s="769"/>
      <c r="P911" s="446"/>
      <c r="Q911" s="446"/>
      <c r="R911" s="446"/>
      <c r="S911" s="446"/>
      <c r="T911" s="446"/>
      <c r="U911" s="446"/>
      <c r="V911" s="446"/>
    </row>
    <row r="912" ht="15.75" customHeight="1">
      <c r="A912" s="761"/>
      <c r="B912" s="446"/>
      <c r="C912" s="760"/>
      <c r="D912" s="712"/>
      <c r="E912" s="760"/>
      <c r="F912" s="760"/>
      <c r="G912" s="760"/>
      <c r="H912" s="712"/>
      <c r="I912" s="446"/>
      <c r="J912" s="766"/>
      <c r="K912" s="767"/>
      <c r="L912" s="768"/>
      <c r="M912" s="768"/>
      <c r="N912" s="712"/>
      <c r="O912" s="769"/>
      <c r="P912" s="446"/>
      <c r="Q912" s="446"/>
      <c r="R912" s="446"/>
      <c r="S912" s="446"/>
      <c r="T912" s="446"/>
      <c r="U912" s="446"/>
      <c r="V912" s="446"/>
    </row>
    <row r="913" ht="15.75" customHeight="1">
      <c r="A913" s="761"/>
      <c r="B913" s="446"/>
      <c r="C913" s="760"/>
      <c r="D913" s="712"/>
      <c r="E913" s="760"/>
      <c r="F913" s="760"/>
      <c r="G913" s="760"/>
      <c r="H913" s="712"/>
      <c r="I913" s="446"/>
      <c r="J913" s="766"/>
      <c r="K913" s="767"/>
      <c r="L913" s="768"/>
      <c r="M913" s="768"/>
      <c r="N913" s="712"/>
      <c r="O913" s="769"/>
      <c r="P913" s="446"/>
      <c r="Q913" s="446"/>
      <c r="R913" s="446"/>
      <c r="S913" s="446"/>
      <c r="T913" s="446"/>
      <c r="U913" s="446"/>
      <c r="V913" s="446"/>
    </row>
    <row r="914" ht="15.75" customHeight="1">
      <c r="A914" s="761"/>
      <c r="B914" s="446"/>
      <c r="C914" s="760"/>
      <c r="D914" s="712"/>
      <c r="E914" s="760"/>
      <c r="F914" s="760"/>
      <c r="G914" s="760"/>
      <c r="H914" s="712"/>
      <c r="I914" s="446"/>
      <c r="J914" s="766"/>
      <c r="K914" s="767"/>
      <c r="L914" s="768"/>
      <c r="M914" s="768"/>
      <c r="N914" s="712"/>
      <c r="O914" s="769"/>
      <c r="P914" s="446"/>
      <c r="Q914" s="446"/>
      <c r="R914" s="446"/>
      <c r="S914" s="446"/>
      <c r="T914" s="446"/>
      <c r="U914" s="446"/>
      <c r="V914" s="446"/>
    </row>
    <row r="915" ht="15.75" customHeight="1">
      <c r="A915" s="761"/>
      <c r="B915" s="446"/>
      <c r="C915" s="760"/>
      <c r="D915" s="712"/>
      <c r="E915" s="760"/>
      <c r="F915" s="760"/>
      <c r="G915" s="760"/>
      <c r="H915" s="712"/>
      <c r="I915" s="446"/>
      <c r="J915" s="766"/>
      <c r="K915" s="767"/>
      <c r="L915" s="768"/>
      <c r="M915" s="768"/>
      <c r="N915" s="712"/>
      <c r="O915" s="769"/>
      <c r="P915" s="446"/>
      <c r="Q915" s="446"/>
      <c r="R915" s="446"/>
      <c r="S915" s="446"/>
      <c r="T915" s="446"/>
      <c r="U915" s="446"/>
      <c r="V915" s="446"/>
    </row>
    <row r="916" ht="15.75" customHeight="1">
      <c r="A916" s="761"/>
      <c r="B916" s="446"/>
      <c r="C916" s="760"/>
      <c r="D916" s="712"/>
      <c r="E916" s="760"/>
      <c r="F916" s="760"/>
      <c r="G916" s="760"/>
      <c r="H916" s="712"/>
      <c r="I916" s="446"/>
      <c r="J916" s="766"/>
      <c r="K916" s="767"/>
      <c r="L916" s="768"/>
      <c r="M916" s="768"/>
      <c r="N916" s="712"/>
      <c r="O916" s="769"/>
      <c r="P916" s="446"/>
      <c r="Q916" s="446"/>
      <c r="R916" s="446"/>
      <c r="S916" s="446"/>
      <c r="T916" s="446"/>
      <c r="U916" s="446"/>
      <c r="V916" s="446"/>
    </row>
    <row r="917" ht="15.75" customHeight="1">
      <c r="A917" s="761"/>
      <c r="B917" s="446"/>
      <c r="C917" s="760"/>
      <c r="D917" s="712"/>
      <c r="E917" s="760"/>
      <c r="F917" s="760"/>
      <c r="G917" s="760"/>
      <c r="H917" s="712"/>
      <c r="I917" s="446"/>
      <c r="J917" s="766"/>
      <c r="K917" s="767"/>
      <c r="L917" s="768"/>
      <c r="M917" s="768"/>
      <c r="N917" s="712"/>
      <c r="O917" s="769"/>
      <c r="P917" s="446"/>
      <c r="Q917" s="446"/>
      <c r="R917" s="446"/>
      <c r="S917" s="446"/>
      <c r="T917" s="446"/>
      <c r="U917" s="446"/>
      <c r="V917" s="446"/>
    </row>
    <row r="918" ht="15.75" customHeight="1">
      <c r="A918" s="761"/>
      <c r="B918" s="446"/>
      <c r="C918" s="760"/>
      <c r="D918" s="712"/>
      <c r="E918" s="760"/>
      <c r="F918" s="760"/>
      <c r="G918" s="760"/>
      <c r="H918" s="712"/>
      <c r="I918" s="446"/>
      <c r="J918" s="766"/>
      <c r="K918" s="767"/>
      <c r="L918" s="768"/>
      <c r="M918" s="768"/>
      <c r="N918" s="712"/>
      <c r="O918" s="769"/>
      <c r="P918" s="446"/>
      <c r="Q918" s="446"/>
      <c r="R918" s="446"/>
      <c r="S918" s="446"/>
      <c r="T918" s="446"/>
      <c r="U918" s="446"/>
      <c r="V918" s="446"/>
    </row>
    <row r="919" ht="15.75" customHeight="1">
      <c r="A919" s="761"/>
      <c r="B919" s="446"/>
      <c r="C919" s="760"/>
      <c r="D919" s="712"/>
      <c r="E919" s="760"/>
      <c r="F919" s="760"/>
      <c r="G919" s="760"/>
      <c r="H919" s="712"/>
      <c r="I919" s="446"/>
      <c r="J919" s="766"/>
      <c r="K919" s="767"/>
      <c r="L919" s="768"/>
      <c r="M919" s="768"/>
      <c r="N919" s="712"/>
      <c r="O919" s="769"/>
      <c r="P919" s="446"/>
      <c r="Q919" s="446"/>
      <c r="R919" s="446"/>
      <c r="S919" s="446"/>
      <c r="T919" s="446"/>
      <c r="U919" s="446"/>
      <c r="V919" s="446"/>
    </row>
    <row r="920" ht="15.75" customHeight="1">
      <c r="A920" s="761"/>
      <c r="B920" s="446"/>
      <c r="C920" s="760"/>
      <c r="D920" s="712"/>
      <c r="E920" s="760"/>
      <c r="F920" s="760"/>
      <c r="G920" s="760"/>
      <c r="H920" s="712"/>
      <c r="I920" s="446"/>
      <c r="J920" s="766"/>
      <c r="K920" s="767"/>
      <c r="L920" s="768"/>
      <c r="M920" s="768"/>
      <c r="N920" s="712"/>
      <c r="O920" s="769"/>
      <c r="P920" s="446"/>
      <c r="Q920" s="446"/>
      <c r="R920" s="446"/>
      <c r="S920" s="446"/>
      <c r="T920" s="446"/>
      <c r="U920" s="446"/>
      <c r="V920" s="446"/>
    </row>
    <row r="921" ht="15.75" customHeight="1">
      <c r="A921" s="761"/>
      <c r="B921" s="446"/>
      <c r="C921" s="760"/>
      <c r="D921" s="712"/>
      <c r="E921" s="760"/>
      <c r="F921" s="760"/>
      <c r="G921" s="760"/>
      <c r="H921" s="712"/>
      <c r="I921" s="446"/>
      <c r="J921" s="766"/>
      <c r="K921" s="767"/>
      <c r="L921" s="768"/>
      <c r="M921" s="768"/>
      <c r="N921" s="712"/>
      <c r="O921" s="769"/>
      <c r="P921" s="446"/>
      <c r="Q921" s="446"/>
      <c r="R921" s="446"/>
      <c r="S921" s="446"/>
      <c r="T921" s="446"/>
      <c r="U921" s="446"/>
      <c r="V921" s="446"/>
    </row>
    <row r="922" ht="15.75" customHeight="1">
      <c r="A922" s="761"/>
      <c r="B922" s="446"/>
      <c r="C922" s="760"/>
      <c r="D922" s="712"/>
      <c r="E922" s="760"/>
      <c r="F922" s="760"/>
      <c r="G922" s="760"/>
      <c r="H922" s="712"/>
      <c r="I922" s="446"/>
      <c r="J922" s="766"/>
      <c r="K922" s="767"/>
      <c r="L922" s="768"/>
      <c r="M922" s="768"/>
      <c r="N922" s="712"/>
      <c r="O922" s="769"/>
      <c r="P922" s="446"/>
      <c r="Q922" s="446"/>
      <c r="R922" s="446"/>
      <c r="S922" s="446"/>
      <c r="T922" s="446"/>
      <c r="U922" s="446"/>
      <c r="V922" s="446"/>
    </row>
    <row r="923" ht="15.75" customHeight="1">
      <c r="A923" s="761"/>
      <c r="B923" s="446"/>
      <c r="C923" s="760"/>
      <c r="D923" s="712"/>
      <c r="E923" s="760"/>
      <c r="F923" s="760"/>
      <c r="G923" s="760"/>
      <c r="H923" s="712"/>
      <c r="I923" s="446"/>
      <c r="J923" s="766"/>
      <c r="K923" s="767"/>
      <c r="L923" s="768"/>
      <c r="M923" s="768"/>
      <c r="N923" s="712"/>
      <c r="O923" s="769"/>
      <c r="P923" s="446"/>
      <c r="Q923" s="446"/>
      <c r="R923" s="446"/>
      <c r="S923" s="446"/>
      <c r="T923" s="446"/>
      <c r="U923" s="446"/>
      <c r="V923" s="446"/>
    </row>
    <row r="924" ht="15.75" customHeight="1">
      <c r="A924" s="761"/>
      <c r="B924" s="446"/>
      <c r="C924" s="760"/>
      <c r="D924" s="712"/>
      <c r="E924" s="760"/>
      <c r="F924" s="760"/>
      <c r="G924" s="760"/>
      <c r="H924" s="712"/>
      <c r="I924" s="446"/>
      <c r="J924" s="766"/>
      <c r="K924" s="767"/>
      <c r="L924" s="768"/>
      <c r="M924" s="768"/>
      <c r="N924" s="712"/>
      <c r="O924" s="769"/>
      <c r="P924" s="446"/>
      <c r="Q924" s="446"/>
      <c r="R924" s="446"/>
      <c r="S924" s="446"/>
      <c r="T924" s="446"/>
      <c r="U924" s="446"/>
      <c r="V924" s="446"/>
    </row>
    <row r="925" ht="15.75" customHeight="1">
      <c r="A925" s="761"/>
      <c r="B925" s="446"/>
      <c r="C925" s="760"/>
      <c r="D925" s="712"/>
      <c r="E925" s="760"/>
      <c r="F925" s="760"/>
      <c r="G925" s="760"/>
      <c r="H925" s="712"/>
      <c r="I925" s="446"/>
      <c r="J925" s="766"/>
      <c r="K925" s="767"/>
      <c r="L925" s="768"/>
      <c r="M925" s="768"/>
      <c r="N925" s="712"/>
      <c r="O925" s="769"/>
      <c r="P925" s="446"/>
      <c r="Q925" s="446"/>
      <c r="R925" s="446"/>
      <c r="S925" s="446"/>
      <c r="T925" s="446"/>
      <c r="U925" s="446"/>
      <c r="V925" s="446"/>
    </row>
    <row r="926" ht="15.75" customHeight="1">
      <c r="A926" s="761"/>
      <c r="B926" s="446"/>
      <c r="C926" s="760"/>
      <c r="D926" s="712"/>
      <c r="E926" s="760"/>
      <c r="F926" s="760"/>
      <c r="G926" s="760"/>
      <c r="H926" s="712"/>
      <c r="I926" s="446"/>
      <c r="J926" s="766"/>
      <c r="K926" s="767"/>
      <c r="L926" s="768"/>
      <c r="M926" s="768"/>
      <c r="N926" s="712"/>
      <c r="O926" s="769"/>
      <c r="P926" s="446"/>
      <c r="Q926" s="446"/>
      <c r="R926" s="446"/>
      <c r="S926" s="446"/>
      <c r="T926" s="446"/>
      <c r="U926" s="446"/>
      <c r="V926" s="446"/>
    </row>
    <row r="927" ht="15.75" customHeight="1">
      <c r="A927" s="761"/>
      <c r="B927" s="446"/>
      <c r="C927" s="760"/>
      <c r="D927" s="712"/>
      <c r="E927" s="760"/>
      <c r="F927" s="760"/>
      <c r="G927" s="760"/>
      <c r="H927" s="712"/>
      <c r="I927" s="446"/>
      <c r="J927" s="766"/>
      <c r="K927" s="767"/>
      <c r="L927" s="768"/>
      <c r="M927" s="768"/>
      <c r="N927" s="712"/>
      <c r="O927" s="769"/>
      <c r="P927" s="446"/>
      <c r="Q927" s="446"/>
      <c r="R927" s="446"/>
      <c r="S927" s="446"/>
      <c r="T927" s="446"/>
      <c r="U927" s="446"/>
      <c r="V927" s="446"/>
    </row>
    <row r="928" ht="15.75" customHeight="1">
      <c r="A928" s="761"/>
      <c r="B928" s="446"/>
      <c r="C928" s="760"/>
      <c r="D928" s="712"/>
      <c r="E928" s="760"/>
      <c r="F928" s="760"/>
      <c r="G928" s="760"/>
      <c r="H928" s="712"/>
      <c r="I928" s="446"/>
      <c r="J928" s="766"/>
      <c r="K928" s="767"/>
      <c r="L928" s="768"/>
      <c r="M928" s="768"/>
      <c r="N928" s="712"/>
      <c r="O928" s="769"/>
      <c r="P928" s="446"/>
      <c r="Q928" s="446"/>
      <c r="R928" s="446"/>
      <c r="S928" s="446"/>
      <c r="T928" s="446"/>
      <c r="U928" s="446"/>
      <c r="V928" s="446"/>
    </row>
    <row r="929" ht="15.75" customHeight="1">
      <c r="A929" s="761"/>
      <c r="B929" s="446"/>
      <c r="C929" s="760"/>
      <c r="D929" s="712"/>
      <c r="E929" s="760"/>
      <c r="F929" s="760"/>
      <c r="G929" s="760"/>
      <c r="H929" s="712"/>
      <c r="I929" s="446"/>
      <c r="J929" s="766"/>
      <c r="K929" s="767"/>
      <c r="L929" s="768"/>
      <c r="M929" s="768"/>
      <c r="N929" s="712"/>
      <c r="O929" s="769"/>
      <c r="P929" s="446"/>
      <c r="Q929" s="446"/>
      <c r="R929" s="446"/>
      <c r="S929" s="446"/>
      <c r="T929" s="446"/>
      <c r="U929" s="446"/>
      <c r="V929" s="446"/>
    </row>
    <row r="930" ht="15.75" customHeight="1">
      <c r="A930" s="761"/>
      <c r="B930" s="446"/>
      <c r="C930" s="760"/>
      <c r="D930" s="712"/>
      <c r="E930" s="760"/>
      <c r="F930" s="760"/>
      <c r="G930" s="760"/>
      <c r="H930" s="712"/>
      <c r="I930" s="446"/>
      <c r="J930" s="766"/>
      <c r="K930" s="767"/>
      <c r="L930" s="768"/>
      <c r="M930" s="768"/>
      <c r="N930" s="712"/>
      <c r="O930" s="769"/>
      <c r="P930" s="446"/>
      <c r="Q930" s="446"/>
      <c r="R930" s="446"/>
      <c r="S930" s="446"/>
      <c r="T930" s="446"/>
      <c r="U930" s="446"/>
      <c r="V930" s="446"/>
    </row>
    <row r="931" ht="15.75" customHeight="1">
      <c r="A931" s="761"/>
      <c r="B931" s="446"/>
      <c r="C931" s="760"/>
      <c r="D931" s="712"/>
      <c r="E931" s="760"/>
      <c r="F931" s="760"/>
      <c r="G931" s="760"/>
      <c r="H931" s="712"/>
      <c r="I931" s="446"/>
      <c r="J931" s="766"/>
      <c r="K931" s="767"/>
      <c r="L931" s="768"/>
      <c r="M931" s="768"/>
      <c r="N931" s="712"/>
      <c r="O931" s="769"/>
      <c r="P931" s="446"/>
      <c r="Q931" s="446"/>
      <c r="R931" s="446"/>
      <c r="S931" s="446"/>
      <c r="T931" s="446"/>
      <c r="U931" s="446"/>
      <c r="V931" s="446"/>
    </row>
    <row r="932" ht="15.75" customHeight="1">
      <c r="A932" s="761"/>
      <c r="B932" s="446"/>
      <c r="C932" s="760"/>
      <c r="D932" s="712"/>
      <c r="E932" s="760"/>
      <c r="F932" s="760"/>
      <c r="G932" s="760"/>
      <c r="H932" s="712"/>
      <c r="I932" s="446"/>
      <c r="J932" s="766"/>
      <c r="K932" s="767"/>
      <c r="L932" s="768"/>
      <c r="M932" s="768"/>
      <c r="N932" s="712"/>
      <c r="O932" s="769"/>
      <c r="P932" s="446"/>
      <c r="Q932" s="446"/>
      <c r="R932" s="446"/>
      <c r="S932" s="446"/>
      <c r="T932" s="446"/>
      <c r="U932" s="446"/>
      <c r="V932" s="446"/>
    </row>
    <row r="933" ht="15.75" customHeight="1">
      <c r="A933" s="761"/>
      <c r="B933" s="446"/>
      <c r="C933" s="760"/>
      <c r="D933" s="712"/>
      <c r="E933" s="760"/>
      <c r="F933" s="760"/>
      <c r="G933" s="760"/>
      <c r="H933" s="712"/>
      <c r="I933" s="446"/>
      <c r="J933" s="766"/>
      <c r="K933" s="767"/>
      <c r="L933" s="768"/>
      <c r="M933" s="768"/>
      <c r="N933" s="712"/>
      <c r="O933" s="769"/>
      <c r="P933" s="446"/>
      <c r="Q933" s="446"/>
      <c r="R933" s="446"/>
      <c r="S933" s="446"/>
      <c r="T933" s="446"/>
      <c r="U933" s="446"/>
      <c r="V933" s="446"/>
    </row>
    <row r="934" ht="15.75" customHeight="1">
      <c r="A934" s="761"/>
      <c r="B934" s="446"/>
      <c r="C934" s="760"/>
      <c r="D934" s="712"/>
      <c r="E934" s="760"/>
      <c r="F934" s="760"/>
      <c r="G934" s="760"/>
      <c r="H934" s="712"/>
      <c r="I934" s="446"/>
      <c r="J934" s="766"/>
      <c r="K934" s="767"/>
      <c r="L934" s="768"/>
      <c r="M934" s="768"/>
      <c r="N934" s="712"/>
      <c r="O934" s="769"/>
      <c r="P934" s="446"/>
      <c r="Q934" s="446"/>
      <c r="R934" s="446"/>
      <c r="S934" s="446"/>
      <c r="T934" s="446"/>
      <c r="U934" s="446"/>
      <c r="V934" s="446"/>
    </row>
    <row r="935" ht="15.75" customHeight="1">
      <c r="A935" s="761"/>
      <c r="B935" s="446"/>
      <c r="C935" s="760"/>
      <c r="D935" s="712"/>
      <c r="E935" s="760"/>
      <c r="F935" s="760"/>
      <c r="G935" s="760"/>
      <c r="H935" s="712"/>
      <c r="I935" s="446"/>
      <c r="J935" s="766"/>
      <c r="K935" s="767"/>
      <c r="L935" s="768"/>
      <c r="M935" s="768"/>
      <c r="N935" s="712"/>
      <c r="O935" s="769"/>
      <c r="P935" s="446"/>
      <c r="Q935" s="446"/>
      <c r="R935" s="446"/>
      <c r="S935" s="446"/>
      <c r="T935" s="446"/>
      <c r="U935" s="446"/>
      <c r="V935" s="446"/>
    </row>
    <row r="936" ht="15.75" customHeight="1">
      <c r="A936" s="761"/>
      <c r="B936" s="446"/>
      <c r="C936" s="760"/>
      <c r="D936" s="712"/>
      <c r="E936" s="760"/>
      <c r="F936" s="760"/>
      <c r="G936" s="760"/>
      <c r="H936" s="712"/>
      <c r="I936" s="446"/>
      <c r="J936" s="766"/>
      <c r="K936" s="767"/>
      <c r="L936" s="768"/>
      <c r="M936" s="768"/>
      <c r="N936" s="712"/>
      <c r="O936" s="769"/>
      <c r="P936" s="446"/>
      <c r="Q936" s="446"/>
      <c r="R936" s="446"/>
      <c r="S936" s="446"/>
      <c r="T936" s="446"/>
      <c r="U936" s="446"/>
      <c r="V936" s="446"/>
    </row>
    <row r="937" ht="15.75" customHeight="1">
      <c r="A937" s="761"/>
      <c r="B937" s="446"/>
      <c r="C937" s="760"/>
      <c r="D937" s="712"/>
      <c r="E937" s="760"/>
      <c r="F937" s="760"/>
      <c r="G937" s="760"/>
      <c r="H937" s="712"/>
      <c r="I937" s="446"/>
      <c r="J937" s="766"/>
      <c r="K937" s="767"/>
      <c r="L937" s="768"/>
      <c r="M937" s="768"/>
      <c r="N937" s="712"/>
      <c r="O937" s="769"/>
      <c r="P937" s="446"/>
      <c r="Q937" s="446"/>
      <c r="R937" s="446"/>
      <c r="S937" s="446"/>
      <c r="T937" s="446"/>
      <c r="U937" s="446"/>
      <c r="V937" s="446"/>
    </row>
    <row r="938" ht="15.75" customHeight="1">
      <c r="A938" s="761"/>
      <c r="B938" s="446"/>
      <c r="C938" s="760"/>
      <c r="D938" s="712"/>
      <c r="E938" s="760"/>
      <c r="F938" s="760"/>
      <c r="G938" s="760"/>
      <c r="H938" s="712"/>
      <c r="I938" s="446"/>
      <c r="J938" s="766"/>
      <c r="K938" s="767"/>
      <c r="L938" s="768"/>
      <c r="M938" s="768"/>
      <c r="N938" s="712"/>
      <c r="O938" s="769"/>
      <c r="P938" s="446"/>
      <c r="Q938" s="446"/>
      <c r="R938" s="446"/>
      <c r="S938" s="446"/>
      <c r="T938" s="446"/>
      <c r="U938" s="446"/>
      <c r="V938" s="446"/>
    </row>
    <row r="939" ht="15.75" customHeight="1">
      <c r="A939" s="761"/>
      <c r="B939" s="446"/>
      <c r="C939" s="760"/>
      <c r="D939" s="712"/>
      <c r="E939" s="760"/>
      <c r="F939" s="760"/>
      <c r="G939" s="760"/>
      <c r="H939" s="712"/>
      <c r="I939" s="446"/>
      <c r="J939" s="766"/>
      <c r="K939" s="767"/>
      <c r="L939" s="768"/>
      <c r="M939" s="768"/>
      <c r="N939" s="712"/>
      <c r="O939" s="769"/>
      <c r="P939" s="446"/>
      <c r="Q939" s="446"/>
      <c r="R939" s="446"/>
      <c r="S939" s="446"/>
      <c r="T939" s="446"/>
      <c r="U939" s="446"/>
      <c r="V939" s="446"/>
    </row>
    <row r="940" ht="15.75" customHeight="1">
      <c r="A940" s="761"/>
      <c r="B940" s="446"/>
      <c r="C940" s="760"/>
      <c r="D940" s="712"/>
      <c r="E940" s="760"/>
      <c r="F940" s="760"/>
      <c r="G940" s="760"/>
      <c r="H940" s="712"/>
      <c r="I940" s="446"/>
      <c r="J940" s="766"/>
      <c r="K940" s="767"/>
      <c r="L940" s="768"/>
      <c r="M940" s="768"/>
      <c r="N940" s="712"/>
      <c r="O940" s="769"/>
      <c r="P940" s="446"/>
      <c r="Q940" s="446"/>
      <c r="R940" s="446"/>
      <c r="S940" s="446"/>
      <c r="T940" s="446"/>
      <c r="U940" s="446"/>
      <c r="V940" s="446"/>
    </row>
    <row r="941" ht="15.75" customHeight="1">
      <c r="A941" s="761"/>
      <c r="B941" s="446"/>
      <c r="C941" s="760"/>
      <c r="D941" s="712"/>
      <c r="E941" s="760"/>
      <c r="F941" s="760"/>
      <c r="G941" s="760"/>
      <c r="H941" s="712"/>
      <c r="I941" s="446"/>
      <c r="J941" s="766"/>
      <c r="K941" s="767"/>
      <c r="L941" s="768"/>
      <c r="M941" s="768"/>
      <c r="N941" s="712"/>
      <c r="O941" s="769"/>
      <c r="P941" s="446"/>
      <c r="Q941" s="446"/>
      <c r="R941" s="446"/>
      <c r="S941" s="446"/>
      <c r="T941" s="446"/>
      <c r="U941" s="446"/>
      <c r="V941" s="446"/>
    </row>
    <row r="942" ht="15.75" customHeight="1">
      <c r="A942" s="761"/>
      <c r="B942" s="446"/>
      <c r="C942" s="760"/>
      <c r="D942" s="712"/>
      <c r="E942" s="760"/>
      <c r="F942" s="760"/>
      <c r="G942" s="760"/>
      <c r="H942" s="712"/>
      <c r="I942" s="446"/>
      <c r="J942" s="766"/>
      <c r="K942" s="767"/>
      <c r="L942" s="768"/>
      <c r="M942" s="768"/>
      <c r="N942" s="712"/>
      <c r="O942" s="769"/>
      <c r="P942" s="446"/>
      <c r="Q942" s="446"/>
      <c r="R942" s="446"/>
      <c r="S942" s="446"/>
      <c r="T942" s="446"/>
      <c r="U942" s="446"/>
      <c r="V942" s="446"/>
    </row>
    <row r="943" ht="15.75" customHeight="1">
      <c r="A943" s="761"/>
      <c r="B943" s="446"/>
      <c r="C943" s="760"/>
      <c r="D943" s="712"/>
      <c r="E943" s="760"/>
      <c r="F943" s="760"/>
      <c r="G943" s="760"/>
      <c r="H943" s="712"/>
      <c r="I943" s="446"/>
      <c r="J943" s="766"/>
      <c r="K943" s="767"/>
      <c r="L943" s="768"/>
      <c r="M943" s="768"/>
      <c r="N943" s="712"/>
      <c r="O943" s="769"/>
      <c r="P943" s="446"/>
      <c r="Q943" s="446"/>
      <c r="R943" s="446"/>
      <c r="S943" s="446"/>
      <c r="T943" s="446"/>
      <c r="U943" s="446"/>
      <c r="V943" s="446"/>
    </row>
    <row r="944" ht="15.75" customHeight="1">
      <c r="A944" s="761"/>
      <c r="B944" s="446"/>
      <c r="C944" s="760"/>
      <c r="D944" s="712"/>
      <c r="E944" s="760"/>
      <c r="F944" s="760"/>
      <c r="G944" s="760"/>
      <c r="H944" s="712"/>
      <c r="I944" s="446"/>
      <c r="J944" s="766"/>
      <c r="K944" s="767"/>
      <c r="L944" s="768"/>
      <c r="M944" s="768"/>
      <c r="N944" s="712"/>
      <c r="O944" s="769"/>
      <c r="P944" s="446"/>
      <c r="Q944" s="446"/>
      <c r="R944" s="446"/>
      <c r="S944" s="446"/>
      <c r="T944" s="446"/>
      <c r="U944" s="446"/>
      <c r="V944" s="446"/>
    </row>
    <row r="945" ht="15.75" customHeight="1">
      <c r="A945" s="761"/>
      <c r="B945" s="446"/>
      <c r="C945" s="760"/>
      <c r="D945" s="712"/>
      <c r="E945" s="760"/>
      <c r="F945" s="760"/>
      <c r="G945" s="760"/>
      <c r="H945" s="712"/>
      <c r="I945" s="446"/>
      <c r="J945" s="766"/>
      <c r="K945" s="767"/>
      <c r="L945" s="768"/>
      <c r="M945" s="768"/>
      <c r="N945" s="712"/>
      <c r="O945" s="769"/>
      <c r="P945" s="446"/>
      <c r="Q945" s="446"/>
      <c r="R945" s="446"/>
      <c r="S945" s="446"/>
      <c r="T945" s="446"/>
      <c r="U945" s="446"/>
      <c r="V945" s="446"/>
    </row>
    <row r="946" ht="15.75" customHeight="1">
      <c r="A946" s="761"/>
      <c r="B946" s="446"/>
      <c r="C946" s="760"/>
      <c r="D946" s="712"/>
      <c r="E946" s="760"/>
      <c r="F946" s="760"/>
      <c r="G946" s="760"/>
      <c r="H946" s="712"/>
      <c r="I946" s="446"/>
      <c r="J946" s="766"/>
      <c r="K946" s="767"/>
      <c r="L946" s="768"/>
      <c r="M946" s="768"/>
      <c r="N946" s="712"/>
      <c r="O946" s="769"/>
      <c r="P946" s="446"/>
      <c r="Q946" s="446"/>
      <c r="R946" s="446"/>
      <c r="S946" s="446"/>
      <c r="T946" s="446"/>
      <c r="U946" s="446"/>
      <c r="V946" s="446"/>
    </row>
    <row r="947" ht="15.75" customHeight="1">
      <c r="A947" s="761"/>
      <c r="B947" s="446"/>
      <c r="C947" s="760"/>
      <c r="D947" s="712"/>
      <c r="E947" s="760"/>
      <c r="F947" s="760"/>
      <c r="G947" s="760"/>
      <c r="H947" s="712"/>
      <c r="I947" s="446"/>
      <c r="J947" s="766"/>
      <c r="K947" s="767"/>
      <c r="L947" s="768"/>
      <c r="M947" s="768"/>
      <c r="N947" s="712"/>
      <c r="O947" s="769"/>
      <c r="P947" s="446"/>
      <c r="Q947" s="446"/>
      <c r="R947" s="446"/>
      <c r="S947" s="446"/>
      <c r="T947" s="446"/>
      <c r="U947" s="446"/>
      <c r="V947" s="446"/>
    </row>
    <row r="948" ht="15.75" customHeight="1">
      <c r="A948" s="761"/>
      <c r="B948" s="446"/>
      <c r="C948" s="760"/>
      <c r="D948" s="712"/>
      <c r="E948" s="760"/>
      <c r="F948" s="760"/>
      <c r="G948" s="760"/>
      <c r="H948" s="712"/>
      <c r="I948" s="446"/>
      <c r="J948" s="766"/>
      <c r="K948" s="767"/>
      <c r="L948" s="768"/>
      <c r="M948" s="768"/>
      <c r="N948" s="712"/>
      <c r="O948" s="769"/>
      <c r="P948" s="446"/>
      <c r="Q948" s="446"/>
      <c r="R948" s="446"/>
      <c r="S948" s="446"/>
      <c r="T948" s="446"/>
      <c r="U948" s="446"/>
      <c r="V948" s="446"/>
    </row>
    <row r="949" ht="15.75" customHeight="1">
      <c r="A949" s="761"/>
      <c r="B949" s="446"/>
      <c r="C949" s="760"/>
      <c r="D949" s="712"/>
      <c r="E949" s="760"/>
      <c r="F949" s="760"/>
      <c r="G949" s="760"/>
      <c r="H949" s="712"/>
      <c r="I949" s="446"/>
      <c r="J949" s="766"/>
      <c r="K949" s="767"/>
      <c r="L949" s="768"/>
      <c r="M949" s="768"/>
      <c r="N949" s="712"/>
      <c r="O949" s="769"/>
      <c r="P949" s="446"/>
      <c r="Q949" s="446"/>
      <c r="R949" s="446"/>
      <c r="S949" s="446"/>
      <c r="T949" s="446"/>
      <c r="U949" s="446"/>
      <c r="V949" s="446"/>
    </row>
    <row r="950" ht="15.75" customHeight="1">
      <c r="A950" s="761"/>
      <c r="B950" s="446"/>
      <c r="C950" s="760"/>
      <c r="D950" s="712"/>
      <c r="E950" s="760"/>
      <c r="F950" s="760"/>
      <c r="G950" s="760"/>
      <c r="H950" s="712"/>
      <c r="I950" s="446"/>
      <c r="J950" s="766"/>
      <c r="K950" s="767"/>
      <c r="L950" s="768"/>
      <c r="M950" s="768"/>
      <c r="N950" s="712"/>
      <c r="O950" s="769"/>
      <c r="P950" s="446"/>
      <c r="Q950" s="446"/>
      <c r="R950" s="446"/>
      <c r="S950" s="446"/>
      <c r="T950" s="446"/>
      <c r="U950" s="446"/>
      <c r="V950" s="446"/>
    </row>
    <row r="951" ht="15.75" customHeight="1">
      <c r="A951" s="761"/>
      <c r="B951" s="446"/>
      <c r="C951" s="760"/>
      <c r="D951" s="712"/>
      <c r="E951" s="760"/>
      <c r="F951" s="760"/>
      <c r="G951" s="760"/>
      <c r="H951" s="712"/>
      <c r="I951" s="446"/>
      <c r="J951" s="766"/>
      <c r="K951" s="767"/>
      <c r="L951" s="768"/>
      <c r="M951" s="768"/>
      <c r="N951" s="712"/>
      <c r="O951" s="769"/>
      <c r="P951" s="446"/>
      <c r="Q951" s="446"/>
      <c r="R951" s="446"/>
      <c r="S951" s="446"/>
      <c r="T951" s="446"/>
      <c r="U951" s="446"/>
      <c r="V951" s="446"/>
    </row>
    <row r="952" ht="15.75" customHeight="1">
      <c r="A952" s="761"/>
      <c r="B952" s="446"/>
      <c r="C952" s="760"/>
      <c r="D952" s="712"/>
      <c r="E952" s="760"/>
      <c r="F952" s="760"/>
      <c r="G952" s="760"/>
      <c r="H952" s="712"/>
      <c r="I952" s="446"/>
      <c r="J952" s="766"/>
      <c r="K952" s="767"/>
      <c r="L952" s="768"/>
      <c r="M952" s="768"/>
      <c r="N952" s="712"/>
      <c r="O952" s="769"/>
      <c r="P952" s="446"/>
      <c r="Q952" s="446"/>
      <c r="R952" s="446"/>
      <c r="S952" s="446"/>
      <c r="T952" s="446"/>
      <c r="U952" s="446"/>
      <c r="V952" s="446"/>
    </row>
    <row r="953" ht="15.75" customHeight="1">
      <c r="A953" s="761"/>
      <c r="B953" s="446"/>
      <c r="C953" s="760"/>
      <c r="D953" s="712"/>
      <c r="E953" s="760"/>
      <c r="F953" s="760"/>
      <c r="G953" s="760"/>
      <c r="H953" s="712"/>
      <c r="I953" s="446"/>
      <c r="J953" s="766"/>
      <c r="K953" s="767"/>
      <c r="L953" s="768"/>
      <c r="M953" s="768"/>
      <c r="N953" s="712"/>
      <c r="O953" s="769"/>
      <c r="P953" s="446"/>
      <c r="Q953" s="446"/>
      <c r="R953" s="446"/>
      <c r="S953" s="446"/>
      <c r="T953" s="446"/>
      <c r="U953" s="446"/>
      <c r="V953" s="446"/>
    </row>
    <row r="954" ht="15.75" customHeight="1">
      <c r="A954" s="761"/>
      <c r="B954" s="446"/>
      <c r="C954" s="760"/>
      <c r="D954" s="712"/>
      <c r="E954" s="760"/>
      <c r="F954" s="760"/>
      <c r="G954" s="760"/>
      <c r="H954" s="712"/>
      <c r="I954" s="446"/>
      <c r="J954" s="766"/>
      <c r="K954" s="767"/>
      <c r="L954" s="768"/>
      <c r="M954" s="768"/>
      <c r="N954" s="712"/>
      <c r="O954" s="769"/>
      <c r="P954" s="446"/>
      <c r="Q954" s="446"/>
      <c r="R954" s="446"/>
      <c r="S954" s="446"/>
      <c r="T954" s="446"/>
      <c r="U954" s="446"/>
      <c r="V954" s="446"/>
    </row>
    <row r="955" ht="15.75" customHeight="1">
      <c r="A955" s="761"/>
      <c r="B955" s="446"/>
      <c r="C955" s="760"/>
      <c r="D955" s="712"/>
      <c r="E955" s="760"/>
      <c r="F955" s="760"/>
      <c r="G955" s="760"/>
      <c r="H955" s="712"/>
      <c r="I955" s="446"/>
      <c r="J955" s="766"/>
      <c r="K955" s="767"/>
      <c r="L955" s="768"/>
      <c r="M955" s="768"/>
      <c r="N955" s="712"/>
      <c r="O955" s="769"/>
      <c r="P955" s="446"/>
      <c r="Q955" s="446"/>
      <c r="R955" s="446"/>
      <c r="S955" s="446"/>
      <c r="T955" s="446"/>
      <c r="U955" s="446"/>
      <c r="V955" s="446"/>
    </row>
    <row r="956" ht="15.75" customHeight="1">
      <c r="A956" s="761"/>
      <c r="B956" s="446"/>
      <c r="C956" s="760"/>
      <c r="D956" s="712"/>
      <c r="E956" s="760"/>
      <c r="F956" s="760"/>
      <c r="G956" s="760"/>
      <c r="H956" s="712"/>
      <c r="I956" s="446"/>
      <c r="J956" s="766"/>
      <c r="K956" s="767"/>
      <c r="L956" s="768"/>
      <c r="M956" s="768"/>
      <c r="N956" s="712"/>
      <c r="O956" s="769"/>
      <c r="P956" s="446"/>
      <c r="Q956" s="446"/>
      <c r="R956" s="446"/>
      <c r="S956" s="446"/>
      <c r="T956" s="446"/>
      <c r="U956" s="446"/>
      <c r="V956" s="446"/>
    </row>
    <row r="957" ht="15.75" customHeight="1">
      <c r="A957" s="761"/>
      <c r="B957" s="446"/>
      <c r="C957" s="760"/>
      <c r="D957" s="712"/>
      <c r="E957" s="760"/>
      <c r="F957" s="760"/>
      <c r="G957" s="760"/>
      <c r="H957" s="712"/>
      <c r="I957" s="446"/>
      <c r="J957" s="766"/>
      <c r="K957" s="767"/>
      <c r="L957" s="768"/>
      <c r="M957" s="768"/>
      <c r="N957" s="712"/>
      <c r="O957" s="769"/>
      <c r="P957" s="446"/>
      <c r="Q957" s="446"/>
      <c r="R957" s="446"/>
      <c r="S957" s="446"/>
      <c r="T957" s="446"/>
      <c r="U957" s="446"/>
      <c r="V957" s="446"/>
    </row>
    <row r="958" ht="15.75" customHeight="1">
      <c r="A958" s="761"/>
      <c r="B958" s="446"/>
      <c r="C958" s="760"/>
      <c r="D958" s="712"/>
      <c r="E958" s="760"/>
      <c r="F958" s="760"/>
      <c r="G958" s="760"/>
      <c r="H958" s="712"/>
      <c r="I958" s="446"/>
      <c r="J958" s="766"/>
      <c r="K958" s="767"/>
      <c r="L958" s="768"/>
      <c r="M958" s="768"/>
      <c r="N958" s="712"/>
      <c r="O958" s="769"/>
      <c r="P958" s="446"/>
      <c r="Q958" s="446"/>
      <c r="R958" s="446"/>
      <c r="S958" s="446"/>
      <c r="T958" s="446"/>
      <c r="U958" s="446"/>
      <c r="V958" s="446"/>
    </row>
    <row r="959" ht="15.75" customHeight="1">
      <c r="A959" s="761"/>
      <c r="B959" s="446"/>
      <c r="C959" s="760"/>
      <c r="D959" s="712"/>
      <c r="E959" s="760"/>
      <c r="F959" s="760"/>
      <c r="G959" s="760"/>
      <c r="H959" s="712"/>
      <c r="I959" s="446"/>
      <c r="J959" s="766"/>
      <c r="K959" s="767"/>
      <c r="L959" s="768"/>
      <c r="M959" s="768"/>
      <c r="N959" s="712"/>
      <c r="O959" s="769"/>
      <c r="P959" s="446"/>
      <c r="Q959" s="446"/>
      <c r="R959" s="446"/>
      <c r="S959" s="446"/>
      <c r="T959" s="446"/>
      <c r="U959" s="446"/>
      <c r="V959" s="446"/>
    </row>
    <row r="960" ht="15.75" customHeight="1">
      <c r="A960" s="761"/>
      <c r="B960" s="446"/>
      <c r="C960" s="760"/>
      <c r="D960" s="712"/>
      <c r="E960" s="760"/>
      <c r="F960" s="760"/>
      <c r="G960" s="760"/>
      <c r="H960" s="712"/>
      <c r="I960" s="446"/>
      <c r="J960" s="766"/>
      <c r="K960" s="767"/>
      <c r="L960" s="768"/>
      <c r="M960" s="768"/>
      <c r="N960" s="712"/>
      <c r="O960" s="769"/>
      <c r="P960" s="446"/>
      <c r="Q960" s="446"/>
      <c r="R960" s="446"/>
      <c r="S960" s="446"/>
      <c r="T960" s="446"/>
      <c r="U960" s="446"/>
      <c r="V960" s="446"/>
    </row>
    <row r="961" ht="15.75" customHeight="1">
      <c r="A961" s="761"/>
      <c r="B961" s="446"/>
      <c r="C961" s="760"/>
      <c r="D961" s="712"/>
      <c r="E961" s="760"/>
      <c r="F961" s="760"/>
      <c r="G961" s="760"/>
      <c r="H961" s="712"/>
      <c r="I961" s="446"/>
      <c r="J961" s="766"/>
      <c r="K961" s="767"/>
      <c r="L961" s="768"/>
      <c r="M961" s="768"/>
      <c r="N961" s="712"/>
      <c r="O961" s="769"/>
      <c r="P961" s="446"/>
      <c r="Q961" s="446"/>
      <c r="R961" s="446"/>
      <c r="S961" s="446"/>
      <c r="T961" s="446"/>
      <c r="U961" s="446"/>
      <c r="V961" s="446"/>
    </row>
    <row r="962" ht="15.75" customHeight="1">
      <c r="A962" s="761"/>
      <c r="B962" s="446"/>
      <c r="C962" s="760"/>
      <c r="D962" s="712"/>
      <c r="E962" s="760"/>
      <c r="F962" s="760"/>
      <c r="G962" s="760"/>
      <c r="H962" s="712"/>
      <c r="I962" s="446"/>
      <c r="J962" s="766"/>
      <c r="K962" s="767"/>
      <c r="L962" s="768"/>
      <c r="M962" s="768"/>
      <c r="N962" s="712"/>
      <c r="O962" s="769"/>
      <c r="P962" s="446"/>
      <c r="Q962" s="446"/>
      <c r="R962" s="446"/>
      <c r="S962" s="446"/>
      <c r="T962" s="446"/>
      <c r="U962" s="446"/>
      <c r="V962" s="446"/>
    </row>
    <row r="963" ht="15.75" customHeight="1">
      <c r="A963" s="761"/>
      <c r="B963" s="446"/>
      <c r="C963" s="760"/>
      <c r="D963" s="712"/>
      <c r="E963" s="760"/>
      <c r="F963" s="760"/>
      <c r="G963" s="760"/>
      <c r="H963" s="712"/>
      <c r="I963" s="446"/>
      <c r="J963" s="766"/>
      <c r="K963" s="767"/>
      <c r="L963" s="768"/>
      <c r="M963" s="768"/>
      <c r="N963" s="712"/>
      <c r="O963" s="769"/>
      <c r="P963" s="446"/>
      <c r="Q963" s="446"/>
      <c r="R963" s="446"/>
      <c r="S963" s="446"/>
      <c r="T963" s="446"/>
      <c r="U963" s="446"/>
      <c r="V963" s="446"/>
    </row>
    <row r="964" ht="15.75" customHeight="1">
      <c r="A964" s="761"/>
      <c r="B964" s="446"/>
      <c r="C964" s="760"/>
      <c r="D964" s="712"/>
      <c r="E964" s="760"/>
      <c r="F964" s="760"/>
      <c r="G964" s="760"/>
      <c r="H964" s="712"/>
      <c r="I964" s="446"/>
      <c r="J964" s="766"/>
      <c r="K964" s="767"/>
      <c r="L964" s="768"/>
      <c r="M964" s="768"/>
      <c r="N964" s="712"/>
      <c r="O964" s="769"/>
      <c r="P964" s="446"/>
      <c r="Q964" s="446"/>
      <c r="R964" s="446"/>
      <c r="S964" s="446"/>
      <c r="T964" s="446"/>
      <c r="U964" s="446"/>
      <c r="V964" s="446"/>
    </row>
    <row r="965" ht="15.75" customHeight="1">
      <c r="A965" s="761"/>
      <c r="B965" s="446"/>
      <c r="C965" s="760"/>
      <c r="D965" s="712"/>
      <c r="E965" s="760"/>
      <c r="F965" s="760"/>
      <c r="G965" s="760"/>
      <c r="H965" s="712"/>
      <c r="I965" s="446"/>
      <c r="J965" s="766"/>
      <c r="K965" s="767"/>
      <c r="L965" s="768"/>
      <c r="M965" s="768"/>
      <c r="N965" s="712"/>
      <c r="O965" s="769"/>
      <c r="P965" s="446"/>
      <c r="Q965" s="446"/>
      <c r="R965" s="446"/>
      <c r="S965" s="446"/>
      <c r="T965" s="446"/>
      <c r="U965" s="446"/>
      <c r="V965" s="446"/>
    </row>
    <row r="966" ht="15.75" customHeight="1">
      <c r="A966" s="761"/>
      <c r="B966" s="446"/>
      <c r="C966" s="760"/>
      <c r="D966" s="712"/>
      <c r="E966" s="760"/>
      <c r="F966" s="760"/>
      <c r="G966" s="760"/>
      <c r="H966" s="712"/>
      <c r="I966" s="446"/>
      <c r="J966" s="766"/>
      <c r="K966" s="767"/>
      <c r="L966" s="768"/>
      <c r="M966" s="768"/>
      <c r="N966" s="712"/>
      <c r="O966" s="769"/>
      <c r="P966" s="446"/>
      <c r="Q966" s="446"/>
      <c r="R966" s="446"/>
      <c r="S966" s="446"/>
      <c r="T966" s="446"/>
      <c r="U966" s="446"/>
      <c r="V966" s="446"/>
    </row>
    <row r="967" ht="15.75" customHeight="1">
      <c r="A967" s="761"/>
      <c r="B967" s="446"/>
      <c r="C967" s="760"/>
      <c r="D967" s="712"/>
      <c r="E967" s="760"/>
      <c r="F967" s="760"/>
      <c r="G967" s="760"/>
      <c r="H967" s="712"/>
      <c r="I967" s="446"/>
      <c r="J967" s="766"/>
      <c r="K967" s="767"/>
      <c r="L967" s="768"/>
      <c r="M967" s="768"/>
      <c r="N967" s="712"/>
      <c r="O967" s="769"/>
      <c r="P967" s="446"/>
      <c r="Q967" s="446"/>
      <c r="R967" s="446"/>
      <c r="S967" s="446"/>
      <c r="T967" s="446"/>
      <c r="U967" s="446"/>
      <c r="V967" s="446"/>
    </row>
    <row r="968" ht="15.75" customHeight="1">
      <c r="A968" s="761"/>
      <c r="B968" s="446"/>
      <c r="C968" s="760"/>
      <c r="D968" s="712"/>
      <c r="E968" s="760"/>
      <c r="F968" s="760"/>
      <c r="G968" s="760"/>
      <c r="H968" s="712"/>
      <c r="I968" s="446"/>
      <c r="J968" s="766"/>
      <c r="K968" s="767"/>
      <c r="L968" s="768"/>
      <c r="M968" s="768"/>
      <c r="N968" s="712"/>
      <c r="O968" s="769"/>
      <c r="P968" s="446"/>
      <c r="Q968" s="446"/>
      <c r="R968" s="446"/>
      <c r="S968" s="446"/>
      <c r="T968" s="446"/>
      <c r="U968" s="446"/>
      <c r="V968" s="446"/>
    </row>
    <row r="969" ht="15.75" customHeight="1">
      <c r="A969" s="761"/>
      <c r="B969" s="446"/>
      <c r="C969" s="760"/>
      <c r="D969" s="712"/>
      <c r="E969" s="760"/>
      <c r="F969" s="760"/>
      <c r="G969" s="760"/>
      <c r="H969" s="712"/>
      <c r="I969" s="446"/>
      <c r="J969" s="766"/>
      <c r="K969" s="767"/>
      <c r="L969" s="768"/>
      <c r="M969" s="768"/>
      <c r="N969" s="712"/>
      <c r="O969" s="769"/>
      <c r="P969" s="446"/>
      <c r="Q969" s="446"/>
      <c r="R969" s="446"/>
      <c r="S969" s="446"/>
      <c r="T969" s="446"/>
      <c r="U969" s="446"/>
      <c r="V969" s="446"/>
    </row>
    <row r="970" ht="15.75" customHeight="1">
      <c r="A970" s="761"/>
      <c r="B970" s="446"/>
      <c r="C970" s="760"/>
      <c r="D970" s="712"/>
      <c r="E970" s="760"/>
      <c r="F970" s="760"/>
      <c r="G970" s="760"/>
      <c r="H970" s="712"/>
      <c r="I970" s="446"/>
      <c r="J970" s="766"/>
      <c r="K970" s="767"/>
      <c r="L970" s="768"/>
      <c r="M970" s="768"/>
      <c r="N970" s="712"/>
      <c r="O970" s="769"/>
      <c r="P970" s="446"/>
      <c r="Q970" s="446"/>
      <c r="R970" s="446"/>
      <c r="S970" s="446"/>
      <c r="T970" s="446"/>
      <c r="U970" s="446"/>
      <c r="V970" s="446"/>
    </row>
    <row r="971" ht="15.75" customHeight="1">
      <c r="A971" s="761"/>
      <c r="B971" s="446"/>
      <c r="C971" s="760"/>
      <c r="D971" s="712"/>
      <c r="E971" s="760"/>
      <c r="F971" s="760"/>
      <c r="G971" s="760"/>
      <c r="H971" s="712"/>
      <c r="I971" s="446"/>
      <c r="J971" s="766"/>
      <c r="K971" s="767"/>
      <c r="L971" s="768"/>
      <c r="M971" s="768"/>
      <c r="N971" s="712"/>
      <c r="O971" s="769"/>
      <c r="P971" s="446"/>
      <c r="Q971" s="446"/>
      <c r="R971" s="446"/>
      <c r="S971" s="446"/>
      <c r="T971" s="446"/>
      <c r="U971" s="446"/>
      <c r="V971" s="446"/>
    </row>
    <row r="972" ht="15.75" customHeight="1">
      <c r="A972" s="761"/>
      <c r="B972" s="446"/>
      <c r="C972" s="760"/>
      <c r="D972" s="712"/>
      <c r="E972" s="760"/>
      <c r="F972" s="760"/>
      <c r="G972" s="760"/>
      <c r="H972" s="712"/>
      <c r="I972" s="446"/>
      <c r="J972" s="766"/>
      <c r="K972" s="767"/>
      <c r="L972" s="768"/>
      <c r="M972" s="768"/>
      <c r="N972" s="712"/>
      <c r="O972" s="769"/>
      <c r="P972" s="446"/>
      <c r="Q972" s="446"/>
      <c r="R972" s="446"/>
      <c r="S972" s="446"/>
      <c r="T972" s="446"/>
      <c r="U972" s="446"/>
      <c r="V972" s="446"/>
    </row>
    <row r="973" ht="15.75" customHeight="1">
      <c r="A973" s="761"/>
      <c r="B973" s="446"/>
      <c r="C973" s="760"/>
      <c r="D973" s="712"/>
      <c r="E973" s="760"/>
      <c r="F973" s="760"/>
      <c r="G973" s="760"/>
      <c r="H973" s="712"/>
      <c r="I973" s="446"/>
      <c r="J973" s="766"/>
      <c r="K973" s="767"/>
      <c r="L973" s="768"/>
      <c r="M973" s="768"/>
      <c r="N973" s="712"/>
      <c r="O973" s="769"/>
      <c r="P973" s="446"/>
      <c r="Q973" s="446"/>
      <c r="R973" s="446"/>
      <c r="S973" s="446"/>
      <c r="T973" s="446"/>
      <c r="U973" s="446"/>
      <c r="V973" s="446"/>
    </row>
    <row r="974" ht="15.75" customHeight="1">
      <c r="A974" s="761"/>
      <c r="B974" s="446"/>
      <c r="C974" s="760"/>
      <c r="D974" s="712"/>
      <c r="E974" s="760"/>
      <c r="F974" s="760"/>
      <c r="G974" s="760"/>
      <c r="H974" s="712"/>
      <c r="I974" s="446"/>
      <c r="J974" s="766"/>
      <c r="K974" s="767"/>
      <c r="L974" s="768"/>
      <c r="M974" s="768"/>
      <c r="N974" s="712"/>
      <c r="O974" s="769"/>
      <c r="P974" s="446"/>
      <c r="Q974" s="446"/>
      <c r="R974" s="446"/>
      <c r="S974" s="446"/>
      <c r="T974" s="446"/>
      <c r="U974" s="446"/>
      <c r="V974" s="446"/>
    </row>
    <row r="975" ht="15.75" customHeight="1">
      <c r="A975" s="761"/>
      <c r="B975" s="446"/>
      <c r="C975" s="760"/>
      <c r="D975" s="712"/>
      <c r="E975" s="760"/>
      <c r="F975" s="760"/>
      <c r="G975" s="760"/>
      <c r="H975" s="712"/>
      <c r="I975" s="446"/>
      <c r="J975" s="766"/>
      <c r="K975" s="767"/>
      <c r="L975" s="768"/>
      <c r="M975" s="768"/>
      <c r="N975" s="712"/>
      <c r="O975" s="769"/>
      <c r="P975" s="446"/>
      <c r="Q975" s="446"/>
      <c r="R975" s="446"/>
      <c r="S975" s="446"/>
      <c r="T975" s="446"/>
      <c r="U975" s="446"/>
      <c r="V975" s="446"/>
    </row>
    <row r="976" ht="15.75" customHeight="1">
      <c r="A976" s="761"/>
      <c r="B976" s="446"/>
      <c r="C976" s="760"/>
      <c r="D976" s="712"/>
      <c r="E976" s="760"/>
      <c r="F976" s="760"/>
      <c r="G976" s="760"/>
      <c r="H976" s="712"/>
      <c r="I976" s="446"/>
      <c r="J976" s="766"/>
      <c r="K976" s="767"/>
      <c r="L976" s="768"/>
      <c r="M976" s="768"/>
      <c r="N976" s="712"/>
      <c r="O976" s="769"/>
      <c r="P976" s="446"/>
      <c r="Q976" s="446"/>
      <c r="R976" s="446"/>
      <c r="S976" s="446"/>
      <c r="T976" s="446"/>
      <c r="U976" s="446"/>
      <c r="V976" s="446"/>
    </row>
    <row r="977" ht="15.75" customHeight="1">
      <c r="A977" s="761"/>
      <c r="B977" s="446"/>
      <c r="C977" s="760"/>
      <c r="D977" s="712"/>
      <c r="E977" s="760"/>
      <c r="F977" s="760"/>
      <c r="G977" s="760"/>
      <c r="H977" s="712"/>
      <c r="I977" s="446"/>
      <c r="J977" s="766"/>
      <c r="K977" s="767"/>
      <c r="L977" s="768"/>
      <c r="M977" s="768"/>
      <c r="N977" s="712"/>
      <c r="O977" s="769"/>
      <c r="P977" s="446"/>
      <c r="Q977" s="446"/>
      <c r="R977" s="446"/>
      <c r="S977" s="446"/>
      <c r="T977" s="446"/>
      <c r="U977" s="446"/>
      <c r="V977" s="446"/>
    </row>
    <row r="978" ht="15.75" customHeight="1">
      <c r="A978" s="761"/>
      <c r="B978" s="446"/>
      <c r="C978" s="760"/>
      <c r="D978" s="712"/>
      <c r="E978" s="760"/>
      <c r="F978" s="760"/>
      <c r="G978" s="760"/>
      <c r="H978" s="712"/>
      <c r="I978" s="446"/>
      <c r="J978" s="766"/>
      <c r="K978" s="767"/>
      <c r="L978" s="768"/>
      <c r="M978" s="768"/>
      <c r="N978" s="712"/>
      <c r="O978" s="769"/>
      <c r="P978" s="446"/>
      <c r="Q978" s="446"/>
      <c r="R978" s="446"/>
      <c r="S978" s="446"/>
      <c r="T978" s="446"/>
      <c r="U978" s="446"/>
      <c r="V978" s="446"/>
    </row>
    <row r="979" ht="15.75" customHeight="1">
      <c r="A979" s="761"/>
      <c r="B979" s="446"/>
      <c r="C979" s="760"/>
      <c r="D979" s="712"/>
      <c r="E979" s="760"/>
      <c r="F979" s="760"/>
      <c r="G979" s="760"/>
      <c r="H979" s="712"/>
      <c r="I979" s="446"/>
      <c r="J979" s="766"/>
      <c r="K979" s="767"/>
      <c r="L979" s="768"/>
      <c r="M979" s="768"/>
      <c r="N979" s="712"/>
      <c r="O979" s="769"/>
      <c r="P979" s="446"/>
      <c r="Q979" s="446"/>
      <c r="R979" s="446"/>
      <c r="S979" s="446"/>
      <c r="T979" s="446"/>
      <c r="U979" s="446"/>
      <c r="V979" s="446"/>
    </row>
    <row r="980" ht="15.75" customHeight="1">
      <c r="A980" s="761"/>
      <c r="B980" s="446"/>
      <c r="C980" s="760"/>
      <c r="D980" s="712"/>
      <c r="E980" s="760"/>
      <c r="F980" s="760"/>
      <c r="G980" s="760"/>
      <c r="H980" s="712"/>
      <c r="I980" s="446"/>
      <c r="J980" s="766"/>
      <c r="K980" s="767"/>
      <c r="L980" s="768"/>
      <c r="M980" s="768"/>
      <c r="N980" s="712"/>
      <c r="O980" s="769"/>
      <c r="P980" s="446"/>
      <c r="Q980" s="446"/>
      <c r="R980" s="446"/>
      <c r="S980" s="446"/>
      <c r="T980" s="446"/>
      <c r="U980" s="446"/>
      <c r="V980" s="446"/>
    </row>
    <row r="981" ht="15.75" customHeight="1">
      <c r="A981" s="761"/>
      <c r="B981" s="446"/>
      <c r="C981" s="760"/>
      <c r="D981" s="712"/>
      <c r="E981" s="760"/>
      <c r="F981" s="760"/>
      <c r="G981" s="760"/>
      <c r="H981" s="712"/>
      <c r="I981" s="446"/>
      <c r="J981" s="766"/>
      <c r="K981" s="767"/>
      <c r="L981" s="768"/>
      <c r="M981" s="768"/>
      <c r="N981" s="712"/>
      <c r="O981" s="769"/>
      <c r="P981" s="446"/>
      <c r="Q981" s="446"/>
      <c r="R981" s="446"/>
      <c r="S981" s="446"/>
      <c r="T981" s="446"/>
      <c r="U981" s="446"/>
      <c r="V981" s="446"/>
    </row>
    <row r="982" ht="15.75" customHeight="1">
      <c r="A982" s="761"/>
      <c r="B982" s="446"/>
      <c r="C982" s="760"/>
      <c r="D982" s="712"/>
      <c r="E982" s="760"/>
      <c r="F982" s="760"/>
      <c r="G982" s="760"/>
      <c r="H982" s="712"/>
      <c r="I982" s="446"/>
      <c r="J982" s="766"/>
      <c r="K982" s="767"/>
      <c r="L982" s="768"/>
      <c r="M982" s="768"/>
      <c r="N982" s="712"/>
      <c r="O982" s="769"/>
      <c r="P982" s="446"/>
      <c r="Q982" s="446"/>
      <c r="R982" s="446"/>
      <c r="S982" s="446"/>
      <c r="T982" s="446"/>
      <c r="U982" s="446"/>
      <c r="V982" s="446"/>
    </row>
    <row r="983" ht="15.75" customHeight="1">
      <c r="A983" s="761"/>
      <c r="B983" s="446"/>
      <c r="C983" s="760"/>
      <c r="D983" s="712"/>
      <c r="E983" s="760"/>
      <c r="F983" s="760"/>
      <c r="G983" s="760"/>
      <c r="H983" s="712"/>
      <c r="I983" s="446"/>
      <c r="J983" s="766"/>
      <c r="K983" s="767"/>
      <c r="L983" s="768"/>
      <c r="M983" s="768"/>
      <c r="N983" s="712"/>
      <c r="O983" s="769"/>
      <c r="P983" s="446"/>
      <c r="Q983" s="446"/>
      <c r="R983" s="446"/>
      <c r="S983" s="446"/>
      <c r="T983" s="446"/>
      <c r="U983" s="446"/>
      <c r="V983" s="446"/>
    </row>
    <row r="984" ht="15.75" customHeight="1">
      <c r="A984" s="761"/>
      <c r="B984" s="446"/>
      <c r="C984" s="760"/>
      <c r="D984" s="712"/>
      <c r="E984" s="760"/>
      <c r="F984" s="760"/>
      <c r="G984" s="760"/>
      <c r="H984" s="712"/>
      <c r="I984" s="446"/>
      <c r="J984" s="766"/>
      <c r="K984" s="767"/>
      <c r="L984" s="768"/>
      <c r="M984" s="768"/>
      <c r="N984" s="712"/>
      <c r="O984" s="769"/>
      <c r="P984" s="446"/>
      <c r="Q984" s="446"/>
      <c r="R984" s="446"/>
      <c r="S984" s="446"/>
      <c r="T984" s="446"/>
      <c r="U984" s="446"/>
      <c r="V984" s="446"/>
    </row>
    <row r="985" ht="15.75" customHeight="1">
      <c r="A985" s="761"/>
      <c r="B985" s="446"/>
      <c r="C985" s="760"/>
      <c r="D985" s="712"/>
      <c r="E985" s="760"/>
      <c r="F985" s="760"/>
      <c r="G985" s="760"/>
      <c r="H985" s="712"/>
      <c r="I985" s="446"/>
      <c r="J985" s="766"/>
      <c r="K985" s="767"/>
      <c r="L985" s="768"/>
      <c r="M985" s="768"/>
      <c r="N985" s="712"/>
      <c r="O985" s="769"/>
      <c r="P985" s="446"/>
      <c r="Q985" s="446"/>
      <c r="R985" s="446"/>
      <c r="S985" s="446"/>
      <c r="T985" s="446"/>
      <c r="U985" s="446"/>
      <c r="V985" s="446"/>
    </row>
    <row r="986" ht="15.75" customHeight="1">
      <c r="A986" s="761"/>
      <c r="B986" s="446"/>
      <c r="C986" s="760"/>
      <c r="D986" s="712"/>
      <c r="E986" s="760"/>
      <c r="F986" s="760"/>
      <c r="G986" s="760"/>
      <c r="H986" s="712"/>
      <c r="I986" s="446"/>
      <c r="J986" s="766"/>
      <c r="K986" s="767"/>
      <c r="L986" s="768"/>
      <c r="M986" s="768"/>
      <c r="N986" s="712"/>
      <c r="O986" s="769"/>
      <c r="P986" s="446"/>
      <c r="Q986" s="446"/>
      <c r="R986" s="446"/>
      <c r="S986" s="446"/>
      <c r="T986" s="446"/>
      <c r="U986" s="446"/>
      <c r="V986" s="446"/>
    </row>
    <row r="987" ht="15.75" customHeight="1">
      <c r="A987" s="761"/>
      <c r="B987" s="446"/>
      <c r="C987" s="760"/>
      <c r="D987" s="712"/>
      <c r="E987" s="760"/>
      <c r="F987" s="760"/>
      <c r="G987" s="760"/>
      <c r="H987" s="712"/>
      <c r="I987" s="446"/>
      <c r="J987" s="766"/>
      <c r="K987" s="767"/>
      <c r="L987" s="768"/>
      <c r="M987" s="768"/>
      <c r="N987" s="712"/>
      <c r="O987" s="769"/>
      <c r="P987" s="446"/>
      <c r="Q987" s="446"/>
      <c r="R987" s="446"/>
      <c r="S987" s="446"/>
      <c r="T987" s="446"/>
      <c r="U987" s="446"/>
      <c r="V987" s="446"/>
    </row>
    <row r="988" ht="15.75" customHeight="1">
      <c r="A988" s="761"/>
      <c r="B988" s="446"/>
      <c r="C988" s="760"/>
      <c r="D988" s="712"/>
      <c r="E988" s="760"/>
      <c r="F988" s="760"/>
      <c r="G988" s="760"/>
      <c r="H988" s="712"/>
      <c r="I988" s="446"/>
      <c r="J988" s="766"/>
      <c r="K988" s="767"/>
      <c r="L988" s="768"/>
      <c r="M988" s="768"/>
      <c r="N988" s="712"/>
      <c r="O988" s="769"/>
      <c r="P988" s="446"/>
      <c r="Q988" s="446"/>
      <c r="R988" s="446"/>
      <c r="S988" s="446"/>
      <c r="T988" s="446"/>
      <c r="U988" s="446"/>
      <c r="V988" s="446"/>
    </row>
    <row r="989" ht="15.75" customHeight="1">
      <c r="A989" s="761"/>
      <c r="B989" s="446"/>
      <c r="C989" s="760"/>
      <c r="D989" s="712"/>
      <c r="E989" s="760"/>
      <c r="F989" s="760"/>
      <c r="G989" s="760"/>
      <c r="H989" s="712"/>
      <c r="I989" s="446"/>
      <c r="J989" s="766"/>
      <c r="K989" s="767"/>
      <c r="L989" s="768"/>
      <c r="M989" s="768"/>
      <c r="N989" s="712"/>
      <c r="O989" s="769"/>
      <c r="P989" s="446"/>
      <c r="Q989" s="446"/>
      <c r="R989" s="446"/>
      <c r="S989" s="446"/>
      <c r="T989" s="446"/>
      <c r="U989" s="446"/>
      <c r="V989" s="446"/>
    </row>
    <row r="990" ht="15.75" customHeight="1">
      <c r="A990" s="761"/>
      <c r="B990" s="446"/>
      <c r="C990" s="760"/>
      <c r="D990" s="712"/>
      <c r="E990" s="760"/>
      <c r="F990" s="760"/>
      <c r="G990" s="760"/>
      <c r="H990" s="712"/>
      <c r="I990" s="446"/>
      <c r="J990" s="766"/>
      <c r="K990" s="767"/>
      <c r="L990" s="768"/>
      <c r="M990" s="768"/>
      <c r="N990" s="712"/>
      <c r="O990" s="769"/>
      <c r="P990" s="446"/>
      <c r="Q990" s="446"/>
      <c r="R990" s="446"/>
      <c r="S990" s="446"/>
      <c r="T990" s="446"/>
      <c r="U990" s="446"/>
      <c r="V990" s="446"/>
    </row>
    <row r="991" ht="15.75" customHeight="1">
      <c r="A991" s="761"/>
      <c r="B991" s="446"/>
      <c r="C991" s="760"/>
      <c r="D991" s="712"/>
      <c r="E991" s="760"/>
      <c r="F991" s="760"/>
      <c r="G991" s="760"/>
      <c r="H991" s="712"/>
      <c r="I991" s="446"/>
      <c r="J991" s="766"/>
      <c r="K991" s="767"/>
      <c r="L991" s="768"/>
      <c r="M991" s="768"/>
      <c r="N991" s="712"/>
      <c r="O991" s="769"/>
      <c r="P991" s="446"/>
      <c r="Q991" s="446"/>
      <c r="R991" s="446"/>
      <c r="S991" s="446"/>
      <c r="T991" s="446"/>
      <c r="U991" s="446"/>
      <c r="V991" s="446"/>
    </row>
    <row r="992" ht="15.75" customHeight="1">
      <c r="A992" s="761"/>
      <c r="B992" s="446"/>
      <c r="C992" s="760"/>
      <c r="D992" s="712"/>
      <c r="E992" s="760"/>
      <c r="F992" s="760"/>
      <c r="G992" s="760"/>
      <c r="H992" s="712"/>
      <c r="I992" s="446"/>
      <c r="J992" s="766"/>
      <c r="K992" s="767"/>
      <c r="L992" s="768"/>
      <c r="M992" s="768"/>
      <c r="N992" s="712"/>
      <c r="O992" s="769"/>
      <c r="P992" s="446"/>
      <c r="Q992" s="446"/>
      <c r="R992" s="446"/>
      <c r="S992" s="446"/>
      <c r="T992" s="446"/>
      <c r="U992" s="446"/>
      <c r="V992" s="446"/>
    </row>
    <row r="993" ht="15.75" customHeight="1">
      <c r="A993" s="761"/>
      <c r="B993" s="446"/>
      <c r="C993" s="760"/>
      <c r="D993" s="712"/>
      <c r="E993" s="760"/>
      <c r="F993" s="760"/>
      <c r="G993" s="760"/>
      <c r="H993" s="712"/>
      <c r="I993" s="446"/>
      <c r="J993" s="766"/>
      <c r="K993" s="767"/>
      <c r="L993" s="768"/>
      <c r="M993" s="768"/>
      <c r="N993" s="712"/>
      <c r="O993" s="769"/>
      <c r="P993" s="446"/>
      <c r="Q993" s="446"/>
      <c r="R993" s="446"/>
      <c r="S993" s="446"/>
      <c r="T993" s="446"/>
      <c r="U993" s="446"/>
      <c r="V993" s="446"/>
    </row>
    <row r="994" ht="15.75" customHeight="1">
      <c r="A994" s="761"/>
      <c r="B994" s="446"/>
      <c r="C994" s="760"/>
      <c r="D994" s="712"/>
      <c r="E994" s="760"/>
      <c r="F994" s="760"/>
      <c r="G994" s="760"/>
      <c r="H994" s="712"/>
      <c r="I994" s="446"/>
      <c r="J994" s="766"/>
      <c r="K994" s="767"/>
      <c r="L994" s="768"/>
      <c r="M994" s="768"/>
      <c r="N994" s="712"/>
      <c r="O994" s="769"/>
      <c r="P994" s="446"/>
      <c r="Q994" s="446"/>
      <c r="R994" s="446"/>
      <c r="S994" s="446"/>
      <c r="T994" s="446"/>
      <c r="U994" s="446"/>
      <c r="V994" s="446"/>
    </row>
    <row r="995" ht="15.75" customHeight="1">
      <c r="A995" s="761"/>
      <c r="B995" s="446"/>
      <c r="C995" s="760"/>
      <c r="D995" s="712"/>
      <c r="E995" s="760"/>
      <c r="F995" s="760"/>
      <c r="G995" s="760"/>
      <c r="H995" s="712"/>
      <c r="I995" s="446"/>
      <c r="J995" s="766"/>
      <c r="K995" s="767"/>
      <c r="L995" s="768"/>
      <c r="M995" s="768"/>
      <c r="N995" s="712"/>
      <c r="O995" s="769"/>
      <c r="P995" s="446"/>
      <c r="Q995" s="446"/>
      <c r="R995" s="446"/>
      <c r="S995" s="446"/>
      <c r="T995" s="446"/>
      <c r="U995" s="446"/>
      <c r="V995" s="446"/>
    </row>
    <row r="996" ht="15.75" customHeight="1">
      <c r="A996" s="761"/>
      <c r="B996" s="446"/>
      <c r="C996" s="760"/>
      <c r="D996" s="712"/>
      <c r="E996" s="760"/>
      <c r="F996" s="760"/>
      <c r="G996" s="760"/>
      <c r="H996" s="712"/>
      <c r="I996" s="446"/>
      <c r="J996" s="766"/>
      <c r="K996" s="767"/>
      <c r="L996" s="768"/>
      <c r="M996" s="768"/>
      <c r="N996" s="712"/>
      <c r="O996" s="769"/>
      <c r="P996" s="446"/>
      <c r="Q996" s="446"/>
      <c r="R996" s="446"/>
      <c r="S996" s="446"/>
      <c r="T996" s="446"/>
      <c r="U996" s="446"/>
      <c r="V996" s="446"/>
    </row>
    <row r="997" ht="15.75" customHeight="1">
      <c r="A997" s="761"/>
      <c r="B997" s="446"/>
      <c r="C997" s="760"/>
      <c r="D997" s="712"/>
      <c r="E997" s="760"/>
      <c r="F997" s="760"/>
      <c r="G997" s="760"/>
      <c r="H997" s="712"/>
      <c r="I997" s="446"/>
      <c r="J997" s="766"/>
      <c r="K997" s="767"/>
      <c r="L997" s="768"/>
      <c r="M997" s="768"/>
      <c r="N997" s="712"/>
      <c r="O997" s="769"/>
      <c r="P997" s="446"/>
      <c r="Q997" s="446"/>
      <c r="R997" s="446"/>
      <c r="S997" s="446"/>
      <c r="T997" s="446"/>
      <c r="U997" s="446"/>
      <c r="V997" s="446"/>
    </row>
    <row r="998" ht="15.75" customHeight="1">
      <c r="A998" s="761"/>
      <c r="B998" s="446"/>
      <c r="C998" s="760"/>
      <c r="D998" s="712"/>
      <c r="E998" s="760"/>
      <c r="F998" s="760"/>
      <c r="G998" s="760"/>
      <c r="H998" s="712"/>
      <c r="I998" s="446"/>
      <c r="J998" s="766"/>
      <c r="K998" s="767"/>
      <c r="L998" s="768"/>
      <c r="M998" s="768"/>
      <c r="N998" s="712"/>
      <c r="O998" s="769"/>
      <c r="P998" s="446"/>
      <c r="Q998" s="446"/>
      <c r="R998" s="446"/>
      <c r="S998" s="446"/>
      <c r="T998" s="446"/>
      <c r="U998" s="446"/>
      <c r="V998" s="446"/>
    </row>
    <row r="999" ht="15.75" customHeight="1">
      <c r="A999" s="761"/>
      <c r="B999" s="446"/>
      <c r="C999" s="760"/>
      <c r="D999" s="712"/>
      <c r="E999" s="760"/>
      <c r="F999" s="760"/>
      <c r="G999" s="760"/>
      <c r="H999" s="712"/>
      <c r="I999" s="446"/>
      <c r="J999" s="766"/>
      <c r="K999" s="767"/>
      <c r="L999" s="768"/>
      <c r="M999" s="768"/>
      <c r="N999" s="712"/>
      <c r="O999" s="769"/>
      <c r="P999" s="446"/>
      <c r="Q999" s="446"/>
      <c r="R999" s="446"/>
      <c r="S999" s="446"/>
      <c r="T999" s="446"/>
      <c r="U999" s="446"/>
      <c r="V999" s="446"/>
    </row>
    <row r="1000" ht="15.75" customHeight="1">
      <c r="A1000" s="761"/>
      <c r="B1000" s="446"/>
      <c r="C1000" s="760"/>
      <c r="D1000" s="712"/>
      <c r="E1000" s="760"/>
      <c r="F1000" s="760"/>
      <c r="G1000" s="760"/>
      <c r="H1000" s="712"/>
      <c r="I1000" s="446"/>
      <c r="J1000" s="766"/>
      <c r="K1000" s="767"/>
      <c r="L1000" s="768"/>
      <c r="M1000" s="768"/>
      <c r="N1000" s="712"/>
      <c r="O1000" s="769"/>
      <c r="P1000" s="446"/>
      <c r="Q1000" s="446"/>
      <c r="R1000" s="446"/>
      <c r="S1000" s="446"/>
      <c r="T1000" s="446"/>
      <c r="U1000" s="446"/>
      <c r="V1000" s="446"/>
    </row>
    <row r="1001" ht="15.75" customHeight="1">
      <c r="A1001" s="761"/>
      <c r="B1001" s="446"/>
      <c r="C1001" s="760"/>
      <c r="D1001" s="712"/>
      <c r="E1001" s="760"/>
      <c r="F1001" s="760"/>
      <c r="G1001" s="760"/>
      <c r="H1001" s="712"/>
      <c r="I1001" s="446"/>
      <c r="J1001" s="766"/>
      <c r="K1001" s="767"/>
      <c r="L1001" s="768"/>
      <c r="M1001" s="768"/>
      <c r="N1001" s="712"/>
      <c r="O1001" s="769"/>
      <c r="P1001" s="446"/>
      <c r="Q1001" s="446"/>
      <c r="R1001" s="446"/>
      <c r="S1001" s="446"/>
      <c r="T1001" s="446"/>
      <c r="U1001" s="446"/>
      <c r="V1001" s="446"/>
    </row>
    <row r="1002" ht="15.75" customHeight="1">
      <c r="A1002" s="761"/>
      <c r="B1002" s="446"/>
      <c r="C1002" s="760"/>
      <c r="D1002" s="712"/>
      <c r="E1002" s="760"/>
      <c r="F1002" s="760"/>
      <c r="G1002" s="760"/>
      <c r="H1002" s="712"/>
      <c r="I1002" s="446"/>
      <c r="J1002" s="766"/>
      <c r="K1002" s="767"/>
      <c r="L1002" s="768"/>
      <c r="M1002" s="768"/>
      <c r="N1002" s="712"/>
      <c r="O1002" s="769"/>
      <c r="P1002" s="446"/>
      <c r="Q1002" s="446"/>
      <c r="R1002" s="446"/>
      <c r="S1002" s="446"/>
      <c r="T1002" s="446"/>
      <c r="U1002" s="446"/>
      <c r="V1002" s="446"/>
    </row>
    <row r="1003" ht="15.75" customHeight="1">
      <c r="A1003" s="761"/>
      <c r="B1003" s="446"/>
      <c r="C1003" s="760"/>
      <c r="D1003" s="712"/>
      <c r="E1003" s="760"/>
      <c r="F1003" s="760"/>
      <c r="G1003" s="760"/>
      <c r="H1003" s="712"/>
      <c r="I1003" s="446"/>
      <c r="J1003" s="766"/>
      <c r="K1003" s="767"/>
      <c r="L1003" s="768"/>
      <c r="M1003" s="768"/>
      <c r="N1003" s="712"/>
      <c r="O1003" s="769"/>
      <c r="P1003" s="446"/>
      <c r="Q1003" s="446"/>
      <c r="R1003" s="446"/>
      <c r="S1003" s="446"/>
      <c r="T1003" s="446"/>
      <c r="U1003" s="446"/>
      <c r="V1003" s="446"/>
    </row>
    <row r="1004" ht="15.75" customHeight="1">
      <c r="A1004" s="761"/>
      <c r="B1004" s="446"/>
      <c r="C1004" s="760"/>
      <c r="D1004" s="712"/>
      <c r="E1004" s="760"/>
      <c r="F1004" s="760"/>
      <c r="G1004" s="760"/>
      <c r="H1004" s="712"/>
      <c r="I1004" s="446"/>
      <c r="J1004" s="766"/>
      <c r="K1004" s="767"/>
      <c r="L1004" s="768"/>
      <c r="M1004" s="768"/>
      <c r="N1004" s="712"/>
      <c r="O1004" s="769"/>
      <c r="P1004" s="446"/>
      <c r="Q1004" s="446"/>
      <c r="R1004" s="446"/>
      <c r="S1004" s="446"/>
      <c r="T1004" s="446"/>
      <c r="U1004" s="446"/>
      <c r="V1004" s="446"/>
    </row>
    <row r="1005" ht="15.75" customHeight="1">
      <c r="A1005" s="761"/>
      <c r="B1005" s="446"/>
      <c r="C1005" s="760"/>
      <c r="D1005" s="712"/>
      <c r="E1005" s="760"/>
      <c r="F1005" s="760"/>
      <c r="G1005" s="760"/>
      <c r="H1005" s="712"/>
      <c r="I1005" s="446"/>
      <c r="J1005" s="766"/>
      <c r="K1005" s="767"/>
      <c r="L1005" s="768"/>
      <c r="M1005" s="768"/>
      <c r="N1005" s="712"/>
      <c r="O1005" s="769"/>
      <c r="P1005" s="446"/>
      <c r="Q1005" s="446"/>
      <c r="R1005" s="446"/>
      <c r="S1005" s="446"/>
      <c r="T1005" s="446"/>
      <c r="U1005" s="446"/>
      <c r="V1005" s="446"/>
    </row>
    <row r="1006" ht="15.75" customHeight="1">
      <c r="A1006" s="761"/>
      <c r="B1006" s="446"/>
      <c r="C1006" s="760"/>
      <c r="D1006" s="712"/>
      <c r="E1006" s="760"/>
      <c r="F1006" s="760"/>
      <c r="G1006" s="760"/>
      <c r="H1006" s="712"/>
      <c r="I1006" s="446"/>
      <c r="J1006" s="766"/>
      <c r="K1006" s="767"/>
      <c r="L1006" s="768"/>
      <c r="M1006" s="768"/>
      <c r="N1006" s="712"/>
      <c r="O1006" s="769"/>
      <c r="P1006" s="446"/>
      <c r="Q1006" s="446"/>
      <c r="R1006" s="446"/>
      <c r="S1006" s="446"/>
      <c r="T1006" s="446"/>
      <c r="U1006" s="446"/>
      <c r="V1006" s="446"/>
    </row>
    <row r="1007" ht="15.75" customHeight="1">
      <c r="A1007" s="761"/>
      <c r="B1007" s="446"/>
      <c r="C1007" s="760"/>
      <c r="D1007" s="712"/>
      <c r="E1007" s="760"/>
      <c r="F1007" s="760"/>
      <c r="G1007" s="760"/>
      <c r="H1007" s="712"/>
      <c r="I1007" s="446"/>
      <c r="J1007" s="766"/>
      <c r="K1007" s="767"/>
      <c r="L1007" s="768"/>
      <c r="M1007" s="768"/>
      <c r="N1007" s="712"/>
      <c r="O1007" s="769"/>
      <c r="P1007" s="446"/>
      <c r="Q1007" s="446"/>
      <c r="R1007" s="446"/>
      <c r="S1007" s="446"/>
      <c r="T1007" s="446"/>
      <c r="U1007" s="446"/>
      <c r="V1007" s="446"/>
    </row>
    <row r="1008" ht="15.75" customHeight="1">
      <c r="A1008" s="761"/>
      <c r="B1008" s="446"/>
      <c r="C1008" s="760"/>
      <c r="D1008" s="712"/>
      <c r="E1008" s="760"/>
      <c r="F1008" s="760"/>
      <c r="G1008" s="760"/>
      <c r="H1008" s="712"/>
      <c r="I1008" s="446"/>
      <c r="J1008" s="766"/>
      <c r="K1008" s="767"/>
      <c r="L1008" s="768"/>
      <c r="M1008" s="768"/>
      <c r="N1008" s="712"/>
      <c r="O1008" s="769"/>
      <c r="P1008" s="446"/>
      <c r="Q1008" s="446"/>
      <c r="R1008" s="446"/>
      <c r="S1008" s="446"/>
      <c r="T1008" s="446"/>
      <c r="U1008" s="446"/>
      <c r="V1008" s="446"/>
    </row>
    <row r="1009" ht="15.75" customHeight="1">
      <c r="A1009" s="761"/>
      <c r="B1009" s="446"/>
      <c r="C1009" s="760"/>
      <c r="D1009" s="712"/>
      <c r="E1009" s="760"/>
      <c r="F1009" s="760"/>
      <c r="G1009" s="760"/>
      <c r="H1009" s="712"/>
      <c r="I1009" s="446"/>
      <c r="J1009" s="766"/>
      <c r="K1009" s="767"/>
      <c r="L1009" s="768"/>
      <c r="M1009" s="768"/>
      <c r="N1009" s="712"/>
      <c r="O1009" s="769"/>
      <c r="P1009" s="446"/>
      <c r="Q1009" s="446"/>
      <c r="R1009" s="446"/>
      <c r="S1009" s="446"/>
      <c r="T1009" s="446"/>
      <c r="U1009" s="446"/>
      <c r="V1009" s="446"/>
    </row>
    <row r="1010" ht="15.75" customHeight="1">
      <c r="A1010" s="761"/>
      <c r="B1010" s="446"/>
      <c r="C1010" s="760"/>
      <c r="D1010" s="712"/>
      <c r="E1010" s="760"/>
      <c r="F1010" s="760"/>
      <c r="G1010" s="760"/>
      <c r="H1010" s="712"/>
      <c r="I1010" s="446"/>
      <c r="J1010" s="766"/>
      <c r="K1010" s="767"/>
      <c r="L1010" s="768"/>
      <c r="M1010" s="768"/>
      <c r="N1010" s="712"/>
      <c r="O1010" s="769"/>
      <c r="P1010" s="446"/>
      <c r="Q1010" s="446"/>
      <c r="R1010" s="446"/>
      <c r="S1010" s="446"/>
      <c r="T1010" s="446"/>
      <c r="U1010" s="446"/>
      <c r="V1010" s="446"/>
    </row>
    <row r="1011" ht="15.75" customHeight="1">
      <c r="A1011" s="761"/>
      <c r="B1011" s="446"/>
      <c r="C1011" s="760"/>
      <c r="D1011" s="712"/>
      <c r="E1011" s="760"/>
      <c r="F1011" s="760"/>
      <c r="G1011" s="760"/>
      <c r="H1011" s="712"/>
      <c r="I1011" s="446"/>
      <c r="J1011" s="766"/>
      <c r="K1011" s="767"/>
      <c r="L1011" s="768"/>
      <c r="M1011" s="768"/>
      <c r="N1011" s="712"/>
      <c r="O1011" s="769"/>
      <c r="P1011" s="446"/>
      <c r="Q1011" s="446"/>
      <c r="R1011" s="446"/>
      <c r="S1011" s="446"/>
      <c r="T1011" s="446"/>
      <c r="U1011" s="446"/>
      <c r="V1011" s="446"/>
    </row>
    <row r="1012" ht="15.75" customHeight="1">
      <c r="A1012" s="761"/>
      <c r="B1012" s="446"/>
      <c r="C1012" s="760"/>
      <c r="D1012" s="712"/>
      <c r="E1012" s="760"/>
      <c r="F1012" s="760"/>
      <c r="G1012" s="760"/>
      <c r="H1012" s="712"/>
      <c r="I1012" s="446"/>
      <c r="J1012" s="766"/>
      <c r="K1012" s="767"/>
      <c r="L1012" s="768"/>
      <c r="M1012" s="768"/>
      <c r="N1012" s="712"/>
      <c r="O1012" s="769"/>
      <c r="P1012" s="446"/>
      <c r="Q1012" s="446"/>
      <c r="R1012" s="446"/>
      <c r="S1012" s="446"/>
      <c r="T1012" s="446"/>
      <c r="U1012" s="446"/>
      <c r="V1012" s="446"/>
    </row>
    <row r="1013" ht="15.75" customHeight="1">
      <c r="A1013" s="761"/>
      <c r="B1013" s="446"/>
      <c r="C1013" s="760"/>
      <c r="D1013" s="712"/>
      <c r="E1013" s="760"/>
      <c r="F1013" s="760"/>
      <c r="G1013" s="760"/>
      <c r="H1013" s="712"/>
      <c r="I1013" s="446"/>
      <c r="J1013" s="766"/>
      <c r="K1013" s="767"/>
      <c r="L1013" s="768"/>
      <c r="M1013" s="768"/>
      <c r="N1013" s="712"/>
      <c r="O1013" s="769"/>
      <c r="P1013" s="446"/>
      <c r="Q1013" s="446"/>
      <c r="R1013" s="446"/>
      <c r="S1013" s="446"/>
      <c r="T1013" s="446"/>
      <c r="U1013" s="446"/>
      <c r="V1013" s="446"/>
    </row>
    <row r="1014" ht="15.75" customHeight="1">
      <c r="A1014" s="761"/>
      <c r="B1014" s="446"/>
      <c r="C1014" s="760"/>
      <c r="D1014" s="712"/>
      <c r="E1014" s="760"/>
      <c r="F1014" s="760"/>
      <c r="G1014" s="760"/>
      <c r="H1014" s="712"/>
      <c r="I1014" s="446"/>
      <c r="J1014" s="766"/>
      <c r="K1014" s="767"/>
      <c r="L1014" s="768"/>
      <c r="M1014" s="768"/>
      <c r="N1014" s="712"/>
      <c r="O1014" s="769"/>
      <c r="P1014" s="446"/>
      <c r="Q1014" s="446"/>
      <c r="R1014" s="446"/>
      <c r="S1014" s="446"/>
      <c r="T1014" s="446"/>
      <c r="U1014" s="446"/>
      <c r="V1014" s="446"/>
    </row>
    <row r="1015" ht="15.75" customHeight="1">
      <c r="A1015" s="761"/>
      <c r="B1015" s="446"/>
      <c r="C1015" s="760"/>
      <c r="D1015" s="712"/>
      <c r="E1015" s="760"/>
      <c r="F1015" s="760"/>
      <c r="G1015" s="760"/>
      <c r="H1015" s="712"/>
      <c r="I1015" s="446"/>
      <c r="J1015" s="766"/>
      <c r="K1015" s="767"/>
      <c r="L1015" s="768"/>
      <c r="M1015" s="768"/>
      <c r="N1015" s="712"/>
      <c r="O1015" s="769"/>
      <c r="P1015" s="446"/>
      <c r="Q1015" s="446"/>
      <c r="R1015" s="446"/>
      <c r="S1015" s="446"/>
      <c r="T1015" s="446"/>
      <c r="U1015" s="446"/>
      <c r="V1015" s="446"/>
    </row>
    <row r="1016" ht="15.75" customHeight="1">
      <c r="A1016" s="761"/>
      <c r="B1016" s="446"/>
      <c r="C1016" s="760"/>
      <c r="D1016" s="712"/>
      <c r="E1016" s="760"/>
      <c r="F1016" s="760"/>
      <c r="G1016" s="760"/>
      <c r="H1016" s="712"/>
      <c r="I1016" s="446"/>
      <c r="J1016" s="766"/>
      <c r="K1016" s="767"/>
      <c r="L1016" s="768"/>
      <c r="M1016" s="768"/>
      <c r="N1016" s="712"/>
      <c r="O1016" s="769"/>
      <c r="P1016" s="446"/>
      <c r="Q1016" s="446"/>
      <c r="R1016" s="446"/>
      <c r="S1016" s="446"/>
      <c r="T1016" s="446"/>
      <c r="U1016" s="446"/>
      <c r="V1016" s="446"/>
    </row>
    <row r="1017" ht="15.75" customHeight="1">
      <c r="A1017" s="761"/>
      <c r="B1017" s="446"/>
      <c r="C1017" s="760"/>
      <c r="D1017" s="712"/>
      <c r="E1017" s="760"/>
      <c r="F1017" s="760"/>
      <c r="G1017" s="760"/>
      <c r="H1017" s="712"/>
      <c r="I1017" s="446"/>
      <c r="J1017" s="766"/>
      <c r="K1017" s="767"/>
      <c r="L1017" s="768"/>
      <c r="M1017" s="768"/>
      <c r="N1017" s="712"/>
      <c r="O1017" s="769"/>
      <c r="P1017" s="446"/>
      <c r="Q1017" s="446"/>
      <c r="R1017" s="446"/>
      <c r="S1017" s="446"/>
      <c r="T1017" s="446"/>
      <c r="U1017" s="446"/>
      <c r="V1017" s="446"/>
    </row>
    <row r="1018" ht="15.75" customHeight="1">
      <c r="A1018" s="761"/>
      <c r="B1018" s="446"/>
      <c r="C1018" s="760"/>
      <c r="D1018" s="712"/>
      <c r="E1018" s="760"/>
      <c r="F1018" s="760"/>
      <c r="G1018" s="760"/>
      <c r="H1018" s="712"/>
      <c r="I1018" s="446"/>
      <c r="J1018" s="766"/>
      <c r="K1018" s="767"/>
      <c r="L1018" s="768"/>
      <c r="M1018" s="768"/>
      <c r="N1018" s="712"/>
      <c r="O1018" s="769"/>
      <c r="P1018" s="446"/>
      <c r="Q1018" s="446"/>
      <c r="R1018" s="446"/>
      <c r="S1018" s="446"/>
      <c r="T1018" s="446"/>
      <c r="U1018" s="446"/>
      <c r="V1018" s="446"/>
    </row>
    <row r="1019" ht="15.75" customHeight="1">
      <c r="A1019" s="761"/>
      <c r="B1019" s="446"/>
      <c r="C1019" s="760"/>
      <c r="D1019" s="712"/>
      <c r="E1019" s="760"/>
      <c r="F1019" s="760"/>
      <c r="G1019" s="760"/>
      <c r="H1019" s="712"/>
      <c r="I1019" s="446"/>
      <c r="J1019" s="766"/>
      <c r="K1019" s="767"/>
      <c r="L1019" s="768"/>
      <c r="M1019" s="768"/>
      <c r="N1019" s="712"/>
      <c r="O1019" s="769"/>
      <c r="P1019" s="446"/>
      <c r="Q1019" s="446"/>
      <c r="R1019" s="446"/>
      <c r="S1019" s="446"/>
      <c r="T1019" s="446"/>
      <c r="U1019" s="446"/>
      <c r="V1019" s="446"/>
    </row>
    <row r="1020" ht="15.75" customHeight="1">
      <c r="A1020" s="761"/>
      <c r="B1020" s="446"/>
      <c r="C1020" s="760"/>
      <c r="D1020" s="712"/>
      <c r="E1020" s="760"/>
      <c r="F1020" s="760"/>
      <c r="G1020" s="760"/>
      <c r="H1020" s="712"/>
      <c r="I1020" s="446"/>
      <c r="J1020" s="766"/>
      <c r="K1020" s="767"/>
      <c r="L1020" s="768"/>
      <c r="M1020" s="768"/>
      <c r="N1020" s="712"/>
      <c r="O1020" s="769"/>
      <c r="P1020" s="446"/>
      <c r="Q1020" s="446"/>
      <c r="R1020" s="446"/>
      <c r="S1020" s="446"/>
      <c r="T1020" s="446"/>
      <c r="U1020" s="446"/>
      <c r="V1020" s="446"/>
    </row>
    <row r="1021" ht="15.75" customHeight="1">
      <c r="A1021" s="761"/>
      <c r="B1021" s="446"/>
      <c r="C1021" s="760"/>
      <c r="D1021" s="712"/>
      <c r="E1021" s="760"/>
      <c r="F1021" s="760"/>
      <c r="G1021" s="760"/>
      <c r="H1021" s="712"/>
      <c r="I1021" s="446"/>
      <c r="J1021" s="766"/>
      <c r="K1021" s="767"/>
      <c r="L1021" s="768"/>
      <c r="M1021" s="768"/>
      <c r="N1021" s="712"/>
      <c r="O1021" s="769"/>
      <c r="P1021" s="446"/>
      <c r="Q1021" s="446"/>
      <c r="R1021" s="446"/>
      <c r="S1021" s="446"/>
      <c r="T1021" s="446"/>
      <c r="U1021" s="446"/>
      <c r="V1021" s="446"/>
    </row>
    <row r="1022" ht="15.75" customHeight="1">
      <c r="A1022" s="761"/>
      <c r="B1022" s="446"/>
      <c r="C1022" s="760"/>
      <c r="D1022" s="712"/>
      <c r="E1022" s="760"/>
      <c r="F1022" s="760"/>
      <c r="G1022" s="760"/>
      <c r="H1022" s="712"/>
      <c r="I1022" s="446"/>
      <c r="J1022" s="766"/>
      <c r="K1022" s="767"/>
      <c r="L1022" s="768"/>
      <c r="M1022" s="768"/>
      <c r="N1022" s="712"/>
      <c r="O1022" s="769"/>
      <c r="P1022" s="446"/>
      <c r="Q1022" s="446"/>
      <c r="R1022" s="446"/>
      <c r="S1022" s="446"/>
      <c r="T1022" s="446"/>
      <c r="U1022" s="446"/>
      <c r="V1022" s="446"/>
    </row>
    <row r="1023" ht="15.75" customHeight="1">
      <c r="A1023" s="761"/>
      <c r="B1023" s="446"/>
      <c r="C1023" s="760"/>
      <c r="D1023" s="712"/>
      <c r="E1023" s="760"/>
      <c r="F1023" s="760"/>
      <c r="G1023" s="760"/>
      <c r="H1023" s="712"/>
      <c r="I1023" s="446"/>
      <c r="J1023" s="766"/>
      <c r="K1023" s="767"/>
      <c r="L1023" s="768"/>
      <c r="M1023" s="768"/>
      <c r="N1023" s="712"/>
      <c r="O1023" s="769"/>
      <c r="P1023" s="446"/>
      <c r="Q1023" s="446"/>
      <c r="R1023" s="446"/>
      <c r="S1023" s="446"/>
      <c r="T1023" s="446"/>
      <c r="U1023" s="446"/>
      <c r="V1023" s="446"/>
    </row>
    <row r="1024" ht="15.75" customHeight="1">
      <c r="A1024" s="761"/>
      <c r="B1024" s="446"/>
      <c r="C1024" s="760"/>
      <c r="D1024" s="712"/>
      <c r="E1024" s="760"/>
      <c r="F1024" s="760"/>
      <c r="G1024" s="760"/>
      <c r="H1024" s="712"/>
      <c r="I1024" s="446"/>
      <c r="J1024" s="766"/>
      <c r="K1024" s="767"/>
      <c r="L1024" s="768"/>
      <c r="M1024" s="768"/>
      <c r="N1024" s="712"/>
      <c r="O1024" s="769"/>
      <c r="P1024" s="446"/>
      <c r="Q1024" s="446"/>
      <c r="R1024" s="446"/>
      <c r="S1024" s="446"/>
      <c r="T1024" s="446"/>
      <c r="U1024" s="446"/>
      <c r="V1024" s="446"/>
    </row>
    <row r="1025" ht="15.75" customHeight="1">
      <c r="A1025" s="761"/>
      <c r="B1025" s="446"/>
      <c r="C1025" s="760"/>
      <c r="D1025" s="712"/>
      <c r="E1025" s="760"/>
      <c r="F1025" s="760"/>
      <c r="G1025" s="760"/>
      <c r="H1025" s="712"/>
      <c r="I1025" s="446"/>
      <c r="J1025" s="766"/>
      <c r="K1025" s="767"/>
      <c r="L1025" s="768"/>
      <c r="M1025" s="768"/>
      <c r="N1025" s="712"/>
      <c r="O1025" s="769"/>
      <c r="P1025" s="446"/>
      <c r="Q1025" s="446"/>
      <c r="R1025" s="446"/>
      <c r="S1025" s="446"/>
      <c r="T1025" s="446"/>
      <c r="U1025" s="446"/>
      <c r="V1025" s="446"/>
    </row>
    <row r="1026" ht="15.75" customHeight="1">
      <c r="A1026" s="761"/>
      <c r="B1026" s="446"/>
      <c r="C1026" s="760"/>
      <c r="D1026" s="712"/>
      <c r="E1026" s="760"/>
      <c r="F1026" s="760"/>
      <c r="G1026" s="760"/>
      <c r="H1026" s="712"/>
      <c r="I1026" s="446"/>
      <c r="J1026" s="766"/>
      <c r="K1026" s="767"/>
      <c r="L1026" s="768"/>
      <c r="M1026" s="768"/>
      <c r="N1026" s="712"/>
      <c r="O1026" s="769"/>
      <c r="P1026" s="446"/>
      <c r="Q1026" s="446"/>
      <c r="R1026" s="446"/>
      <c r="S1026" s="446"/>
      <c r="T1026" s="446"/>
      <c r="U1026" s="446"/>
      <c r="V1026" s="446"/>
    </row>
    <row r="1027" ht="15.75" customHeight="1">
      <c r="A1027" s="761"/>
      <c r="B1027" s="446"/>
      <c r="C1027" s="760"/>
      <c r="D1027" s="712"/>
      <c r="E1027" s="760"/>
      <c r="F1027" s="760"/>
      <c r="G1027" s="760"/>
      <c r="H1027" s="712"/>
      <c r="I1027" s="446"/>
      <c r="J1027" s="766"/>
      <c r="K1027" s="767"/>
      <c r="L1027" s="768"/>
      <c r="M1027" s="768"/>
      <c r="N1027" s="712"/>
      <c r="O1027" s="769"/>
      <c r="P1027" s="446"/>
      <c r="Q1027" s="446"/>
      <c r="R1027" s="446"/>
      <c r="S1027" s="446"/>
      <c r="T1027" s="446"/>
      <c r="U1027" s="446"/>
      <c r="V1027" s="446"/>
    </row>
    <row r="1028" ht="15.75" customHeight="1">
      <c r="A1028" s="761"/>
      <c r="B1028" s="446"/>
      <c r="C1028" s="760"/>
      <c r="D1028" s="712"/>
      <c r="E1028" s="760"/>
      <c r="F1028" s="760"/>
      <c r="G1028" s="760"/>
      <c r="H1028" s="712"/>
      <c r="I1028" s="446"/>
      <c r="J1028" s="766"/>
      <c r="K1028" s="767"/>
      <c r="L1028" s="768"/>
      <c r="M1028" s="768"/>
      <c r="N1028" s="712"/>
      <c r="O1028" s="769"/>
      <c r="P1028" s="446"/>
      <c r="Q1028" s="446"/>
      <c r="R1028" s="446"/>
      <c r="S1028" s="446"/>
      <c r="T1028" s="446"/>
      <c r="U1028" s="446"/>
      <c r="V1028" s="446"/>
    </row>
    <row r="1029" ht="15.75" customHeight="1">
      <c r="A1029" s="761"/>
      <c r="B1029" s="446"/>
      <c r="C1029" s="760"/>
      <c r="D1029" s="712"/>
      <c r="E1029" s="760"/>
      <c r="F1029" s="760"/>
      <c r="G1029" s="760"/>
      <c r="H1029" s="712"/>
      <c r="I1029" s="446"/>
      <c r="J1029" s="766"/>
      <c r="K1029" s="767"/>
      <c r="L1029" s="768"/>
      <c r="M1029" s="768"/>
      <c r="N1029" s="712"/>
      <c r="O1029" s="769"/>
      <c r="P1029" s="446"/>
      <c r="Q1029" s="446"/>
      <c r="R1029" s="446"/>
      <c r="S1029" s="446"/>
      <c r="T1029" s="446"/>
      <c r="U1029" s="446"/>
      <c r="V1029" s="446"/>
    </row>
    <row r="1030" ht="15.75" customHeight="1">
      <c r="A1030" s="761"/>
      <c r="B1030" s="446"/>
      <c r="C1030" s="760"/>
      <c r="D1030" s="712"/>
      <c r="E1030" s="760"/>
      <c r="F1030" s="760"/>
      <c r="G1030" s="760"/>
      <c r="H1030" s="712"/>
      <c r="I1030" s="446"/>
      <c r="J1030" s="766"/>
      <c r="K1030" s="767"/>
      <c r="L1030" s="768"/>
      <c r="M1030" s="768"/>
      <c r="N1030" s="712"/>
      <c r="O1030" s="769"/>
      <c r="P1030" s="446"/>
      <c r="Q1030" s="446"/>
      <c r="R1030" s="446"/>
      <c r="S1030" s="446"/>
      <c r="T1030" s="446"/>
      <c r="U1030" s="446"/>
      <c r="V1030" s="446"/>
    </row>
    <row r="1031" ht="15.75" customHeight="1">
      <c r="A1031" s="761"/>
      <c r="B1031" s="446"/>
      <c r="C1031" s="760"/>
      <c r="D1031" s="712"/>
      <c r="E1031" s="760"/>
      <c r="F1031" s="760"/>
      <c r="G1031" s="760"/>
      <c r="H1031" s="712"/>
      <c r="I1031" s="446"/>
      <c r="J1031" s="766"/>
      <c r="K1031" s="767"/>
      <c r="L1031" s="768"/>
      <c r="M1031" s="768"/>
      <c r="N1031" s="712"/>
      <c r="O1031" s="769"/>
      <c r="P1031" s="446"/>
      <c r="Q1031" s="446"/>
      <c r="R1031" s="446"/>
      <c r="S1031" s="446"/>
      <c r="T1031" s="446"/>
      <c r="U1031" s="446"/>
      <c r="V1031" s="446"/>
    </row>
    <row r="1032" ht="15.75" customHeight="1">
      <c r="A1032" s="761"/>
      <c r="B1032" s="446"/>
      <c r="C1032" s="760"/>
      <c r="D1032" s="712"/>
      <c r="E1032" s="760"/>
      <c r="F1032" s="760"/>
      <c r="G1032" s="760"/>
      <c r="H1032" s="712"/>
      <c r="I1032" s="446"/>
      <c r="J1032" s="766"/>
      <c r="K1032" s="767"/>
      <c r="L1032" s="768"/>
      <c r="M1032" s="768"/>
      <c r="N1032" s="712"/>
      <c r="O1032" s="769"/>
      <c r="P1032" s="446"/>
      <c r="Q1032" s="446"/>
      <c r="R1032" s="446"/>
      <c r="S1032" s="446"/>
      <c r="T1032" s="446"/>
      <c r="U1032" s="446"/>
      <c r="V1032" s="446"/>
    </row>
    <row r="1033" ht="15.75" customHeight="1">
      <c r="A1033" s="761"/>
      <c r="B1033" s="446"/>
      <c r="C1033" s="760"/>
      <c r="D1033" s="712"/>
      <c r="E1033" s="760"/>
      <c r="F1033" s="760"/>
      <c r="G1033" s="760"/>
      <c r="H1033" s="712"/>
      <c r="I1033" s="446"/>
      <c r="J1033" s="766"/>
      <c r="K1033" s="767"/>
      <c r="L1033" s="768"/>
      <c r="M1033" s="768"/>
      <c r="N1033" s="712"/>
      <c r="O1033" s="769"/>
      <c r="P1033" s="446"/>
      <c r="Q1033" s="446"/>
      <c r="R1033" s="446"/>
      <c r="S1033" s="446"/>
      <c r="T1033" s="446"/>
      <c r="U1033" s="446"/>
      <c r="V1033" s="446"/>
    </row>
    <row r="1034" ht="15.75" customHeight="1">
      <c r="A1034" s="761"/>
      <c r="B1034" s="446"/>
      <c r="C1034" s="760"/>
      <c r="D1034" s="712"/>
      <c r="E1034" s="760"/>
      <c r="F1034" s="760"/>
      <c r="G1034" s="760"/>
      <c r="H1034" s="712"/>
      <c r="I1034" s="446"/>
      <c r="J1034" s="766"/>
      <c r="K1034" s="767"/>
      <c r="L1034" s="768"/>
      <c r="M1034" s="768"/>
      <c r="N1034" s="712"/>
      <c r="O1034" s="769"/>
      <c r="P1034" s="446"/>
      <c r="Q1034" s="446"/>
      <c r="R1034" s="446"/>
      <c r="S1034" s="446"/>
      <c r="T1034" s="446"/>
      <c r="U1034" s="446"/>
      <c r="V1034" s="446"/>
    </row>
    <row r="1035" ht="15.75" customHeight="1">
      <c r="A1035" s="761"/>
      <c r="B1035" s="446"/>
      <c r="C1035" s="760"/>
      <c r="D1035" s="712"/>
      <c r="E1035" s="760"/>
      <c r="F1035" s="760"/>
      <c r="G1035" s="760"/>
      <c r="H1035" s="712"/>
      <c r="I1035" s="446"/>
      <c r="J1035" s="766"/>
      <c r="K1035" s="767"/>
      <c r="L1035" s="768"/>
      <c r="M1035" s="768"/>
      <c r="N1035" s="712"/>
      <c r="O1035" s="769"/>
      <c r="P1035" s="446"/>
      <c r="Q1035" s="446"/>
      <c r="R1035" s="446"/>
      <c r="S1035" s="446"/>
      <c r="T1035" s="446"/>
      <c r="U1035" s="446"/>
      <c r="V1035" s="446"/>
    </row>
    <row r="1036" ht="15.75" customHeight="1">
      <c r="A1036" s="761"/>
      <c r="B1036" s="446"/>
      <c r="C1036" s="760"/>
      <c r="D1036" s="712"/>
      <c r="E1036" s="760"/>
      <c r="F1036" s="760"/>
      <c r="G1036" s="760"/>
      <c r="H1036" s="712"/>
      <c r="I1036" s="446"/>
      <c r="J1036" s="766"/>
      <c r="K1036" s="767"/>
      <c r="L1036" s="768"/>
      <c r="M1036" s="768"/>
      <c r="N1036" s="712"/>
      <c r="O1036" s="769"/>
      <c r="P1036" s="446"/>
      <c r="Q1036" s="446"/>
      <c r="R1036" s="446"/>
      <c r="S1036" s="446"/>
      <c r="T1036" s="446"/>
      <c r="U1036" s="446"/>
      <c r="V1036" s="446"/>
    </row>
    <row r="1037" ht="15.75" customHeight="1">
      <c r="A1037" s="761"/>
      <c r="B1037" s="446"/>
      <c r="C1037" s="760"/>
      <c r="D1037" s="712"/>
      <c r="E1037" s="760"/>
      <c r="F1037" s="760"/>
      <c r="G1037" s="760"/>
      <c r="H1037" s="712"/>
      <c r="I1037" s="446"/>
      <c r="J1037" s="766"/>
      <c r="K1037" s="767"/>
      <c r="L1037" s="768"/>
      <c r="M1037" s="768"/>
      <c r="N1037" s="712"/>
      <c r="O1037" s="769"/>
      <c r="P1037" s="446"/>
      <c r="Q1037" s="446"/>
      <c r="R1037" s="446"/>
      <c r="S1037" s="446"/>
      <c r="T1037" s="446"/>
      <c r="U1037" s="446"/>
      <c r="V1037" s="446"/>
    </row>
    <row r="1038" ht="15.75" customHeight="1">
      <c r="A1038" s="761"/>
      <c r="B1038" s="446"/>
      <c r="C1038" s="760"/>
      <c r="D1038" s="712"/>
      <c r="E1038" s="760"/>
      <c r="F1038" s="760"/>
      <c r="G1038" s="760"/>
      <c r="H1038" s="712"/>
      <c r="I1038" s="446"/>
      <c r="J1038" s="766"/>
      <c r="K1038" s="767"/>
      <c r="L1038" s="768"/>
      <c r="M1038" s="768"/>
      <c r="N1038" s="712"/>
      <c r="O1038" s="769"/>
      <c r="P1038" s="446"/>
      <c r="Q1038" s="446"/>
      <c r="R1038" s="446"/>
      <c r="S1038" s="446"/>
      <c r="T1038" s="446"/>
      <c r="U1038" s="446"/>
      <c r="V1038" s="446"/>
    </row>
    <row r="1039" ht="15.75" customHeight="1">
      <c r="A1039" s="761"/>
      <c r="B1039" s="446"/>
      <c r="C1039" s="760"/>
      <c r="D1039" s="712"/>
      <c r="E1039" s="760"/>
      <c r="F1039" s="760"/>
      <c r="G1039" s="760"/>
      <c r="H1039" s="712"/>
      <c r="I1039" s="446"/>
      <c r="J1039" s="766"/>
      <c r="K1039" s="767"/>
      <c r="L1039" s="768"/>
      <c r="M1039" s="768"/>
      <c r="N1039" s="712"/>
      <c r="O1039" s="769"/>
      <c r="P1039" s="446"/>
      <c r="Q1039" s="446"/>
      <c r="R1039" s="446"/>
      <c r="S1039" s="446"/>
      <c r="T1039" s="446"/>
      <c r="U1039" s="446"/>
      <c r="V1039" s="446"/>
    </row>
    <row r="1040" ht="15.75" customHeight="1">
      <c r="A1040" s="761"/>
      <c r="B1040" s="446"/>
      <c r="C1040" s="760"/>
      <c r="D1040" s="712"/>
      <c r="E1040" s="760"/>
      <c r="F1040" s="760"/>
      <c r="G1040" s="760"/>
      <c r="H1040" s="712"/>
      <c r="I1040" s="446"/>
      <c r="J1040" s="766"/>
      <c r="K1040" s="767"/>
      <c r="L1040" s="768"/>
      <c r="M1040" s="768"/>
      <c r="N1040" s="712"/>
      <c r="O1040" s="769"/>
      <c r="P1040" s="446"/>
      <c r="Q1040" s="446"/>
      <c r="R1040" s="446"/>
      <c r="S1040" s="446"/>
      <c r="T1040" s="446"/>
      <c r="U1040" s="446"/>
      <c r="V1040" s="446"/>
    </row>
    <row r="1041" ht="15.75" customHeight="1">
      <c r="A1041" s="761"/>
      <c r="B1041" s="446"/>
      <c r="C1041" s="760"/>
      <c r="D1041" s="712"/>
      <c r="E1041" s="760"/>
      <c r="F1041" s="760"/>
      <c r="G1041" s="760"/>
      <c r="H1041" s="712"/>
      <c r="I1041" s="446"/>
      <c r="J1041" s="766"/>
      <c r="K1041" s="767"/>
      <c r="L1041" s="768"/>
      <c r="M1041" s="768"/>
      <c r="N1041" s="712"/>
      <c r="O1041" s="769"/>
      <c r="P1041" s="446"/>
      <c r="Q1041" s="446"/>
      <c r="R1041" s="446"/>
      <c r="S1041" s="446"/>
      <c r="T1041" s="446"/>
      <c r="U1041" s="446"/>
      <c r="V1041" s="446"/>
    </row>
    <row r="1042" ht="15.75" customHeight="1">
      <c r="A1042" s="761"/>
      <c r="B1042" s="446"/>
      <c r="C1042" s="760"/>
      <c r="D1042" s="712"/>
      <c r="E1042" s="760"/>
      <c r="F1042" s="760"/>
      <c r="G1042" s="760"/>
      <c r="H1042" s="712"/>
      <c r="I1042" s="446"/>
      <c r="J1042" s="766"/>
      <c r="K1042" s="767"/>
      <c r="L1042" s="768"/>
      <c r="M1042" s="768"/>
      <c r="N1042" s="712"/>
      <c r="O1042" s="769"/>
      <c r="P1042" s="446"/>
      <c r="Q1042" s="446"/>
      <c r="R1042" s="446"/>
      <c r="S1042" s="446"/>
      <c r="T1042" s="446"/>
      <c r="U1042" s="446"/>
      <c r="V1042" s="446"/>
    </row>
    <row r="1043" ht="15.75" customHeight="1">
      <c r="A1043" s="761"/>
      <c r="B1043" s="446"/>
      <c r="C1043" s="760"/>
      <c r="D1043" s="712"/>
      <c r="E1043" s="760"/>
      <c r="F1043" s="760"/>
      <c r="G1043" s="760"/>
      <c r="H1043" s="712"/>
      <c r="I1043" s="446"/>
      <c r="J1043" s="766"/>
      <c r="K1043" s="767"/>
      <c r="L1043" s="768"/>
      <c r="M1043" s="768"/>
      <c r="N1043" s="712"/>
      <c r="O1043" s="769"/>
      <c r="P1043" s="446"/>
      <c r="Q1043" s="446"/>
      <c r="R1043" s="446"/>
      <c r="S1043" s="446"/>
      <c r="T1043" s="446"/>
      <c r="U1043" s="446"/>
      <c r="V1043" s="446"/>
    </row>
    <row r="1044" ht="15.75" customHeight="1">
      <c r="A1044" s="761"/>
      <c r="B1044" s="446"/>
      <c r="C1044" s="760"/>
      <c r="D1044" s="712"/>
      <c r="E1044" s="760"/>
      <c r="F1044" s="760"/>
      <c r="G1044" s="760"/>
      <c r="H1044" s="712"/>
      <c r="I1044" s="446"/>
      <c r="J1044" s="766"/>
      <c r="K1044" s="767"/>
      <c r="L1044" s="768"/>
      <c r="M1044" s="768"/>
      <c r="N1044" s="712"/>
      <c r="O1044" s="769"/>
      <c r="P1044" s="446"/>
      <c r="Q1044" s="446"/>
      <c r="R1044" s="446"/>
      <c r="S1044" s="446"/>
      <c r="T1044" s="446"/>
      <c r="U1044" s="446"/>
      <c r="V1044" s="446"/>
    </row>
    <row r="1045" ht="15.75" customHeight="1">
      <c r="A1045" s="761"/>
      <c r="B1045" s="446"/>
      <c r="C1045" s="760"/>
      <c r="D1045" s="712"/>
      <c r="E1045" s="760"/>
      <c r="F1045" s="760"/>
      <c r="G1045" s="760"/>
      <c r="H1045" s="712"/>
      <c r="I1045" s="446"/>
      <c r="J1045" s="766"/>
      <c r="K1045" s="767"/>
      <c r="L1045" s="768"/>
      <c r="M1045" s="768"/>
      <c r="N1045" s="712"/>
      <c r="O1045" s="769"/>
      <c r="P1045" s="446"/>
      <c r="Q1045" s="446"/>
      <c r="R1045" s="446"/>
      <c r="S1045" s="446"/>
      <c r="T1045" s="446"/>
      <c r="U1045" s="446"/>
      <c r="V1045" s="446"/>
    </row>
    <row r="1046" ht="15.75" customHeight="1">
      <c r="A1046" s="761"/>
      <c r="B1046" s="446"/>
      <c r="C1046" s="760"/>
      <c r="D1046" s="712"/>
      <c r="E1046" s="760"/>
      <c r="F1046" s="760"/>
      <c r="G1046" s="760"/>
      <c r="H1046" s="712"/>
      <c r="I1046" s="446"/>
      <c r="J1046" s="766"/>
      <c r="K1046" s="767"/>
      <c r="L1046" s="768"/>
      <c r="M1046" s="768"/>
      <c r="N1046" s="712"/>
      <c r="O1046" s="769"/>
      <c r="P1046" s="446"/>
      <c r="Q1046" s="446"/>
      <c r="R1046" s="446"/>
      <c r="S1046" s="446"/>
      <c r="T1046" s="446"/>
      <c r="U1046" s="446"/>
      <c r="V1046" s="446"/>
    </row>
    <row r="1047" ht="15.75" customHeight="1">
      <c r="A1047" s="761"/>
      <c r="B1047" s="446"/>
      <c r="C1047" s="760"/>
      <c r="D1047" s="712"/>
      <c r="E1047" s="760"/>
      <c r="F1047" s="760"/>
      <c r="G1047" s="760"/>
      <c r="H1047" s="712"/>
      <c r="I1047" s="446"/>
      <c r="J1047" s="766"/>
      <c r="K1047" s="767"/>
      <c r="L1047" s="768"/>
      <c r="M1047" s="768"/>
      <c r="N1047" s="712"/>
      <c r="O1047" s="769"/>
      <c r="P1047" s="446"/>
      <c r="Q1047" s="446"/>
      <c r="R1047" s="446"/>
      <c r="S1047" s="446"/>
      <c r="T1047" s="446"/>
      <c r="U1047" s="446"/>
      <c r="V1047" s="446"/>
    </row>
    <row r="1048" ht="15.75" customHeight="1">
      <c r="A1048" s="761"/>
      <c r="B1048" s="446"/>
      <c r="C1048" s="760"/>
      <c r="D1048" s="712"/>
      <c r="E1048" s="760"/>
      <c r="F1048" s="760"/>
      <c r="G1048" s="760"/>
      <c r="H1048" s="712"/>
      <c r="I1048" s="446"/>
      <c r="J1048" s="766"/>
      <c r="K1048" s="767"/>
      <c r="L1048" s="768"/>
      <c r="M1048" s="768"/>
      <c r="N1048" s="712"/>
      <c r="O1048" s="769"/>
      <c r="P1048" s="446"/>
      <c r="Q1048" s="446"/>
      <c r="R1048" s="446"/>
      <c r="S1048" s="446"/>
      <c r="T1048" s="446"/>
      <c r="U1048" s="446"/>
      <c r="V1048" s="446"/>
    </row>
    <row r="1049" ht="15.75" customHeight="1">
      <c r="A1049" s="761"/>
      <c r="B1049" s="446"/>
      <c r="C1049" s="760"/>
      <c r="D1049" s="712"/>
      <c r="E1049" s="760"/>
      <c r="F1049" s="760"/>
      <c r="G1049" s="760"/>
      <c r="H1049" s="712"/>
      <c r="I1049" s="446"/>
      <c r="J1049" s="766"/>
      <c r="K1049" s="767"/>
      <c r="L1049" s="768"/>
      <c r="M1049" s="768"/>
      <c r="N1049" s="712"/>
      <c r="O1049" s="769"/>
      <c r="P1049" s="446"/>
      <c r="Q1049" s="446"/>
      <c r="R1049" s="446"/>
      <c r="S1049" s="446"/>
      <c r="T1049" s="446"/>
      <c r="U1049" s="446"/>
      <c r="V1049" s="446"/>
    </row>
    <row r="1050" ht="15.75" customHeight="1">
      <c r="A1050" s="761"/>
      <c r="B1050" s="446"/>
      <c r="C1050" s="760"/>
      <c r="D1050" s="712"/>
      <c r="E1050" s="760"/>
      <c r="F1050" s="760"/>
      <c r="G1050" s="760"/>
      <c r="H1050" s="712"/>
      <c r="I1050" s="446"/>
      <c r="J1050" s="766"/>
      <c r="K1050" s="767"/>
      <c r="L1050" s="768"/>
      <c r="M1050" s="768"/>
      <c r="N1050" s="712"/>
      <c r="O1050" s="769"/>
      <c r="P1050" s="446"/>
      <c r="Q1050" s="446"/>
      <c r="R1050" s="446"/>
      <c r="S1050" s="446"/>
      <c r="T1050" s="446"/>
      <c r="U1050" s="446"/>
      <c r="V1050" s="446"/>
    </row>
    <row r="1051" ht="15.75" customHeight="1">
      <c r="A1051" s="761"/>
      <c r="B1051" s="446"/>
      <c r="C1051" s="760"/>
      <c r="D1051" s="712"/>
      <c r="E1051" s="760"/>
      <c r="F1051" s="760"/>
      <c r="G1051" s="760"/>
      <c r="H1051" s="712"/>
      <c r="I1051" s="446"/>
      <c r="J1051" s="766"/>
      <c r="K1051" s="767"/>
      <c r="L1051" s="768"/>
      <c r="M1051" s="768"/>
      <c r="N1051" s="712"/>
      <c r="O1051" s="769"/>
      <c r="P1051" s="446"/>
      <c r="Q1051" s="446"/>
      <c r="R1051" s="446"/>
      <c r="S1051" s="446"/>
      <c r="T1051" s="446"/>
      <c r="U1051" s="446"/>
      <c r="V1051" s="446"/>
    </row>
    <row r="1052" ht="15.75" customHeight="1">
      <c r="A1052" s="761"/>
      <c r="B1052" s="446"/>
      <c r="C1052" s="760"/>
      <c r="D1052" s="712"/>
      <c r="E1052" s="760"/>
      <c r="F1052" s="760"/>
      <c r="G1052" s="760"/>
      <c r="H1052" s="712"/>
      <c r="I1052" s="446"/>
      <c r="J1052" s="766"/>
      <c r="K1052" s="767"/>
      <c r="L1052" s="768"/>
      <c r="M1052" s="768"/>
      <c r="N1052" s="712"/>
      <c r="O1052" s="769"/>
      <c r="P1052" s="446"/>
      <c r="Q1052" s="446"/>
      <c r="R1052" s="446"/>
      <c r="S1052" s="446"/>
      <c r="T1052" s="446"/>
      <c r="U1052" s="446"/>
      <c r="V1052" s="446"/>
    </row>
    <row r="1053" ht="15.75" customHeight="1">
      <c r="A1053" s="761"/>
      <c r="B1053" s="446"/>
      <c r="C1053" s="760"/>
      <c r="D1053" s="712"/>
      <c r="E1053" s="760"/>
      <c r="F1053" s="760"/>
      <c r="G1053" s="760"/>
      <c r="H1053" s="712"/>
      <c r="I1053" s="446"/>
      <c r="J1053" s="766"/>
      <c r="K1053" s="767"/>
      <c r="L1053" s="768"/>
      <c r="M1053" s="768"/>
      <c r="N1053" s="712"/>
      <c r="O1053" s="769"/>
      <c r="P1053" s="446"/>
      <c r="Q1053" s="446"/>
      <c r="R1053" s="446"/>
      <c r="S1053" s="446"/>
      <c r="T1053" s="446"/>
      <c r="U1053" s="446"/>
      <c r="V1053" s="446"/>
    </row>
    <row r="1054" ht="15.75" customHeight="1">
      <c r="A1054" s="761"/>
      <c r="B1054" s="446"/>
      <c r="C1054" s="760"/>
      <c r="D1054" s="712"/>
      <c r="E1054" s="760"/>
      <c r="F1054" s="760"/>
      <c r="G1054" s="760"/>
      <c r="H1054" s="712"/>
      <c r="I1054" s="446"/>
      <c r="J1054" s="766"/>
      <c r="K1054" s="767"/>
      <c r="L1054" s="768"/>
      <c r="M1054" s="768"/>
      <c r="N1054" s="712"/>
      <c r="O1054" s="769"/>
      <c r="P1054" s="446"/>
      <c r="Q1054" s="446"/>
      <c r="R1054" s="446"/>
      <c r="S1054" s="446"/>
      <c r="T1054" s="446"/>
      <c r="U1054" s="446"/>
      <c r="V1054" s="446"/>
    </row>
    <row r="1055" ht="15.75" customHeight="1">
      <c r="A1055" s="761"/>
      <c r="B1055" s="446"/>
      <c r="C1055" s="760"/>
      <c r="D1055" s="712"/>
      <c r="E1055" s="760"/>
      <c r="F1055" s="760"/>
      <c r="G1055" s="760"/>
      <c r="H1055" s="712"/>
      <c r="I1055" s="446"/>
      <c r="J1055" s="766"/>
      <c r="K1055" s="767"/>
      <c r="L1055" s="768"/>
      <c r="M1055" s="768"/>
      <c r="N1055" s="712"/>
      <c r="O1055" s="769"/>
      <c r="P1055" s="446"/>
      <c r="Q1055" s="446"/>
      <c r="R1055" s="446"/>
      <c r="S1055" s="446"/>
      <c r="T1055" s="446"/>
      <c r="U1055" s="446"/>
      <c r="V1055" s="446"/>
    </row>
    <row r="1056" ht="15.75" customHeight="1">
      <c r="A1056" s="761"/>
      <c r="B1056" s="446"/>
      <c r="C1056" s="760"/>
      <c r="D1056" s="712"/>
      <c r="E1056" s="760"/>
      <c r="F1056" s="760"/>
      <c r="G1056" s="760"/>
      <c r="H1056" s="712"/>
      <c r="I1056" s="446"/>
      <c r="J1056" s="766"/>
      <c r="K1056" s="767"/>
      <c r="L1056" s="768"/>
      <c r="M1056" s="768"/>
      <c r="N1056" s="712"/>
      <c r="O1056" s="769"/>
      <c r="P1056" s="446"/>
      <c r="Q1056" s="446"/>
      <c r="R1056" s="446"/>
      <c r="S1056" s="446"/>
      <c r="T1056" s="446"/>
      <c r="U1056" s="446"/>
      <c r="V1056" s="446"/>
    </row>
    <row r="1057" ht="15.75" customHeight="1">
      <c r="A1057" s="761"/>
      <c r="B1057" s="446"/>
      <c r="C1057" s="760"/>
      <c r="D1057" s="712"/>
      <c r="E1057" s="760"/>
      <c r="F1057" s="760"/>
      <c r="G1057" s="760"/>
      <c r="H1057" s="712"/>
      <c r="I1057" s="446"/>
      <c r="J1057" s="766"/>
      <c r="K1057" s="767"/>
      <c r="L1057" s="768"/>
      <c r="M1057" s="768"/>
      <c r="N1057" s="712"/>
      <c r="O1057" s="769"/>
      <c r="P1057" s="446"/>
      <c r="Q1057" s="446"/>
      <c r="R1057" s="446"/>
      <c r="S1057" s="446"/>
      <c r="T1057" s="446"/>
      <c r="U1057" s="446"/>
      <c r="V1057" s="446"/>
    </row>
    <row r="1058" ht="15.75" customHeight="1">
      <c r="A1058" s="761"/>
      <c r="B1058" s="446"/>
      <c r="C1058" s="760"/>
      <c r="D1058" s="712"/>
      <c r="E1058" s="760"/>
      <c r="F1058" s="760"/>
      <c r="G1058" s="760"/>
      <c r="H1058" s="712"/>
      <c r="I1058" s="446"/>
      <c r="J1058" s="766"/>
      <c r="K1058" s="767"/>
      <c r="L1058" s="768"/>
      <c r="M1058" s="768"/>
      <c r="N1058" s="712"/>
      <c r="O1058" s="769"/>
      <c r="P1058" s="446"/>
      <c r="Q1058" s="446"/>
      <c r="R1058" s="446"/>
      <c r="S1058" s="446"/>
      <c r="T1058" s="446"/>
      <c r="U1058" s="446"/>
      <c r="V1058" s="446"/>
    </row>
    <row r="1059" ht="15.75" customHeight="1">
      <c r="A1059" s="761"/>
      <c r="B1059" s="446"/>
      <c r="C1059" s="760"/>
      <c r="D1059" s="712"/>
      <c r="E1059" s="760"/>
      <c r="F1059" s="760"/>
      <c r="G1059" s="760"/>
      <c r="H1059" s="712"/>
      <c r="I1059" s="446"/>
      <c r="J1059" s="766"/>
      <c r="K1059" s="767"/>
      <c r="L1059" s="768"/>
      <c r="M1059" s="768"/>
      <c r="N1059" s="712"/>
      <c r="O1059" s="769"/>
      <c r="P1059" s="446"/>
      <c r="Q1059" s="446"/>
      <c r="R1059" s="446"/>
      <c r="S1059" s="446"/>
      <c r="T1059" s="446"/>
      <c r="U1059" s="446"/>
      <c r="V1059" s="446"/>
    </row>
    <row r="1060" ht="15.75" customHeight="1">
      <c r="A1060" s="761"/>
      <c r="B1060" s="446"/>
      <c r="C1060" s="760"/>
      <c r="D1060" s="712"/>
      <c r="E1060" s="760"/>
      <c r="F1060" s="760"/>
      <c r="G1060" s="760"/>
      <c r="H1060" s="712"/>
      <c r="I1060" s="446"/>
      <c r="J1060" s="766"/>
      <c r="K1060" s="767"/>
      <c r="L1060" s="768"/>
      <c r="M1060" s="768"/>
      <c r="N1060" s="712"/>
      <c r="O1060" s="769"/>
      <c r="P1060" s="446"/>
      <c r="Q1060" s="446"/>
      <c r="R1060" s="446"/>
      <c r="S1060" s="446"/>
      <c r="T1060" s="446"/>
      <c r="U1060" s="446"/>
      <c r="V1060" s="446"/>
    </row>
    <row r="1061" ht="15.75" customHeight="1">
      <c r="A1061" s="761"/>
      <c r="B1061" s="446"/>
      <c r="C1061" s="760"/>
      <c r="D1061" s="712"/>
      <c r="E1061" s="760"/>
      <c r="F1061" s="760"/>
      <c r="G1061" s="760"/>
      <c r="H1061" s="712"/>
      <c r="I1061" s="446"/>
      <c r="J1061" s="766"/>
      <c r="K1061" s="767"/>
      <c r="L1061" s="768"/>
      <c r="M1061" s="768"/>
      <c r="N1061" s="712"/>
      <c r="O1061" s="769"/>
      <c r="P1061" s="446"/>
      <c r="Q1061" s="446"/>
      <c r="R1061" s="446"/>
      <c r="S1061" s="446"/>
      <c r="T1061" s="446"/>
      <c r="U1061" s="446"/>
      <c r="V1061" s="446"/>
    </row>
    <row r="1062" ht="15.75" customHeight="1">
      <c r="A1062" s="761"/>
      <c r="B1062" s="446"/>
      <c r="C1062" s="760"/>
      <c r="D1062" s="712"/>
      <c r="E1062" s="760"/>
      <c r="F1062" s="760"/>
      <c r="G1062" s="760"/>
      <c r="H1062" s="712"/>
      <c r="I1062" s="446"/>
      <c r="J1062" s="766"/>
      <c r="K1062" s="767"/>
      <c r="L1062" s="768"/>
      <c r="M1062" s="768"/>
      <c r="N1062" s="712"/>
      <c r="O1062" s="769"/>
      <c r="P1062" s="446"/>
      <c r="Q1062" s="446"/>
      <c r="R1062" s="446"/>
      <c r="S1062" s="446"/>
      <c r="T1062" s="446"/>
      <c r="U1062" s="446"/>
      <c r="V1062" s="446"/>
    </row>
    <row r="1063" ht="15.75" customHeight="1">
      <c r="A1063" s="761"/>
      <c r="B1063" s="446"/>
      <c r="C1063" s="760"/>
      <c r="D1063" s="712"/>
      <c r="E1063" s="760"/>
      <c r="F1063" s="760"/>
      <c r="G1063" s="760"/>
      <c r="H1063" s="712"/>
      <c r="I1063" s="446"/>
      <c r="J1063" s="766"/>
      <c r="K1063" s="767"/>
      <c r="L1063" s="768"/>
      <c r="M1063" s="768"/>
      <c r="N1063" s="712"/>
      <c r="O1063" s="769"/>
      <c r="P1063" s="446"/>
      <c r="Q1063" s="446"/>
      <c r="R1063" s="446"/>
      <c r="S1063" s="446"/>
      <c r="T1063" s="446"/>
      <c r="U1063" s="446"/>
      <c r="V1063" s="446"/>
    </row>
    <row r="1064" ht="15.75" customHeight="1">
      <c r="A1064" s="761"/>
      <c r="B1064" s="446"/>
      <c r="C1064" s="760"/>
      <c r="D1064" s="712"/>
      <c r="E1064" s="760"/>
      <c r="F1064" s="760"/>
      <c r="G1064" s="760"/>
      <c r="H1064" s="712"/>
      <c r="I1064" s="446"/>
      <c r="J1064" s="766"/>
      <c r="K1064" s="767"/>
      <c r="L1064" s="768"/>
      <c r="M1064" s="768"/>
      <c r="N1064" s="712"/>
      <c r="O1064" s="769"/>
      <c r="P1064" s="446"/>
      <c r="Q1064" s="446"/>
      <c r="R1064" s="446"/>
      <c r="S1064" s="446"/>
      <c r="T1064" s="446"/>
      <c r="U1064" s="446"/>
      <c r="V1064" s="446"/>
    </row>
    <row r="1065" ht="15.75" customHeight="1">
      <c r="A1065" s="761"/>
      <c r="B1065" s="446"/>
      <c r="C1065" s="760"/>
      <c r="D1065" s="712"/>
      <c r="E1065" s="760"/>
      <c r="F1065" s="760"/>
      <c r="G1065" s="760"/>
      <c r="H1065" s="712"/>
      <c r="I1065" s="446"/>
      <c r="J1065" s="766"/>
      <c r="K1065" s="767"/>
      <c r="L1065" s="768"/>
      <c r="M1065" s="768"/>
      <c r="N1065" s="712"/>
      <c r="O1065" s="769"/>
      <c r="P1065" s="446"/>
      <c r="Q1065" s="446"/>
      <c r="R1065" s="446"/>
      <c r="S1065" s="446"/>
      <c r="T1065" s="446"/>
      <c r="U1065" s="446"/>
      <c r="V1065" s="446"/>
    </row>
    <row r="1066" ht="15.75" customHeight="1">
      <c r="A1066" s="761"/>
      <c r="B1066" s="446"/>
      <c r="C1066" s="760"/>
      <c r="D1066" s="712"/>
      <c r="E1066" s="760"/>
      <c r="F1066" s="760"/>
      <c r="G1066" s="760"/>
      <c r="H1066" s="712"/>
      <c r="I1066" s="446"/>
      <c r="J1066" s="766"/>
      <c r="K1066" s="767"/>
      <c r="L1066" s="768"/>
      <c r="M1066" s="768"/>
      <c r="N1066" s="712"/>
      <c r="O1066" s="769"/>
      <c r="P1066" s="446"/>
      <c r="Q1066" s="446"/>
      <c r="R1066" s="446"/>
      <c r="S1066" s="446"/>
      <c r="T1066" s="446"/>
      <c r="U1066" s="446"/>
      <c r="V1066" s="446"/>
    </row>
    <row r="1067" ht="15.75" customHeight="1">
      <c r="A1067" s="761"/>
      <c r="B1067" s="446"/>
      <c r="C1067" s="760"/>
      <c r="D1067" s="712"/>
      <c r="E1067" s="760"/>
      <c r="F1067" s="760"/>
      <c r="G1067" s="760"/>
      <c r="H1067" s="712"/>
      <c r="I1067" s="446"/>
      <c r="J1067" s="766"/>
      <c r="K1067" s="767"/>
      <c r="L1067" s="768"/>
      <c r="M1067" s="768"/>
      <c r="N1067" s="712"/>
      <c r="O1067" s="769"/>
      <c r="P1067" s="446"/>
      <c r="Q1067" s="446"/>
      <c r="R1067" s="446"/>
      <c r="S1067" s="446"/>
      <c r="T1067" s="446"/>
      <c r="U1067" s="446"/>
      <c r="V1067" s="446"/>
    </row>
    <row r="1068" ht="15.75" customHeight="1">
      <c r="A1068" s="761"/>
      <c r="B1068" s="446"/>
      <c r="C1068" s="760"/>
      <c r="D1068" s="712"/>
      <c r="E1068" s="760"/>
      <c r="F1068" s="760"/>
      <c r="G1068" s="760"/>
      <c r="H1068" s="712"/>
      <c r="I1068" s="446"/>
      <c r="J1068" s="766"/>
      <c r="K1068" s="767"/>
      <c r="L1068" s="768"/>
      <c r="M1068" s="768"/>
      <c r="N1068" s="712"/>
      <c r="O1068" s="769"/>
      <c r="P1068" s="446"/>
      <c r="Q1068" s="446"/>
      <c r="R1068" s="446"/>
      <c r="S1068" s="446"/>
      <c r="T1068" s="446"/>
      <c r="U1068" s="446"/>
      <c r="V1068" s="446"/>
    </row>
    <row r="1069" ht="15.75" customHeight="1">
      <c r="A1069" s="761"/>
      <c r="B1069" s="446"/>
      <c r="C1069" s="760"/>
      <c r="D1069" s="712"/>
      <c r="E1069" s="760"/>
      <c r="F1069" s="760"/>
      <c r="G1069" s="760"/>
      <c r="H1069" s="712"/>
      <c r="I1069" s="446"/>
      <c r="J1069" s="766"/>
      <c r="K1069" s="767"/>
      <c r="L1069" s="768"/>
      <c r="M1069" s="768"/>
      <c r="N1069" s="712"/>
      <c r="O1069" s="769"/>
      <c r="P1069" s="446"/>
      <c r="Q1069" s="446"/>
      <c r="R1069" s="446"/>
      <c r="S1069" s="446"/>
      <c r="T1069" s="446"/>
      <c r="U1069" s="446"/>
      <c r="V1069" s="446"/>
    </row>
    <row r="1070" ht="15.75" customHeight="1">
      <c r="A1070" s="761"/>
      <c r="B1070" s="446"/>
      <c r="C1070" s="760"/>
      <c r="D1070" s="712"/>
      <c r="E1070" s="760"/>
      <c r="F1070" s="760"/>
      <c r="G1070" s="760"/>
      <c r="H1070" s="712"/>
      <c r="I1070" s="446"/>
      <c r="J1070" s="766"/>
      <c r="K1070" s="767"/>
      <c r="L1070" s="768"/>
      <c r="M1070" s="768"/>
      <c r="N1070" s="712"/>
      <c r="O1070" s="769"/>
      <c r="P1070" s="446"/>
      <c r="Q1070" s="446"/>
      <c r="R1070" s="446"/>
      <c r="S1070" s="446"/>
      <c r="T1070" s="446"/>
      <c r="U1070" s="446"/>
      <c r="V1070" s="446"/>
    </row>
    <row r="1071" ht="15.75" customHeight="1">
      <c r="A1071" s="761"/>
      <c r="B1071" s="446"/>
      <c r="C1071" s="760"/>
      <c r="D1071" s="712"/>
      <c r="E1071" s="760"/>
      <c r="F1071" s="760"/>
      <c r="G1071" s="760"/>
      <c r="H1071" s="712"/>
      <c r="I1071" s="446"/>
      <c r="J1071" s="766"/>
      <c r="K1071" s="767"/>
      <c r="L1071" s="768"/>
      <c r="M1071" s="768"/>
      <c r="N1071" s="712"/>
      <c r="O1071" s="769"/>
      <c r="P1071" s="446"/>
      <c r="Q1071" s="446"/>
      <c r="R1071" s="446"/>
      <c r="S1071" s="446"/>
      <c r="T1071" s="446"/>
      <c r="U1071" s="446"/>
      <c r="V1071" s="446"/>
    </row>
    <row r="1072" ht="15.75" customHeight="1">
      <c r="A1072" s="761"/>
      <c r="B1072" s="446"/>
      <c r="C1072" s="760"/>
      <c r="D1072" s="712"/>
      <c r="E1072" s="760"/>
      <c r="F1072" s="760"/>
      <c r="G1072" s="760"/>
      <c r="H1072" s="712"/>
      <c r="I1072" s="446"/>
      <c r="J1072" s="766"/>
      <c r="K1072" s="767"/>
      <c r="L1072" s="768"/>
      <c r="M1072" s="768"/>
      <c r="N1072" s="712"/>
      <c r="O1072" s="769"/>
      <c r="P1072" s="446"/>
      <c r="Q1072" s="446"/>
      <c r="R1072" s="446"/>
      <c r="S1072" s="446"/>
      <c r="T1072" s="446"/>
      <c r="U1072" s="446"/>
      <c r="V1072" s="446"/>
    </row>
    <row r="1073" ht="15.75" customHeight="1">
      <c r="A1073" s="761"/>
      <c r="B1073" s="446"/>
      <c r="C1073" s="760"/>
      <c r="D1073" s="712"/>
      <c r="E1073" s="760"/>
      <c r="F1073" s="760"/>
      <c r="G1073" s="760"/>
      <c r="H1073" s="712"/>
      <c r="I1073" s="446"/>
      <c r="J1073" s="766"/>
      <c r="K1073" s="767"/>
      <c r="L1073" s="768"/>
      <c r="M1073" s="768"/>
      <c r="N1073" s="712"/>
      <c r="O1073" s="769"/>
      <c r="P1073" s="446"/>
      <c r="Q1073" s="446"/>
      <c r="R1073" s="446"/>
      <c r="S1073" s="446"/>
      <c r="T1073" s="446"/>
      <c r="U1073" s="446"/>
      <c r="V1073" s="446"/>
    </row>
    <row r="1074" ht="15.75" customHeight="1">
      <c r="A1074" s="761"/>
      <c r="B1074" s="446"/>
      <c r="C1074" s="760"/>
      <c r="D1074" s="712"/>
      <c r="E1074" s="760"/>
      <c r="F1074" s="760"/>
      <c r="G1074" s="760"/>
      <c r="H1074" s="712"/>
      <c r="I1074" s="446"/>
      <c r="J1074" s="766"/>
      <c r="K1074" s="767"/>
      <c r="L1074" s="768"/>
      <c r="M1074" s="768"/>
      <c r="N1074" s="712"/>
      <c r="O1074" s="769"/>
      <c r="P1074" s="446"/>
      <c r="Q1074" s="446"/>
      <c r="R1074" s="446"/>
      <c r="S1074" s="446"/>
      <c r="T1074" s="446"/>
      <c r="U1074" s="446"/>
      <c r="V1074" s="446"/>
    </row>
    <row r="1075" ht="15.75" customHeight="1">
      <c r="A1075" s="761"/>
      <c r="B1075" s="446"/>
      <c r="C1075" s="760"/>
      <c r="D1075" s="712"/>
      <c r="E1075" s="760"/>
      <c r="F1075" s="760"/>
      <c r="G1075" s="760"/>
      <c r="H1075" s="712"/>
      <c r="I1075" s="446"/>
      <c r="J1075" s="766"/>
      <c r="K1075" s="767"/>
      <c r="L1075" s="768"/>
      <c r="M1075" s="768"/>
      <c r="N1075" s="712"/>
      <c r="O1075" s="769"/>
      <c r="P1075" s="446"/>
      <c r="Q1075" s="446"/>
      <c r="R1075" s="446"/>
      <c r="S1075" s="446"/>
      <c r="T1075" s="446"/>
      <c r="U1075" s="446"/>
      <c r="V1075" s="446"/>
    </row>
    <row r="1076" ht="15.75" customHeight="1">
      <c r="A1076" s="761"/>
      <c r="B1076" s="446"/>
      <c r="C1076" s="760"/>
      <c r="D1076" s="712"/>
      <c r="E1076" s="760"/>
      <c r="F1076" s="760"/>
      <c r="G1076" s="760"/>
      <c r="H1076" s="712"/>
      <c r="I1076" s="446"/>
      <c r="J1076" s="766"/>
      <c r="K1076" s="767"/>
      <c r="L1076" s="768"/>
      <c r="M1076" s="768"/>
      <c r="N1076" s="712"/>
      <c r="O1076" s="769"/>
      <c r="P1076" s="446"/>
      <c r="Q1076" s="446"/>
      <c r="R1076" s="446"/>
      <c r="S1076" s="446"/>
      <c r="T1076" s="446"/>
      <c r="U1076" s="446"/>
      <c r="V1076" s="446"/>
    </row>
    <row r="1077" ht="15.75" customHeight="1">
      <c r="A1077" s="761"/>
      <c r="B1077" s="446"/>
      <c r="C1077" s="760"/>
      <c r="D1077" s="712"/>
      <c r="E1077" s="760"/>
      <c r="F1077" s="760"/>
      <c r="G1077" s="760"/>
      <c r="H1077" s="712"/>
      <c r="I1077" s="446"/>
      <c r="J1077" s="766"/>
      <c r="K1077" s="767"/>
      <c r="L1077" s="768"/>
      <c r="M1077" s="768"/>
      <c r="N1077" s="712"/>
      <c r="O1077" s="769"/>
      <c r="P1077" s="446"/>
      <c r="Q1077" s="446"/>
      <c r="R1077" s="446"/>
      <c r="S1077" s="446"/>
      <c r="T1077" s="446"/>
      <c r="U1077" s="446"/>
      <c r="V1077" s="446"/>
    </row>
    <row r="1078" ht="15.75" customHeight="1">
      <c r="A1078" s="761"/>
      <c r="B1078" s="446"/>
      <c r="C1078" s="760"/>
      <c r="D1078" s="712"/>
      <c r="E1078" s="760"/>
      <c r="F1078" s="760"/>
      <c r="G1078" s="760"/>
      <c r="H1078" s="712"/>
      <c r="I1078" s="446"/>
      <c r="J1078" s="766"/>
      <c r="K1078" s="767"/>
      <c r="L1078" s="768"/>
      <c r="M1078" s="768"/>
      <c r="N1078" s="712"/>
      <c r="O1078" s="769"/>
      <c r="P1078" s="446"/>
      <c r="Q1078" s="446"/>
      <c r="R1078" s="446"/>
      <c r="S1078" s="446"/>
      <c r="T1078" s="446"/>
      <c r="U1078" s="446"/>
      <c r="V1078" s="446"/>
    </row>
    <row r="1079" ht="15.75" customHeight="1">
      <c r="A1079" s="761"/>
      <c r="B1079" s="446"/>
      <c r="C1079" s="760"/>
      <c r="D1079" s="712"/>
      <c r="E1079" s="760"/>
      <c r="F1079" s="760"/>
      <c r="G1079" s="760"/>
      <c r="H1079" s="712"/>
      <c r="I1079" s="446"/>
      <c r="J1079" s="766"/>
      <c r="K1079" s="767"/>
      <c r="L1079" s="768"/>
      <c r="M1079" s="768"/>
      <c r="N1079" s="712"/>
      <c r="O1079" s="769"/>
      <c r="P1079" s="446"/>
      <c r="Q1079" s="446"/>
      <c r="R1079" s="446"/>
      <c r="S1079" s="446"/>
      <c r="T1079" s="446"/>
      <c r="U1079" s="446"/>
      <c r="V1079" s="446"/>
    </row>
    <row r="1080" ht="15.75" customHeight="1">
      <c r="A1080" s="761"/>
      <c r="B1080" s="446"/>
      <c r="C1080" s="760"/>
      <c r="D1080" s="712"/>
      <c r="E1080" s="760"/>
      <c r="F1080" s="760"/>
      <c r="G1080" s="760"/>
      <c r="H1080" s="712"/>
      <c r="I1080" s="446"/>
      <c r="J1080" s="766"/>
      <c r="K1080" s="767"/>
      <c r="L1080" s="768"/>
      <c r="M1080" s="768"/>
      <c r="N1080" s="712"/>
      <c r="O1080" s="769"/>
      <c r="P1080" s="446"/>
      <c r="Q1080" s="446"/>
      <c r="R1080" s="446"/>
      <c r="S1080" s="446"/>
      <c r="T1080" s="446"/>
      <c r="U1080" s="446"/>
      <c r="V1080" s="446"/>
    </row>
    <row r="1081" ht="15.75" customHeight="1">
      <c r="A1081" s="761"/>
      <c r="B1081" s="446"/>
      <c r="C1081" s="760"/>
      <c r="D1081" s="712"/>
      <c r="E1081" s="760"/>
      <c r="F1081" s="760"/>
      <c r="G1081" s="760"/>
      <c r="H1081" s="712"/>
      <c r="I1081" s="446"/>
      <c r="J1081" s="766"/>
      <c r="K1081" s="767"/>
      <c r="L1081" s="768"/>
      <c r="M1081" s="768"/>
      <c r="N1081" s="712"/>
      <c r="O1081" s="769"/>
      <c r="P1081" s="446"/>
      <c r="Q1081" s="446"/>
      <c r="R1081" s="446"/>
      <c r="S1081" s="446"/>
      <c r="T1081" s="446"/>
      <c r="U1081" s="446"/>
      <c r="V1081" s="446"/>
    </row>
    <row r="1082" ht="15.75" customHeight="1">
      <c r="A1082" s="761"/>
      <c r="B1082" s="446"/>
      <c r="C1082" s="760"/>
      <c r="D1082" s="712"/>
      <c r="E1082" s="760"/>
      <c r="F1082" s="760"/>
      <c r="G1082" s="760"/>
      <c r="H1082" s="712"/>
      <c r="I1082" s="446"/>
      <c r="J1082" s="766"/>
      <c r="K1082" s="767"/>
      <c r="L1082" s="768"/>
      <c r="M1082" s="768"/>
      <c r="N1082" s="712"/>
      <c r="O1082" s="769"/>
      <c r="P1082" s="446"/>
      <c r="Q1082" s="446"/>
      <c r="R1082" s="446"/>
      <c r="S1082" s="446"/>
      <c r="T1082" s="446"/>
      <c r="U1082" s="446"/>
      <c r="V1082" s="446"/>
    </row>
    <row r="1083" ht="15.75" customHeight="1">
      <c r="A1083" s="761"/>
      <c r="B1083" s="446"/>
      <c r="C1083" s="760"/>
      <c r="D1083" s="712"/>
      <c r="E1083" s="760"/>
      <c r="F1083" s="760"/>
      <c r="G1083" s="760"/>
      <c r="H1083" s="712"/>
      <c r="I1083" s="446"/>
      <c r="J1083" s="766"/>
      <c r="K1083" s="767"/>
      <c r="L1083" s="768"/>
      <c r="M1083" s="768"/>
      <c r="N1083" s="712"/>
      <c r="O1083" s="769"/>
      <c r="P1083" s="446"/>
      <c r="Q1083" s="446"/>
      <c r="R1083" s="446"/>
      <c r="S1083" s="446"/>
      <c r="T1083" s="446"/>
      <c r="U1083" s="446"/>
      <c r="V1083" s="446"/>
    </row>
    <row r="1084" ht="15.75" customHeight="1">
      <c r="A1084" s="761"/>
      <c r="B1084" s="446"/>
      <c r="C1084" s="760"/>
      <c r="D1084" s="712"/>
      <c r="E1084" s="760"/>
      <c r="F1084" s="760"/>
      <c r="G1084" s="760"/>
      <c r="H1084" s="712"/>
      <c r="I1084" s="446"/>
      <c r="J1084" s="766"/>
      <c r="K1084" s="767"/>
      <c r="L1084" s="768"/>
      <c r="M1084" s="768"/>
      <c r="N1084" s="712"/>
      <c r="O1084" s="769"/>
      <c r="P1084" s="446"/>
      <c r="Q1084" s="446"/>
      <c r="R1084" s="446"/>
      <c r="S1084" s="446"/>
      <c r="T1084" s="446"/>
      <c r="U1084" s="446"/>
      <c r="V1084" s="446"/>
    </row>
    <row r="1085" ht="15.75" customHeight="1">
      <c r="A1085" s="761"/>
      <c r="B1085" s="446"/>
      <c r="C1085" s="760"/>
      <c r="D1085" s="712"/>
      <c r="E1085" s="760"/>
      <c r="F1085" s="760"/>
      <c r="G1085" s="760"/>
      <c r="H1085" s="712"/>
      <c r="I1085" s="446"/>
      <c r="J1085" s="766"/>
      <c r="K1085" s="767"/>
      <c r="L1085" s="768"/>
      <c r="M1085" s="768"/>
      <c r="N1085" s="712"/>
      <c r="O1085" s="769"/>
      <c r="P1085" s="446"/>
      <c r="Q1085" s="446"/>
      <c r="R1085" s="446"/>
      <c r="S1085" s="446"/>
      <c r="T1085" s="446"/>
      <c r="U1085" s="446"/>
      <c r="V1085" s="446"/>
    </row>
    <row r="1086" ht="15.75" customHeight="1">
      <c r="A1086" s="761"/>
      <c r="B1086" s="446"/>
      <c r="C1086" s="760"/>
      <c r="D1086" s="712"/>
      <c r="E1086" s="760"/>
      <c r="F1086" s="760"/>
      <c r="G1086" s="760"/>
      <c r="H1086" s="712"/>
      <c r="I1086" s="446"/>
      <c r="J1086" s="766"/>
      <c r="K1086" s="767"/>
      <c r="L1086" s="768"/>
      <c r="M1086" s="768"/>
      <c r="N1086" s="712"/>
      <c r="O1086" s="769"/>
      <c r="P1086" s="446"/>
      <c r="Q1086" s="446"/>
      <c r="R1086" s="446"/>
      <c r="S1086" s="446"/>
      <c r="T1086" s="446"/>
      <c r="U1086" s="446"/>
      <c r="V1086" s="446"/>
    </row>
    <row r="1087" ht="15.75" customHeight="1">
      <c r="A1087" s="761"/>
      <c r="B1087" s="446"/>
      <c r="C1087" s="760"/>
      <c r="D1087" s="712"/>
      <c r="E1087" s="760"/>
      <c r="F1087" s="760"/>
      <c r="G1087" s="760"/>
      <c r="H1087" s="712"/>
      <c r="I1087" s="446"/>
      <c r="J1087" s="766"/>
      <c r="K1087" s="767"/>
      <c r="L1087" s="768"/>
      <c r="M1087" s="768"/>
      <c r="N1087" s="712"/>
      <c r="O1087" s="769"/>
      <c r="P1087" s="446"/>
      <c r="Q1087" s="446"/>
      <c r="R1087" s="446"/>
      <c r="S1087" s="446"/>
      <c r="T1087" s="446"/>
      <c r="U1087" s="446"/>
      <c r="V1087" s="446"/>
    </row>
    <row r="1088" ht="15.75" customHeight="1">
      <c r="A1088" s="761"/>
      <c r="B1088" s="446"/>
      <c r="C1088" s="760"/>
      <c r="D1088" s="712"/>
      <c r="E1088" s="760"/>
      <c r="F1088" s="760"/>
      <c r="G1088" s="760"/>
      <c r="H1088" s="712"/>
      <c r="I1088" s="446"/>
      <c r="J1088" s="766"/>
      <c r="K1088" s="767"/>
      <c r="L1088" s="768"/>
      <c r="M1088" s="768"/>
      <c r="N1088" s="712"/>
      <c r="O1088" s="769"/>
      <c r="P1088" s="446"/>
      <c r="Q1088" s="446"/>
      <c r="R1088" s="446"/>
      <c r="S1088" s="446"/>
      <c r="T1088" s="446"/>
      <c r="U1088" s="446"/>
      <c r="V1088" s="446"/>
    </row>
    <row r="1089" ht="15.75" customHeight="1">
      <c r="A1089" s="761"/>
      <c r="B1089" s="446"/>
      <c r="C1089" s="760"/>
      <c r="D1089" s="712"/>
      <c r="E1089" s="760"/>
      <c r="F1089" s="760"/>
      <c r="G1089" s="760"/>
      <c r="H1089" s="712"/>
      <c r="I1089" s="446"/>
      <c r="J1089" s="766"/>
      <c r="K1089" s="767"/>
      <c r="L1089" s="768"/>
      <c r="M1089" s="768"/>
      <c r="N1089" s="712"/>
      <c r="O1089" s="769"/>
      <c r="P1089" s="446"/>
      <c r="Q1089" s="446"/>
      <c r="R1089" s="446"/>
      <c r="S1089" s="446"/>
      <c r="T1089" s="446"/>
      <c r="U1089" s="446"/>
      <c r="V1089" s="446"/>
    </row>
    <row r="1090" ht="15.75" customHeight="1">
      <c r="A1090" s="761"/>
      <c r="B1090" s="446"/>
      <c r="C1090" s="760"/>
      <c r="D1090" s="712"/>
      <c r="E1090" s="760"/>
      <c r="F1090" s="760"/>
      <c r="G1090" s="760"/>
      <c r="H1090" s="712"/>
      <c r="I1090" s="446"/>
      <c r="J1090" s="766"/>
      <c r="K1090" s="767"/>
      <c r="L1090" s="768"/>
      <c r="M1090" s="768"/>
      <c r="N1090" s="712"/>
      <c r="O1090" s="769"/>
      <c r="P1090" s="446"/>
      <c r="Q1090" s="446"/>
      <c r="R1090" s="446"/>
      <c r="S1090" s="446"/>
      <c r="T1090" s="446"/>
      <c r="U1090" s="446"/>
      <c r="V1090" s="446"/>
    </row>
    <row r="1091" ht="15.75" customHeight="1">
      <c r="A1091" s="761"/>
      <c r="B1091" s="446"/>
      <c r="C1091" s="760"/>
      <c r="D1091" s="712"/>
      <c r="E1091" s="760"/>
      <c r="F1091" s="760"/>
      <c r="G1091" s="760"/>
      <c r="H1091" s="712"/>
      <c r="I1091" s="446"/>
      <c r="J1091" s="766"/>
      <c r="K1091" s="767"/>
      <c r="L1091" s="768"/>
      <c r="M1091" s="768"/>
      <c r="N1091" s="712"/>
      <c r="O1091" s="769"/>
      <c r="P1091" s="446"/>
      <c r="Q1091" s="446"/>
      <c r="R1091" s="446"/>
      <c r="S1091" s="446"/>
      <c r="T1091" s="446"/>
      <c r="U1091" s="446"/>
      <c r="V1091" s="446"/>
    </row>
    <row r="1092" ht="15.75" customHeight="1">
      <c r="A1092" s="761"/>
      <c r="B1092" s="446"/>
      <c r="C1092" s="760"/>
      <c r="D1092" s="712"/>
      <c r="E1092" s="760"/>
      <c r="F1092" s="760"/>
      <c r="G1092" s="760"/>
      <c r="H1092" s="712"/>
      <c r="I1092" s="446"/>
      <c r="J1092" s="766"/>
      <c r="K1092" s="767"/>
      <c r="L1092" s="768"/>
      <c r="M1092" s="768"/>
      <c r="N1092" s="712"/>
      <c r="O1092" s="769"/>
      <c r="P1092" s="446"/>
      <c r="Q1092" s="446"/>
      <c r="R1092" s="446"/>
      <c r="S1092" s="446"/>
      <c r="T1092" s="446"/>
      <c r="U1092" s="446"/>
      <c r="V1092" s="446"/>
    </row>
    <row r="1093" ht="15.75" customHeight="1">
      <c r="A1093" s="761"/>
      <c r="B1093" s="446"/>
      <c r="C1093" s="760"/>
      <c r="D1093" s="712"/>
      <c r="E1093" s="760"/>
      <c r="F1093" s="760"/>
      <c r="G1093" s="760"/>
      <c r="H1093" s="712"/>
      <c r="I1093" s="446"/>
      <c r="J1093" s="766"/>
      <c r="K1093" s="767"/>
      <c r="L1093" s="768"/>
      <c r="M1093" s="768"/>
      <c r="N1093" s="712"/>
      <c r="O1093" s="769"/>
      <c r="P1093" s="446"/>
      <c r="Q1093" s="446"/>
      <c r="R1093" s="446"/>
      <c r="S1093" s="446"/>
      <c r="T1093" s="446"/>
      <c r="U1093" s="446"/>
      <c r="V1093" s="446"/>
    </row>
    <row r="1094" ht="15.75" customHeight="1">
      <c r="A1094" s="761"/>
      <c r="B1094" s="446"/>
      <c r="C1094" s="760"/>
      <c r="D1094" s="712"/>
      <c r="E1094" s="760"/>
      <c r="F1094" s="760"/>
      <c r="G1094" s="760"/>
      <c r="H1094" s="712"/>
      <c r="I1094" s="446"/>
      <c r="J1094" s="766"/>
      <c r="K1094" s="767"/>
      <c r="L1094" s="768"/>
      <c r="M1094" s="768"/>
      <c r="N1094" s="712"/>
      <c r="O1094" s="769"/>
      <c r="P1094" s="446"/>
      <c r="Q1094" s="446"/>
      <c r="R1094" s="446"/>
      <c r="S1094" s="446"/>
      <c r="T1094" s="446"/>
      <c r="U1094" s="446"/>
      <c r="V1094" s="446"/>
    </row>
    <row r="1095" ht="15.75" customHeight="1">
      <c r="A1095" s="761"/>
      <c r="B1095" s="446"/>
      <c r="C1095" s="760"/>
      <c r="D1095" s="712"/>
      <c r="E1095" s="760"/>
      <c r="F1095" s="760"/>
      <c r="G1095" s="760"/>
      <c r="H1095" s="712"/>
      <c r="I1095" s="446"/>
      <c r="J1095" s="766"/>
      <c r="K1095" s="767"/>
      <c r="L1095" s="768"/>
      <c r="M1095" s="768"/>
      <c r="N1095" s="712"/>
      <c r="O1095" s="769"/>
      <c r="P1095" s="446"/>
      <c r="Q1095" s="446"/>
      <c r="R1095" s="446"/>
      <c r="S1095" s="446"/>
      <c r="T1095" s="446"/>
      <c r="U1095" s="446"/>
      <c r="V1095" s="446"/>
    </row>
    <row r="1096" ht="15.75" customHeight="1">
      <c r="A1096" s="761"/>
      <c r="B1096" s="446"/>
      <c r="C1096" s="760"/>
      <c r="D1096" s="712"/>
      <c r="E1096" s="760"/>
      <c r="F1096" s="760"/>
      <c r="G1096" s="760"/>
      <c r="H1096" s="712"/>
      <c r="I1096" s="446"/>
      <c r="J1096" s="766"/>
      <c r="K1096" s="767"/>
      <c r="L1096" s="768"/>
      <c r="M1096" s="768"/>
      <c r="N1096" s="712"/>
      <c r="O1096" s="769"/>
      <c r="P1096" s="446"/>
      <c r="Q1096" s="446"/>
      <c r="R1096" s="446"/>
      <c r="S1096" s="446"/>
      <c r="T1096" s="446"/>
      <c r="U1096" s="446"/>
      <c r="V1096" s="446"/>
    </row>
    <row r="1097" ht="15.75" customHeight="1">
      <c r="A1097" s="761"/>
      <c r="B1097" s="446"/>
      <c r="C1097" s="760"/>
      <c r="D1097" s="712"/>
      <c r="E1097" s="760"/>
      <c r="F1097" s="760"/>
      <c r="G1097" s="760"/>
      <c r="H1097" s="712"/>
      <c r="I1097" s="446"/>
      <c r="J1097" s="766"/>
      <c r="K1097" s="767"/>
      <c r="L1097" s="768"/>
      <c r="M1097" s="768"/>
      <c r="N1097" s="712"/>
      <c r="O1097" s="769"/>
      <c r="P1097" s="446"/>
      <c r="Q1097" s="446"/>
      <c r="R1097" s="446"/>
      <c r="S1097" s="446"/>
      <c r="T1097" s="446"/>
      <c r="U1097" s="446"/>
      <c r="V1097" s="446"/>
    </row>
    <row r="1098" ht="15.75" customHeight="1">
      <c r="A1098" s="761"/>
      <c r="B1098" s="446"/>
      <c r="C1098" s="760"/>
      <c r="D1098" s="712"/>
      <c r="E1098" s="760"/>
      <c r="F1098" s="760"/>
      <c r="G1098" s="760"/>
      <c r="H1098" s="712"/>
      <c r="I1098" s="446"/>
      <c r="J1098" s="766"/>
      <c r="K1098" s="767"/>
      <c r="L1098" s="768"/>
      <c r="M1098" s="768"/>
      <c r="N1098" s="712"/>
      <c r="O1098" s="769"/>
      <c r="P1098" s="446"/>
      <c r="Q1098" s="446"/>
      <c r="R1098" s="446"/>
      <c r="S1098" s="446"/>
      <c r="T1098" s="446"/>
      <c r="U1098" s="446"/>
      <c r="V1098" s="446"/>
    </row>
    <row r="1099" ht="15.75" customHeight="1">
      <c r="A1099" s="761"/>
      <c r="B1099" s="446"/>
      <c r="C1099" s="760"/>
      <c r="D1099" s="712"/>
      <c r="E1099" s="760"/>
      <c r="F1099" s="760"/>
      <c r="G1099" s="760"/>
      <c r="H1099" s="712"/>
      <c r="I1099" s="446"/>
      <c r="J1099" s="766"/>
      <c r="K1099" s="767"/>
      <c r="L1099" s="768"/>
      <c r="M1099" s="768"/>
      <c r="N1099" s="712"/>
      <c r="O1099" s="769"/>
      <c r="P1099" s="446"/>
      <c r="Q1099" s="446"/>
      <c r="R1099" s="446"/>
      <c r="S1099" s="446"/>
      <c r="T1099" s="446"/>
      <c r="U1099" s="446"/>
      <c r="V1099" s="446"/>
    </row>
    <row r="1100" ht="15.75" customHeight="1">
      <c r="A1100" s="761"/>
      <c r="B1100" s="446"/>
      <c r="C1100" s="760"/>
      <c r="D1100" s="712"/>
      <c r="E1100" s="760"/>
      <c r="F1100" s="760"/>
      <c r="G1100" s="760"/>
      <c r="H1100" s="712"/>
      <c r="I1100" s="446"/>
      <c r="J1100" s="766"/>
      <c r="K1100" s="767"/>
      <c r="L1100" s="768"/>
      <c r="M1100" s="768"/>
      <c r="N1100" s="712"/>
      <c r="O1100" s="769"/>
      <c r="P1100" s="446"/>
      <c r="Q1100" s="446"/>
      <c r="R1100" s="446"/>
      <c r="S1100" s="446"/>
      <c r="T1100" s="446"/>
      <c r="U1100" s="446"/>
      <c r="V1100" s="446"/>
    </row>
    <row r="1101" ht="15.75" customHeight="1">
      <c r="A1101" s="761"/>
      <c r="B1101" s="446"/>
      <c r="C1101" s="760"/>
      <c r="D1101" s="712"/>
      <c r="E1101" s="760"/>
      <c r="F1101" s="760"/>
      <c r="G1101" s="760"/>
      <c r="H1101" s="712"/>
      <c r="I1101" s="446"/>
      <c r="J1101" s="766"/>
      <c r="K1101" s="767"/>
      <c r="L1101" s="768"/>
      <c r="M1101" s="768"/>
      <c r="N1101" s="712"/>
      <c r="O1101" s="769"/>
      <c r="P1101" s="446"/>
      <c r="Q1101" s="446"/>
      <c r="R1101" s="446"/>
      <c r="S1101" s="446"/>
      <c r="T1101" s="446"/>
      <c r="U1101" s="446"/>
      <c r="V1101" s="446"/>
    </row>
    <row r="1102" ht="15.75" customHeight="1">
      <c r="A1102" s="761"/>
      <c r="B1102" s="446"/>
      <c r="C1102" s="760"/>
      <c r="D1102" s="712"/>
      <c r="E1102" s="760"/>
      <c r="F1102" s="760"/>
      <c r="G1102" s="760"/>
      <c r="H1102" s="712"/>
      <c r="I1102" s="446"/>
      <c r="J1102" s="766"/>
      <c r="K1102" s="767"/>
      <c r="L1102" s="768"/>
      <c r="M1102" s="768"/>
      <c r="N1102" s="712"/>
      <c r="O1102" s="769"/>
      <c r="P1102" s="446"/>
      <c r="Q1102" s="446"/>
      <c r="R1102" s="446"/>
      <c r="S1102" s="446"/>
      <c r="T1102" s="446"/>
      <c r="U1102" s="446"/>
      <c r="V1102" s="446"/>
    </row>
    <row r="1103" ht="15.75" customHeight="1">
      <c r="A1103" s="761"/>
      <c r="B1103" s="446"/>
      <c r="C1103" s="760"/>
      <c r="D1103" s="712"/>
      <c r="E1103" s="760"/>
      <c r="F1103" s="760"/>
      <c r="G1103" s="760"/>
      <c r="H1103" s="712"/>
      <c r="I1103" s="446"/>
      <c r="J1103" s="766"/>
      <c r="K1103" s="767"/>
      <c r="L1103" s="768"/>
      <c r="M1103" s="768"/>
      <c r="N1103" s="712"/>
      <c r="O1103" s="769"/>
      <c r="P1103" s="446"/>
      <c r="Q1103" s="446"/>
      <c r="R1103" s="446"/>
      <c r="S1103" s="446"/>
      <c r="T1103" s="446"/>
      <c r="U1103" s="446"/>
      <c r="V1103" s="446"/>
    </row>
    <row r="1104" ht="15.75" customHeight="1">
      <c r="A1104" s="761"/>
      <c r="B1104" s="446"/>
      <c r="C1104" s="760"/>
      <c r="D1104" s="712"/>
      <c r="E1104" s="760"/>
      <c r="F1104" s="760"/>
      <c r="G1104" s="760"/>
      <c r="H1104" s="712"/>
      <c r="I1104" s="446"/>
      <c r="J1104" s="766"/>
      <c r="K1104" s="767"/>
      <c r="L1104" s="768"/>
      <c r="M1104" s="768"/>
      <c r="N1104" s="712"/>
      <c r="O1104" s="769"/>
      <c r="P1104" s="446"/>
      <c r="Q1104" s="446"/>
      <c r="R1104" s="446"/>
      <c r="S1104" s="446"/>
      <c r="T1104" s="446"/>
      <c r="U1104" s="446"/>
      <c r="V1104" s="446"/>
    </row>
    <row r="1105" ht="15.75" customHeight="1">
      <c r="A1105" s="761"/>
      <c r="B1105" s="446"/>
      <c r="C1105" s="760"/>
      <c r="D1105" s="712"/>
      <c r="E1105" s="760"/>
      <c r="F1105" s="760"/>
      <c r="G1105" s="760"/>
      <c r="H1105" s="712"/>
      <c r="I1105" s="446"/>
      <c r="J1105" s="766"/>
      <c r="K1105" s="767"/>
      <c r="L1105" s="768"/>
      <c r="M1105" s="768"/>
      <c r="N1105" s="712"/>
      <c r="O1105" s="769"/>
      <c r="P1105" s="446"/>
      <c r="Q1105" s="446"/>
      <c r="R1105" s="446"/>
      <c r="S1105" s="446"/>
      <c r="T1105" s="446"/>
      <c r="U1105" s="446"/>
      <c r="V1105" s="446"/>
    </row>
    <row r="1106" ht="15.75" customHeight="1">
      <c r="A1106" s="761"/>
      <c r="B1106" s="446"/>
      <c r="C1106" s="760"/>
      <c r="D1106" s="712"/>
      <c r="E1106" s="760"/>
      <c r="F1106" s="760"/>
      <c r="G1106" s="760"/>
      <c r="H1106" s="712"/>
      <c r="I1106" s="446"/>
      <c r="J1106" s="766"/>
      <c r="K1106" s="767"/>
      <c r="L1106" s="768"/>
      <c r="M1106" s="768"/>
      <c r="N1106" s="712"/>
      <c r="O1106" s="769"/>
      <c r="P1106" s="446"/>
      <c r="Q1106" s="446"/>
      <c r="R1106" s="446"/>
      <c r="S1106" s="446"/>
      <c r="T1106" s="446"/>
      <c r="U1106" s="446"/>
      <c r="V1106" s="446"/>
    </row>
    <row r="1107" ht="15.75" customHeight="1">
      <c r="A1107" s="761"/>
      <c r="B1107" s="446"/>
      <c r="C1107" s="760"/>
      <c r="D1107" s="712"/>
      <c r="E1107" s="760"/>
      <c r="F1107" s="760"/>
      <c r="G1107" s="760"/>
      <c r="H1107" s="712"/>
      <c r="I1107" s="446"/>
      <c r="J1107" s="766"/>
      <c r="K1107" s="767"/>
      <c r="L1107" s="768"/>
      <c r="M1107" s="768"/>
      <c r="N1107" s="712"/>
      <c r="O1107" s="769"/>
      <c r="P1107" s="446"/>
      <c r="Q1107" s="446"/>
      <c r="R1107" s="446"/>
      <c r="S1107" s="446"/>
      <c r="T1107" s="446"/>
      <c r="U1107" s="446"/>
      <c r="V1107" s="446"/>
    </row>
    <row r="1108" ht="15.75" customHeight="1">
      <c r="A1108" s="761"/>
      <c r="B1108" s="446"/>
      <c r="C1108" s="760"/>
      <c r="D1108" s="712"/>
      <c r="E1108" s="760"/>
      <c r="F1108" s="760"/>
      <c r="G1108" s="760"/>
      <c r="H1108" s="712"/>
      <c r="I1108" s="446"/>
      <c r="J1108" s="766"/>
      <c r="K1108" s="767"/>
      <c r="L1108" s="768"/>
      <c r="M1108" s="768"/>
      <c r="N1108" s="712"/>
      <c r="O1108" s="769"/>
      <c r="P1108" s="446"/>
      <c r="Q1108" s="446"/>
      <c r="R1108" s="446"/>
      <c r="S1108" s="446"/>
      <c r="T1108" s="446"/>
      <c r="U1108" s="446"/>
      <c r="V1108" s="446"/>
    </row>
    <row r="1109" ht="15.75" customHeight="1">
      <c r="A1109" s="761"/>
      <c r="B1109" s="446"/>
      <c r="C1109" s="760"/>
      <c r="D1109" s="712"/>
      <c r="E1109" s="760"/>
      <c r="F1109" s="760"/>
      <c r="G1109" s="760"/>
      <c r="H1109" s="712"/>
      <c r="I1109" s="446"/>
      <c r="J1109" s="766"/>
      <c r="K1109" s="767"/>
      <c r="L1109" s="768"/>
      <c r="M1109" s="768"/>
      <c r="N1109" s="712"/>
      <c r="O1109" s="769"/>
      <c r="P1109" s="446"/>
      <c r="Q1109" s="446"/>
      <c r="R1109" s="446"/>
      <c r="S1109" s="446"/>
      <c r="T1109" s="446"/>
      <c r="U1109" s="446"/>
      <c r="V1109" s="446"/>
    </row>
    <row r="1110" ht="15.75" customHeight="1">
      <c r="A1110" s="761"/>
      <c r="B1110" s="446"/>
      <c r="C1110" s="760"/>
      <c r="D1110" s="712"/>
      <c r="E1110" s="760"/>
      <c r="F1110" s="760"/>
      <c r="G1110" s="760"/>
      <c r="H1110" s="712"/>
      <c r="I1110" s="446"/>
      <c r="J1110" s="766"/>
      <c r="K1110" s="767"/>
      <c r="L1110" s="768"/>
      <c r="M1110" s="768"/>
      <c r="N1110" s="712"/>
      <c r="O1110" s="769"/>
      <c r="P1110" s="446"/>
      <c r="Q1110" s="446"/>
      <c r="R1110" s="446"/>
      <c r="S1110" s="446"/>
      <c r="T1110" s="446"/>
      <c r="U1110" s="446"/>
      <c r="V1110" s="446"/>
    </row>
    <row r="1111" ht="15.75" customHeight="1">
      <c r="A1111" s="761"/>
      <c r="B1111" s="446"/>
      <c r="C1111" s="760"/>
      <c r="D1111" s="712"/>
      <c r="E1111" s="760"/>
      <c r="F1111" s="760"/>
      <c r="G1111" s="760"/>
      <c r="H1111" s="712"/>
      <c r="I1111" s="446"/>
      <c r="J1111" s="766"/>
      <c r="K1111" s="767"/>
      <c r="L1111" s="768"/>
      <c r="M1111" s="768"/>
      <c r="N1111" s="712"/>
      <c r="O1111" s="769"/>
      <c r="P1111" s="446"/>
      <c r="Q1111" s="446"/>
      <c r="R1111" s="446"/>
      <c r="S1111" s="446"/>
      <c r="T1111" s="446"/>
      <c r="U1111" s="446"/>
      <c r="V1111" s="446"/>
    </row>
    <row r="1112" ht="15.75" customHeight="1">
      <c r="A1112" s="761"/>
      <c r="B1112" s="446"/>
      <c r="C1112" s="760"/>
      <c r="D1112" s="712"/>
      <c r="E1112" s="760"/>
      <c r="F1112" s="760"/>
      <c r="G1112" s="760"/>
      <c r="H1112" s="712"/>
      <c r="I1112" s="446"/>
      <c r="J1112" s="766"/>
      <c r="K1112" s="767"/>
      <c r="L1112" s="768"/>
      <c r="M1112" s="768"/>
      <c r="N1112" s="712"/>
      <c r="O1112" s="769"/>
      <c r="P1112" s="446"/>
      <c r="Q1112" s="446"/>
      <c r="R1112" s="446"/>
      <c r="S1112" s="446"/>
      <c r="T1112" s="446"/>
      <c r="U1112" s="446"/>
      <c r="V1112" s="446"/>
    </row>
    <row r="1113" ht="15.75" customHeight="1">
      <c r="A1113" s="761"/>
      <c r="B1113" s="446"/>
      <c r="C1113" s="760"/>
      <c r="D1113" s="712"/>
      <c r="E1113" s="760"/>
      <c r="F1113" s="760"/>
      <c r="G1113" s="760"/>
      <c r="H1113" s="712"/>
      <c r="I1113" s="446"/>
      <c r="J1113" s="766"/>
      <c r="K1113" s="767"/>
      <c r="L1113" s="768"/>
      <c r="M1113" s="768"/>
      <c r="N1113" s="712"/>
      <c r="O1113" s="769"/>
      <c r="P1113" s="446"/>
      <c r="Q1113" s="446"/>
      <c r="R1113" s="446"/>
      <c r="S1113" s="446"/>
      <c r="T1113" s="446"/>
      <c r="U1113" s="446"/>
      <c r="V1113" s="446"/>
    </row>
    <row r="1114" ht="15.75" customHeight="1">
      <c r="A1114" s="761"/>
      <c r="B1114" s="446"/>
      <c r="C1114" s="760"/>
      <c r="D1114" s="712"/>
      <c r="E1114" s="760"/>
      <c r="F1114" s="760"/>
      <c r="G1114" s="760"/>
      <c r="H1114" s="712"/>
      <c r="I1114" s="446"/>
      <c r="J1114" s="766"/>
      <c r="K1114" s="767"/>
      <c r="L1114" s="768"/>
      <c r="M1114" s="768"/>
      <c r="N1114" s="712"/>
      <c r="O1114" s="769"/>
      <c r="P1114" s="446"/>
      <c r="Q1114" s="446"/>
      <c r="R1114" s="446"/>
      <c r="S1114" s="446"/>
      <c r="T1114" s="446"/>
      <c r="U1114" s="446"/>
      <c r="V1114" s="446"/>
    </row>
    <row r="1115" ht="15.75" customHeight="1">
      <c r="A1115" s="761"/>
      <c r="B1115" s="446"/>
      <c r="C1115" s="760"/>
      <c r="D1115" s="712"/>
      <c r="E1115" s="760"/>
      <c r="F1115" s="760"/>
      <c r="G1115" s="760"/>
      <c r="H1115" s="712"/>
      <c r="I1115" s="446"/>
      <c r="J1115" s="766"/>
      <c r="K1115" s="767"/>
      <c r="L1115" s="768"/>
      <c r="M1115" s="768"/>
      <c r="N1115" s="712"/>
      <c r="O1115" s="769"/>
      <c r="P1115" s="446"/>
      <c r="Q1115" s="446"/>
      <c r="R1115" s="446"/>
      <c r="S1115" s="446"/>
      <c r="T1115" s="446"/>
      <c r="U1115" s="446"/>
      <c r="V1115" s="446"/>
    </row>
    <row r="1116" ht="15.75" customHeight="1">
      <c r="A1116" s="761"/>
      <c r="B1116" s="446"/>
      <c r="C1116" s="760"/>
      <c r="D1116" s="712"/>
      <c r="E1116" s="760"/>
      <c r="F1116" s="760"/>
      <c r="G1116" s="760"/>
      <c r="H1116" s="712"/>
      <c r="I1116" s="446"/>
      <c r="J1116" s="766"/>
      <c r="K1116" s="767"/>
      <c r="L1116" s="768"/>
      <c r="M1116" s="768"/>
      <c r="N1116" s="712"/>
      <c r="O1116" s="769"/>
      <c r="P1116" s="446"/>
      <c r="Q1116" s="446"/>
      <c r="R1116" s="446"/>
      <c r="S1116" s="446"/>
      <c r="T1116" s="446"/>
      <c r="U1116" s="446"/>
      <c r="V1116" s="446"/>
    </row>
    <row r="1117" ht="15.75" customHeight="1">
      <c r="A1117" s="761"/>
      <c r="B1117" s="446"/>
      <c r="C1117" s="760"/>
      <c r="D1117" s="712"/>
      <c r="E1117" s="760"/>
      <c r="F1117" s="760"/>
      <c r="G1117" s="760"/>
      <c r="H1117" s="712"/>
      <c r="I1117" s="446"/>
      <c r="J1117" s="766"/>
      <c r="K1117" s="767"/>
      <c r="L1117" s="768"/>
      <c r="M1117" s="768"/>
      <c r="N1117" s="712"/>
      <c r="O1117" s="769"/>
      <c r="P1117" s="446"/>
      <c r="Q1117" s="446"/>
      <c r="R1117" s="446"/>
      <c r="S1117" s="446"/>
      <c r="T1117" s="446"/>
      <c r="U1117" s="446"/>
      <c r="V1117" s="446"/>
    </row>
    <row r="1118" ht="15.75" customHeight="1">
      <c r="A1118" s="761"/>
      <c r="B1118" s="446"/>
      <c r="C1118" s="760"/>
      <c r="D1118" s="712"/>
      <c r="E1118" s="760"/>
      <c r="F1118" s="760"/>
      <c r="G1118" s="760"/>
      <c r="H1118" s="712"/>
      <c r="I1118" s="446"/>
      <c r="J1118" s="766"/>
      <c r="K1118" s="767"/>
      <c r="L1118" s="768"/>
      <c r="M1118" s="768"/>
      <c r="N1118" s="712"/>
      <c r="O1118" s="769"/>
      <c r="P1118" s="446"/>
      <c r="Q1118" s="446"/>
      <c r="R1118" s="446"/>
      <c r="S1118" s="446"/>
      <c r="T1118" s="446"/>
      <c r="U1118" s="446"/>
      <c r="V1118" s="446"/>
    </row>
    <row r="1119" ht="15.75" customHeight="1">
      <c r="A1119" s="761"/>
      <c r="B1119" s="446"/>
      <c r="C1119" s="760"/>
      <c r="D1119" s="712"/>
      <c r="E1119" s="760"/>
      <c r="F1119" s="760"/>
      <c r="G1119" s="760"/>
      <c r="H1119" s="712"/>
      <c r="I1119" s="446"/>
      <c r="J1119" s="766"/>
      <c r="K1119" s="767"/>
      <c r="L1119" s="768"/>
      <c r="M1119" s="768"/>
      <c r="N1119" s="712"/>
      <c r="O1119" s="769"/>
      <c r="P1119" s="446"/>
      <c r="Q1119" s="446"/>
      <c r="R1119" s="446"/>
      <c r="S1119" s="446"/>
      <c r="T1119" s="446"/>
      <c r="U1119" s="446"/>
      <c r="V1119" s="446"/>
    </row>
    <row r="1120" ht="15.75" customHeight="1">
      <c r="A1120" s="761"/>
      <c r="B1120" s="446"/>
      <c r="C1120" s="760"/>
      <c r="D1120" s="712"/>
      <c r="E1120" s="760"/>
      <c r="F1120" s="760"/>
      <c r="G1120" s="760"/>
      <c r="H1120" s="712"/>
      <c r="I1120" s="446"/>
      <c r="J1120" s="766"/>
      <c r="K1120" s="767"/>
      <c r="L1120" s="768"/>
      <c r="M1120" s="768"/>
      <c r="N1120" s="712"/>
      <c r="O1120" s="769"/>
      <c r="P1120" s="446"/>
      <c r="Q1120" s="446"/>
      <c r="R1120" s="446"/>
      <c r="S1120" s="446"/>
      <c r="T1120" s="446"/>
      <c r="U1120" s="446"/>
      <c r="V1120" s="446"/>
    </row>
    <row r="1121" ht="15.75" customHeight="1">
      <c r="A1121" s="761"/>
      <c r="B1121" s="446"/>
      <c r="C1121" s="760"/>
      <c r="D1121" s="712"/>
      <c r="E1121" s="760"/>
      <c r="F1121" s="760"/>
      <c r="G1121" s="760"/>
      <c r="H1121" s="712"/>
      <c r="I1121" s="446"/>
      <c r="J1121" s="766"/>
      <c r="K1121" s="767"/>
      <c r="L1121" s="768"/>
      <c r="M1121" s="768"/>
      <c r="N1121" s="712"/>
      <c r="O1121" s="769"/>
      <c r="P1121" s="446"/>
      <c r="Q1121" s="446"/>
      <c r="R1121" s="446"/>
      <c r="S1121" s="446"/>
      <c r="T1121" s="446"/>
      <c r="U1121" s="446"/>
      <c r="V1121" s="446"/>
    </row>
    <row r="1122" ht="15.75" customHeight="1">
      <c r="A1122" s="761"/>
      <c r="B1122" s="446"/>
      <c r="C1122" s="760"/>
      <c r="D1122" s="712"/>
      <c r="E1122" s="760"/>
      <c r="F1122" s="760"/>
      <c r="G1122" s="760"/>
      <c r="H1122" s="712"/>
      <c r="I1122" s="446"/>
      <c r="J1122" s="766"/>
      <c r="K1122" s="767"/>
      <c r="L1122" s="768"/>
      <c r="M1122" s="768"/>
      <c r="N1122" s="712"/>
      <c r="O1122" s="769"/>
      <c r="P1122" s="446"/>
      <c r="Q1122" s="446"/>
      <c r="R1122" s="446"/>
      <c r="S1122" s="446"/>
      <c r="T1122" s="446"/>
      <c r="U1122" s="446"/>
      <c r="V1122" s="446"/>
    </row>
    <row r="1123" ht="15.75" customHeight="1">
      <c r="A1123" s="761"/>
      <c r="B1123" s="446"/>
      <c r="C1123" s="760"/>
      <c r="D1123" s="712"/>
      <c r="E1123" s="760"/>
      <c r="F1123" s="760"/>
      <c r="G1123" s="760"/>
      <c r="H1123" s="712"/>
      <c r="I1123" s="446"/>
      <c r="J1123" s="766"/>
      <c r="K1123" s="767"/>
      <c r="L1123" s="768"/>
      <c r="M1123" s="768"/>
      <c r="N1123" s="712"/>
      <c r="O1123" s="769"/>
      <c r="P1123" s="446"/>
      <c r="Q1123" s="446"/>
      <c r="R1123" s="446"/>
      <c r="S1123" s="446"/>
      <c r="T1123" s="446"/>
      <c r="U1123" s="446"/>
      <c r="V1123" s="446"/>
    </row>
    <row r="1124" ht="15.75" customHeight="1">
      <c r="A1124" s="761"/>
      <c r="B1124" s="446"/>
      <c r="C1124" s="760"/>
      <c r="D1124" s="712"/>
      <c r="E1124" s="760"/>
      <c r="F1124" s="760"/>
      <c r="G1124" s="760"/>
      <c r="H1124" s="712"/>
      <c r="I1124" s="446"/>
      <c r="J1124" s="766"/>
      <c r="K1124" s="767"/>
      <c r="L1124" s="768"/>
      <c r="M1124" s="768"/>
      <c r="N1124" s="712"/>
      <c r="O1124" s="769"/>
      <c r="P1124" s="446"/>
      <c r="Q1124" s="446"/>
      <c r="R1124" s="446"/>
      <c r="S1124" s="446"/>
      <c r="T1124" s="446"/>
      <c r="U1124" s="446"/>
      <c r="V1124" s="446"/>
    </row>
    <row r="1125" ht="15.75" customHeight="1">
      <c r="A1125" s="761"/>
      <c r="B1125" s="446"/>
      <c r="C1125" s="760"/>
      <c r="D1125" s="712"/>
      <c r="E1125" s="760"/>
      <c r="F1125" s="760"/>
      <c r="G1125" s="760"/>
      <c r="H1125" s="712"/>
      <c r="I1125" s="446"/>
      <c r="J1125" s="766"/>
      <c r="K1125" s="767"/>
      <c r="L1125" s="768"/>
      <c r="M1125" s="768"/>
      <c r="N1125" s="712"/>
      <c r="O1125" s="769"/>
      <c r="P1125" s="446"/>
      <c r="Q1125" s="446"/>
      <c r="R1125" s="446"/>
      <c r="S1125" s="446"/>
      <c r="T1125" s="446"/>
      <c r="U1125" s="446"/>
      <c r="V1125" s="446"/>
    </row>
    <row r="1126" ht="15.75" customHeight="1">
      <c r="A1126" s="761"/>
      <c r="B1126" s="446"/>
      <c r="C1126" s="760"/>
      <c r="D1126" s="712"/>
      <c r="E1126" s="760"/>
      <c r="F1126" s="760"/>
      <c r="G1126" s="760"/>
      <c r="H1126" s="712"/>
      <c r="I1126" s="446"/>
      <c r="J1126" s="766"/>
      <c r="K1126" s="767"/>
      <c r="L1126" s="768"/>
      <c r="M1126" s="768"/>
      <c r="N1126" s="712"/>
      <c r="O1126" s="769"/>
      <c r="P1126" s="446"/>
      <c r="Q1126" s="446"/>
      <c r="R1126" s="446"/>
      <c r="S1126" s="446"/>
      <c r="T1126" s="446"/>
      <c r="U1126" s="446"/>
      <c r="V1126" s="446"/>
    </row>
    <row r="1127" ht="15.75" customHeight="1">
      <c r="A1127" s="761"/>
      <c r="B1127" s="446"/>
      <c r="C1127" s="760"/>
      <c r="D1127" s="712"/>
      <c r="E1127" s="760"/>
      <c r="F1127" s="760"/>
      <c r="G1127" s="760"/>
      <c r="H1127" s="712"/>
      <c r="I1127" s="446"/>
      <c r="J1127" s="766"/>
      <c r="K1127" s="767"/>
      <c r="L1127" s="768"/>
      <c r="M1127" s="768"/>
      <c r="N1127" s="712"/>
      <c r="O1127" s="769"/>
      <c r="P1127" s="446"/>
      <c r="Q1127" s="446"/>
      <c r="R1127" s="446"/>
      <c r="S1127" s="446"/>
      <c r="T1127" s="446"/>
      <c r="U1127" s="446"/>
      <c r="V1127" s="446"/>
    </row>
    <row r="1128" ht="15.75" customHeight="1">
      <c r="A1128" s="761"/>
      <c r="B1128" s="446"/>
      <c r="C1128" s="760"/>
      <c r="D1128" s="712"/>
      <c r="E1128" s="760"/>
      <c r="F1128" s="760"/>
      <c r="G1128" s="760"/>
      <c r="H1128" s="712"/>
      <c r="I1128" s="446"/>
      <c r="J1128" s="766"/>
      <c r="K1128" s="767"/>
      <c r="L1128" s="768"/>
      <c r="M1128" s="768"/>
      <c r="N1128" s="712"/>
      <c r="O1128" s="769"/>
      <c r="P1128" s="446"/>
      <c r="Q1128" s="446"/>
      <c r="R1128" s="446"/>
      <c r="S1128" s="446"/>
      <c r="T1128" s="446"/>
      <c r="U1128" s="446"/>
      <c r="V1128" s="446"/>
    </row>
    <row r="1129" ht="15.75" customHeight="1">
      <c r="A1129" s="761"/>
      <c r="B1129" s="446"/>
      <c r="C1129" s="760"/>
      <c r="D1129" s="712"/>
      <c r="E1129" s="760"/>
      <c r="F1129" s="760"/>
      <c r="G1129" s="760"/>
      <c r="H1129" s="712"/>
      <c r="I1129" s="446"/>
      <c r="J1129" s="766"/>
      <c r="K1129" s="767"/>
      <c r="L1129" s="768"/>
      <c r="M1129" s="768"/>
      <c r="N1129" s="712"/>
      <c r="O1129" s="769"/>
      <c r="P1129" s="446"/>
      <c r="Q1129" s="446"/>
      <c r="R1129" s="446"/>
      <c r="S1129" s="446"/>
      <c r="T1129" s="446"/>
      <c r="U1129" s="446"/>
      <c r="V1129" s="446"/>
    </row>
    <row r="1130" ht="15.75" customHeight="1">
      <c r="A1130" s="761"/>
      <c r="B1130" s="446"/>
      <c r="C1130" s="760"/>
      <c r="D1130" s="712"/>
      <c r="E1130" s="760"/>
      <c r="F1130" s="760"/>
      <c r="G1130" s="760"/>
      <c r="H1130" s="712"/>
      <c r="I1130" s="446"/>
      <c r="J1130" s="766"/>
      <c r="K1130" s="767"/>
      <c r="L1130" s="768"/>
      <c r="M1130" s="768"/>
      <c r="N1130" s="712"/>
      <c r="O1130" s="769"/>
      <c r="P1130" s="446"/>
      <c r="Q1130" s="446"/>
      <c r="R1130" s="446"/>
      <c r="S1130" s="446"/>
      <c r="T1130" s="446"/>
      <c r="U1130" s="446"/>
      <c r="V1130" s="446"/>
    </row>
    <row r="1131" ht="15.75" customHeight="1">
      <c r="A1131" s="761"/>
      <c r="B1131" s="446"/>
      <c r="C1131" s="760"/>
      <c r="D1131" s="712"/>
      <c r="E1131" s="760"/>
      <c r="F1131" s="760"/>
      <c r="G1131" s="760"/>
      <c r="H1131" s="712"/>
      <c r="I1131" s="446"/>
      <c r="J1131" s="766"/>
      <c r="K1131" s="767"/>
      <c r="L1131" s="768"/>
      <c r="M1131" s="768"/>
      <c r="N1131" s="712"/>
      <c r="O1131" s="769"/>
      <c r="P1131" s="446"/>
      <c r="Q1131" s="446"/>
      <c r="R1131" s="446"/>
      <c r="S1131" s="446"/>
      <c r="T1131" s="446"/>
      <c r="U1131" s="446"/>
      <c r="V1131" s="446"/>
    </row>
    <row r="1132" ht="15.75" customHeight="1">
      <c r="A1132" s="761"/>
      <c r="B1132" s="446"/>
      <c r="C1132" s="760"/>
      <c r="D1132" s="712"/>
      <c r="E1132" s="760"/>
      <c r="F1132" s="760"/>
      <c r="G1132" s="760"/>
      <c r="H1132" s="712"/>
      <c r="I1132" s="446"/>
      <c r="J1132" s="766"/>
      <c r="K1132" s="767"/>
      <c r="L1132" s="768"/>
      <c r="M1132" s="768"/>
      <c r="N1132" s="712"/>
      <c r="O1132" s="769"/>
      <c r="P1132" s="446"/>
      <c r="Q1132" s="446"/>
      <c r="R1132" s="446"/>
      <c r="S1132" s="446"/>
      <c r="T1132" s="446"/>
      <c r="U1132" s="446"/>
      <c r="V1132" s="446"/>
    </row>
    <row r="1133" ht="15.75" customHeight="1">
      <c r="A1133" s="761"/>
      <c r="B1133" s="446"/>
      <c r="C1133" s="760"/>
      <c r="D1133" s="712"/>
      <c r="E1133" s="760"/>
      <c r="F1133" s="760"/>
      <c r="G1133" s="760"/>
      <c r="H1133" s="712"/>
      <c r="I1133" s="446"/>
      <c r="J1133" s="766"/>
      <c r="K1133" s="767"/>
      <c r="L1133" s="768"/>
      <c r="M1133" s="768"/>
      <c r="N1133" s="712"/>
      <c r="O1133" s="769"/>
      <c r="P1133" s="446"/>
      <c r="Q1133" s="446"/>
      <c r="R1133" s="446"/>
      <c r="S1133" s="446"/>
      <c r="T1133" s="446"/>
      <c r="U1133" s="446"/>
      <c r="V1133" s="446"/>
    </row>
  </sheetData>
  <mergeCells count="2">
    <mergeCell ref="B1:P1"/>
    <mergeCell ref="O2:P2"/>
  </mergeCells>
  <conditionalFormatting sqref="K3">
    <cfRule type="notContainsBlanks" dxfId="3" priority="1">
      <formula>LEN(TRIM(K3))&gt;0</formula>
    </cfRule>
  </conditionalFormatting>
  <conditionalFormatting sqref="K4:K7">
    <cfRule type="notContainsBlanks" dxfId="3" priority="2">
      <formula>LEN(TRIM(K4))&gt;0</formula>
    </cfRule>
  </conditionalFormatting>
  <conditionalFormatting sqref="K8:K9">
    <cfRule type="notContainsBlanks" dxfId="3" priority="3">
      <formula>LEN(TRIM(K8))&gt;0</formula>
    </cfRule>
  </conditionalFormatting>
  <conditionalFormatting sqref="K10">
    <cfRule type="notContainsBlanks" dxfId="3" priority="4">
      <formula>LEN(TRIM(K10))&gt;0</formula>
    </cfRule>
  </conditionalFormatting>
  <conditionalFormatting sqref="K11">
    <cfRule type="notContainsBlanks" dxfId="3" priority="5">
      <formula>LEN(TRIM(K11))&gt;0</formula>
    </cfRule>
  </conditionalFormatting>
  <conditionalFormatting sqref="K12">
    <cfRule type="notContainsBlanks" dxfId="3" priority="6">
      <formula>LEN(TRIM(K12))&gt;0</formula>
    </cfRule>
  </conditionalFormatting>
  <conditionalFormatting sqref="K13">
    <cfRule type="notContainsBlanks" dxfId="3" priority="7">
      <formula>LEN(TRIM(K13))&gt;0</formula>
    </cfRule>
  </conditionalFormatting>
  <conditionalFormatting sqref="K15">
    <cfRule type="notContainsBlanks" dxfId="3" priority="8">
      <formula>LEN(TRIM(K15))&gt;0</formula>
    </cfRule>
  </conditionalFormatting>
  <conditionalFormatting sqref="K16">
    <cfRule type="notContainsBlanks" dxfId="3" priority="9">
      <formula>LEN(TRIM(K16))&gt;0</formula>
    </cfRule>
  </conditionalFormatting>
  <conditionalFormatting sqref="K17">
    <cfRule type="notContainsBlanks" dxfId="3" priority="10">
      <formula>LEN(TRIM(K17))&gt;0</formula>
    </cfRule>
  </conditionalFormatting>
  <conditionalFormatting sqref="K18">
    <cfRule type="notContainsBlanks" dxfId="3" priority="11">
      <formula>LEN(TRIM(K18))&gt;0</formula>
    </cfRule>
  </conditionalFormatting>
  <conditionalFormatting sqref="K19">
    <cfRule type="notContainsBlanks" dxfId="3" priority="12">
      <formula>LEN(TRIM(K19))&gt;0</formula>
    </cfRule>
  </conditionalFormatting>
  <conditionalFormatting sqref="K20">
    <cfRule type="notContainsBlanks" dxfId="3" priority="13">
      <formula>LEN(TRIM(K20))&gt;0</formula>
    </cfRule>
  </conditionalFormatting>
  <conditionalFormatting sqref="K21">
    <cfRule type="notContainsBlanks" dxfId="3" priority="14">
      <formula>LEN(TRIM(K21))&gt;0</formula>
    </cfRule>
  </conditionalFormatting>
  <conditionalFormatting sqref="K22">
    <cfRule type="notContainsBlanks" dxfId="3" priority="15">
      <formula>LEN(TRIM(K22))&gt;0</formula>
    </cfRule>
  </conditionalFormatting>
  <conditionalFormatting sqref="K23">
    <cfRule type="notContainsBlanks" dxfId="3" priority="16">
      <formula>LEN(TRIM(K23))&gt;0</formula>
    </cfRule>
  </conditionalFormatting>
  <conditionalFormatting sqref="K24">
    <cfRule type="notContainsBlanks" dxfId="3" priority="17">
      <formula>LEN(TRIM(K24))&gt;0</formula>
    </cfRule>
  </conditionalFormatting>
  <conditionalFormatting sqref="K25">
    <cfRule type="notContainsBlanks" dxfId="3" priority="18">
      <formula>LEN(TRIM(K25))&gt;0</formula>
    </cfRule>
  </conditionalFormatting>
  <conditionalFormatting sqref="K26">
    <cfRule type="notContainsBlanks" dxfId="3" priority="19">
      <formula>LEN(TRIM(K26))&gt;0</formula>
    </cfRule>
  </conditionalFormatting>
  <conditionalFormatting sqref="K27:K29">
    <cfRule type="notContainsBlanks" dxfId="3" priority="20">
      <formula>LEN(TRIM(K27))&gt;0</formula>
    </cfRule>
  </conditionalFormatting>
  <conditionalFormatting sqref="K36">
    <cfRule type="notContainsBlanks" dxfId="3" priority="21">
      <formula>LEN(TRIM(K36))&gt;0</formula>
    </cfRule>
  </conditionalFormatting>
  <conditionalFormatting sqref="K37">
    <cfRule type="notContainsBlanks" dxfId="3" priority="22">
      <formula>LEN(TRIM(K37))&gt;0</formula>
    </cfRule>
  </conditionalFormatting>
  <conditionalFormatting sqref="K38">
    <cfRule type="notContainsBlanks" dxfId="3" priority="23">
      <formula>LEN(TRIM(K38))&gt;0</formula>
    </cfRule>
  </conditionalFormatting>
  <conditionalFormatting sqref="K39">
    <cfRule type="notContainsBlanks" dxfId="3" priority="24">
      <formula>LEN(TRIM(K39))&gt;0</formula>
    </cfRule>
  </conditionalFormatting>
  <conditionalFormatting sqref="K40">
    <cfRule type="notContainsBlanks" dxfId="3" priority="25">
      <formula>LEN(TRIM(K40))&gt;0</formula>
    </cfRule>
  </conditionalFormatting>
  <conditionalFormatting sqref="K41">
    <cfRule type="notContainsBlanks" dxfId="3" priority="26">
      <formula>LEN(TRIM(K41))&gt;0</formula>
    </cfRule>
  </conditionalFormatting>
  <conditionalFormatting sqref="K30">
    <cfRule type="notContainsBlanks" dxfId="3" priority="27">
      <formula>LEN(TRIM(K30))&gt;0</formula>
    </cfRule>
  </conditionalFormatting>
  <conditionalFormatting sqref="K31">
    <cfRule type="notContainsBlanks" dxfId="3" priority="28">
      <formula>LEN(TRIM(K31))&gt;0</formula>
    </cfRule>
  </conditionalFormatting>
  <conditionalFormatting sqref="K32">
    <cfRule type="notContainsBlanks" dxfId="3" priority="29">
      <formula>LEN(TRIM(K32))&gt;0</formula>
    </cfRule>
  </conditionalFormatting>
  <conditionalFormatting sqref="K33">
    <cfRule type="notContainsBlanks" dxfId="3" priority="30">
      <formula>LEN(TRIM(K33))&gt;0</formula>
    </cfRule>
  </conditionalFormatting>
  <conditionalFormatting sqref="K34">
    <cfRule type="notContainsBlanks" dxfId="3" priority="31">
      <formula>LEN(TRIM(K34))&gt;0</formula>
    </cfRule>
  </conditionalFormatting>
  <conditionalFormatting sqref="K35">
    <cfRule type="notContainsBlanks" dxfId="3" priority="32">
      <formula>LEN(TRIM(K35))&gt;0</formula>
    </cfRule>
  </conditionalFormatting>
  <conditionalFormatting sqref="K63">
    <cfRule type="notContainsBlanks" dxfId="3" priority="33">
      <formula>LEN(TRIM(K63))&gt;0</formula>
    </cfRule>
  </conditionalFormatting>
  <conditionalFormatting sqref="K62">
    <cfRule type="notContainsBlanks" dxfId="3" priority="34">
      <formula>LEN(TRIM(K62))&gt;0</formula>
    </cfRule>
  </conditionalFormatting>
  <conditionalFormatting sqref="K42:K43">
    <cfRule type="notContainsBlanks" dxfId="3" priority="35">
      <formula>LEN(TRIM(K42))&gt;0</formula>
    </cfRule>
  </conditionalFormatting>
  <conditionalFormatting sqref="K44">
    <cfRule type="notContainsBlanks" dxfId="3" priority="36">
      <formula>LEN(TRIM(K44))&gt;0</formula>
    </cfRule>
  </conditionalFormatting>
  <conditionalFormatting sqref="K45">
    <cfRule type="notContainsBlanks" dxfId="3" priority="37">
      <formula>LEN(TRIM(K45))&gt;0</formula>
    </cfRule>
  </conditionalFormatting>
  <conditionalFormatting sqref="K46">
    <cfRule type="notContainsBlanks" dxfId="3" priority="38">
      <formula>LEN(TRIM(K46))&gt;0</formula>
    </cfRule>
  </conditionalFormatting>
  <conditionalFormatting sqref="K47">
    <cfRule type="notContainsBlanks" dxfId="3" priority="39">
      <formula>LEN(TRIM(K47))&gt;0</formula>
    </cfRule>
  </conditionalFormatting>
  <conditionalFormatting sqref="K48">
    <cfRule type="notContainsBlanks" dxfId="3" priority="40">
      <formula>LEN(TRIM(K48))&gt;0</formula>
    </cfRule>
  </conditionalFormatting>
  <conditionalFormatting sqref="K49">
    <cfRule type="notContainsBlanks" dxfId="3" priority="41">
      <formula>LEN(TRIM(K49))&gt;0</formula>
    </cfRule>
  </conditionalFormatting>
  <conditionalFormatting sqref="K58">
    <cfRule type="notContainsBlanks" dxfId="3" priority="42">
      <formula>LEN(TRIM(K58))&gt;0</formula>
    </cfRule>
  </conditionalFormatting>
  <conditionalFormatting sqref="K59">
    <cfRule type="notContainsBlanks" dxfId="3" priority="43">
      <formula>LEN(TRIM(K59))&gt;0</formula>
    </cfRule>
  </conditionalFormatting>
  <conditionalFormatting sqref="K60">
    <cfRule type="notContainsBlanks" dxfId="3" priority="44">
      <formula>LEN(TRIM(K60))&gt;0</formula>
    </cfRule>
  </conditionalFormatting>
  <conditionalFormatting sqref="K61">
    <cfRule type="notContainsBlanks" dxfId="3" priority="45">
      <formula>LEN(TRIM(K61))&gt;0</formula>
    </cfRule>
  </conditionalFormatting>
  <conditionalFormatting sqref="K50">
    <cfRule type="notContainsBlanks" dxfId="3" priority="46">
      <formula>LEN(TRIM(K50))&gt;0</formula>
    </cfRule>
  </conditionalFormatting>
  <conditionalFormatting sqref="K51">
    <cfRule type="notContainsBlanks" dxfId="3" priority="47">
      <formula>LEN(TRIM(K51))&gt;0</formula>
    </cfRule>
  </conditionalFormatting>
  <conditionalFormatting sqref="K52">
    <cfRule type="notContainsBlanks" dxfId="3" priority="48">
      <formula>LEN(TRIM(K52))&gt;0</formula>
    </cfRule>
  </conditionalFormatting>
  <conditionalFormatting sqref="K53">
    <cfRule type="notContainsBlanks" dxfId="3" priority="49">
      <formula>LEN(TRIM(K53))&gt;0</formula>
    </cfRule>
  </conditionalFormatting>
  <conditionalFormatting sqref="K54">
    <cfRule type="notContainsBlanks" dxfId="3" priority="50">
      <formula>LEN(TRIM(K54))&gt;0</formula>
    </cfRule>
  </conditionalFormatting>
  <conditionalFormatting sqref="K55">
    <cfRule type="notContainsBlanks" dxfId="3" priority="51">
      <formula>LEN(TRIM(K55))&gt;0</formula>
    </cfRule>
  </conditionalFormatting>
  <conditionalFormatting sqref="K57">
    <cfRule type="notContainsBlanks" dxfId="3" priority="52">
      <formula>LEN(TRIM(K57))&gt;0</formula>
    </cfRule>
  </conditionalFormatting>
  <conditionalFormatting sqref="K56">
    <cfRule type="notContainsBlanks" dxfId="3" priority="53">
      <formula>LEN(TRIM(K56))&gt;0</formula>
    </cfRule>
  </conditionalFormatting>
  <conditionalFormatting sqref="K64:K65">
    <cfRule type="notContainsBlanks" dxfId="3" priority="54">
      <formula>LEN(TRIM(K64))&gt;0</formula>
    </cfRule>
  </conditionalFormatting>
  <conditionalFormatting sqref="K66">
    <cfRule type="notContainsBlanks" dxfId="3" priority="55">
      <formula>LEN(TRIM(K66))&gt;0</formula>
    </cfRule>
  </conditionalFormatting>
  <conditionalFormatting sqref="K67">
    <cfRule type="notContainsBlanks" dxfId="3" priority="56">
      <formula>LEN(TRIM(K67))&gt;0</formula>
    </cfRule>
  </conditionalFormatting>
  <conditionalFormatting sqref="K68">
    <cfRule type="notContainsBlanks" dxfId="3" priority="57">
      <formula>LEN(TRIM(K68))&gt;0</formula>
    </cfRule>
  </conditionalFormatting>
  <conditionalFormatting sqref="K69">
    <cfRule type="notContainsBlanks" dxfId="3" priority="58">
      <formula>LEN(TRIM(K69))&gt;0</formula>
    </cfRule>
  </conditionalFormatting>
  <conditionalFormatting sqref="K70">
    <cfRule type="notContainsBlanks" dxfId="3" priority="59">
      <formula>LEN(TRIM(K70))&gt;0</formula>
    </cfRule>
  </conditionalFormatting>
  <conditionalFormatting sqref="K71">
    <cfRule type="notContainsBlanks" dxfId="3" priority="60">
      <formula>LEN(TRIM(K71))&gt;0</formula>
    </cfRule>
  </conditionalFormatting>
  <conditionalFormatting sqref="K72">
    <cfRule type="notContainsBlanks" dxfId="3" priority="61">
      <formula>LEN(TRIM(K72))&gt;0</formula>
    </cfRule>
  </conditionalFormatting>
  <conditionalFormatting sqref="K73">
    <cfRule type="notContainsBlanks" dxfId="3" priority="62">
      <formula>LEN(TRIM(K73))&gt;0</formula>
    </cfRule>
  </conditionalFormatting>
  <conditionalFormatting sqref="K74">
    <cfRule type="notContainsBlanks" dxfId="3" priority="63">
      <formula>LEN(TRIM(K74))&gt;0</formula>
    </cfRule>
  </conditionalFormatting>
  <conditionalFormatting sqref="K75">
    <cfRule type="notContainsBlanks" dxfId="3" priority="64">
      <formula>LEN(TRIM(K75))&gt;0</formula>
    </cfRule>
  </conditionalFormatting>
  <conditionalFormatting sqref="K76">
    <cfRule type="notContainsBlanks" dxfId="3" priority="65">
      <formula>LEN(TRIM(K76))&gt;0</formula>
    </cfRule>
  </conditionalFormatting>
  <conditionalFormatting sqref="K77">
    <cfRule type="notContainsBlanks" dxfId="3" priority="66">
      <formula>LEN(TRIM(K77))&gt;0</formula>
    </cfRule>
  </conditionalFormatting>
  <conditionalFormatting sqref="K78">
    <cfRule type="notContainsBlanks" dxfId="3" priority="67">
      <formula>LEN(TRIM(K78))&gt;0</formula>
    </cfRule>
  </conditionalFormatting>
  <conditionalFormatting sqref="K79">
    <cfRule type="notContainsBlanks" dxfId="3" priority="68">
      <formula>LEN(TRIM(K79))&gt;0</formula>
    </cfRule>
  </conditionalFormatting>
  <conditionalFormatting sqref="K80">
    <cfRule type="notContainsBlanks" dxfId="3" priority="69">
      <formula>LEN(TRIM(K80))&gt;0</formula>
    </cfRule>
  </conditionalFormatting>
  <conditionalFormatting sqref="K81">
    <cfRule type="notContainsBlanks" dxfId="3" priority="70">
      <formula>LEN(TRIM(K81))&gt;0</formula>
    </cfRule>
  </conditionalFormatting>
  <conditionalFormatting sqref="K82">
    <cfRule type="notContainsBlanks" dxfId="3" priority="71">
      <formula>LEN(TRIM(K82))&gt;0</formula>
    </cfRule>
  </conditionalFormatting>
  <conditionalFormatting sqref="K83">
    <cfRule type="notContainsBlanks" dxfId="3" priority="72">
      <formula>LEN(TRIM(K83))&gt;0</formula>
    </cfRule>
  </conditionalFormatting>
  <conditionalFormatting sqref="K84">
    <cfRule type="notContainsBlanks" dxfId="3" priority="73">
      <formula>LEN(TRIM(K84))&gt;0</formula>
    </cfRule>
  </conditionalFormatting>
  <conditionalFormatting sqref="K85">
    <cfRule type="notContainsBlanks" dxfId="3" priority="74">
      <formula>LEN(TRIM(K85))&gt;0</formula>
    </cfRule>
  </conditionalFormatting>
  <conditionalFormatting sqref="K86">
    <cfRule type="notContainsBlanks" dxfId="3" priority="75">
      <formula>LEN(TRIM(K86))&gt;0</formula>
    </cfRule>
  </conditionalFormatting>
  <conditionalFormatting sqref="K87">
    <cfRule type="notContainsBlanks" dxfId="3" priority="76">
      <formula>LEN(TRIM(K87))&gt;0</formula>
    </cfRule>
  </conditionalFormatting>
  <conditionalFormatting sqref="K88:K89">
    <cfRule type="notContainsBlanks" dxfId="3" priority="77">
      <formula>LEN(TRIM(K88))&gt;0</formula>
    </cfRule>
  </conditionalFormatting>
  <conditionalFormatting sqref="K90">
    <cfRule type="notContainsBlanks" dxfId="3" priority="78">
      <formula>LEN(TRIM(K90))&gt;0</formula>
    </cfRule>
  </conditionalFormatting>
  <conditionalFormatting sqref="K91">
    <cfRule type="notContainsBlanks" dxfId="3" priority="79">
      <formula>LEN(TRIM(K91))&gt;0</formula>
    </cfRule>
  </conditionalFormatting>
  <conditionalFormatting sqref="K92">
    <cfRule type="notContainsBlanks" dxfId="3" priority="80">
      <formula>LEN(TRIM(K92))&gt;0</formula>
    </cfRule>
  </conditionalFormatting>
  <conditionalFormatting sqref="K93">
    <cfRule type="notContainsBlanks" dxfId="3" priority="81">
      <formula>LEN(TRIM(K93))&gt;0</formula>
    </cfRule>
  </conditionalFormatting>
  <conditionalFormatting sqref="K94">
    <cfRule type="notContainsBlanks" dxfId="3" priority="82">
      <formula>LEN(TRIM(K94))&gt;0</formula>
    </cfRule>
  </conditionalFormatting>
  <conditionalFormatting sqref="K95">
    <cfRule type="notContainsBlanks" dxfId="3" priority="83">
      <formula>LEN(TRIM(K95))&gt;0</formula>
    </cfRule>
  </conditionalFormatting>
  <conditionalFormatting sqref="K96">
    <cfRule type="notContainsBlanks" dxfId="3" priority="84">
      <formula>LEN(TRIM(K96))&gt;0</formula>
    </cfRule>
  </conditionalFormatting>
  <conditionalFormatting sqref="K97">
    <cfRule type="notContainsBlanks" dxfId="3" priority="85">
      <formula>LEN(TRIM(K97))&gt;0</formula>
    </cfRule>
  </conditionalFormatting>
  <conditionalFormatting sqref="K98">
    <cfRule type="notContainsBlanks" dxfId="3" priority="86">
      <formula>LEN(TRIM(K98))&gt;0</formula>
    </cfRule>
  </conditionalFormatting>
  <conditionalFormatting sqref="K99">
    <cfRule type="notContainsBlanks" dxfId="3" priority="87">
      <formula>LEN(TRIM(K99))&gt;0</formula>
    </cfRule>
  </conditionalFormatting>
  <conditionalFormatting sqref="K100">
    <cfRule type="notContainsBlanks" dxfId="3" priority="88">
      <formula>LEN(TRIM(K100))&gt;0</formula>
    </cfRule>
  </conditionalFormatting>
  <conditionalFormatting sqref="K101">
    <cfRule type="notContainsBlanks" dxfId="3" priority="89">
      <formula>LEN(TRIM(K101))&gt;0</formula>
    </cfRule>
  </conditionalFormatting>
  <conditionalFormatting sqref="K102">
    <cfRule type="notContainsBlanks" dxfId="3" priority="90">
      <formula>LEN(TRIM(K102))&gt;0</formula>
    </cfRule>
  </conditionalFormatting>
  <conditionalFormatting sqref="K103">
    <cfRule type="notContainsBlanks" dxfId="3" priority="91">
      <formula>LEN(TRIM(K103))&gt;0</formula>
    </cfRule>
  </conditionalFormatting>
  <conditionalFormatting sqref="K104">
    <cfRule type="notContainsBlanks" dxfId="3" priority="92">
      <formula>LEN(TRIM(K104))&gt;0</formula>
    </cfRule>
  </conditionalFormatting>
  <conditionalFormatting sqref="K105">
    <cfRule type="notContainsBlanks" dxfId="3" priority="93">
      <formula>LEN(TRIM(K105))&gt;0</formula>
    </cfRule>
  </conditionalFormatting>
  <conditionalFormatting sqref="K106:K108">
    <cfRule type="notContainsBlanks" dxfId="3" priority="94">
      <formula>LEN(TRIM(K106))&gt;0</formula>
    </cfRule>
  </conditionalFormatting>
  <conditionalFormatting sqref="K107">
    <cfRule type="notContainsBlanks" dxfId="3" priority="95">
      <formula>LEN(TRIM(K107))&gt;0</formula>
    </cfRule>
  </conditionalFormatting>
  <conditionalFormatting sqref="K108">
    <cfRule type="notContainsBlanks" dxfId="3" priority="96">
      <formula>LEN(TRIM(K108))&gt;0</formula>
    </cfRule>
  </conditionalFormatting>
  <conditionalFormatting sqref="K109">
    <cfRule type="notContainsBlanks" dxfId="3" priority="97">
      <formula>LEN(TRIM(K109))&gt;0</formula>
    </cfRule>
  </conditionalFormatting>
  <conditionalFormatting sqref="K110">
    <cfRule type="notContainsBlanks" dxfId="3" priority="98">
      <formula>LEN(TRIM(K110))&gt;0</formula>
    </cfRule>
  </conditionalFormatting>
  <conditionalFormatting sqref="K111">
    <cfRule type="notContainsBlanks" dxfId="3" priority="99">
      <formula>LEN(TRIM(K111))&gt;0</formula>
    </cfRule>
  </conditionalFormatting>
  <conditionalFormatting sqref="K112">
    <cfRule type="notContainsBlanks" dxfId="3" priority="100">
      <formula>LEN(TRIM(K112))&gt;0</formula>
    </cfRule>
  </conditionalFormatting>
  <conditionalFormatting sqref="K113">
    <cfRule type="notContainsBlanks" dxfId="3" priority="101">
      <formula>LEN(TRIM(K113))&gt;0</formula>
    </cfRule>
  </conditionalFormatting>
  <conditionalFormatting sqref="K114">
    <cfRule type="notContainsBlanks" dxfId="3" priority="102">
      <formula>LEN(TRIM(K114))&gt;0</formula>
    </cfRule>
  </conditionalFormatting>
  <conditionalFormatting sqref="K115">
    <cfRule type="notContainsBlanks" dxfId="3" priority="103">
      <formula>LEN(TRIM(K115))&gt;0</formula>
    </cfRule>
  </conditionalFormatting>
  <conditionalFormatting sqref="K116:K117">
    <cfRule type="notContainsBlanks" dxfId="3" priority="104">
      <formula>LEN(TRIM(K116))&gt;0</formula>
    </cfRule>
  </conditionalFormatting>
  <conditionalFormatting sqref="K118">
    <cfRule type="notContainsBlanks" dxfId="3" priority="105">
      <formula>LEN(TRIM(K118))&gt;0</formula>
    </cfRule>
  </conditionalFormatting>
  <conditionalFormatting sqref="K119">
    <cfRule type="notContainsBlanks" dxfId="3" priority="106">
      <formula>LEN(TRIM(K119))&gt;0</formula>
    </cfRule>
  </conditionalFormatting>
  <conditionalFormatting sqref="K120">
    <cfRule type="notContainsBlanks" dxfId="3" priority="107">
      <formula>LEN(TRIM(K120))&gt;0</formula>
    </cfRule>
  </conditionalFormatting>
  <conditionalFormatting sqref="K121">
    <cfRule type="notContainsBlanks" dxfId="3" priority="108">
      <formula>LEN(TRIM(K121))&gt;0</formula>
    </cfRule>
  </conditionalFormatting>
  <conditionalFormatting sqref="K122">
    <cfRule type="notContainsBlanks" dxfId="3" priority="109">
      <formula>LEN(TRIM(K122))&gt;0</formula>
    </cfRule>
  </conditionalFormatting>
  <conditionalFormatting sqref="K123">
    <cfRule type="notContainsBlanks" dxfId="3" priority="110">
      <formula>LEN(TRIM(K123))&gt;0</formula>
    </cfRule>
  </conditionalFormatting>
  <conditionalFormatting sqref="K124">
    <cfRule type="notContainsBlanks" dxfId="3" priority="111">
      <formula>LEN(TRIM(K124))&gt;0</formula>
    </cfRule>
  </conditionalFormatting>
  <conditionalFormatting sqref="K125">
    <cfRule type="notContainsBlanks" dxfId="3" priority="112">
      <formula>LEN(TRIM(K125))&gt;0</formula>
    </cfRule>
  </conditionalFormatting>
  <conditionalFormatting sqref="K126">
    <cfRule type="notContainsBlanks" dxfId="3" priority="113">
      <formula>LEN(TRIM(K126))&gt;0</formula>
    </cfRule>
  </conditionalFormatting>
  <conditionalFormatting sqref="K127">
    <cfRule type="notContainsBlanks" dxfId="3" priority="114">
      <formula>LEN(TRIM(K127))&gt;0</formula>
    </cfRule>
  </conditionalFormatting>
  <conditionalFormatting sqref="K128:K129">
    <cfRule type="notContainsBlanks" dxfId="3" priority="115">
      <formula>LEN(TRIM(K128))&gt;0</formula>
    </cfRule>
  </conditionalFormatting>
  <conditionalFormatting sqref="K130:K162">
    <cfRule type="notContainsBlanks" dxfId="3" priority="116">
      <formula>LEN(TRIM(K130))&gt;0</formula>
    </cfRule>
  </conditionalFormatting>
  <conditionalFormatting sqref="E163:E173 F163:F174 K163:K183">
    <cfRule type="notContainsBlanks" dxfId="3" priority="117">
      <formula>LEN(TRIM(E163))&gt;0</formula>
    </cfRule>
  </conditionalFormatting>
  <conditionalFormatting sqref="K184">
    <cfRule type="notContainsBlanks" dxfId="3" priority="118">
      <formula>LEN(TRIM(K184))&gt;0</formula>
    </cfRule>
  </conditionalFormatting>
  <conditionalFormatting sqref="K185">
    <cfRule type="notContainsBlanks" dxfId="3" priority="119">
      <formula>LEN(TRIM(K185))&gt;0</formula>
    </cfRule>
  </conditionalFormatting>
  <conditionalFormatting sqref="K186">
    <cfRule type="notContainsBlanks" dxfId="3" priority="120">
      <formula>LEN(TRIM(K186))&gt;0</formula>
    </cfRule>
  </conditionalFormatting>
  <printOptions/>
  <pageMargins bottom="0.7874015748031497" footer="0.0" header="0.0" left="0.2362204724409449" right="0.2362204724409449" top="0.7874015748031497"/>
  <pageSetup paperSize="9" scale="6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5.0"/>
    <col customWidth="1" min="2" max="2" width="46.57"/>
    <col customWidth="1" min="3" max="3" width="12.43"/>
    <col customWidth="1" min="4" max="4" width="13.71"/>
    <col customWidth="1" min="5" max="5" width="17.86"/>
    <col customWidth="1" min="6" max="6" width="14.57"/>
    <col customWidth="1" min="7" max="7" width="11.71"/>
    <col customWidth="1" min="8" max="8" width="19.71"/>
    <col customWidth="1" hidden="1" min="9" max="9" width="13.71"/>
    <col customWidth="1" hidden="1" min="10" max="10" width="11.57"/>
    <col customWidth="1" min="11" max="11" width="24.0"/>
    <col customWidth="1" min="12" max="14" width="9.14"/>
    <col customWidth="1" hidden="1" min="15" max="15" width="15.43"/>
    <col customWidth="1" min="16" max="35" width="9.14"/>
  </cols>
  <sheetData>
    <row r="1" ht="27.75" customHeight="1">
      <c r="A1" s="770" t="s">
        <v>5186</v>
      </c>
      <c r="B1" s="771"/>
      <c r="C1" s="771"/>
      <c r="D1" s="771"/>
      <c r="E1" s="771"/>
      <c r="F1" s="771"/>
      <c r="G1" s="771"/>
      <c r="H1" s="771"/>
      <c r="I1" s="771"/>
      <c r="J1" s="771"/>
      <c r="K1" s="771"/>
      <c r="L1" s="772"/>
      <c r="M1" s="772"/>
      <c r="N1" s="773" t="s">
        <v>5187</v>
      </c>
      <c r="O1" s="774">
        <f>TODAY()</f>
        <v>46167</v>
      </c>
      <c r="P1" s="772"/>
      <c r="Q1" s="772"/>
      <c r="R1" s="772"/>
      <c r="S1" s="772"/>
      <c r="T1" s="772"/>
      <c r="U1" s="772"/>
      <c r="V1" s="772"/>
      <c r="W1" s="772"/>
      <c r="X1" s="772"/>
      <c r="Y1" s="772"/>
      <c r="Z1" s="772"/>
      <c r="AA1" s="772"/>
      <c r="AB1" s="772"/>
      <c r="AC1" s="772"/>
      <c r="AD1" s="772"/>
      <c r="AE1" s="772"/>
      <c r="AF1" s="772"/>
      <c r="AG1" s="772"/>
      <c r="AH1" s="772"/>
      <c r="AI1" s="772"/>
    </row>
    <row r="2">
      <c r="A2" s="775" t="s">
        <v>5188</v>
      </c>
      <c r="B2" s="776" t="s">
        <v>5189</v>
      </c>
      <c r="C2" s="776" t="s">
        <v>5190</v>
      </c>
      <c r="D2" s="776" t="s">
        <v>52</v>
      </c>
      <c r="E2" s="777" t="s">
        <v>5191</v>
      </c>
      <c r="F2" s="777" t="s">
        <v>5192</v>
      </c>
      <c r="G2" s="777" t="s">
        <v>2609</v>
      </c>
      <c r="H2" s="778" t="s">
        <v>5193</v>
      </c>
      <c r="I2" s="779"/>
      <c r="J2" s="780" t="s">
        <v>5194</v>
      </c>
      <c r="K2" s="781" t="s">
        <v>20</v>
      </c>
      <c r="L2" s="782"/>
      <c r="M2" s="782"/>
      <c r="N2" s="782"/>
      <c r="O2" s="782"/>
      <c r="P2" s="782"/>
      <c r="Q2" s="782"/>
      <c r="R2" s="782"/>
      <c r="S2" s="782"/>
      <c r="T2" s="782"/>
      <c r="U2" s="782"/>
      <c r="V2" s="782"/>
      <c r="W2" s="782"/>
      <c r="X2" s="782"/>
      <c r="Y2" s="782"/>
      <c r="Z2" s="782"/>
      <c r="AA2" s="782"/>
      <c r="AB2" s="782"/>
      <c r="AC2" s="782"/>
      <c r="AD2" s="782"/>
      <c r="AE2" s="782"/>
      <c r="AF2" s="782"/>
      <c r="AG2" s="782"/>
      <c r="AH2" s="782"/>
      <c r="AI2" s="782"/>
    </row>
    <row r="3">
      <c r="A3" s="783" t="s">
        <v>5195</v>
      </c>
      <c r="B3" s="784" t="s">
        <v>5196</v>
      </c>
      <c r="C3" s="785" t="s">
        <v>5197</v>
      </c>
      <c r="D3" s="785" t="s">
        <v>5198</v>
      </c>
      <c r="E3" s="786">
        <v>360000.0</v>
      </c>
      <c r="F3" s="787" t="s">
        <v>5199</v>
      </c>
      <c r="G3" s="788">
        <v>42216.0</v>
      </c>
      <c r="H3" s="789" t="s">
        <v>5200</v>
      </c>
      <c r="I3" s="789">
        <v>42674.0</v>
      </c>
      <c r="J3" s="789"/>
      <c r="K3" s="790" t="s">
        <v>5201</v>
      </c>
      <c r="L3" s="782"/>
      <c r="M3" s="782"/>
      <c r="N3" s="782"/>
      <c r="O3" s="782">
        <f t="shared" ref="O3:O6" si="1">I3-$O$1</f>
        <v>-3493</v>
      </c>
      <c r="P3" s="782"/>
      <c r="Q3" s="782"/>
      <c r="R3" s="782"/>
      <c r="S3" s="782"/>
      <c r="T3" s="782"/>
      <c r="U3" s="782"/>
      <c r="V3" s="782"/>
      <c r="W3" s="782"/>
      <c r="X3" s="782"/>
      <c r="Y3" s="782"/>
      <c r="Z3" s="782"/>
      <c r="AA3" s="782"/>
      <c r="AB3" s="782"/>
      <c r="AC3" s="782"/>
      <c r="AD3" s="782"/>
      <c r="AE3" s="782"/>
      <c r="AF3" s="782"/>
      <c r="AG3" s="782"/>
      <c r="AH3" s="782"/>
      <c r="AI3" s="782"/>
    </row>
    <row r="4" ht="39.0" customHeight="1">
      <c r="A4" s="791" t="s">
        <v>5202</v>
      </c>
      <c r="B4" s="784" t="s">
        <v>5203</v>
      </c>
      <c r="C4" s="785" t="s">
        <v>5204</v>
      </c>
      <c r="D4" s="785" t="s">
        <v>5205</v>
      </c>
      <c r="E4" s="786">
        <v>9000000.0</v>
      </c>
      <c r="F4" s="787" t="s">
        <v>5199</v>
      </c>
      <c r="G4" s="788">
        <v>41962.0</v>
      </c>
      <c r="H4" s="789" t="s">
        <v>5206</v>
      </c>
      <c r="I4" s="789">
        <v>42692.0</v>
      </c>
      <c r="J4" s="789">
        <v>43788.0</v>
      </c>
      <c r="K4" s="790" t="s">
        <v>5207</v>
      </c>
      <c r="L4" s="782"/>
      <c r="M4" s="782"/>
      <c r="N4" s="782"/>
      <c r="O4" s="782">
        <f t="shared" si="1"/>
        <v>-3475</v>
      </c>
      <c r="P4" s="782"/>
      <c r="Q4" s="782"/>
      <c r="R4" s="782"/>
      <c r="S4" s="782"/>
      <c r="T4" s="782"/>
      <c r="U4" s="782"/>
      <c r="V4" s="782"/>
      <c r="W4" s="782"/>
      <c r="X4" s="782"/>
      <c r="Y4" s="782"/>
      <c r="Z4" s="782"/>
      <c r="AA4" s="782"/>
      <c r="AB4" s="782"/>
      <c r="AC4" s="782"/>
      <c r="AD4" s="782"/>
      <c r="AE4" s="782"/>
      <c r="AF4" s="782"/>
      <c r="AG4" s="782"/>
      <c r="AH4" s="782"/>
      <c r="AI4" s="782"/>
    </row>
    <row r="5" ht="54.0" customHeight="1">
      <c r="A5" s="783" t="s">
        <v>5208</v>
      </c>
      <c r="B5" s="784" t="s">
        <v>5209</v>
      </c>
      <c r="C5" s="785" t="s">
        <v>5210</v>
      </c>
      <c r="D5" s="785" t="s">
        <v>5211</v>
      </c>
      <c r="E5" s="792">
        <v>200000.0</v>
      </c>
      <c r="F5" s="787" t="s">
        <v>5212</v>
      </c>
      <c r="G5" s="788">
        <v>42487.0</v>
      </c>
      <c r="H5" s="793" t="s">
        <v>5213</v>
      </c>
      <c r="I5" s="789">
        <v>42731.0</v>
      </c>
      <c r="J5" s="789"/>
      <c r="K5" s="790"/>
      <c r="L5" s="782"/>
      <c r="M5" s="782"/>
      <c r="N5" s="782"/>
      <c r="O5" s="782">
        <f t="shared" si="1"/>
        <v>-3436</v>
      </c>
      <c r="P5" s="782"/>
      <c r="Q5" s="782"/>
      <c r="R5" s="782"/>
      <c r="S5" s="782"/>
      <c r="T5" s="782"/>
      <c r="U5" s="782"/>
      <c r="V5" s="782"/>
      <c r="W5" s="782"/>
      <c r="X5" s="782"/>
      <c r="Y5" s="782"/>
      <c r="Z5" s="782"/>
      <c r="AA5" s="782"/>
      <c r="AB5" s="782"/>
      <c r="AC5" s="782"/>
      <c r="AD5" s="782"/>
      <c r="AE5" s="782"/>
      <c r="AF5" s="782"/>
      <c r="AG5" s="782"/>
      <c r="AH5" s="782"/>
      <c r="AI5" s="782"/>
    </row>
    <row r="6">
      <c r="A6" s="794" t="s">
        <v>5214</v>
      </c>
      <c r="B6" s="784" t="s">
        <v>5215</v>
      </c>
      <c r="C6" s="785" t="s">
        <v>5216</v>
      </c>
      <c r="D6" s="785" t="s">
        <v>5217</v>
      </c>
      <c r="E6" s="786">
        <v>2886412.0</v>
      </c>
      <c r="F6" s="787" t="s">
        <v>5212</v>
      </c>
      <c r="G6" s="788">
        <v>42257.0</v>
      </c>
      <c r="H6" s="789" t="s">
        <v>5218</v>
      </c>
      <c r="I6" s="789">
        <v>42864.0</v>
      </c>
      <c r="J6" s="789"/>
      <c r="K6" s="790"/>
      <c r="L6" s="782"/>
      <c r="M6" s="782"/>
      <c r="N6" s="782"/>
      <c r="O6" s="782">
        <f t="shared" si="1"/>
        <v>-3303</v>
      </c>
      <c r="P6" s="782"/>
      <c r="Q6" s="782"/>
      <c r="R6" s="782"/>
      <c r="S6" s="782"/>
      <c r="T6" s="782"/>
      <c r="U6" s="782"/>
      <c r="V6" s="782"/>
      <c r="W6" s="782"/>
      <c r="X6" s="782"/>
      <c r="Y6" s="782"/>
      <c r="Z6" s="782"/>
      <c r="AA6" s="782"/>
      <c r="AB6" s="782"/>
      <c r="AC6" s="782"/>
      <c r="AD6" s="782"/>
      <c r="AE6" s="782"/>
      <c r="AF6" s="782"/>
      <c r="AG6" s="782"/>
      <c r="AH6" s="782"/>
      <c r="AI6" s="782"/>
    </row>
    <row r="7">
      <c r="A7" s="795" t="s">
        <v>5219</v>
      </c>
      <c r="B7" s="784" t="s">
        <v>5220</v>
      </c>
      <c r="C7" s="785" t="s">
        <v>5221</v>
      </c>
      <c r="D7" s="785" t="s">
        <v>5222</v>
      </c>
      <c r="E7" s="786">
        <v>300000.0</v>
      </c>
      <c r="F7" s="787" t="s">
        <v>5212</v>
      </c>
      <c r="G7" s="788">
        <v>42552.0</v>
      </c>
      <c r="H7" s="789" t="s">
        <v>5223</v>
      </c>
      <c r="I7" s="789">
        <v>42917.0</v>
      </c>
      <c r="J7" s="796"/>
      <c r="K7" s="790"/>
      <c r="L7" s="782"/>
      <c r="M7" s="782"/>
      <c r="N7" s="782"/>
      <c r="O7" s="782"/>
      <c r="P7" s="782"/>
      <c r="Q7" s="782"/>
      <c r="R7" s="782"/>
      <c r="S7" s="782"/>
      <c r="T7" s="782"/>
      <c r="U7" s="782"/>
      <c r="V7" s="782"/>
      <c r="W7" s="782"/>
      <c r="X7" s="782"/>
      <c r="Y7" s="782"/>
      <c r="Z7" s="782"/>
      <c r="AA7" s="782"/>
      <c r="AB7" s="782"/>
      <c r="AC7" s="782"/>
      <c r="AD7" s="782"/>
      <c r="AE7" s="782"/>
      <c r="AF7" s="782"/>
      <c r="AG7" s="782"/>
      <c r="AH7" s="782"/>
      <c r="AI7" s="782"/>
    </row>
    <row r="8">
      <c r="A8" s="783" t="s">
        <v>5224</v>
      </c>
      <c r="B8" s="784" t="s">
        <v>5225</v>
      </c>
      <c r="C8" s="785" t="s">
        <v>5226</v>
      </c>
      <c r="D8" s="785" t="s">
        <v>5227</v>
      </c>
      <c r="E8" s="792">
        <v>2.645169734E7</v>
      </c>
      <c r="F8" s="787" t="s">
        <v>5212</v>
      </c>
      <c r="G8" s="788">
        <v>42335.0</v>
      </c>
      <c r="H8" s="793" t="s">
        <v>5228</v>
      </c>
      <c r="I8" s="789">
        <v>42882.0</v>
      </c>
      <c r="J8" s="789"/>
      <c r="K8" s="797" t="s">
        <v>5229</v>
      </c>
      <c r="L8" s="782"/>
      <c r="M8" s="782"/>
      <c r="N8" s="782"/>
      <c r="O8" s="782">
        <f>I8-$O$1</f>
        <v>-3285</v>
      </c>
      <c r="P8" s="782"/>
      <c r="Q8" s="782"/>
      <c r="R8" s="782"/>
      <c r="S8" s="782"/>
      <c r="T8" s="782"/>
      <c r="U8" s="782"/>
      <c r="V8" s="782"/>
      <c r="W8" s="782"/>
      <c r="X8" s="782"/>
      <c r="Y8" s="782"/>
      <c r="Z8" s="782"/>
      <c r="AA8" s="782"/>
      <c r="AB8" s="782"/>
      <c r="AC8" s="782"/>
      <c r="AD8" s="782"/>
      <c r="AE8" s="782"/>
      <c r="AF8" s="782"/>
      <c r="AG8" s="782"/>
      <c r="AH8" s="782"/>
      <c r="AI8" s="782"/>
    </row>
    <row r="9">
      <c r="A9" s="783" t="s">
        <v>5230</v>
      </c>
      <c r="B9" s="784" t="s">
        <v>5231</v>
      </c>
      <c r="C9" s="785" t="s">
        <v>5232</v>
      </c>
      <c r="D9" s="785" t="s">
        <v>5233</v>
      </c>
      <c r="E9" s="792">
        <v>70000.0</v>
      </c>
      <c r="F9" s="787" t="s">
        <v>5212</v>
      </c>
      <c r="G9" s="788">
        <v>42557.0</v>
      </c>
      <c r="H9" s="793" t="s">
        <v>5234</v>
      </c>
      <c r="I9" s="772"/>
      <c r="J9" s="772"/>
      <c r="K9" s="798"/>
      <c r="L9" s="772"/>
      <c r="M9" s="772"/>
      <c r="N9" s="772"/>
      <c r="O9" s="772"/>
      <c r="P9" s="772"/>
      <c r="Q9" s="772"/>
      <c r="R9" s="772"/>
      <c r="S9" s="772"/>
      <c r="T9" s="772"/>
      <c r="U9" s="772"/>
      <c r="V9" s="772"/>
      <c r="W9" s="772"/>
      <c r="X9" s="772"/>
      <c r="Y9" s="772"/>
      <c r="Z9" s="772"/>
      <c r="AA9" s="772"/>
      <c r="AB9" s="772"/>
      <c r="AC9" s="772"/>
      <c r="AD9" s="772"/>
      <c r="AE9" s="772"/>
      <c r="AF9" s="772"/>
      <c r="AG9" s="772"/>
      <c r="AH9" s="772"/>
      <c r="AI9" s="772"/>
    </row>
    <row r="10">
      <c r="A10" s="783" t="s">
        <v>5235</v>
      </c>
      <c r="B10" s="784" t="s">
        <v>5236</v>
      </c>
      <c r="C10" s="785" t="s">
        <v>5237</v>
      </c>
      <c r="D10" s="785" t="s">
        <v>5238</v>
      </c>
      <c r="E10" s="792">
        <v>184545.0</v>
      </c>
      <c r="F10" s="787" t="s">
        <v>5199</v>
      </c>
      <c r="G10" s="788">
        <v>42583.0</v>
      </c>
      <c r="H10" s="793" t="s">
        <v>5239</v>
      </c>
      <c r="I10" s="772"/>
      <c r="J10" s="772"/>
      <c r="K10" s="798"/>
      <c r="L10" s="772"/>
      <c r="M10" s="772"/>
      <c r="N10" s="772"/>
      <c r="O10" s="772"/>
      <c r="P10" s="772"/>
      <c r="Q10" s="772"/>
      <c r="R10" s="772"/>
      <c r="S10" s="772"/>
      <c r="T10" s="772"/>
      <c r="U10" s="772"/>
      <c r="V10" s="772"/>
      <c r="W10" s="772"/>
      <c r="X10" s="772"/>
      <c r="Y10" s="772"/>
      <c r="Z10" s="772"/>
      <c r="AA10" s="772"/>
      <c r="AB10" s="772"/>
      <c r="AC10" s="772"/>
      <c r="AD10" s="772"/>
      <c r="AE10" s="772"/>
      <c r="AF10" s="772"/>
      <c r="AG10" s="772"/>
      <c r="AH10" s="772"/>
      <c r="AI10" s="772"/>
    </row>
    <row r="11">
      <c r="A11" s="799"/>
      <c r="B11" s="800"/>
      <c r="C11" s="801"/>
      <c r="D11" s="801"/>
      <c r="E11" s="802"/>
      <c r="F11" s="803"/>
      <c r="G11" s="804"/>
      <c r="H11" s="805"/>
      <c r="I11" s="772"/>
      <c r="J11" s="772"/>
      <c r="K11" s="772"/>
      <c r="L11" s="772"/>
      <c r="M11" s="772"/>
      <c r="N11" s="772"/>
      <c r="O11" s="772"/>
      <c r="P11" s="772"/>
      <c r="Q11" s="772"/>
      <c r="R11" s="772"/>
      <c r="S11" s="772"/>
      <c r="T11" s="772"/>
      <c r="U11" s="772"/>
      <c r="V11" s="772"/>
      <c r="W11" s="772"/>
      <c r="X11" s="772"/>
      <c r="Y11" s="772"/>
      <c r="Z11" s="772"/>
      <c r="AA11" s="772"/>
      <c r="AB11" s="772"/>
      <c r="AC11" s="772"/>
      <c r="AD11" s="772"/>
      <c r="AE11" s="772"/>
      <c r="AF11" s="772"/>
      <c r="AG11" s="772"/>
      <c r="AH11" s="772"/>
      <c r="AI11" s="772"/>
    </row>
    <row r="12">
      <c r="A12" s="806" t="s">
        <v>5240</v>
      </c>
      <c r="K12" s="772"/>
      <c r="L12" s="772"/>
      <c r="M12" s="772"/>
      <c r="N12" s="772"/>
      <c r="O12" s="772"/>
      <c r="P12" s="772"/>
      <c r="Q12" s="772"/>
      <c r="R12" s="772"/>
      <c r="S12" s="772"/>
      <c r="T12" s="772"/>
      <c r="U12" s="772"/>
      <c r="V12" s="772"/>
      <c r="W12" s="772"/>
      <c r="X12" s="772"/>
      <c r="Y12" s="772"/>
      <c r="Z12" s="772"/>
      <c r="AA12" s="772"/>
      <c r="AB12" s="772"/>
      <c r="AC12" s="772"/>
      <c r="AD12" s="772"/>
      <c r="AE12" s="772"/>
      <c r="AF12" s="772"/>
      <c r="AG12" s="772"/>
      <c r="AH12" s="772"/>
      <c r="AI12" s="772"/>
    </row>
    <row r="13">
      <c r="A13" s="807" t="s">
        <v>5241</v>
      </c>
      <c r="B13" s="808" t="s">
        <v>5189</v>
      </c>
      <c r="C13" s="808" t="s">
        <v>5190</v>
      </c>
      <c r="D13" s="808" t="s">
        <v>5242</v>
      </c>
      <c r="E13" s="809" t="s">
        <v>5243</v>
      </c>
      <c r="F13" s="809" t="s">
        <v>5192</v>
      </c>
      <c r="G13" s="809" t="s">
        <v>2609</v>
      </c>
      <c r="H13" s="810" t="s">
        <v>5193</v>
      </c>
      <c r="I13" s="810" t="s">
        <v>5244</v>
      </c>
      <c r="J13" s="811" t="s">
        <v>20</v>
      </c>
      <c r="K13" s="4"/>
      <c r="L13" s="772"/>
      <c r="M13" s="772"/>
      <c r="N13" s="772"/>
      <c r="O13" s="772"/>
      <c r="P13" s="772"/>
      <c r="Q13" s="772"/>
      <c r="R13" s="772"/>
      <c r="S13" s="772"/>
      <c r="T13" s="772"/>
      <c r="U13" s="772"/>
      <c r="V13" s="772"/>
      <c r="W13" s="772"/>
      <c r="X13" s="772"/>
      <c r="Y13" s="772"/>
      <c r="Z13" s="772"/>
      <c r="AA13" s="772"/>
      <c r="AB13" s="772"/>
      <c r="AC13" s="772"/>
      <c r="AD13" s="772"/>
      <c r="AE13" s="772"/>
      <c r="AF13" s="772"/>
      <c r="AG13" s="772"/>
      <c r="AH13" s="772"/>
      <c r="AI13" s="772"/>
    </row>
    <row r="14" ht="68.25" customHeight="1">
      <c r="A14" s="783" t="s">
        <v>5245</v>
      </c>
      <c r="B14" s="812" t="s">
        <v>5246</v>
      </c>
      <c r="C14" s="785" t="s">
        <v>5247</v>
      </c>
      <c r="D14" s="785" t="s">
        <v>5248</v>
      </c>
      <c r="E14" s="786">
        <v>1271032.0</v>
      </c>
      <c r="F14" s="786">
        <f>E14/12</f>
        <v>105919.3333</v>
      </c>
      <c r="G14" s="788">
        <v>42020.0</v>
      </c>
      <c r="H14" s="813" t="s">
        <v>5249</v>
      </c>
      <c r="I14" s="789"/>
      <c r="J14" s="814" t="s">
        <v>5250</v>
      </c>
      <c r="K14" s="4"/>
      <c r="L14" s="772"/>
      <c r="M14" s="772"/>
      <c r="N14" s="772"/>
      <c r="O14" s="772"/>
      <c r="P14" s="772"/>
      <c r="Q14" s="772"/>
      <c r="R14" s="772"/>
      <c r="S14" s="772"/>
      <c r="T14" s="772"/>
      <c r="U14" s="772"/>
      <c r="V14" s="772"/>
      <c r="W14" s="772"/>
      <c r="X14" s="772"/>
      <c r="Y14" s="772"/>
      <c r="Z14" s="772"/>
      <c r="AA14" s="772"/>
      <c r="AB14" s="772"/>
      <c r="AC14" s="772"/>
      <c r="AD14" s="772"/>
      <c r="AE14" s="772"/>
      <c r="AF14" s="772"/>
      <c r="AG14" s="772"/>
      <c r="AH14" s="772"/>
      <c r="AI14" s="772"/>
    </row>
    <row r="15" ht="41.25" customHeight="1">
      <c r="A15" s="783" t="s">
        <v>5251</v>
      </c>
      <c r="B15" s="812" t="s">
        <v>5252</v>
      </c>
      <c r="C15" s="785" t="s">
        <v>5253</v>
      </c>
      <c r="D15" s="785"/>
      <c r="E15" s="786">
        <f>F15*12</f>
        <v>540000</v>
      </c>
      <c r="F15" s="786">
        <v>45000.0</v>
      </c>
      <c r="G15" s="788"/>
      <c r="H15" s="789"/>
      <c r="I15" s="789"/>
      <c r="J15" s="814"/>
      <c r="K15" s="4"/>
      <c r="L15" s="772"/>
      <c r="M15" s="772"/>
      <c r="N15" s="772"/>
      <c r="O15" s="772"/>
      <c r="P15" s="772"/>
      <c r="Q15" s="772"/>
      <c r="R15" s="772"/>
      <c r="S15" s="772"/>
      <c r="T15" s="772"/>
      <c r="U15" s="772"/>
      <c r="V15" s="772"/>
      <c r="W15" s="772"/>
      <c r="X15" s="772"/>
      <c r="Y15" s="772"/>
      <c r="Z15" s="772"/>
      <c r="AA15" s="772"/>
      <c r="AB15" s="772"/>
      <c r="AC15" s="772"/>
      <c r="AD15" s="772"/>
      <c r="AE15" s="772"/>
      <c r="AF15" s="772"/>
      <c r="AG15" s="772"/>
      <c r="AH15" s="772"/>
      <c r="AI15" s="772"/>
    </row>
    <row r="16" ht="44.25" customHeight="1">
      <c r="A16" s="783" t="s">
        <v>5254</v>
      </c>
      <c r="B16" s="812" t="s">
        <v>5255</v>
      </c>
      <c r="C16" s="785" t="s">
        <v>5256</v>
      </c>
      <c r="D16" s="785" t="s">
        <v>5257</v>
      </c>
      <c r="E16" s="786">
        <v>248535.12</v>
      </c>
      <c r="F16" s="786">
        <f>E16/12</f>
        <v>20711.26</v>
      </c>
      <c r="G16" s="788">
        <v>42368.0</v>
      </c>
      <c r="H16" s="813" t="s">
        <v>5258</v>
      </c>
      <c r="I16" s="789"/>
      <c r="J16" s="814" t="s">
        <v>5259</v>
      </c>
      <c r="K16" s="4"/>
      <c r="L16" s="772"/>
      <c r="M16" s="772"/>
      <c r="N16" s="772"/>
      <c r="O16" s="772"/>
      <c r="P16" s="772"/>
      <c r="Q16" s="772"/>
      <c r="R16" s="772"/>
      <c r="S16" s="772"/>
      <c r="T16" s="772"/>
      <c r="U16" s="772"/>
      <c r="V16" s="772"/>
      <c r="W16" s="772"/>
      <c r="X16" s="772"/>
      <c r="Y16" s="772"/>
      <c r="Z16" s="772"/>
      <c r="AA16" s="772"/>
      <c r="AB16" s="772"/>
      <c r="AC16" s="772"/>
      <c r="AD16" s="772"/>
      <c r="AE16" s="772"/>
      <c r="AF16" s="772"/>
      <c r="AG16" s="772"/>
      <c r="AH16" s="772"/>
      <c r="AI16" s="772"/>
    </row>
    <row r="17" ht="39.0" customHeight="1">
      <c r="A17" s="772"/>
      <c r="B17" s="772"/>
      <c r="C17" s="772"/>
      <c r="D17" s="772"/>
      <c r="E17" s="772"/>
      <c r="F17" s="772"/>
      <c r="G17" s="772"/>
      <c r="H17" s="772"/>
      <c r="I17" s="772"/>
      <c r="J17" s="772"/>
      <c r="K17" s="772"/>
      <c r="L17" s="772"/>
      <c r="M17" s="772"/>
      <c r="N17" s="772"/>
      <c r="O17" s="772"/>
      <c r="P17" s="772"/>
      <c r="Q17" s="772"/>
      <c r="R17" s="772"/>
      <c r="S17" s="772"/>
      <c r="T17" s="772"/>
      <c r="U17" s="772"/>
      <c r="V17" s="772"/>
      <c r="W17" s="772"/>
      <c r="X17" s="772"/>
      <c r="Y17" s="772"/>
      <c r="Z17" s="772"/>
      <c r="AA17" s="772"/>
      <c r="AB17" s="772"/>
      <c r="AC17" s="772"/>
      <c r="AD17" s="772"/>
      <c r="AE17" s="772"/>
      <c r="AF17" s="772"/>
      <c r="AG17" s="772"/>
      <c r="AH17" s="772"/>
      <c r="AI17" s="772"/>
    </row>
    <row r="18">
      <c r="A18" s="772"/>
      <c r="B18" s="772"/>
      <c r="C18" s="772"/>
      <c r="D18" s="772"/>
      <c r="E18" s="772"/>
      <c r="F18" s="772"/>
      <c r="G18" s="772"/>
      <c r="H18" s="772"/>
      <c r="I18" s="772"/>
      <c r="J18" s="772"/>
      <c r="K18" s="772"/>
      <c r="L18" s="772"/>
      <c r="M18" s="772"/>
      <c r="N18" s="772"/>
      <c r="O18" s="772"/>
      <c r="P18" s="772"/>
      <c r="Q18" s="772"/>
      <c r="R18" s="772"/>
      <c r="S18" s="772"/>
      <c r="T18" s="772"/>
      <c r="U18" s="772"/>
      <c r="V18" s="772"/>
      <c r="W18" s="772"/>
      <c r="X18" s="772"/>
      <c r="Y18" s="772"/>
      <c r="Z18" s="772"/>
      <c r="AA18" s="772"/>
      <c r="AB18" s="772"/>
      <c r="AC18" s="772"/>
      <c r="AD18" s="772"/>
      <c r="AE18" s="772"/>
      <c r="AF18" s="772"/>
      <c r="AG18" s="772"/>
      <c r="AH18" s="772"/>
      <c r="AI18" s="772"/>
    </row>
    <row r="19">
      <c r="A19" s="772"/>
      <c r="B19" s="772"/>
      <c r="C19" s="772"/>
      <c r="D19" s="772"/>
      <c r="E19" s="772"/>
      <c r="F19" s="772"/>
      <c r="G19" s="772"/>
      <c r="H19" s="772"/>
      <c r="I19" s="772"/>
      <c r="J19" s="772"/>
      <c r="K19" s="772"/>
      <c r="L19" s="772"/>
      <c r="M19" s="772"/>
      <c r="N19" s="772"/>
      <c r="O19" s="772"/>
      <c r="P19" s="772"/>
      <c r="Q19" s="772"/>
      <c r="R19" s="772"/>
      <c r="S19" s="772"/>
      <c r="T19" s="772"/>
      <c r="U19" s="772"/>
      <c r="V19" s="772"/>
      <c r="W19" s="772"/>
      <c r="X19" s="772"/>
      <c r="Y19" s="772"/>
      <c r="Z19" s="772"/>
      <c r="AA19" s="772"/>
      <c r="AB19" s="772"/>
      <c r="AC19" s="772"/>
      <c r="AD19" s="772"/>
      <c r="AE19" s="772"/>
      <c r="AF19" s="772"/>
      <c r="AG19" s="772"/>
      <c r="AH19" s="772"/>
      <c r="AI19" s="772"/>
    </row>
    <row r="20">
      <c r="A20" s="772"/>
      <c r="B20" s="772"/>
      <c r="C20" s="772"/>
      <c r="D20" s="772"/>
      <c r="E20" s="772"/>
      <c r="F20" s="772"/>
      <c r="G20" s="772"/>
      <c r="H20" s="772"/>
      <c r="I20" s="772"/>
      <c r="J20" s="772"/>
      <c r="K20" s="772"/>
      <c r="L20" s="772"/>
      <c r="M20" s="772"/>
      <c r="N20" s="772"/>
      <c r="O20" s="772"/>
      <c r="P20" s="772"/>
      <c r="Q20" s="772"/>
      <c r="R20" s="772"/>
      <c r="S20" s="772"/>
      <c r="T20" s="772"/>
      <c r="U20" s="772"/>
      <c r="V20" s="772"/>
      <c r="W20" s="772"/>
      <c r="X20" s="772"/>
      <c r="Y20" s="772"/>
      <c r="Z20" s="772"/>
      <c r="AA20" s="772"/>
      <c r="AB20" s="772"/>
      <c r="AC20" s="772"/>
      <c r="AD20" s="772"/>
      <c r="AE20" s="772"/>
      <c r="AF20" s="772"/>
      <c r="AG20" s="772"/>
      <c r="AH20" s="772"/>
      <c r="AI20" s="772"/>
    </row>
    <row r="21" ht="15.75" customHeight="1">
      <c r="A21" s="772"/>
      <c r="B21" s="772"/>
      <c r="C21" s="772"/>
      <c r="D21" s="772"/>
      <c r="E21" s="772"/>
      <c r="F21" s="772"/>
      <c r="G21" s="772"/>
      <c r="H21" s="772"/>
      <c r="I21" s="772"/>
      <c r="J21" s="772"/>
      <c r="K21" s="772"/>
      <c r="L21" s="772"/>
      <c r="M21" s="772"/>
      <c r="N21" s="772"/>
      <c r="O21" s="772"/>
      <c r="P21" s="772"/>
      <c r="Q21" s="772"/>
      <c r="R21" s="772"/>
      <c r="S21" s="772"/>
      <c r="T21" s="772"/>
      <c r="U21" s="772"/>
      <c r="V21" s="772"/>
      <c r="W21" s="772"/>
      <c r="X21" s="772"/>
      <c r="Y21" s="772"/>
      <c r="Z21" s="772"/>
      <c r="AA21" s="772"/>
      <c r="AB21" s="772"/>
      <c r="AC21" s="772"/>
      <c r="AD21" s="772"/>
      <c r="AE21" s="772"/>
      <c r="AF21" s="772"/>
      <c r="AG21" s="772"/>
      <c r="AH21" s="772"/>
      <c r="AI21" s="772"/>
    </row>
    <row r="22" ht="15.75" customHeight="1">
      <c r="A22" s="772"/>
      <c r="B22" s="772"/>
      <c r="C22" s="772"/>
      <c r="D22" s="772"/>
      <c r="E22" s="772"/>
      <c r="F22" s="772"/>
      <c r="G22" s="772"/>
      <c r="H22" s="772"/>
      <c r="I22" s="772"/>
      <c r="J22" s="772"/>
      <c r="K22" s="772"/>
      <c r="L22" s="772"/>
      <c r="M22" s="772"/>
      <c r="N22" s="772"/>
      <c r="O22" s="772"/>
      <c r="P22" s="772"/>
      <c r="Q22" s="772"/>
      <c r="R22" s="772"/>
      <c r="S22" s="772"/>
      <c r="T22" s="772"/>
      <c r="U22" s="772"/>
      <c r="V22" s="772"/>
      <c r="W22" s="772"/>
      <c r="X22" s="772"/>
      <c r="Y22" s="772"/>
      <c r="Z22" s="772"/>
      <c r="AA22" s="772"/>
      <c r="AB22" s="772"/>
      <c r="AC22" s="772"/>
      <c r="AD22" s="772"/>
      <c r="AE22" s="772"/>
      <c r="AF22" s="772"/>
      <c r="AG22" s="772"/>
      <c r="AH22" s="772"/>
      <c r="AI22" s="772"/>
    </row>
    <row r="23" ht="15.75" customHeight="1">
      <c r="A23" s="772"/>
      <c r="B23" s="772"/>
      <c r="C23" s="772"/>
      <c r="D23" s="772"/>
      <c r="E23" s="772"/>
      <c r="F23" s="772"/>
      <c r="G23" s="772"/>
      <c r="H23" s="772"/>
      <c r="I23" s="772"/>
      <c r="J23" s="772"/>
      <c r="K23" s="772"/>
      <c r="L23" s="772"/>
      <c r="M23" s="772"/>
      <c r="N23" s="772"/>
      <c r="O23" s="772"/>
      <c r="P23" s="772"/>
      <c r="Q23" s="772"/>
      <c r="R23" s="772"/>
      <c r="S23" s="772"/>
      <c r="T23" s="772"/>
      <c r="U23" s="772"/>
      <c r="V23" s="772"/>
      <c r="W23" s="772"/>
      <c r="X23" s="772"/>
      <c r="Y23" s="772"/>
      <c r="Z23" s="772"/>
      <c r="AA23" s="772"/>
      <c r="AB23" s="772"/>
      <c r="AC23" s="772"/>
      <c r="AD23" s="772"/>
      <c r="AE23" s="772"/>
      <c r="AF23" s="772"/>
      <c r="AG23" s="772"/>
      <c r="AH23" s="772"/>
      <c r="AI23" s="772"/>
    </row>
    <row r="24" ht="15.75" customHeight="1">
      <c r="A24" s="772"/>
      <c r="B24" s="772"/>
      <c r="C24" s="772"/>
      <c r="D24" s="772"/>
      <c r="E24" s="772"/>
      <c r="F24" s="772"/>
      <c r="G24" s="772"/>
      <c r="H24" s="772"/>
      <c r="I24" s="772"/>
      <c r="J24" s="772"/>
      <c r="K24" s="772"/>
      <c r="L24" s="772"/>
      <c r="M24" s="772"/>
      <c r="N24" s="772"/>
      <c r="O24" s="772"/>
      <c r="P24" s="772"/>
      <c r="Q24" s="772"/>
      <c r="R24" s="772"/>
      <c r="S24" s="772"/>
      <c r="T24" s="772"/>
      <c r="U24" s="772"/>
      <c r="V24" s="772"/>
      <c r="W24" s="772"/>
      <c r="X24" s="772"/>
      <c r="Y24" s="772"/>
      <c r="Z24" s="772"/>
      <c r="AA24" s="772"/>
      <c r="AB24" s="772"/>
      <c r="AC24" s="772"/>
      <c r="AD24" s="772"/>
      <c r="AE24" s="772"/>
      <c r="AF24" s="772"/>
      <c r="AG24" s="772"/>
      <c r="AH24" s="772"/>
      <c r="AI24" s="772"/>
    </row>
    <row r="25" ht="15.75" customHeight="1">
      <c r="A25" s="772"/>
      <c r="B25" s="772"/>
      <c r="C25" s="772"/>
      <c r="D25" s="772"/>
      <c r="E25" s="772"/>
      <c r="F25" s="772"/>
      <c r="G25" s="772"/>
      <c r="H25" s="772"/>
      <c r="I25" s="772"/>
      <c r="J25" s="772"/>
      <c r="K25" s="772"/>
      <c r="L25" s="772"/>
      <c r="M25" s="772"/>
      <c r="N25" s="772"/>
      <c r="O25" s="772"/>
      <c r="P25" s="772"/>
      <c r="Q25" s="772"/>
      <c r="R25" s="772"/>
      <c r="S25" s="772"/>
      <c r="T25" s="772"/>
      <c r="U25" s="772"/>
      <c r="V25" s="772"/>
      <c r="W25" s="772"/>
      <c r="X25" s="772"/>
      <c r="Y25" s="772"/>
      <c r="Z25" s="772"/>
      <c r="AA25" s="772"/>
      <c r="AB25" s="772"/>
      <c r="AC25" s="772"/>
      <c r="AD25" s="772"/>
      <c r="AE25" s="772"/>
      <c r="AF25" s="772"/>
      <c r="AG25" s="772"/>
      <c r="AH25" s="772"/>
      <c r="AI25" s="772"/>
    </row>
    <row r="26" ht="15.75" customHeight="1">
      <c r="A26" s="772"/>
      <c r="B26" s="772"/>
      <c r="C26" s="772"/>
      <c r="D26" s="772"/>
      <c r="E26" s="772"/>
      <c r="F26" s="772"/>
      <c r="G26" s="772"/>
      <c r="H26" s="772"/>
      <c r="I26" s="772"/>
      <c r="J26" s="772"/>
      <c r="K26" s="772"/>
      <c r="L26" s="772"/>
      <c r="M26" s="772"/>
      <c r="N26" s="772"/>
      <c r="O26" s="772"/>
      <c r="P26" s="772"/>
      <c r="Q26" s="772"/>
      <c r="R26" s="772"/>
      <c r="S26" s="772"/>
      <c r="T26" s="772"/>
      <c r="U26" s="772"/>
      <c r="V26" s="772"/>
      <c r="W26" s="772"/>
      <c r="X26" s="772"/>
      <c r="Y26" s="772"/>
      <c r="Z26" s="772"/>
      <c r="AA26" s="772"/>
      <c r="AB26" s="772"/>
      <c r="AC26" s="772"/>
      <c r="AD26" s="772"/>
      <c r="AE26" s="772"/>
      <c r="AF26" s="772"/>
      <c r="AG26" s="772"/>
      <c r="AH26" s="772"/>
      <c r="AI26" s="772"/>
    </row>
    <row r="27" ht="15.75" customHeight="1">
      <c r="A27" s="772"/>
      <c r="B27" s="772"/>
      <c r="C27" s="772"/>
      <c r="D27" s="772"/>
      <c r="E27" s="772"/>
      <c r="F27" s="772"/>
      <c r="G27" s="772"/>
      <c r="H27" s="772"/>
      <c r="I27" s="772"/>
      <c r="J27" s="772"/>
      <c r="K27" s="772"/>
      <c r="L27" s="772"/>
      <c r="M27" s="772"/>
      <c r="N27" s="772"/>
      <c r="O27" s="772"/>
      <c r="P27" s="772"/>
      <c r="Q27" s="772"/>
      <c r="R27" s="772"/>
      <c r="S27" s="772"/>
      <c r="T27" s="772"/>
      <c r="U27" s="772"/>
      <c r="V27" s="772"/>
      <c r="W27" s="772"/>
      <c r="X27" s="772"/>
      <c r="Y27" s="772"/>
      <c r="Z27" s="772"/>
      <c r="AA27" s="772"/>
      <c r="AB27" s="772"/>
      <c r="AC27" s="772"/>
      <c r="AD27" s="772"/>
      <c r="AE27" s="772"/>
      <c r="AF27" s="772"/>
      <c r="AG27" s="772"/>
      <c r="AH27" s="772"/>
      <c r="AI27" s="772"/>
    </row>
    <row r="28" ht="15.75" customHeight="1">
      <c r="A28" s="772"/>
      <c r="B28" s="772"/>
      <c r="C28" s="772"/>
      <c r="D28" s="772"/>
      <c r="E28" s="772"/>
      <c r="F28" s="772"/>
      <c r="G28" s="772"/>
      <c r="H28" s="772"/>
      <c r="I28" s="772"/>
      <c r="J28" s="772"/>
      <c r="K28" s="772"/>
      <c r="L28" s="772"/>
      <c r="M28" s="772"/>
      <c r="N28" s="772"/>
      <c r="O28" s="772"/>
      <c r="P28" s="772"/>
      <c r="Q28" s="772"/>
      <c r="R28" s="772"/>
      <c r="S28" s="772"/>
      <c r="T28" s="772"/>
      <c r="U28" s="772"/>
      <c r="V28" s="772"/>
      <c r="W28" s="772"/>
      <c r="X28" s="772"/>
      <c r="Y28" s="772"/>
      <c r="Z28" s="772"/>
      <c r="AA28" s="772"/>
      <c r="AB28" s="772"/>
      <c r="AC28" s="772"/>
      <c r="AD28" s="772"/>
      <c r="AE28" s="772"/>
      <c r="AF28" s="772"/>
      <c r="AG28" s="772"/>
      <c r="AH28" s="772"/>
      <c r="AI28" s="772"/>
    </row>
    <row r="29" ht="15.75" customHeight="1">
      <c r="A29" s="772"/>
      <c r="B29" s="772"/>
      <c r="C29" s="772"/>
      <c r="D29" s="772"/>
      <c r="E29" s="772"/>
      <c r="F29" s="772"/>
      <c r="G29" s="772"/>
      <c r="H29" s="772"/>
      <c r="I29" s="772"/>
      <c r="J29" s="772"/>
      <c r="K29" s="772"/>
      <c r="L29" s="772"/>
      <c r="M29" s="772"/>
      <c r="N29" s="772"/>
      <c r="O29" s="772"/>
      <c r="P29" s="772"/>
      <c r="Q29" s="772"/>
      <c r="R29" s="772"/>
      <c r="S29" s="772"/>
      <c r="T29" s="772"/>
      <c r="U29" s="772"/>
      <c r="V29" s="772"/>
      <c r="W29" s="772"/>
      <c r="X29" s="772"/>
      <c r="Y29" s="772"/>
      <c r="Z29" s="772"/>
      <c r="AA29" s="772"/>
      <c r="AB29" s="772"/>
      <c r="AC29" s="772"/>
      <c r="AD29" s="772"/>
      <c r="AE29" s="772"/>
      <c r="AF29" s="772"/>
      <c r="AG29" s="772"/>
      <c r="AH29" s="772"/>
      <c r="AI29" s="772"/>
    </row>
    <row r="30" ht="15.75" customHeight="1">
      <c r="A30" s="772"/>
      <c r="B30" s="772"/>
      <c r="C30" s="772"/>
      <c r="D30" s="772"/>
      <c r="E30" s="772"/>
      <c r="F30" s="772"/>
      <c r="G30" s="772"/>
      <c r="H30" s="772"/>
      <c r="I30" s="772"/>
      <c r="J30" s="772"/>
      <c r="K30" s="772"/>
      <c r="L30" s="772"/>
      <c r="M30" s="772"/>
      <c r="N30" s="772"/>
      <c r="O30" s="772"/>
      <c r="P30" s="772"/>
      <c r="Q30" s="772"/>
      <c r="R30" s="772"/>
      <c r="S30" s="772"/>
      <c r="T30" s="772"/>
      <c r="U30" s="772"/>
      <c r="V30" s="772"/>
      <c r="W30" s="772"/>
      <c r="X30" s="772"/>
      <c r="Y30" s="772"/>
      <c r="Z30" s="772"/>
      <c r="AA30" s="772"/>
      <c r="AB30" s="772"/>
      <c r="AC30" s="772"/>
      <c r="AD30" s="772"/>
      <c r="AE30" s="772"/>
      <c r="AF30" s="772"/>
      <c r="AG30" s="772"/>
      <c r="AH30" s="772"/>
      <c r="AI30" s="772"/>
    </row>
    <row r="31" ht="15.75" customHeight="1">
      <c r="A31" s="772"/>
      <c r="B31" s="772"/>
      <c r="C31" s="772"/>
      <c r="D31" s="772"/>
      <c r="E31" s="772"/>
      <c r="F31" s="772"/>
      <c r="G31" s="772"/>
      <c r="H31" s="772"/>
      <c r="I31" s="772"/>
      <c r="J31" s="772"/>
      <c r="K31" s="772"/>
      <c r="L31" s="772"/>
      <c r="M31" s="772"/>
      <c r="N31" s="772"/>
      <c r="O31" s="772"/>
      <c r="P31" s="772"/>
      <c r="Q31" s="772"/>
      <c r="R31" s="772"/>
      <c r="S31" s="772"/>
      <c r="T31" s="772"/>
      <c r="U31" s="772"/>
      <c r="V31" s="772"/>
      <c r="W31" s="772"/>
      <c r="X31" s="772"/>
      <c r="Y31" s="772"/>
      <c r="Z31" s="772"/>
      <c r="AA31" s="772"/>
      <c r="AB31" s="772"/>
      <c r="AC31" s="772"/>
      <c r="AD31" s="772"/>
      <c r="AE31" s="772"/>
      <c r="AF31" s="772"/>
      <c r="AG31" s="772"/>
      <c r="AH31" s="772"/>
      <c r="AI31" s="772"/>
    </row>
    <row r="32" ht="15.75" customHeight="1">
      <c r="A32" s="772"/>
      <c r="B32" s="772"/>
      <c r="C32" s="772"/>
      <c r="D32" s="772"/>
      <c r="E32" s="772"/>
      <c r="F32" s="772"/>
      <c r="G32" s="772"/>
      <c r="H32" s="772"/>
      <c r="I32" s="772"/>
      <c r="J32" s="772"/>
      <c r="K32" s="772"/>
      <c r="L32" s="772"/>
      <c r="M32" s="772"/>
      <c r="N32" s="772"/>
      <c r="O32" s="772"/>
      <c r="P32" s="772"/>
      <c r="Q32" s="772"/>
      <c r="R32" s="772"/>
      <c r="S32" s="772"/>
      <c r="T32" s="772"/>
      <c r="U32" s="772"/>
      <c r="V32" s="772"/>
      <c r="W32" s="772"/>
      <c r="X32" s="772"/>
      <c r="Y32" s="772"/>
      <c r="Z32" s="772"/>
      <c r="AA32" s="772"/>
      <c r="AB32" s="772"/>
      <c r="AC32" s="772"/>
      <c r="AD32" s="772"/>
      <c r="AE32" s="772"/>
      <c r="AF32" s="772"/>
      <c r="AG32" s="772"/>
      <c r="AH32" s="772"/>
      <c r="AI32" s="772"/>
    </row>
    <row r="33" ht="15.75" customHeight="1">
      <c r="A33" s="772"/>
      <c r="B33" s="772"/>
      <c r="C33" s="772"/>
      <c r="D33" s="772"/>
      <c r="E33" s="772"/>
      <c r="F33" s="772"/>
      <c r="G33" s="772"/>
      <c r="H33" s="772"/>
      <c r="I33" s="772"/>
      <c r="J33" s="772"/>
      <c r="K33" s="772"/>
      <c r="L33" s="772"/>
      <c r="M33" s="772"/>
      <c r="N33" s="772"/>
      <c r="O33" s="772"/>
      <c r="P33" s="772"/>
      <c r="Q33" s="772"/>
      <c r="R33" s="772"/>
      <c r="S33" s="772"/>
      <c r="T33" s="772"/>
      <c r="U33" s="772"/>
      <c r="V33" s="772"/>
      <c r="W33" s="772"/>
      <c r="X33" s="772"/>
      <c r="Y33" s="772"/>
      <c r="Z33" s="772"/>
      <c r="AA33" s="772"/>
      <c r="AB33" s="772"/>
      <c r="AC33" s="772"/>
      <c r="AD33" s="772"/>
      <c r="AE33" s="772"/>
      <c r="AF33" s="772"/>
      <c r="AG33" s="772"/>
      <c r="AH33" s="772"/>
      <c r="AI33" s="772"/>
    </row>
    <row r="34" ht="15.75" customHeight="1">
      <c r="A34" s="772"/>
      <c r="B34" s="772"/>
      <c r="C34" s="772"/>
      <c r="D34" s="772"/>
      <c r="E34" s="772"/>
      <c r="F34" s="772"/>
      <c r="G34" s="772"/>
      <c r="H34" s="772"/>
      <c r="I34" s="772"/>
      <c r="J34" s="772"/>
      <c r="K34" s="772"/>
      <c r="L34" s="772"/>
      <c r="M34" s="772"/>
      <c r="N34" s="772"/>
      <c r="O34" s="772"/>
      <c r="P34" s="772"/>
      <c r="Q34" s="772"/>
      <c r="R34" s="772"/>
      <c r="S34" s="772"/>
      <c r="T34" s="772"/>
      <c r="U34" s="772"/>
      <c r="V34" s="772"/>
      <c r="W34" s="772"/>
      <c r="X34" s="772"/>
      <c r="Y34" s="772"/>
      <c r="Z34" s="772"/>
      <c r="AA34" s="772"/>
      <c r="AB34" s="772"/>
      <c r="AC34" s="772"/>
      <c r="AD34" s="772"/>
      <c r="AE34" s="772"/>
      <c r="AF34" s="772"/>
      <c r="AG34" s="772"/>
      <c r="AH34" s="772"/>
      <c r="AI34" s="772"/>
    </row>
    <row r="35" ht="15.75" customHeight="1">
      <c r="A35" s="772"/>
      <c r="B35" s="772"/>
      <c r="C35" s="772"/>
      <c r="D35" s="772"/>
      <c r="E35" s="772"/>
      <c r="F35" s="772"/>
      <c r="G35" s="772"/>
      <c r="H35" s="772"/>
      <c r="I35" s="772"/>
      <c r="J35" s="772"/>
      <c r="K35" s="772"/>
      <c r="L35" s="772"/>
      <c r="M35" s="772"/>
      <c r="N35" s="772"/>
      <c r="O35" s="772"/>
      <c r="P35" s="772"/>
      <c r="Q35" s="772"/>
      <c r="R35" s="772"/>
      <c r="S35" s="772"/>
      <c r="T35" s="772"/>
      <c r="U35" s="772"/>
      <c r="V35" s="772"/>
      <c r="W35" s="772"/>
      <c r="X35" s="772"/>
      <c r="Y35" s="772"/>
      <c r="Z35" s="772"/>
      <c r="AA35" s="772"/>
      <c r="AB35" s="772"/>
      <c r="AC35" s="772"/>
      <c r="AD35" s="772"/>
      <c r="AE35" s="772"/>
      <c r="AF35" s="772"/>
      <c r="AG35" s="772"/>
      <c r="AH35" s="772"/>
      <c r="AI35" s="772"/>
    </row>
    <row r="36" ht="15.75" customHeight="1">
      <c r="A36" s="772"/>
      <c r="B36" s="772"/>
      <c r="C36" s="772"/>
      <c r="D36" s="772"/>
      <c r="E36" s="772"/>
      <c r="F36" s="772"/>
      <c r="G36" s="772"/>
      <c r="H36" s="772"/>
      <c r="I36" s="772"/>
      <c r="J36" s="772"/>
      <c r="K36" s="772"/>
      <c r="L36" s="772"/>
      <c r="M36" s="772"/>
      <c r="N36" s="772"/>
      <c r="O36" s="772"/>
      <c r="P36" s="772"/>
      <c r="Q36" s="772"/>
      <c r="R36" s="772"/>
      <c r="S36" s="772"/>
      <c r="T36" s="772"/>
      <c r="U36" s="772"/>
      <c r="V36" s="772"/>
      <c r="W36" s="772"/>
      <c r="X36" s="772"/>
      <c r="Y36" s="772"/>
      <c r="Z36" s="772"/>
      <c r="AA36" s="772"/>
      <c r="AB36" s="772"/>
      <c r="AC36" s="772"/>
      <c r="AD36" s="772"/>
      <c r="AE36" s="772"/>
      <c r="AF36" s="772"/>
      <c r="AG36" s="772"/>
      <c r="AH36" s="772"/>
      <c r="AI36" s="772"/>
    </row>
    <row r="37" ht="15.75" customHeight="1">
      <c r="A37" s="772"/>
      <c r="B37" s="772"/>
      <c r="C37" s="772"/>
      <c r="D37" s="772"/>
      <c r="E37" s="772"/>
      <c r="F37" s="772"/>
      <c r="G37" s="772"/>
      <c r="H37" s="772"/>
      <c r="I37" s="772"/>
      <c r="J37" s="772"/>
      <c r="K37" s="772"/>
      <c r="L37" s="772"/>
      <c r="M37" s="772"/>
      <c r="N37" s="772"/>
      <c r="O37" s="772"/>
      <c r="P37" s="772"/>
      <c r="Q37" s="772"/>
      <c r="R37" s="772"/>
      <c r="S37" s="772"/>
      <c r="T37" s="772"/>
      <c r="U37" s="772"/>
      <c r="V37" s="772"/>
      <c r="W37" s="772"/>
      <c r="X37" s="772"/>
      <c r="Y37" s="772"/>
      <c r="Z37" s="772"/>
      <c r="AA37" s="772"/>
      <c r="AB37" s="772"/>
      <c r="AC37" s="772"/>
      <c r="AD37" s="772"/>
      <c r="AE37" s="772"/>
      <c r="AF37" s="772"/>
      <c r="AG37" s="772"/>
      <c r="AH37" s="772"/>
      <c r="AI37" s="772"/>
    </row>
    <row r="38" ht="15.75" customHeight="1">
      <c r="A38" s="772"/>
      <c r="B38" s="772"/>
      <c r="C38" s="772"/>
      <c r="D38" s="772"/>
      <c r="E38" s="772"/>
      <c r="F38" s="772"/>
      <c r="G38" s="772"/>
      <c r="H38" s="772"/>
      <c r="I38" s="772"/>
      <c r="J38" s="772"/>
      <c r="K38" s="772"/>
      <c r="L38" s="772"/>
      <c r="M38" s="772"/>
      <c r="N38" s="772"/>
      <c r="O38" s="772"/>
      <c r="P38" s="772"/>
      <c r="Q38" s="772"/>
      <c r="R38" s="772"/>
      <c r="S38" s="772"/>
      <c r="T38" s="772"/>
      <c r="U38" s="772"/>
      <c r="V38" s="772"/>
      <c r="W38" s="772"/>
      <c r="X38" s="772"/>
      <c r="Y38" s="772"/>
      <c r="Z38" s="772"/>
      <c r="AA38" s="772"/>
      <c r="AB38" s="772"/>
      <c r="AC38" s="772"/>
      <c r="AD38" s="772"/>
      <c r="AE38" s="772"/>
      <c r="AF38" s="772"/>
      <c r="AG38" s="772"/>
      <c r="AH38" s="772"/>
      <c r="AI38" s="772"/>
    </row>
    <row r="39" ht="15.75" customHeight="1">
      <c r="A39" s="772"/>
      <c r="B39" s="772"/>
      <c r="C39" s="772"/>
      <c r="D39" s="772"/>
      <c r="E39" s="772"/>
      <c r="F39" s="772"/>
      <c r="G39" s="772"/>
      <c r="H39" s="772"/>
      <c r="I39" s="772"/>
      <c r="J39" s="772"/>
      <c r="K39" s="772"/>
      <c r="L39" s="772"/>
      <c r="M39" s="772"/>
      <c r="N39" s="772"/>
      <c r="O39" s="772"/>
      <c r="P39" s="772"/>
      <c r="Q39" s="772"/>
      <c r="R39" s="772"/>
      <c r="S39" s="772"/>
      <c r="T39" s="772"/>
      <c r="U39" s="772"/>
      <c r="V39" s="772"/>
      <c r="W39" s="772"/>
      <c r="X39" s="772"/>
      <c r="Y39" s="772"/>
      <c r="Z39" s="772"/>
      <c r="AA39" s="772"/>
      <c r="AB39" s="772"/>
      <c r="AC39" s="772"/>
      <c r="AD39" s="772"/>
      <c r="AE39" s="772"/>
      <c r="AF39" s="772"/>
      <c r="AG39" s="772"/>
      <c r="AH39" s="772"/>
      <c r="AI39" s="772"/>
    </row>
    <row r="40" ht="15.75" customHeight="1">
      <c r="A40" s="772"/>
      <c r="B40" s="772"/>
      <c r="C40" s="772"/>
      <c r="D40" s="772"/>
      <c r="E40" s="772"/>
      <c r="F40" s="772"/>
      <c r="G40" s="772"/>
      <c r="H40" s="772"/>
      <c r="I40" s="772"/>
      <c r="J40" s="772"/>
      <c r="K40" s="772"/>
      <c r="L40" s="772"/>
      <c r="M40" s="772"/>
      <c r="N40" s="772"/>
      <c r="O40" s="772"/>
      <c r="P40" s="772"/>
      <c r="Q40" s="772"/>
      <c r="R40" s="772"/>
      <c r="S40" s="772"/>
      <c r="T40" s="772"/>
      <c r="U40" s="772"/>
      <c r="V40" s="772"/>
      <c r="W40" s="772"/>
      <c r="X40" s="772"/>
      <c r="Y40" s="772"/>
      <c r="Z40" s="772"/>
      <c r="AA40" s="772"/>
      <c r="AB40" s="772"/>
      <c r="AC40" s="772"/>
      <c r="AD40" s="772"/>
      <c r="AE40" s="772"/>
      <c r="AF40" s="772"/>
      <c r="AG40" s="772"/>
      <c r="AH40" s="772"/>
      <c r="AI40" s="772"/>
    </row>
    <row r="41" ht="15.75" customHeight="1">
      <c r="A41" s="772"/>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2"/>
      <c r="AB41" s="772"/>
      <c r="AC41" s="772"/>
      <c r="AD41" s="772"/>
      <c r="AE41" s="772"/>
      <c r="AF41" s="772"/>
      <c r="AG41" s="772"/>
      <c r="AH41" s="772"/>
      <c r="AI41" s="772"/>
    </row>
    <row r="42" ht="15.75" customHeight="1">
      <c r="A42" s="772"/>
      <c r="B42" s="772"/>
      <c r="C42" s="772"/>
      <c r="D42" s="772"/>
      <c r="E42" s="772"/>
      <c r="F42" s="772"/>
      <c r="G42" s="772"/>
      <c r="H42" s="772"/>
      <c r="I42" s="772"/>
      <c r="J42" s="772"/>
      <c r="K42" s="772"/>
      <c r="L42" s="772"/>
      <c r="M42" s="772"/>
      <c r="N42" s="772"/>
      <c r="O42" s="772"/>
      <c r="P42" s="772"/>
      <c r="Q42" s="772"/>
      <c r="R42" s="772"/>
      <c r="S42" s="772"/>
      <c r="T42" s="772"/>
      <c r="U42" s="772"/>
      <c r="V42" s="772"/>
      <c r="W42" s="772"/>
      <c r="X42" s="772"/>
      <c r="Y42" s="772"/>
      <c r="Z42" s="772"/>
      <c r="AA42" s="772"/>
      <c r="AB42" s="772"/>
      <c r="AC42" s="772"/>
      <c r="AD42" s="772"/>
      <c r="AE42" s="772"/>
      <c r="AF42" s="772"/>
      <c r="AG42" s="772"/>
      <c r="AH42" s="772"/>
      <c r="AI42" s="772"/>
    </row>
    <row r="43" ht="15.75" customHeight="1">
      <c r="A43" s="772"/>
      <c r="B43" s="772"/>
      <c r="C43" s="772"/>
      <c r="D43" s="772"/>
      <c r="E43" s="772"/>
      <c r="F43" s="772"/>
      <c r="G43" s="772"/>
      <c r="H43" s="772"/>
      <c r="I43" s="772"/>
      <c r="J43" s="772"/>
      <c r="K43" s="772"/>
      <c r="L43" s="772"/>
      <c r="M43" s="772"/>
      <c r="N43" s="772"/>
      <c r="O43" s="772"/>
      <c r="P43" s="772"/>
      <c r="Q43" s="772"/>
      <c r="R43" s="772"/>
      <c r="S43" s="772"/>
      <c r="T43" s="772"/>
      <c r="U43" s="772"/>
      <c r="V43" s="772"/>
      <c r="W43" s="772"/>
      <c r="X43" s="772"/>
      <c r="Y43" s="772"/>
      <c r="Z43" s="772"/>
      <c r="AA43" s="772"/>
      <c r="AB43" s="772"/>
      <c r="AC43" s="772"/>
      <c r="AD43" s="772"/>
      <c r="AE43" s="772"/>
      <c r="AF43" s="772"/>
      <c r="AG43" s="772"/>
      <c r="AH43" s="772"/>
      <c r="AI43" s="772"/>
    </row>
    <row r="44" ht="15.75" customHeight="1">
      <c r="A44" s="772"/>
      <c r="B44" s="772"/>
      <c r="C44" s="772"/>
      <c r="D44" s="772"/>
      <c r="E44" s="772"/>
      <c r="F44" s="772"/>
      <c r="G44" s="772"/>
      <c r="H44" s="772"/>
      <c r="I44" s="772"/>
      <c r="J44" s="772"/>
      <c r="K44" s="772"/>
      <c r="L44" s="772"/>
      <c r="M44" s="772"/>
      <c r="N44" s="772"/>
      <c r="O44" s="772"/>
      <c r="P44" s="772"/>
      <c r="Q44" s="772"/>
      <c r="R44" s="772"/>
      <c r="S44" s="772"/>
      <c r="T44" s="772"/>
      <c r="U44" s="772"/>
      <c r="V44" s="772"/>
      <c r="W44" s="772"/>
      <c r="X44" s="772"/>
      <c r="Y44" s="772"/>
      <c r="Z44" s="772"/>
      <c r="AA44" s="772"/>
      <c r="AB44" s="772"/>
      <c r="AC44" s="772"/>
      <c r="AD44" s="772"/>
      <c r="AE44" s="772"/>
      <c r="AF44" s="772"/>
      <c r="AG44" s="772"/>
      <c r="AH44" s="772"/>
      <c r="AI44" s="772"/>
    </row>
    <row r="45" ht="15.75" customHeight="1">
      <c r="A45" s="772"/>
      <c r="B45" s="772"/>
      <c r="C45" s="772"/>
      <c r="D45" s="772"/>
      <c r="E45" s="772"/>
      <c r="F45" s="772"/>
      <c r="G45" s="772"/>
      <c r="H45" s="772"/>
      <c r="I45" s="772"/>
      <c r="J45" s="772"/>
      <c r="K45" s="772"/>
      <c r="L45" s="772"/>
      <c r="M45" s="772"/>
      <c r="N45" s="772"/>
      <c r="O45" s="772"/>
      <c r="P45" s="772"/>
      <c r="Q45" s="772"/>
      <c r="R45" s="772"/>
      <c r="S45" s="772"/>
      <c r="T45" s="772"/>
      <c r="U45" s="772"/>
      <c r="V45" s="772"/>
      <c r="W45" s="772"/>
      <c r="X45" s="772"/>
      <c r="Y45" s="772"/>
      <c r="Z45" s="772"/>
      <c r="AA45" s="772"/>
      <c r="AB45" s="772"/>
      <c r="AC45" s="772"/>
      <c r="AD45" s="772"/>
      <c r="AE45" s="772"/>
      <c r="AF45" s="772"/>
      <c r="AG45" s="772"/>
      <c r="AH45" s="772"/>
      <c r="AI45" s="772"/>
    </row>
    <row r="46" ht="15.75" customHeight="1">
      <c r="A46" s="772"/>
      <c r="B46" s="772"/>
      <c r="C46" s="772"/>
      <c r="D46" s="772"/>
      <c r="E46" s="772"/>
      <c r="F46" s="772"/>
      <c r="G46" s="772"/>
      <c r="H46" s="772"/>
      <c r="I46" s="772"/>
      <c r="J46" s="772"/>
      <c r="K46" s="772"/>
      <c r="L46" s="772"/>
      <c r="M46" s="772"/>
      <c r="N46" s="772"/>
      <c r="O46" s="772"/>
      <c r="P46" s="772"/>
      <c r="Q46" s="772"/>
      <c r="R46" s="772"/>
      <c r="S46" s="772"/>
      <c r="T46" s="772"/>
      <c r="U46" s="772"/>
      <c r="V46" s="772"/>
      <c r="W46" s="772"/>
      <c r="X46" s="772"/>
      <c r="Y46" s="772"/>
      <c r="Z46" s="772"/>
      <c r="AA46" s="772"/>
      <c r="AB46" s="772"/>
      <c r="AC46" s="772"/>
      <c r="AD46" s="772"/>
      <c r="AE46" s="772"/>
      <c r="AF46" s="772"/>
      <c r="AG46" s="772"/>
      <c r="AH46" s="772"/>
      <c r="AI46" s="772"/>
    </row>
    <row r="47" ht="15.75" customHeight="1">
      <c r="A47" s="772"/>
      <c r="B47" s="772"/>
      <c r="C47" s="772"/>
      <c r="D47" s="772"/>
      <c r="E47" s="772"/>
      <c r="F47" s="772"/>
      <c r="G47" s="772"/>
      <c r="H47" s="772"/>
      <c r="I47" s="772"/>
      <c r="J47" s="772"/>
      <c r="K47" s="772"/>
      <c r="L47" s="772"/>
      <c r="M47" s="772"/>
      <c r="N47" s="772"/>
      <c r="O47" s="772"/>
      <c r="P47" s="772"/>
      <c r="Q47" s="772"/>
      <c r="R47" s="772"/>
      <c r="S47" s="772"/>
      <c r="T47" s="772"/>
      <c r="U47" s="772"/>
      <c r="V47" s="772"/>
      <c r="W47" s="772"/>
      <c r="X47" s="772"/>
      <c r="Y47" s="772"/>
      <c r="Z47" s="772"/>
      <c r="AA47" s="772"/>
      <c r="AB47" s="772"/>
      <c r="AC47" s="772"/>
      <c r="AD47" s="772"/>
      <c r="AE47" s="772"/>
      <c r="AF47" s="772"/>
      <c r="AG47" s="772"/>
      <c r="AH47" s="772"/>
      <c r="AI47" s="772"/>
    </row>
    <row r="48" ht="15.75" customHeight="1">
      <c r="A48" s="772"/>
      <c r="B48" s="772"/>
      <c r="C48" s="772"/>
      <c r="D48" s="772"/>
      <c r="E48" s="772"/>
      <c r="F48" s="772"/>
      <c r="G48" s="772"/>
      <c r="H48" s="772"/>
      <c r="I48" s="772"/>
      <c r="J48" s="772"/>
      <c r="K48" s="772"/>
      <c r="L48" s="772"/>
      <c r="M48" s="772"/>
      <c r="N48" s="772"/>
      <c r="O48" s="772"/>
      <c r="P48" s="772"/>
      <c r="Q48" s="772"/>
      <c r="R48" s="772"/>
      <c r="S48" s="772"/>
      <c r="T48" s="772"/>
      <c r="U48" s="772"/>
      <c r="V48" s="772"/>
      <c r="W48" s="772"/>
      <c r="X48" s="772"/>
      <c r="Y48" s="772"/>
      <c r="Z48" s="772"/>
      <c r="AA48" s="772"/>
      <c r="AB48" s="772"/>
      <c r="AC48" s="772"/>
      <c r="AD48" s="772"/>
      <c r="AE48" s="772"/>
      <c r="AF48" s="772"/>
      <c r="AG48" s="772"/>
      <c r="AH48" s="772"/>
      <c r="AI48" s="772"/>
    </row>
    <row r="49" ht="15.75" customHeight="1">
      <c r="A49" s="772"/>
      <c r="B49" s="772"/>
      <c r="C49" s="772"/>
      <c r="D49" s="772"/>
      <c r="E49" s="772"/>
      <c r="F49" s="772"/>
      <c r="G49" s="772"/>
      <c r="H49" s="772"/>
      <c r="I49" s="772"/>
      <c r="J49" s="772"/>
      <c r="K49" s="772"/>
      <c r="L49" s="772"/>
      <c r="M49" s="772"/>
      <c r="N49" s="772"/>
      <c r="O49" s="772"/>
      <c r="P49" s="772"/>
      <c r="Q49" s="772"/>
      <c r="R49" s="772"/>
      <c r="S49" s="772"/>
      <c r="T49" s="772"/>
      <c r="U49" s="772"/>
      <c r="V49" s="772"/>
      <c r="W49" s="772"/>
      <c r="X49" s="772"/>
      <c r="Y49" s="772"/>
      <c r="Z49" s="772"/>
      <c r="AA49" s="772"/>
      <c r="AB49" s="772"/>
      <c r="AC49" s="772"/>
      <c r="AD49" s="772"/>
      <c r="AE49" s="772"/>
      <c r="AF49" s="772"/>
      <c r="AG49" s="772"/>
      <c r="AH49" s="772"/>
      <c r="AI49" s="772"/>
    </row>
    <row r="50" ht="15.75" customHeight="1">
      <c r="A50" s="772"/>
      <c r="B50" s="772"/>
      <c r="C50" s="772"/>
      <c r="D50" s="772"/>
      <c r="E50" s="772"/>
      <c r="F50" s="772"/>
      <c r="G50" s="772"/>
      <c r="H50" s="772"/>
      <c r="I50" s="772"/>
      <c r="J50" s="772"/>
      <c r="K50" s="772"/>
      <c r="L50" s="772"/>
      <c r="M50" s="772"/>
      <c r="N50" s="772"/>
      <c r="O50" s="772"/>
      <c r="P50" s="772"/>
      <c r="Q50" s="772"/>
      <c r="R50" s="772"/>
      <c r="S50" s="772"/>
      <c r="T50" s="772"/>
      <c r="U50" s="772"/>
      <c r="V50" s="772"/>
      <c r="W50" s="772"/>
      <c r="X50" s="772"/>
      <c r="Y50" s="772"/>
      <c r="Z50" s="772"/>
      <c r="AA50" s="772"/>
      <c r="AB50" s="772"/>
      <c r="AC50" s="772"/>
      <c r="AD50" s="772"/>
      <c r="AE50" s="772"/>
      <c r="AF50" s="772"/>
      <c r="AG50" s="772"/>
      <c r="AH50" s="772"/>
      <c r="AI50" s="772"/>
    </row>
    <row r="51" ht="15.75" customHeight="1">
      <c r="A51" s="772"/>
      <c r="B51" s="772"/>
      <c r="C51" s="772"/>
      <c r="D51" s="772"/>
      <c r="E51" s="772"/>
      <c r="F51" s="772"/>
      <c r="G51" s="772"/>
      <c r="H51" s="772"/>
      <c r="I51" s="772"/>
      <c r="J51" s="772"/>
      <c r="K51" s="772"/>
      <c r="L51" s="772"/>
      <c r="M51" s="772"/>
      <c r="N51" s="772"/>
      <c r="O51" s="772"/>
      <c r="P51" s="772"/>
      <c r="Q51" s="772"/>
      <c r="R51" s="772"/>
      <c r="S51" s="772"/>
      <c r="T51" s="772"/>
      <c r="U51" s="772"/>
      <c r="V51" s="772"/>
      <c r="W51" s="772"/>
      <c r="X51" s="772"/>
      <c r="Y51" s="772"/>
      <c r="Z51" s="772"/>
      <c r="AA51" s="772"/>
      <c r="AB51" s="772"/>
      <c r="AC51" s="772"/>
      <c r="AD51" s="772"/>
      <c r="AE51" s="772"/>
      <c r="AF51" s="772"/>
      <c r="AG51" s="772"/>
      <c r="AH51" s="772"/>
      <c r="AI51" s="772"/>
    </row>
    <row r="52" ht="15.75" customHeight="1">
      <c r="A52" s="772"/>
      <c r="B52" s="772"/>
      <c r="C52" s="772"/>
      <c r="D52" s="772"/>
      <c r="E52" s="772"/>
      <c r="F52" s="772"/>
      <c r="G52" s="772"/>
      <c r="H52" s="772"/>
      <c r="I52" s="772"/>
      <c r="J52" s="772"/>
      <c r="K52" s="772"/>
      <c r="L52" s="772"/>
      <c r="M52" s="772"/>
      <c r="N52" s="772"/>
      <c r="O52" s="772"/>
      <c r="P52" s="772"/>
      <c r="Q52" s="772"/>
      <c r="R52" s="772"/>
      <c r="S52" s="772"/>
      <c r="T52" s="772"/>
      <c r="U52" s="772"/>
      <c r="V52" s="772"/>
      <c r="W52" s="772"/>
      <c r="X52" s="772"/>
      <c r="Y52" s="772"/>
      <c r="Z52" s="772"/>
      <c r="AA52" s="772"/>
      <c r="AB52" s="772"/>
      <c r="AC52" s="772"/>
      <c r="AD52" s="772"/>
      <c r="AE52" s="772"/>
      <c r="AF52" s="772"/>
      <c r="AG52" s="772"/>
      <c r="AH52" s="772"/>
      <c r="AI52" s="772"/>
    </row>
    <row r="53" ht="15.75" customHeight="1">
      <c r="A53" s="772"/>
      <c r="B53" s="772"/>
      <c r="C53" s="772"/>
      <c r="D53" s="772"/>
      <c r="E53" s="772"/>
      <c r="F53" s="772"/>
      <c r="G53" s="772"/>
      <c r="H53" s="772"/>
      <c r="I53" s="772"/>
      <c r="J53" s="772"/>
      <c r="K53" s="772"/>
      <c r="L53" s="772"/>
      <c r="M53" s="772"/>
      <c r="N53" s="772"/>
      <c r="O53" s="772"/>
      <c r="P53" s="772"/>
      <c r="Q53" s="772"/>
      <c r="R53" s="772"/>
      <c r="S53" s="772"/>
      <c r="T53" s="772"/>
      <c r="U53" s="772"/>
      <c r="V53" s="772"/>
      <c r="W53" s="772"/>
      <c r="X53" s="772"/>
      <c r="Y53" s="772"/>
      <c r="Z53" s="772"/>
      <c r="AA53" s="772"/>
      <c r="AB53" s="772"/>
      <c r="AC53" s="772"/>
      <c r="AD53" s="772"/>
      <c r="AE53" s="772"/>
      <c r="AF53" s="772"/>
      <c r="AG53" s="772"/>
      <c r="AH53" s="772"/>
      <c r="AI53" s="772"/>
    </row>
    <row r="54" ht="15.75" customHeight="1">
      <c r="A54" s="772"/>
      <c r="B54" s="772"/>
      <c r="C54" s="772"/>
      <c r="D54" s="772"/>
      <c r="E54" s="772"/>
      <c r="F54" s="772"/>
      <c r="G54" s="772"/>
      <c r="H54" s="772"/>
      <c r="I54" s="772"/>
      <c r="J54" s="772"/>
      <c r="K54" s="772"/>
      <c r="L54" s="772"/>
      <c r="M54" s="772"/>
      <c r="N54" s="772"/>
      <c r="O54" s="772"/>
      <c r="P54" s="772"/>
      <c r="Q54" s="772"/>
      <c r="R54" s="772"/>
      <c r="S54" s="772"/>
      <c r="T54" s="772"/>
      <c r="U54" s="772"/>
      <c r="V54" s="772"/>
      <c r="W54" s="772"/>
      <c r="X54" s="772"/>
      <c r="Y54" s="772"/>
      <c r="Z54" s="772"/>
      <c r="AA54" s="772"/>
      <c r="AB54" s="772"/>
      <c r="AC54" s="772"/>
      <c r="AD54" s="772"/>
      <c r="AE54" s="772"/>
      <c r="AF54" s="772"/>
      <c r="AG54" s="772"/>
      <c r="AH54" s="772"/>
      <c r="AI54" s="772"/>
    </row>
    <row r="55" ht="15.75" customHeight="1">
      <c r="A55" s="772"/>
      <c r="B55" s="772"/>
      <c r="C55" s="772"/>
      <c r="D55" s="772"/>
      <c r="E55" s="772"/>
      <c r="F55" s="772"/>
      <c r="G55" s="772"/>
      <c r="H55" s="772"/>
      <c r="I55" s="772"/>
      <c r="J55" s="772"/>
      <c r="K55" s="772"/>
      <c r="L55" s="772"/>
      <c r="M55" s="772"/>
      <c r="N55" s="772"/>
      <c r="O55" s="772"/>
      <c r="P55" s="772"/>
      <c r="Q55" s="772"/>
      <c r="R55" s="772"/>
      <c r="S55" s="772"/>
      <c r="T55" s="772"/>
      <c r="U55" s="772"/>
      <c r="V55" s="772"/>
      <c r="W55" s="772"/>
      <c r="X55" s="772"/>
      <c r="Y55" s="772"/>
      <c r="Z55" s="772"/>
      <c r="AA55" s="772"/>
      <c r="AB55" s="772"/>
      <c r="AC55" s="772"/>
      <c r="AD55" s="772"/>
      <c r="AE55" s="772"/>
      <c r="AF55" s="772"/>
      <c r="AG55" s="772"/>
      <c r="AH55" s="772"/>
      <c r="AI55" s="772"/>
    </row>
    <row r="56" ht="15.75" customHeight="1">
      <c r="A56" s="772"/>
      <c r="B56" s="772"/>
      <c r="C56" s="772"/>
      <c r="D56" s="772"/>
      <c r="E56" s="772"/>
      <c r="F56" s="772"/>
      <c r="G56" s="772"/>
      <c r="H56" s="772"/>
      <c r="I56" s="772"/>
      <c r="J56" s="772"/>
      <c r="K56" s="772"/>
      <c r="L56" s="772"/>
      <c r="M56" s="772"/>
      <c r="N56" s="772"/>
      <c r="O56" s="772"/>
      <c r="P56" s="772"/>
      <c r="Q56" s="772"/>
      <c r="R56" s="772"/>
      <c r="S56" s="772"/>
      <c r="T56" s="772"/>
      <c r="U56" s="772"/>
      <c r="V56" s="772"/>
      <c r="W56" s="772"/>
      <c r="X56" s="772"/>
      <c r="Y56" s="772"/>
      <c r="Z56" s="772"/>
      <c r="AA56" s="772"/>
      <c r="AB56" s="772"/>
      <c r="AC56" s="772"/>
      <c r="AD56" s="772"/>
      <c r="AE56" s="772"/>
      <c r="AF56" s="772"/>
      <c r="AG56" s="772"/>
      <c r="AH56" s="772"/>
      <c r="AI56" s="772"/>
    </row>
    <row r="57" ht="15.75" customHeight="1">
      <c r="A57" s="772"/>
      <c r="B57" s="772"/>
      <c r="C57" s="772"/>
      <c r="D57" s="772"/>
      <c r="E57" s="772"/>
      <c r="F57" s="772"/>
      <c r="G57" s="772"/>
      <c r="H57" s="772"/>
      <c r="I57" s="772"/>
      <c r="J57" s="772"/>
      <c r="K57" s="772"/>
      <c r="L57" s="772"/>
      <c r="M57" s="772"/>
      <c r="N57" s="772"/>
      <c r="O57" s="772"/>
      <c r="P57" s="772"/>
      <c r="Q57" s="772"/>
      <c r="R57" s="772"/>
      <c r="S57" s="772"/>
      <c r="T57" s="772"/>
      <c r="U57" s="772"/>
      <c r="V57" s="772"/>
      <c r="W57" s="772"/>
      <c r="X57" s="772"/>
      <c r="Y57" s="772"/>
      <c r="Z57" s="772"/>
      <c r="AA57" s="772"/>
      <c r="AB57" s="772"/>
      <c r="AC57" s="772"/>
      <c r="AD57" s="772"/>
      <c r="AE57" s="772"/>
      <c r="AF57" s="772"/>
      <c r="AG57" s="772"/>
      <c r="AH57" s="772"/>
      <c r="AI57" s="772"/>
    </row>
    <row r="58" ht="15.75" customHeight="1">
      <c r="A58" s="772"/>
      <c r="B58" s="772"/>
      <c r="C58" s="772"/>
      <c r="D58" s="772"/>
      <c r="E58" s="772"/>
      <c r="F58" s="772"/>
      <c r="G58" s="772"/>
      <c r="H58" s="772"/>
      <c r="I58" s="772"/>
      <c r="J58" s="772"/>
      <c r="K58" s="772"/>
      <c r="L58" s="772"/>
      <c r="M58" s="772"/>
      <c r="N58" s="772"/>
      <c r="O58" s="772"/>
      <c r="P58" s="772"/>
      <c r="Q58" s="772"/>
      <c r="R58" s="772"/>
      <c r="S58" s="772"/>
      <c r="T58" s="772"/>
      <c r="U58" s="772"/>
      <c r="V58" s="772"/>
      <c r="W58" s="772"/>
      <c r="X58" s="772"/>
      <c r="Y58" s="772"/>
      <c r="Z58" s="772"/>
      <c r="AA58" s="772"/>
      <c r="AB58" s="772"/>
      <c r="AC58" s="772"/>
      <c r="AD58" s="772"/>
      <c r="AE58" s="772"/>
      <c r="AF58" s="772"/>
      <c r="AG58" s="772"/>
      <c r="AH58" s="772"/>
      <c r="AI58" s="772"/>
    </row>
    <row r="59" ht="15.75" customHeight="1">
      <c r="A59" s="772"/>
      <c r="B59" s="772"/>
      <c r="C59" s="772"/>
      <c r="D59" s="772"/>
      <c r="E59" s="772"/>
      <c r="F59" s="772"/>
      <c r="G59" s="772"/>
      <c r="H59" s="772"/>
      <c r="I59" s="772"/>
      <c r="J59" s="772"/>
      <c r="K59" s="772"/>
      <c r="L59" s="772"/>
      <c r="M59" s="772"/>
      <c r="N59" s="772"/>
      <c r="O59" s="772"/>
      <c r="P59" s="772"/>
      <c r="Q59" s="772"/>
      <c r="R59" s="772"/>
      <c r="S59" s="772"/>
      <c r="T59" s="772"/>
      <c r="U59" s="772"/>
      <c r="V59" s="772"/>
      <c r="W59" s="772"/>
      <c r="X59" s="772"/>
      <c r="Y59" s="772"/>
      <c r="Z59" s="772"/>
      <c r="AA59" s="772"/>
      <c r="AB59" s="772"/>
      <c r="AC59" s="772"/>
      <c r="AD59" s="772"/>
      <c r="AE59" s="772"/>
      <c r="AF59" s="772"/>
      <c r="AG59" s="772"/>
      <c r="AH59" s="772"/>
      <c r="AI59" s="772"/>
    </row>
    <row r="60" ht="15.75" customHeight="1">
      <c r="A60" s="772"/>
      <c r="B60" s="772"/>
      <c r="C60" s="772"/>
      <c r="D60" s="772"/>
      <c r="E60" s="772"/>
      <c r="F60" s="772"/>
      <c r="G60" s="772"/>
      <c r="H60" s="772"/>
      <c r="I60" s="772"/>
      <c r="J60" s="772"/>
      <c r="K60" s="772"/>
      <c r="L60" s="772"/>
      <c r="M60" s="772"/>
      <c r="N60" s="772"/>
      <c r="O60" s="772"/>
      <c r="P60" s="772"/>
      <c r="Q60" s="772"/>
      <c r="R60" s="772"/>
      <c r="S60" s="772"/>
      <c r="T60" s="772"/>
      <c r="U60" s="772"/>
      <c r="V60" s="772"/>
      <c r="W60" s="772"/>
      <c r="X60" s="772"/>
      <c r="Y60" s="772"/>
      <c r="Z60" s="772"/>
      <c r="AA60" s="772"/>
      <c r="AB60" s="772"/>
      <c r="AC60" s="772"/>
      <c r="AD60" s="772"/>
      <c r="AE60" s="772"/>
      <c r="AF60" s="772"/>
      <c r="AG60" s="772"/>
      <c r="AH60" s="772"/>
      <c r="AI60" s="772"/>
    </row>
    <row r="61" ht="15.75" customHeight="1">
      <c r="A61" s="772"/>
      <c r="B61" s="772"/>
      <c r="C61" s="772"/>
      <c r="D61" s="772"/>
      <c r="E61" s="772"/>
      <c r="F61" s="772"/>
      <c r="G61" s="772"/>
      <c r="H61" s="772"/>
      <c r="I61" s="772"/>
      <c r="J61" s="772"/>
      <c r="K61" s="772"/>
      <c r="L61" s="772"/>
      <c r="M61" s="772"/>
      <c r="N61" s="772"/>
      <c r="O61" s="772"/>
      <c r="P61" s="772"/>
      <c r="Q61" s="772"/>
      <c r="R61" s="772"/>
      <c r="S61" s="772"/>
      <c r="T61" s="772"/>
      <c r="U61" s="772"/>
      <c r="V61" s="772"/>
      <c r="W61" s="772"/>
      <c r="X61" s="772"/>
      <c r="Y61" s="772"/>
      <c r="Z61" s="772"/>
      <c r="AA61" s="772"/>
      <c r="AB61" s="772"/>
      <c r="AC61" s="772"/>
      <c r="AD61" s="772"/>
      <c r="AE61" s="772"/>
      <c r="AF61" s="772"/>
      <c r="AG61" s="772"/>
      <c r="AH61" s="772"/>
      <c r="AI61" s="772"/>
    </row>
    <row r="62" ht="15.75" customHeight="1">
      <c r="A62" s="772"/>
      <c r="B62" s="772"/>
      <c r="C62" s="772"/>
      <c r="D62" s="772"/>
      <c r="E62" s="772"/>
      <c r="F62" s="772"/>
      <c r="G62" s="772"/>
      <c r="H62" s="772"/>
      <c r="I62" s="772"/>
      <c r="J62" s="772"/>
      <c r="K62" s="772"/>
      <c r="L62" s="772"/>
      <c r="M62" s="772"/>
      <c r="N62" s="772"/>
      <c r="O62" s="772"/>
      <c r="P62" s="772"/>
      <c r="Q62" s="772"/>
      <c r="R62" s="772"/>
      <c r="S62" s="772"/>
      <c r="T62" s="772"/>
      <c r="U62" s="772"/>
      <c r="V62" s="772"/>
      <c r="W62" s="772"/>
      <c r="X62" s="772"/>
      <c r="Y62" s="772"/>
      <c r="Z62" s="772"/>
      <c r="AA62" s="772"/>
      <c r="AB62" s="772"/>
      <c r="AC62" s="772"/>
      <c r="AD62" s="772"/>
      <c r="AE62" s="772"/>
      <c r="AF62" s="772"/>
      <c r="AG62" s="772"/>
      <c r="AH62" s="772"/>
      <c r="AI62" s="772"/>
    </row>
    <row r="63" ht="15.75" customHeight="1">
      <c r="A63" s="772"/>
      <c r="B63" s="772"/>
      <c r="C63" s="772"/>
      <c r="D63" s="772"/>
      <c r="E63" s="772"/>
      <c r="F63" s="772"/>
      <c r="G63" s="772"/>
      <c r="H63" s="772"/>
      <c r="I63" s="772"/>
      <c r="J63" s="772"/>
      <c r="K63" s="772"/>
      <c r="L63" s="772"/>
      <c r="M63" s="772"/>
      <c r="N63" s="772"/>
      <c r="O63" s="772"/>
      <c r="P63" s="772"/>
      <c r="Q63" s="772"/>
      <c r="R63" s="772"/>
      <c r="S63" s="772"/>
      <c r="T63" s="772"/>
      <c r="U63" s="772"/>
      <c r="V63" s="772"/>
      <c r="W63" s="772"/>
      <c r="X63" s="772"/>
      <c r="Y63" s="772"/>
      <c r="Z63" s="772"/>
      <c r="AA63" s="772"/>
      <c r="AB63" s="772"/>
      <c r="AC63" s="772"/>
      <c r="AD63" s="772"/>
      <c r="AE63" s="772"/>
      <c r="AF63" s="772"/>
      <c r="AG63" s="772"/>
      <c r="AH63" s="772"/>
      <c r="AI63" s="772"/>
    </row>
    <row r="64" ht="15.75" customHeight="1">
      <c r="A64" s="772"/>
      <c r="B64" s="772"/>
      <c r="C64" s="772"/>
      <c r="D64" s="772"/>
      <c r="E64" s="772"/>
      <c r="F64" s="772"/>
      <c r="G64" s="772"/>
      <c r="H64" s="772"/>
      <c r="I64" s="772"/>
      <c r="J64" s="772"/>
      <c r="K64" s="772"/>
      <c r="L64" s="772"/>
      <c r="M64" s="772"/>
      <c r="N64" s="772"/>
      <c r="O64" s="772"/>
      <c r="P64" s="772"/>
      <c r="Q64" s="772"/>
      <c r="R64" s="772"/>
      <c r="S64" s="772"/>
      <c r="T64" s="772"/>
      <c r="U64" s="772"/>
      <c r="V64" s="772"/>
      <c r="W64" s="772"/>
      <c r="X64" s="772"/>
      <c r="Y64" s="772"/>
      <c r="Z64" s="772"/>
      <c r="AA64" s="772"/>
      <c r="AB64" s="772"/>
      <c r="AC64" s="772"/>
      <c r="AD64" s="772"/>
      <c r="AE64" s="772"/>
      <c r="AF64" s="772"/>
      <c r="AG64" s="772"/>
      <c r="AH64" s="772"/>
      <c r="AI64" s="772"/>
    </row>
    <row r="65" ht="15.75" customHeight="1">
      <c r="A65" s="772"/>
      <c r="B65" s="772"/>
      <c r="C65" s="772"/>
      <c r="D65" s="772"/>
      <c r="E65" s="772"/>
      <c r="F65" s="772"/>
      <c r="G65" s="772"/>
      <c r="H65" s="772"/>
      <c r="I65" s="772"/>
      <c r="J65" s="772"/>
      <c r="K65" s="772"/>
      <c r="L65" s="772"/>
      <c r="M65" s="772"/>
      <c r="N65" s="772"/>
      <c r="O65" s="772"/>
      <c r="P65" s="772"/>
      <c r="Q65" s="772"/>
      <c r="R65" s="772"/>
      <c r="S65" s="772"/>
      <c r="T65" s="772"/>
      <c r="U65" s="772"/>
      <c r="V65" s="772"/>
      <c r="W65" s="772"/>
      <c r="X65" s="772"/>
      <c r="Y65" s="772"/>
      <c r="Z65" s="772"/>
      <c r="AA65" s="772"/>
      <c r="AB65" s="772"/>
      <c r="AC65" s="772"/>
      <c r="AD65" s="772"/>
      <c r="AE65" s="772"/>
      <c r="AF65" s="772"/>
      <c r="AG65" s="772"/>
      <c r="AH65" s="772"/>
      <c r="AI65" s="772"/>
    </row>
    <row r="66" ht="15.75" customHeight="1">
      <c r="A66" s="772"/>
      <c r="B66" s="772"/>
      <c r="C66" s="772"/>
      <c r="D66" s="772"/>
      <c r="E66" s="772"/>
      <c r="F66" s="772"/>
      <c r="G66" s="772"/>
      <c r="H66" s="772"/>
      <c r="I66" s="772"/>
      <c r="J66" s="772"/>
      <c r="K66" s="772"/>
      <c r="L66" s="772"/>
      <c r="M66" s="772"/>
      <c r="N66" s="772"/>
      <c r="O66" s="772"/>
      <c r="P66" s="772"/>
      <c r="Q66" s="772"/>
      <c r="R66" s="772"/>
      <c r="S66" s="772"/>
      <c r="T66" s="772"/>
      <c r="U66" s="772"/>
      <c r="V66" s="772"/>
      <c r="W66" s="772"/>
      <c r="X66" s="772"/>
      <c r="Y66" s="772"/>
      <c r="Z66" s="772"/>
      <c r="AA66" s="772"/>
      <c r="AB66" s="772"/>
      <c r="AC66" s="772"/>
      <c r="AD66" s="772"/>
      <c r="AE66" s="772"/>
      <c r="AF66" s="772"/>
      <c r="AG66" s="772"/>
      <c r="AH66" s="772"/>
      <c r="AI66" s="772"/>
    </row>
    <row r="67" ht="15.75" customHeight="1">
      <c r="A67" s="772"/>
      <c r="B67" s="772"/>
      <c r="C67" s="772"/>
      <c r="D67" s="772"/>
      <c r="E67" s="772"/>
      <c r="F67" s="772"/>
      <c r="G67" s="772"/>
      <c r="H67" s="772"/>
      <c r="I67" s="772"/>
      <c r="J67" s="772"/>
      <c r="K67" s="772"/>
      <c r="L67" s="772"/>
      <c r="M67" s="772"/>
      <c r="N67" s="772"/>
      <c r="O67" s="772"/>
      <c r="P67" s="772"/>
      <c r="Q67" s="772"/>
      <c r="R67" s="772"/>
      <c r="S67" s="772"/>
      <c r="T67" s="772"/>
      <c r="U67" s="772"/>
      <c r="V67" s="772"/>
      <c r="W67" s="772"/>
      <c r="X67" s="772"/>
      <c r="Y67" s="772"/>
      <c r="Z67" s="772"/>
      <c r="AA67" s="772"/>
      <c r="AB67" s="772"/>
      <c r="AC67" s="772"/>
      <c r="AD67" s="772"/>
      <c r="AE67" s="772"/>
      <c r="AF67" s="772"/>
      <c r="AG67" s="772"/>
      <c r="AH67" s="772"/>
      <c r="AI67" s="772"/>
    </row>
    <row r="68" ht="15.75" customHeight="1">
      <c r="A68" s="772"/>
      <c r="B68" s="772"/>
      <c r="C68" s="772"/>
      <c r="D68" s="772"/>
      <c r="E68" s="772"/>
      <c r="F68" s="772"/>
      <c r="G68" s="772"/>
      <c r="H68" s="772"/>
      <c r="I68" s="772"/>
      <c r="J68" s="772"/>
      <c r="K68" s="772"/>
      <c r="L68" s="772"/>
      <c r="M68" s="772"/>
      <c r="N68" s="772"/>
      <c r="O68" s="772"/>
      <c r="P68" s="772"/>
      <c r="Q68" s="772"/>
      <c r="R68" s="772"/>
      <c r="S68" s="772"/>
      <c r="T68" s="772"/>
      <c r="U68" s="772"/>
      <c r="V68" s="772"/>
      <c r="W68" s="772"/>
      <c r="X68" s="772"/>
      <c r="Y68" s="772"/>
      <c r="Z68" s="772"/>
      <c r="AA68" s="772"/>
      <c r="AB68" s="772"/>
      <c r="AC68" s="772"/>
      <c r="AD68" s="772"/>
      <c r="AE68" s="772"/>
      <c r="AF68" s="772"/>
      <c r="AG68" s="772"/>
      <c r="AH68" s="772"/>
      <c r="AI68" s="772"/>
    </row>
    <row r="69" ht="15.75" customHeight="1">
      <c r="A69" s="772"/>
      <c r="B69" s="772"/>
      <c r="C69" s="772"/>
      <c r="D69" s="772"/>
      <c r="E69" s="772"/>
      <c r="F69" s="772"/>
      <c r="G69" s="772"/>
      <c r="H69" s="772"/>
      <c r="I69" s="772"/>
      <c r="J69" s="772"/>
      <c r="K69" s="772"/>
      <c r="L69" s="772"/>
      <c r="M69" s="772"/>
      <c r="N69" s="772"/>
      <c r="O69" s="772"/>
      <c r="P69" s="772"/>
      <c r="Q69" s="772"/>
      <c r="R69" s="772"/>
      <c r="S69" s="772"/>
      <c r="T69" s="772"/>
      <c r="U69" s="772"/>
      <c r="V69" s="772"/>
      <c r="W69" s="772"/>
      <c r="X69" s="772"/>
      <c r="Y69" s="772"/>
      <c r="Z69" s="772"/>
      <c r="AA69" s="772"/>
      <c r="AB69" s="772"/>
      <c r="AC69" s="772"/>
      <c r="AD69" s="772"/>
      <c r="AE69" s="772"/>
      <c r="AF69" s="772"/>
      <c r="AG69" s="772"/>
      <c r="AH69" s="772"/>
      <c r="AI69" s="772"/>
    </row>
    <row r="70" ht="15.75" customHeight="1">
      <c r="A70" s="772"/>
      <c r="B70" s="772"/>
      <c r="C70" s="772"/>
      <c r="D70" s="772"/>
      <c r="E70" s="772"/>
      <c r="F70" s="772"/>
      <c r="G70" s="772"/>
      <c r="H70" s="772"/>
      <c r="I70" s="772"/>
      <c r="J70" s="772"/>
      <c r="K70" s="772"/>
      <c r="L70" s="772"/>
      <c r="M70" s="772"/>
      <c r="N70" s="772"/>
      <c r="O70" s="772"/>
      <c r="P70" s="772"/>
      <c r="Q70" s="772"/>
      <c r="R70" s="772"/>
      <c r="S70" s="772"/>
      <c r="T70" s="772"/>
      <c r="U70" s="772"/>
      <c r="V70" s="772"/>
      <c r="W70" s="772"/>
      <c r="X70" s="772"/>
      <c r="Y70" s="772"/>
      <c r="Z70" s="772"/>
      <c r="AA70" s="772"/>
      <c r="AB70" s="772"/>
      <c r="AC70" s="772"/>
      <c r="AD70" s="772"/>
      <c r="AE70" s="772"/>
      <c r="AF70" s="772"/>
      <c r="AG70" s="772"/>
      <c r="AH70" s="772"/>
      <c r="AI70" s="772"/>
    </row>
    <row r="71" ht="15.75" customHeight="1">
      <c r="A71" s="772"/>
      <c r="B71" s="772"/>
      <c r="C71" s="772"/>
      <c r="D71" s="772"/>
      <c r="E71" s="772"/>
      <c r="F71" s="772"/>
      <c r="G71" s="772"/>
      <c r="H71" s="772"/>
      <c r="I71" s="772"/>
      <c r="J71" s="772"/>
      <c r="K71" s="772"/>
      <c r="L71" s="772"/>
      <c r="M71" s="772"/>
      <c r="N71" s="772"/>
      <c r="O71" s="772"/>
      <c r="P71" s="772"/>
      <c r="Q71" s="772"/>
      <c r="R71" s="772"/>
      <c r="S71" s="772"/>
      <c r="T71" s="772"/>
      <c r="U71" s="772"/>
      <c r="V71" s="772"/>
      <c r="W71" s="772"/>
      <c r="X71" s="772"/>
      <c r="Y71" s="772"/>
      <c r="Z71" s="772"/>
      <c r="AA71" s="772"/>
      <c r="AB71" s="772"/>
      <c r="AC71" s="772"/>
      <c r="AD71" s="772"/>
      <c r="AE71" s="772"/>
      <c r="AF71" s="772"/>
      <c r="AG71" s="772"/>
      <c r="AH71" s="772"/>
      <c r="AI71" s="772"/>
    </row>
    <row r="72" ht="15.75" customHeight="1">
      <c r="A72" s="772"/>
      <c r="B72" s="772"/>
      <c r="C72" s="772"/>
      <c r="D72" s="772"/>
      <c r="E72" s="772"/>
      <c r="F72" s="772"/>
      <c r="G72" s="772"/>
      <c r="H72" s="772"/>
      <c r="I72" s="772"/>
      <c r="J72" s="772"/>
      <c r="K72" s="772"/>
      <c r="L72" s="772"/>
      <c r="M72" s="772"/>
      <c r="N72" s="772"/>
      <c r="O72" s="772"/>
      <c r="P72" s="772"/>
      <c r="Q72" s="772"/>
      <c r="R72" s="772"/>
      <c r="S72" s="772"/>
      <c r="T72" s="772"/>
      <c r="U72" s="772"/>
      <c r="V72" s="772"/>
      <c r="W72" s="772"/>
      <c r="X72" s="772"/>
      <c r="Y72" s="772"/>
      <c r="Z72" s="772"/>
      <c r="AA72" s="772"/>
      <c r="AB72" s="772"/>
      <c r="AC72" s="772"/>
      <c r="AD72" s="772"/>
      <c r="AE72" s="772"/>
      <c r="AF72" s="772"/>
      <c r="AG72" s="772"/>
      <c r="AH72" s="772"/>
      <c r="AI72" s="772"/>
    </row>
    <row r="73" ht="15.75" customHeight="1">
      <c r="A73" s="772"/>
      <c r="B73" s="772"/>
      <c r="C73" s="772"/>
      <c r="D73" s="772"/>
      <c r="E73" s="772"/>
      <c r="F73" s="772"/>
      <c r="G73" s="772"/>
      <c r="H73" s="772"/>
      <c r="I73" s="772"/>
      <c r="J73" s="772"/>
      <c r="K73" s="772"/>
      <c r="L73" s="772"/>
      <c r="M73" s="772"/>
      <c r="N73" s="772"/>
      <c r="O73" s="772"/>
      <c r="P73" s="772"/>
      <c r="Q73" s="772"/>
      <c r="R73" s="772"/>
      <c r="S73" s="772"/>
      <c r="T73" s="772"/>
      <c r="U73" s="772"/>
      <c r="V73" s="772"/>
      <c r="W73" s="772"/>
      <c r="X73" s="772"/>
      <c r="Y73" s="772"/>
      <c r="Z73" s="772"/>
      <c r="AA73" s="772"/>
      <c r="AB73" s="772"/>
      <c r="AC73" s="772"/>
      <c r="AD73" s="772"/>
      <c r="AE73" s="772"/>
      <c r="AF73" s="772"/>
      <c r="AG73" s="772"/>
      <c r="AH73" s="772"/>
      <c r="AI73" s="772"/>
    </row>
    <row r="74" ht="15.75" customHeight="1">
      <c r="A74" s="772"/>
      <c r="B74" s="772"/>
      <c r="C74" s="772"/>
      <c r="D74" s="772"/>
      <c r="E74" s="772"/>
      <c r="F74" s="772"/>
      <c r="G74" s="772"/>
      <c r="H74" s="772"/>
      <c r="I74" s="772"/>
      <c r="J74" s="772"/>
      <c r="K74" s="772"/>
      <c r="L74" s="772"/>
      <c r="M74" s="772"/>
      <c r="N74" s="772"/>
      <c r="O74" s="772"/>
      <c r="P74" s="772"/>
      <c r="Q74" s="772"/>
      <c r="R74" s="772"/>
      <c r="S74" s="772"/>
      <c r="T74" s="772"/>
      <c r="U74" s="772"/>
      <c r="V74" s="772"/>
      <c r="W74" s="772"/>
      <c r="X74" s="772"/>
      <c r="Y74" s="772"/>
      <c r="Z74" s="772"/>
      <c r="AA74" s="772"/>
      <c r="AB74" s="772"/>
      <c r="AC74" s="772"/>
      <c r="AD74" s="772"/>
      <c r="AE74" s="772"/>
      <c r="AF74" s="772"/>
      <c r="AG74" s="772"/>
      <c r="AH74" s="772"/>
      <c r="AI74" s="772"/>
    </row>
    <row r="75" ht="15.75" customHeight="1">
      <c r="A75" s="772"/>
      <c r="B75" s="772"/>
      <c r="C75" s="772"/>
      <c r="D75" s="772"/>
      <c r="E75" s="772"/>
      <c r="F75" s="772"/>
      <c r="G75" s="772"/>
      <c r="H75" s="772"/>
      <c r="I75" s="772"/>
      <c r="J75" s="772"/>
      <c r="K75" s="772"/>
      <c r="L75" s="772"/>
      <c r="M75" s="772"/>
      <c r="N75" s="772"/>
      <c r="O75" s="772"/>
      <c r="P75" s="772"/>
      <c r="Q75" s="772"/>
      <c r="R75" s="772"/>
      <c r="S75" s="772"/>
      <c r="T75" s="772"/>
      <c r="U75" s="772"/>
      <c r="V75" s="772"/>
      <c r="W75" s="772"/>
      <c r="X75" s="772"/>
      <c r="Y75" s="772"/>
      <c r="Z75" s="772"/>
      <c r="AA75" s="772"/>
      <c r="AB75" s="772"/>
      <c r="AC75" s="772"/>
      <c r="AD75" s="772"/>
      <c r="AE75" s="772"/>
      <c r="AF75" s="772"/>
      <c r="AG75" s="772"/>
      <c r="AH75" s="772"/>
      <c r="AI75" s="772"/>
    </row>
    <row r="76" ht="15.75" customHeight="1">
      <c r="A76" s="772"/>
      <c r="B76" s="772"/>
      <c r="C76" s="772"/>
      <c r="D76" s="772"/>
      <c r="E76" s="772"/>
      <c r="F76" s="772"/>
      <c r="G76" s="772"/>
      <c r="H76" s="772"/>
      <c r="I76" s="772"/>
      <c r="J76" s="772"/>
      <c r="K76" s="772"/>
      <c r="L76" s="772"/>
      <c r="M76" s="772"/>
      <c r="N76" s="772"/>
      <c r="O76" s="772"/>
      <c r="P76" s="772"/>
      <c r="Q76" s="772"/>
      <c r="R76" s="772"/>
      <c r="S76" s="772"/>
      <c r="T76" s="772"/>
      <c r="U76" s="772"/>
      <c r="V76" s="772"/>
      <c r="W76" s="772"/>
      <c r="X76" s="772"/>
      <c r="Y76" s="772"/>
      <c r="Z76" s="772"/>
      <c r="AA76" s="772"/>
      <c r="AB76" s="772"/>
      <c r="AC76" s="772"/>
      <c r="AD76" s="772"/>
      <c r="AE76" s="772"/>
      <c r="AF76" s="772"/>
      <c r="AG76" s="772"/>
      <c r="AH76" s="772"/>
      <c r="AI76" s="772"/>
    </row>
    <row r="77" ht="15.75" customHeight="1">
      <c r="A77" s="772"/>
      <c r="B77" s="772"/>
      <c r="C77" s="772"/>
      <c r="D77" s="772"/>
      <c r="E77" s="772"/>
      <c r="F77" s="772"/>
      <c r="G77" s="772"/>
      <c r="H77" s="772"/>
      <c r="I77" s="772"/>
      <c r="J77" s="772"/>
      <c r="K77" s="772"/>
      <c r="L77" s="772"/>
      <c r="M77" s="772"/>
      <c r="N77" s="772"/>
      <c r="O77" s="772"/>
      <c r="P77" s="772"/>
      <c r="Q77" s="772"/>
      <c r="R77" s="772"/>
      <c r="S77" s="772"/>
      <c r="T77" s="772"/>
      <c r="U77" s="772"/>
      <c r="V77" s="772"/>
      <c r="W77" s="772"/>
      <c r="X77" s="772"/>
      <c r="Y77" s="772"/>
      <c r="Z77" s="772"/>
      <c r="AA77" s="772"/>
      <c r="AB77" s="772"/>
      <c r="AC77" s="772"/>
      <c r="AD77" s="772"/>
      <c r="AE77" s="772"/>
      <c r="AF77" s="772"/>
      <c r="AG77" s="772"/>
      <c r="AH77" s="772"/>
      <c r="AI77" s="772"/>
    </row>
    <row r="78" ht="15.75" customHeight="1">
      <c r="A78" s="772"/>
      <c r="B78" s="772"/>
      <c r="C78" s="772"/>
      <c r="D78" s="772"/>
      <c r="E78" s="772"/>
      <c r="F78" s="772"/>
      <c r="G78" s="772"/>
      <c r="H78" s="772"/>
      <c r="I78" s="772"/>
      <c r="J78" s="772"/>
      <c r="K78" s="772"/>
      <c r="L78" s="772"/>
      <c r="M78" s="772"/>
      <c r="N78" s="772"/>
      <c r="O78" s="772"/>
      <c r="P78" s="772"/>
      <c r="Q78" s="772"/>
      <c r="R78" s="772"/>
      <c r="S78" s="772"/>
      <c r="T78" s="772"/>
      <c r="U78" s="772"/>
      <c r="V78" s="772"/>
      <c r="W78" s="772"/>
      <c r="X78" s="772"/>
      <c r="Y78" s="772"/>
      <c r="Z78" s="772"/>
      <c r="AA78" s="772"/>
      <c r="AB78" s="772"/>
      <c r="AC78" s="772"/>
      <c r="AD78" s="772"/>
      <c r="AE78" s="772"/>
      <c r="AF78" s="772"/>
      <c r="AG78" s="772"/>
      <c r="AH78" s="772"/>
      <c r="AI78" s="772"/>
    </row>
    <row r="79" ht="15.75" customHeight="1">
      <c r="A79" s="772"/>
      <c r="B79" s="772"/>
      <c r="C79" s="772"/>
      <c r="D79" s="772"/>
      <c r="E79" s="772"/>
      <c r="F79" s="772"/>
      <c r="G79" s="772"/>
      <c r="H79" s="772"/>
      <c r="I79" s="772"/>
      <c r="J79" s="772"/>
      <c r="K79" s="772"/>
      <c r="L79" s="772"/>
      <c r="M79" s="772"/>
      <c r="N79" s="772"/>
      <c r="O79" s="772"/>
      <c r="P79" s="772"/>
      <c r="Q79" s="772"/>
      <c r="R79" s="772"/>
      <c r="S79" s="772"/>
      <c r="T79" s="772"/>
      <c r="U79" s="772"/>
      <c r="V79" s="772"/>
      <c r="W79" s="772"/>
      <c r="X79" s="772"/>
      <c r="Y79" s="772"/>
      <c r="Z79" s="772"/>
      <c r="AA79" s="772"/>
      <c r="AB79" s="772"/>
      <c r="AC79" s="772"/>
      <c r="AD79" s="772"/>
      <c r="AE79" s="772"/>
      <c r="AF79" s="772"/>
      <c r="AG79" s="772"/>
      <c r="AH79" s="772"/>
      <c r="AI79" s="772"/>
    </row>
    <row r="80" ht="15.75" customHeight="1">
      <c r="A80" s="772"/>
      <c r="B80" s="772"/>
      <c r="C80" s="772"/>
      <c r="D80" s="772"/>
      <c r="E80" s="772"/>
      <c r="F80" s="772"/>
      <c r="G80" s="772"/>
      <c r="H80" s="772"/>
      <c r="I80" s="772"/>
      <c r="J80" s="772"/>
      <c r="K80" s="772"/>
      <c r="L80" s="772"/>
      <c r="M80" s="772"/>
      <c r="N80" s="772"/>
      <c r="O80" s="772"/>
      <c r="P80" s="772"/>
      <c r="Q80" s="772"/>
      <c r="R80" s="772"/>
      <c r="S80" s="772"/>
      <c r="T80" s="772"/>
      <c r="U80" s="772"/>
      <c r="V80" s="772"/>
      <c r="W80" s="772"/>
      <c r="X80" s="772"/>
      <c r="Y80" s="772"/>
      <c r="Z80" s="772"/>
      <c r="AA80" s="772"/>
      <c r="AB80" s="772"/>
      <c r="AC80" s="772"/>
      <c r="AD80" s="772"/>
      <c r="AE80" s="772"/>
      <c r="AF80" s="772"/>
      <c r="AG80" s="772"/>
      <c r="AH80" s="772"/>
      <c r="AI80" s="772"/>
    </row>
    <row r="81" ht="15.75" customHeight="1">
      <c r="A81" s="772"/>
      <c r="B81" s="772"/>
      <c r="C81" s="772"/>
      <c r="D81" s="772"/>
      <c r="E81" s="772"/>
      <c r="F81" s="772"/>
      <c r="G81" s="772"/>
      <c r="H81" s="772"/>
      <c r="I81" s="772"/>
      <c r="J81" s="772"/>
      <c r="K81" s="772"/>
      <c r="L81" s="772"/>
      <c r="M81" s="772"/>
      <c r="N81" s="772"/>
      <c r="O81" s="772"/>
      <c r="P81" s="772"/>
      <c r="Q81" s="772"/>
      <c r="R81" s="772"/>
      <c r="S81" s="772"/>
      <c r="T81" s="772"/>
      <c r="U81" s="772"/>
      <c r="V81" s="772"/>
      <c r="W81" s="772"/>
      <c r="X81" s="772"/>
      <c r="Y81" s="772"/>
      <c r="Z81" s="772"/>
      <c r="AA81" s="772"/>
      <c r="AB81" s="772"/>
      <c r="AC81" s="772"/>
      <c r="AD81" s="772"/>
      <c r="AE81" s="772"/>
      <c r="AF81" s="772"/>
      <c r="AG81" s="772"/>
      <c r="AH81" s="772"/>
      <c r="AI81" s="772"/>
    </row>
    <row r="82" ht="15.75" customHeight="1">
      <c r="A82" s="772"/>
      <c r="B82" s="772"/>
      <c r="C82" s="772"/>
      <c r="D82" s="772"/>
      <c r="E82" s="772"/>
      <c r="F82" s="772"/>
      <c r="G82" s="772"/>
      <c r="H82" s="772"/>
      <c r="I82" s="772"/>
      <c r="J82" s="772"/>
      <c r="K82" s="772"/>
      <c r="L82" s="772"/>
      <c r="M82" s="772"/>
      <c r="N82" s="772"/>
      <c r="O82" s="772"/>
      <c r="P82" s="772"/>
      <c r="Q82" s="772"/>
      <c r="R82" s="772"/>
      <c r="S82" s="772"/>
      <c r="T82" s="772"/>
      <c r="U82" s="772"/>
      <c r="V82" s="772"/>
      <c r="W82" s="772"/>
      <c r="X82" s="772"/>
      <c r="Y82" s="772"/>
      <c r="Z82" s="772"/>
      <c r="AA82" s="772"/>
      <c r="AB82" s="772"/>
      <c r="AC82" s="772"/>
      <c r="AD82" s="772"/>
      <c r="AE82" s="772"/>
      <c r="AF82" s="772"/>
      <c r="AG82" s="772"/>
      <c r="AH82" s="772"/>
      <c r="AI82" s="772"/>
    </row>
    <row r="83" ht="15.75" customHeight="1">
      <c r="A83" s="772"/>
      <c r="B83" s="772"/>
      <c r="C83" s="772"/>
      <c r="D83" s="772"/>
      <c r="E83" s="772"/>
      <c r="F83" s="772"/>
      <c r="G83" s="772"/>
      <c r="H83" s="772"/>
      <c r="I83" s="772"/>
      <c r="J83" s="772"/>
      <c r="K83" s="772"/>
      <c r="L83" s="772"/>
      <c r="M83" s="772"/>
      <c r="N83" s="772"/>
      <c r="O83" s="772"/>
      <c r="P83" s="772"/>
      <c r="Q83" s="772"/>
      <c r="R83" s="772"/>
      <c r="S83" s="772"/>
      <c r="T83" s="772"/>
      <c r="U83" s="772"/>
      <c r="V83" s="772"/>
      <c r="W83" s="772"/>
      <c r="X83" s="772"/>
      <c r="Y83" s="772"/>
      <c r="Z83" s="772"/>
      <c r="AA83" s="772"/>
      <c r="AB83" s="772"/>
      <c r="AC83" s="772"/>
      <c r="AD83" s="772"/>
      <c r="AE83" s="772"/>
      <c r="AF83" s="772"/>
      <c r="AG83" s="772"/>
      <c r="AH83" s="772"/>
      <c r="AI83" s="772"/>
    </row>
    <row r="84" ht="15.75" customHeight="1">
      <c r="A84" s="772"/>
      <c r="B84" s="772"/>
      <c r="C84" s="772"/>
      <c r="D84" s="772"/>
      <c r="E84" s="772"/>
      <c r="F84" s="772"/>
      <c r="G84" s="772"/>
      <c r="H84" s="772"/>
      <c r="I84" s="772"/>
      <c r="J84" s="772"/>
      <c r="K84" s="772"/>
      <c r="L84" s="772"/>
      <c r="M84" s="772"/>
      <c r="N84" s="772"/>
      <c r="O84" s="772"/>
      <c r="P84" s="772"/>
      <c r="Q84" s="772"/>
      <c r="R84" s="772"/>
      <c r="S84" s="772"/>
      <c r="T84" s="772"/>
      <c r="U84" s="772"/>
      <c r="V84" s="772"/>
      <c r="W84" s="772"/>
      <c r="X84" s="772"/>
      <c r="Y84" s="772"/>
      <c r="Z84" s="772"/>
      <c r="AA84" s="772"/>
      <c r="AB84" s="772"/>
      <c r="AC84" s="772"/>
      <c r="AD84" s="772"/>
      <c r="AE84" s="772"/>
      <c r="AF84" s="772"/>
      <c r="AG84" s="772"/>
      <c r="AH84" s="772"/>
      <c r="AI84" s="772"/>
    </row>
    <row r="85" ht="15.75" customHeight="1">
      <c r="A85" s="772"/>
      <c r="B85" s="772"/>
      <c r="C85" s="772"/>
      <c r="D85" s="772"/>
      <c r="E85" s="772"/>
      <c r="F85" s="772"/>
      <c r="G85" s="772"/>
      <c r="H85" s="772"/>
      <c r="I85" s="772"/>
      <c r="J85" s="772"/>
      <c r="K85" s="772"/>
      <c r="L85" s="772"/>
      <c r="M85" s="772"/>
      <c r="N85" s="772"/>
      <c r="O85" s="772"/>
      <c r="P85" s="772"/>
      <c r="Q85" s="772"/>
      <c r="R85" s="772"/>
      <c r="S85" s="772"/>
      <c r="T85" s="772"/>
      <c r="U85" s="772"/>
      <c r="V85" s="772"/>
      <c r="W85" s="772"/>
      <c r="X85" s="772"/>
      <c r="Y85" s="772"/>
      <c r="Z85" s="772"/>
      <c r="AA85" s="772"/>
      <c r="AB85" s="772"/>
      <c r="AC85" s="772"/>
      <c r="AD85" s="772"/>
      <c r="AE85" s="772"/>
      <c r="AF85" s="772"/>
      <c r="AG85" s="772"/>
      <c r="AH85" s="772"/>
      <c r="AI85" s="772"/>
    </row>
    <row r="86" ht="15.75" customHeight="1">
      <c r="A86" s="772"/>
      <c r="B86" s="772"/>
      <c r="C86" s="772"/>
      <c r="D86" s="772"/>
      <c r="E86" s="772"/>
      <c r="F86" s="772"/>
      <c r="G86" s="772"/>
      <c r="H86" s="772"/>
      <c r="I86" s="772"/>
      <c r="J86" s="772"/>
      <c r="K86" s="772"/>
      <c r="L86" s="772"/>
      <c r="M86" s="772"/>
      <c r="N86" s="772"/>
      <c r="O86" s="772"/>
      <c r="P86" s="772"/>
      <c r="Q86" s="772"/>
      <c r="R86" s="772"/>
      <c r="S86" s="772"/>
      <c r="T86" s="772"/>
      <c r="U86" s="772"/>
      <c r="V86" s="772"/>
      <c r="W86" s="772"/>
      <c r="X86" s="772"/>
      <c r="Y86" s="772"/>
      <c r="Z86" s="772"/>
      <c r="AA86" s="772"/>
      <c r="AB86" s="772"/>
      <c r="AC86" s="772"/>
      <c r="AD86" s="772"/>
      <c r="AE86" s="772"/>
      <c r="AF86" s="772"/>
      <c r="AG86" s="772"/>
      <c r="AH86" s="772"/>
      <c r="AI86" s="772"/>
    </row>
    <row r="87" ht="15.75" customHeight="1">
      <c r="A87" s="772"/>
      <c r="B87" s="772"/>
      <c r="C87" s="772"/>
      <c r="D87" s="772"/>
      <c r="E87" s="772"/>
      <c r="F87" s="772"/>
      <c r="G87" s="772"/>
      <c r="H87" s="772"/>
      <c r="I87" s="772"/>
      <c r="J87" s="772"/>
      <c r="K87" s="772"/>
      <c r="L87" s="772"/>
      <c r="M87" s="772"/>
      <c r="N87" s="772"/>
      <c r="O87" s="772"/>
      <c r="P87" s="772"/>
      <c r="Q87" s="772"/>
      <c r="R87" s="772"/>
      <c r="S87" s="772"/>
      <c r="T87" s="772"/>
      <c r="U87" s="772"/>
      <c r="V87" s="772"/>
      <c r="W87" s="772"/>
      <c r="X87" s="772"/>
      <c r="Y87" s="772"/>
      <c r="Z87" s="772"/>
      <c r="AA87" s="772"/>
      <c r="AB87" s="772"/>
      <c r="AC87" s="772"/>
      <c r="AD87" s="772"/>
      <c r="AE87" s="772"/>
      <c r="AF87" s="772"/>
      <c r="AG87" s="772"/>
      <c r="AH87" s="772"/>
      <c r="AI87" s="772"/>
    </row>
    <row r="88" ht="15.75" customHeight="1">
      <c r="A88" s="772"/>
      <c r="B88" s="772"/>
      <c r="C88" s="772"/>
      <c r="D88" s="772"/>
      <c r="E88" s="772"/>
      <c r="F88" s="772"/>
      <c r="G88" s="772"/>
      <c r="H88" s="772"/>
      <c r="I88" s="772"/>
      <c r="J88" s="772"/>
      <c r="K88" s="772"/>
      <c r="L88" s="772"/>
      <c r="M88" s="772"/>
      <c r="N88" s="772"/>
      <c r="O88" s="772"/>
      <c r="P88" s="772"/>
      <c r="Q88" s="772"/>
      <c r="R88" s="772"/>
      <c r="S88" s="772"/>
      <c r="T88" s="772"/>
      <c r="U88" s="772"/>
      <c r="V88" s="772"/>
      <c r="W88" s="772"/>
      <c r="X88" s="772"/>
      <c r="Y88" s="772"/>
      <c r="Z88" s="772"/>
      <c r="AA88" s="772"/>
      <c r="AB88" s="772"/>
      <c r="AC88" s="772"/>
      <c r="AD88" s="772"/>
      <c r="AE88" s="772"/>
      <c r="AF88" s="772"/>
      <c r="AG88" s="772"/>
      <c r="AH88" s="772"/>
      <c r="AI88" s="772"/>
    </row>
    <row r="89" ht="15.75" customHeight="1">
      <c r="A89" s="772"/>
      <c r="B89" s="772"/>
      <c r="C89" s="772"/>
      <c r="D89" s="772"/>
      <c r="E89" s="772"/>
      <c r="F89" s="772"/>
      <c r="G89" s="772"/>
      <c r="H89" s="772"/>
      <c r="I89" s="772"/>
      <c r="J89" s="772"/>
      <c r="K89" s="772"/>
      <c r="L89" s="772"/>
      <c r="M89" s="772"/>
      <c r="N89" s="772"/>
      <c r="O89" s="772"/>
      <c r="P89" s="772"/>
      <c r="Q89" s="772"/>
      <c r="R89" s="772"/>
      <c r="S89" s="772"/>
      <c r="T89" s="772"/>
      <c r="U89" s="772"/>
      <c r="V89" s="772"/>
      <c r="W89" s="772"/>
      <c r="X89" s="772"/>
      <c r="Y89" s="772"/>
      <c r="Z89" s="772"/>
      <c r="AA89" s="772"/>
      <c r="AB89" s="772"/>
      <c r="AC89" s="772"/>
      <c r="AD89" s="772"/>
      <c r="AE89" s="772"/>
      <c r="AF89" s="772"/>
      <c r="AG89" s="772"/>
      <c r="AH89" s="772"/>
      <c r="AI89" s="772"/>
    </row>
    <row r="90" ht="15.75" customHeight="1">
      <c r="A90" s="772"/>
      <c r="B90" s="772"/>
      <c r="C90" s="772"/>
      <c r="D90" s="772"/>
      <c r="E90" s="772"/>
      <c r="F90" s="772"/>
      <c r="G90" s="772"/>
      <c r="H90" s="772"/>
      <c r="I90" s="772"/>
      <c r="J90" s="772"/>
      <c r="K90" s="772"/>
      <c r="L90" s="772"/>
      <c r="M90" s="772"/>
      <c r="N90" s="772"/>
      <c r="O90" s="772"/>
      <c r="P90" s="772"/>
      <c r="Q90" s="772"/>
      <c r="R90" s="772"/>
      <c r="S90" s="772"/>
      <c r="T90" s="772"/>
      <c r="U90" s="772"/>
      <c r="V90" s="772"/>
      <c r="W90" s="772"/>
      <c r="X90" s="772"/>
      <c r="Y90" s="772"/>
      <c r="Z90" s="772"/>
      <c r="AA90" s="772"/>
      <c r="AB90" s="772"/>
      <c r="AC90" s="772"/>
      <c r="AD90" s="772"/>
      <c r="AE90" s="772"/>
      <c r="AF90" s="772"/>
      <c r="AG90" s="772"/>
      <c r="AH90" s="772"/>
      <c r="AI90" s="772"/>
    </row>
    <row r="91" ht="15.75" customHeight="1">
      <c r="A91" s="772"/>
      <c r="B91" s="772"/>
      <c r="C91" s="772"/>
      <c r="D91" s="772"/>
      <c r="E91" s="772"/>
      <c r="F91" s="772"/>
      <c r="G91" s="772"/>
      <c r="H91" s="772"/>
      <c r="I91" s="772"/>
      <c r="J91" s="772"/>
      <c r="K91" s="772"/>
      <c r="L91" s="772"/>
      <c r="M91" s="772"/>
      <c r="N91" s="772"/>
      <c r="O91" s="772"/>
      <c r="P91" s="772"/>
      <c r="Q91" s="772"/>
      <c r="R91" s="772"/>
      <c r="S91" s="772"/>
      <c r="T91" s="772"/>
      <c r="U91" s="772"/>
      <c r="V91" s="772"/>
      <c r="W91" s="772"/>
      <c r="X91" s="772"/>
      <c r="Y91" s="772"/>
      <c r="Z91" s="772"/>
      <c r="AA91" s="772"/>
      <c r="AB91" s="772"/>
      <c r="AC91" s="772"/>
      <c r="AD91" s="772"/>
      <c r="AE91" s="772"/>
      <c r="AF91" s="772"/>
      <c r="AG91" s="772"/>
      <c r="AH91" s="772"/>
      <c r="AI91" s="772"/>
    </row>
    <row r="92" ht="15.75" customHeight="1">
      <c r="A92" s="772"/>
      <c r="B92" s="772"/>
      <c r="C92" s="772"/>
      <c r="D92" s="772"/>
      <c r="E92" s="772"/>
      <c r="F92" s="772"/>
      <c r="G92" s="772"/>
      <c r="H92" s="772"/>
      <c r="I92" s="772"/>
      <c r="J92" s="772"/>
      <c r="K92" s="772"/>
      <c r="L92" s="772"/>
      <c r="M92" s="772"/>
      <c r="N92" s="772"/>
      <c r="O92" s="772"/>
      <c r="P92" s="772"/>
      <c r="Q92" s="772"/>
      <c r="R92" s="772"/>
      <c r="S92" s="772"/>
      <c r="T92" s="772"/>
      <c r="U92" s="772"/>
      <c r="V92" s="772"/>
      <c r="W92" s="772"/>
      <c r="X92" s="772"/>
      <c r="Y92" s="772"/>
      <c r="Z92" s="772"/>
      <c r="AA92" s="772"/>
      <c r="AB92" s="772"/>
      <c r="AC92" s="772"/>
      <c r="AD92" s="772"/>
      <c r="AE92" s="772"/>
      <c r="AF92" s="772"/>
      <c r="AG92" s="772"/>
      <c r="AH92" s="772"/>
      <c r="AI92" s="772"/>
    </row>
    <row r="93" ht="15.75" customHeight="1">
      <c r="A93" s="772"/>
      <c r="B93" s="772"/>
      <c r="C93" s="772"/>
      <c r="D93" s="772"/>
      <c r="E93" s="772"/>
      <c r="F93" s="772"/>
      <c r="G93" s="772"/>
      <c r="H93" s="772"/>
      <c r="I93" s="772"/>
      <c r="J93" s="772"/>
      <c r="K93" s="772"/>
      <c r="L93" s="772"/>
      <c r="M93" s="772"/>
      <c r="N93" s="772"/>
      <c r="O93" s="772"/>
      <c r="P93" s="772"/>
      <c r="Q93" s="772"/>
      <c r="R93" s="772"/>
      <c r="S93" s="772"/>
      <c r="T93" s="772"/>
      <c r="U93" s="772"/>
      <c r="V93" s="772"/>
      <c r="W93" s="772"/>
      <c r="X93" s="772"/>
      <c r="Y93" s="772"/>
      <c r="Z93" s="772"/>
      <c r="AA93" s="772"/>
      <c r="AB93" s="772"/>
      <c r="AC93" s="772"/>
      <c r="AD93" s="772"/>
      <c r="AE93" s="772"/>
      <c r="AF93" s="772"/>
      <c r="AG93" s="772"/>
      <c r="AH93" s="772"/>
      <c r="AI93" s="772"/>
    </row>
    <row r="94" ht="15.75" customHeight="1">
      <c r="A94" s="772"/>
      <c r="B94" s="772"/>
      <c r="C94" s="772"/>
      <c r="D94" s="772"/>
      <c r="E94" s="772"/>
      <c r="F94" s="772"/>
      <c r="G94" s="772"/>
      <c r="H94" s="772"/>
      <c r="I94" s="772"/>
      <c r="J94" s="772"/>
      <c r="K94" s="772"/>
      <c r="L94" s="772"/>
      <c r="M94" s="772"/>
      <c r="N94" s="772"/>
      <c r="O94" s="772"/>
      <c r="P94" s="772"/>
      <c r="Q94" s="772"/>
      <c r="R94" s="772"/>
      <c r="S94" s="772"/>
      <c r="T94" s="772"/>
      <c r="U94" s="772"/>
      <c r="V94" s="772"/>
      <c r="W94" s="772"/>
      <c r="X94" s="772"/>
      <c r="Y94" s="772"/>
      <c r="Z94" s="772"/>
      <c r="AA94" s="772"/>
      <c r="AB94" s="772"/>
      <c r="AC94" s="772"/>
      <c r="AD94" s="772"/>
      <c r="AE94" s="772"/>
      <c r="AF94" s="772"/>
      <c r="AG94" s="772"/>
      <c r="AH94" s="772"/>
      <c r="AI94" s="772"/>
    </row>
    <row r="95" ht="15.75" customHeight="1">
      <c r="A95" s="772"/>
      <c r="B95" s="772"/>
      <c r="C95" s="772"/>
      <c r="D95" s="772"/>
      <c r="E95" s="772"/>
      <c r="F95" s="772"/>
      <c r="G95" s="772"/>
      <c r="H95" s="772"/>
      <c r="I95" s="772"/>
      <c r="J95" s="772"/>
      <c r="K95" s="772"/>
      <c r="L95" s="772"/>
      <c r="M95" s="772"/>
      <c r="N95" s="772"/>
      <c r="O95" s="772"/>
      <c r="P95" s="772"/>
      <c r="Q95" s="772"/>
      <c r="R95" s="772"/>
      <c r="S95" s="772"/>
      <c r="T95" s="772"/>
      <c r="U95" s="772"/>
      <c r="V95" s="772"/>
      <c r="W95" s="772"/>
      <c r="X95" s="772"/>
      <c r="Y95" s="772"/>
      <c r="Z95" s="772"/>
      <c r="AA95" s="772"/>
      <c r="AB95" s="772"/>
      <c r="AC95" s="772"/>
      <c r="AD95" s="772"/>
      <c r="AE95" s="772"/>
      <c r="AF95" s="772"/>
      <c r="AG95" s="772"/>
      <c r="AH95" s="772"/>
      <c r="AI95" s="772"/>
    </row>
    <row r="96" ht="15.75" customHeight="1">
      <c r="A96" s="772"/>
      <c r="B96" s="772"/>
      <c r="C96" s="772"/>
      <c r="D96" s="772"/>
      <c r="E96" s="772"/>
      <c r="F96" s="772"/>
      <c r="G96" s="772"/>
      <c r="H96" s="772"/>
      <c r="I96" s="772"/>
      <c r="J96" s="772"/>
      <c r="K96" s="772"/>
      <c r="L96" s="772"/>
      <c r="M96" s="772"/>
      <c r="N96" s="772"/>
      <c r="O96" s="772"/>
      <c r="P96" s="772"/>
      <c r="Q96" s="772"/>
      <c r="R96" s="772"/>
      <c r="S96" s="772"/>
      <c r="T96" s="772"/>
      <c r="U96" s="772"/>
      <c r="V96" s="772"/>
      <c r="W96" s="772"/>
      <c r="X96" s="772"/>
      <c r="Y96" s="772"/>
      <c r="Z96" s="772"/>
      <c r="AA96" s="772"/>
      <c r="AB96" s="772"/>
      <c r="AC96" s="772"/>
      <c r="AD96" s="772"/>
      <c r="AE96" s="772"/>
      <c r="AF96" s="772"/>
      <c r="AG96" s="772"/>
      <c r="AH96" s="772"/>
      <c r="AI96" s="772"/>
    </row>
    <row r="97" ht="15.75" customHeight="1">
      <c r="A97" s="772"/>
      <c r="B97" s="772"/>
      <c r="C97" s="772"/>
      <c r="D97" s="772"/>
      <c r="E97" s="772"/>
      <c r="F97" s="772"/>
      <c r="G97" s="772"/>
      <c r="H97" s="772"/>
      <c r="I97" s="772"/>
      <c r="J97" s="772"/>
      <c r="K97" s="772"/>
      <c r="L97" s="772"/>
      <c r="M97" s="772"/>
      <c r="N97" s="772"/>
      <c r="O97" s="772"/>
      <c r="P97" s="772"/>
      <c r="Q97" s="772"/>
      <c r="R97" s="772"/>
      <c r="S97" s="772"/>
      <c r="T97" s="772"/>
      <c r="U97" s="772"/>
      <c r="V97" s="772"/>
      <c r="W97" s="772"/>
      <c r="X97" s="772"/>
      <c r="Y97" s="772"/>
      <c r="Z97" s="772"/>
      <c r="AA97" s="772"/>
      <c r="AB97" s="772"/>
      <c r="AC97" s="772"/>
      <c r="AD97" s="772"/>
      <c r="AE97" s="772"/>
      <c r="AF97" s="772"/>
      <c r="AG97" s="772"/>
      <c r="AH97" s="772"/>
      <c r="AI97" s="772"/>
    </row>
    <row r="98" ht="15.75" customHeight="1">
      <c r="A98" s="772"/>
      <c r="B98" s="772"/>
      <c r="C98" s="772"/>
      <c r="D98" s="772"/>
      <c r="E98" s="772"/>
      <c r="F98" s="772"/>
      <c r="G98" s="772"/>
      <c r="H98" s="772"/>
      <c r="I98" s="772"/>
      <c r="J98" s="772"/>
      <c r="K98" s="772"/>
      <c r="L98" s="772"/>
      <c r="M98" s="772"/>
      <c r="N98" s="772"/>
      <c r="O98" s="772"/>
      <c r="P98" s="772"/>
      <c r="Q98" s="772"/>
      <c r="R98" s="772"/>
      <c r="S98" s="772"/>
      <c r="T98" s="772"/>
      <c r="U98" s="772"/>
      <c r="V98" s="772"/>
      <c r="W98" s="772"/>
      <c r="X98" s="772"/>
      <c r="Y98" s="772"/>
      <c r="Z98" s="772"/>
      <c r="AA98" s="772"/>
      <c r="AB98" s="772"/>
      <c r="AC98" s="772"/>
      <c r="AD98" s="772"/>
      <c r="AE98" s="772"/>
      <c r="AF98" s="772"/>
      <c r="AG98" s="772"/>
      <c r="AH98" s="772"/>
      <c r="AI98" s="772"/>
    </row>
    <row r="99" ht="15.75" customHeight="1">
      <c r="A99" s="772"/>
      <c r="B99" s="772"/>
      <c r="C99" s="772"/>
      <c r="D99" s="772"/>
      <c r="E99" s="772"/>
      <c r="F99" s="772"/>
      <c r="G99" s="772"/>
      <c r="H99" s="772"/>
      <c r="I99" s="772"/>
      <c r="J99" s="772"/>
      <c r="K99" s="772"/>
      <c r="L99" s="772"/>
      <c r="M99" s="772"/>
      <c r="N99" s="772"/>
      <c r="O99" s="772"/>
      <c r="P99" s="772"/>
      <c r="Q99" s="772"/>
      <c r="R99" s="772"/>
      <c r="S99" s="772"/>
      <c r="T99" s="772"/>
      <c r="U99" s="772"/>
      <c r="V99" s="772"/>
      <c r="W99" s="772"/>
      <c r="X99" s="772"/>
      <c r="Y99" s="772"/>
      <c r="Z99" s="772"/>
      <c r="AA99" s="772"/>
      <c r="AB99" s="772"/>
      <c r="AC99" s="772"/>
      <c r="AD99" s="772"/>
      <c r="AE99" s="772"/>
      <c r="AF99" s="772"/>
      <c r="AG99" s="772"/>
      <c r="AH99" s="772"/>
      <c r="AI99" s="772"/>
    </row>
    <row r="100" ht="15.75" customHeight="1">
      <c r="A100" s="772"/>
      <c r="B100" s="772"/>
      <c r="C100" s="772"/>
      <c r="D100" s="772"/>
      <c r="E100" s="772"/>
      <c r="F100" s="772"/>
      <c r="G100" s="772"/>
      <c r="H100" s="772"/>
      <c r="I100" s="772"/>
      <c r="J100" s="772"/>
      <c r="K100" s="772"/>
      <c r="L100" s="772"/>
      <c r="M100" s="772"/>
      <c r="N100" s="772"/>
      <c r="O100" s="772"/>
      <c r="P100" s="772"/>
      <c r="Q100" s="772"/>
      <c r="R100" s="772"/>
      <c r="S100" s="772"/>
      <c r="T100" s="772"/>
      <c r="U100" s="772"/>
      <c r="V100" s="772"/>
      <c r="W100" s="772"/>
      <c r="X100" s="772"/>
      <c r="Y100" s="772"/>
      <c r="Z100" s="772"/>
      <c r="AA100" s="772"/>
      <c r="AB100" s="772"/>
      <c r="AC100" s="772"/>
      <c r="AD100" s="772"/>
      <c r="AE100" s="772"/>
      <c r="AF100" s="772"/>
      <c r="AG100" s="772"/>
      <c r="AH100" s="772"/>
      <c r="AI100" s="772"/>
    </row>
    <row r="101" ht="15.75" customHeight="1">
      <c r="A101" s="772"/>
      <c r="B101" s="772"/>
      <c r="C101" s="772"/>
      <c r="D101" s="772"/>
      <c r="E101" s="772"/>
      <c r="F101" s="772"/>
      <c r="G101" s="772"/>
      <c r="H101" s="772"/>
      <c r="I101" s="772"/>
      <c r="J101" s="772"/>
      <c r="K101" s="772"/>
      <c r="L101" s="772"/>
      <c r="M101" s="772"/>
      <c r="N101" s="772"/>
      <c r="O101" s="772"/>
      <c r="P101" s="772"/>
      <c r="Q101" s="772"/>
      <c r="R101" s="772"/>
      <c r="S101" s="772"/>
      <c r="T101" s="772"/>
      <c r="U101" s="772"/>
      <c r="V101" s="772"/>
      <c r="W101" s="772"/>
      <c r="X101" s="772"/>
      <c r="Y101" s="772"/>
      <c r="Z101" s="772"/>
      <c r="AA101" s="772"/>
      <c r="AB101" s="772"/>
      <c r="AC101" s="772"/>
      <c r="AD101" s="772"/>
      <c r="AE101" s="772"/>
      <c r="AF101" s="772"/>
      <c r="AG101" s="772"/>
      <c r="AH101" s="772"/>
      <c r="AI101" s="772"/>
    </row>
    <row r="102" ht="15.75" customHeight="1">
      <c r="A102" s="772"/>
      <c r="B102" s="772"/>
      <c r="C102" s="772"/>
      <c r="D102" s="772"/>
      <c r="E102" s="772"/>
      <c r="F102" s="772"/>
      <c r="G102" s="772"/>
      <c r="H102" s="772"/>
      <c r="I102" s="772"/>
      <c r="J102" s="772"/>
      <c r="K102" s="772"/>
      <c r="L102" s="772"/>
      <c r="M102" s="772"/>
      <c r="N102" s="772"/>
      <c r="O102" s="772"/>
      <c r="P102" s="772"/>
      <c r="Q102" s="772"/>
      <c r="R102" s="772"/>
      <c r="S102" s="772"/>
      <c r="T102" s="772"/>
      <c r="U102" s="772"/>
      <c r="V102" s="772"/>
      <c r="W102" s="772"/>
      <c r="X102" s="772"/>
      <c r="Y102" s="772"/>
      <c r="Z102" s="772"/>
      <c r="AA102" s="772"/>
      <c r="AB102" s="772"/>
      <c r="AC102" s="772"/>
      <c r="AD102" s="772"/>
      <c r="AE102" s="772"/>
      <c r="AF102" s="772"/>
      <c r="AG102" s="772"/>
      <c r="AH102" s="772"/>
      <c r="AI102" s="772"/>
    </row>
    <row r="103" ht="15.75" customHeight="1">
      <c r="A103" s="772"/>
      <c r="B103" s="772"/>
      <c r="C103" s="772"/>
      <c r="D103" s="772"/>
      <c r="E103" s="772"/>
      <c r="F103" s="772"/>
      <c r="G103" s="772"/>
      <c r="H103" s="772"/>
      <c r="I103" s="772"/>
      <c r="J103" s="772"/>
      <c r="K103" s="772"/>
      <c r="L103" s="772"/>
      <c r="M103" s="772"/>
      <c r="N103" s="772"/>
      <c r="O103" s="772"/>
      <c r="P103" s="772"/>
      <c r="Q103" s="772"/>
      <c r="R103" s="772"/>
      <c r="S103" s="772"/>
      <c r="T103" s="772"/>
      <c r="U103" s="772"/>
      <c r="V103" s="772"/>
      <c r="W103" s="772"/>
      <c r="X103" s="772"/>
      <c r="Y103" s="772"/>
      <c r="Z103" s="772"/>
      <c r="AA103" s="772"/>
      <c r="AB103" s="772"/>
      <c r="AC103" s="772"/>
      <c r="AD103" s="772"/>
      <c r="AE103" s="772"/>
      <c r="AF103" s="772"/>
      <c r="AG103" s="772"/>
      <c r="AH103" s="772"/>
      <c r="AI103" s="772"/>
    </row>
    <row r="104" ht="15.75" customHeight="1">
      <c r="A104" s="772"/>
      <c r="B104" s="772"/>
      <c r="C104" s="772"/>
      <c r="D104" s="772"/>
      <c r="E104" s="772"/>
      <c r="F104" s="772"/>
      <c r="G104" s="772"/>
      <c r="H104" s="772"/>
      <c r="I104" s="772"/>
      <c r="J104" s="772"/>
      <c r="K104" s="772"/>
      <c r="L104" s="772"/>
      <c r="M104" s="772"/>
      <c r="N104" s="772"/>
      <c r="O104" s="772"/>
      <c r="P104" s="772"/>
      <c r="Q104" s="772"/>
      <c r="R104" s="772"/>
      <c r="S104" s="772"/>
      <c r="T104" s="772"/>
      <c r="U104" s="772"/>
      <c r="V104" s="772"/>
      <c r="W104" s="772"/>
      <c r="X104" s="772"/>
      <c r="Y104" s="772"/>
      <c r="Z104" s="772"/>
      <c r="AA104" s="772"/>
      <c r="AB104" s="772"/>
      <c r="AC104" s="772"/>
      <c r="AD104" s="772"/>
      <c r="AE104" s="772"/>
      <c r="AF104" s="772"/>
      <c r="AG104" s="772"/>
      <c r="AH104" s="772"/>
      <c r="AI104" s="772"/>
    </row>
    <row r="105" ht="15.75" customHeight="1">
      <c r="A105" s="772"/>
      <c r="B105" s="772"/>
      <c r="C105" s="772"/>
      <c r="D105" s="772"/>
      <c r="E105" s="772"/>
      <c r="F105" s="772"/>
      <c r="G105" s="772"/>
      <c r="H105" s="772"/>
      <c r="I105" s="772"/>
      <c r="J105" s="772"/>
      <c r="K105" s="772"/>
      <c r="L105" s="772"/>
      <c r="M105" s="772"/>
      <c r="N105" s="772"/>
      <c r="O105" s="772"/>
      <c r="P105" s="772"/>
      <c r="Q105" s="772"/>
      <c r="R105" s="772"/>
      <c r="S105" s="772"/>
      <c r="T105" s="772"/>
      <c r="U105" s="772"/>
      <c r="V105" s="772"/>
      <c r="W105" s="772"/>
      <c r="X105" s="772"/>
      <c r="Y105" s="772"/>
      <c r="Z105" s="772"/>
      <c r="AA105" s="772"/>
      <c r="AB105" s="772"/>
      <c r="AC105" s="772"/>
      <c r="AD105" s="772"/>
      <c r="AE105" s="772"/>
      <c r="AF105" s="772"/>
      <c r="AG105" s="772"/>
      <c r="AH105" s="772"/>
      <c r="AI105" s="772"/>
    </row>
    <row r="106" ht="15.75" customHeight="1">
      <c r="A106" s="772"/>
      <c r="B106" s="772"/>
      <c r="C106" s="772"/>
      <c r="D106" s="772"/>
      <c r="E106" s="772"/>
      <c r="F106" s="772"/>
      <c r="G106" s="772"/>
      <c r="H106" s="772"/>
      <c r="I106" s="772"/>
      <c r="J106" s="772"/>
      <c r="K106" s="772"/>
      <c r="L106" s="772"/>
      <c r="M106" s="772"/>
      <c r="N106" s="772"/>
      <c r="O106" s="772"/>
      <c r="P106" s="772"/>
      <c r="Q106" s="772"/>
      <c r="R106" s="772"/>
      <c r="S106" s="772"/>
      <c r="T106" s="772"/>
      <c r="U106" s="772"/>
      <c r="V106" s="772"/>
      <c r="W106" s="772"/>
      <c r="X106" s="772"/>
      <c r="Y106" s="772"/>
      <c r="Z106" s="772"/>
      <c r="AA106" s="772"/>
      <c r="AB106" s="772"/>
      <c r="AC106" s="772"/>
      <c r="AD106" s="772"/>
      <c r="AE106" s="772"/>
      <c r="AF106" s="772"/>
      <c r="AG106" s="772"/>
      <c r="AH106" s="772"/>
      <c r="AI106" s="772"/>
    </row>
    <row r="107" ht="15.75" customHeight="1">
      <c r="A107" s="772"/>
      <c r="B107" s="772"/>
      <c r="C107" s="772"/>
      <c r="D107" s="772"/>
      <c r="E107" s="772"/>
      <c r="F107" s="772"/>
      <c r="G107" s="772"/>
      <c r="H107" s="772"/>
      <c r="I107" s="772"/>
      <c r="J107" s="772"/>
      <c r="K107" s="772"/>
      <c r="L107" s="772"/>
      <c r="M107" s="772"/>
      <c r="N107" s="772"/>
      <c r="O107" s="772"/>
      <c r="P107" s="772"/>
      <c r="Q107" s="772"/>
      <c r="R107" s="772"/>
      <c r="S107" s="772"/>
      <c r="T107" s="772"/>
      <c r="U107" s="772"/>
      <c r="V107" s="772"/>
      <c r="W107" s="772"/>
      <c r="X107" s="772"/>
      <c r="Y107" s="772"/>
      <c r="Z107" s="772"/>
      <c r="AA107" s="772"/>
      <c r="AB107" s="772"/>
      <c r="AC107" s="772"/>
      <c r="AD107" s="772"/>
      <c r="AE107" s="772"/>
      <c r="AF107" s="772"/>
      <c r="AG107" s="772"/>
      <c r="AH107" s="772"/>
      <c r="AI107" s="772"/>
    </row>
    <row r="108" ht="15.75" customHeight="1">
      <c r="A108" s="772"/>
      <c r="B108" s="772"/>
      <c r="C108" s="772"/>
      <c r="D108" s="772"/>
      <c r="E108" s="772"/>
      <c r="F108" s="772"/>
      <c r="G108" s="772"/>
      <c r="H108" s="772"/>
      <c r="I108" s="772"/>
      <c r="J108" s="772"/>
      <c r="K108" s="772"/>
      <c r="L108" s="772"/>
      <c r="M108" s="772"/>
      <c r="N108" s="772"/>
      <c r="O108" s="772"/>
      <c r="P108" s="772"/>
      <c r="Q108" s="772"/>
      <c r="R108" s="772"/>
      <c r="S108" s="772"/>
      <c r="T108" s="772"/>
      <c r="U108" s="772"/>
      <c r="V108" s="772"/>
      <c r="W108" s="772"/>
      <c r="X108" s="772"/>
      <c r="Y108" s="772"/>
      <c r="Z108" s="772"/>
      <c r="AA108" s="772"/>
      <c r="AB108" s="772"/>
      <c r="AC108" s="772"/>
      <c r="AD108" s="772"/>
      <c r="AE108" s="772"/>
      <c r="AF108" s="772"/>
      <c r="AG108" s="772"/>
      <c r="AH108" s="772"/>
      <c r="AI108" s="772"/>
    </row>
    <row r="109" ht="15.75" customHeight="1">
      <c r="A109" s="772"/>
      <c r="B109" s="772"/>
      <c r="C109" s="772"/>
      <c r="D109" s="772"/>
      <c r="E109" s="772"/>
      <c r="F109" s="772"/>
      <c r="G109" s="772"/>
      <c r="H109" s="772"/>
      <c r="I109" s="772"/>
      <c r="J109" s="772"/>
      <c r="K109" s="772"/>
      <c r="L109" s="772"/>
      <c r="M109" s="772"/>
      <c r="N109" s="772"/>
      <c r="O109" s="772"/>
      <c r="P109" s="772"/>
      <c r="Q109" s="772"/>
      <c r="R109" s="772"/>
      <c r="S109" s="772"/>
      <c r="T109" s="772"/>
      <c r="U109" s="772"/>
      <c r="V109" s="772"/>
      <c r="W109" s="772"/>
      <c r="X109" s="772"/>
      <c r="Y109" s="772"/>
      <c r="Z109" s="772"/>
      <c r="AA109" s="772"/>
      <c r="AB109" s="772"/>
      <c r="AC109" s="772"/>
      <c r="AD109" s="772"/>
      <c r="AE109" s="772"/>
      <c r="AF109" s="772"/>
      <c r="AG109" s="772"/>
      <c r="AH109" s="772"/>
      <c r="AI109" s="772"/>
    </row>
    <row r="110" ht="15.75" customHeight="1">
      <c r="A110" s="772"/>
      <c r="B110" s="772"/>
      <c r="C110" s="772"/>
      <c r="D110" s="772"/>
      <c r="E110" s="772"/>
      <c r="F110" s="772"/>
      <c r="G110" s="772"/>
      <c r="H110" s="772"/>
      <c r="I110" s="772"/>
      <c r="J110" s="772"/>
      <c r="K110" s="772"/>
      <c r="L110" s="772"/>
      <c r="M110" s="772"/>
      <c r="N110" s="772"/>
      <c r="O110" s="772"/>
      <c r="P110" s="772"/>
      <c r="Q110" s="772"/>
      <c r="R110" s="772"/>
      <c r="S110" s="772"/>
      <c r="T110" s="772"/>
      <c r="U110" s="772"/>
      <c r="V110" s="772"/>
      <c r="W110" s="772"/>
      <c r="X110" s="772"/>
      <c r="Y110" s="772"/>
      <c r="Z110" s="772"/>
      <c r="AA110" s="772"/>
      <c r="AB110" s="772"/>
      <c r="AC110" s="772"/>
      <c r="AD110" s="772"/>
      <c r="AE110" s="772"/>
      <c r="AF110" s="772"/>
      <c r="AG110" s="772"/>
      <c r="AH110" s="772"/>
      <c r="AI110" s="772"/>
    </row>
    <row r="111" ht="15.75" customHeight="1">
      <c r="A111" s="772"/>
      <c r="B111" s="772"/>
      <c r="C111" s="772"/>
      <c r="D111" s="772"/>
      <c r="E111" s="772"/>
      <c r="F111" s="772"/>
      <c r="G111" s="772"/>
      <c r="H111" s="772"/>
      <c r="I111" s="772"/>
      <c r="J111" s="772"/>
      <c r="K111" s="772"/>
      <c r="L111" s="772"/>
      <c r="M111" s="772"/>
      <c r="N111" s="772"/>
      <c r="O111" s="772"/>
      <c r="P111" s="772"/>
      <c r="Q111" s="772"/>
      <c r="R111" s="772"/>
      <c r="S111" s="772"/>
      <c r="T111" s="772"/>
      <c r="U111" s="772"/>
      <c r="V111" s="772"/>
      <c r="W111" s="772"/>
      <c r="X111" s="772"/>
      <c r="Y111" s="772"/>
      <c r="Z111" s="772"/>
      <c r="AA111" s="772"/>
      <c r="AB111" s="772"/>
      <c r="AC111" s="772"/>
      <c r="AD111" s="772"/>
      <c r="AE111" s="772"/>
      <c r="AF111" s="772"/>
      <c r="AG111" s="772"/>
      <c r="AH111" s="772"/>
      <c r="AI111" s="772"/>
    </row>
    <row r="112" ht="15.75" customHeight="1">
      <c r="A112" s="772"/>
      <c r="B112" s="772"/>
      <c r="C112" s="772"/>
      <c r="D112" s="772"/>
      <c r="E112" s="772"/>
      <c r="F112" s="772"/>
      <c r="G112" s="772"/>
      <c r="H112" s="772"/>
      <c r="I112" s="772"/>
      <c r="J112" s="772"/>
      <c r="K112" s="772"/>
      <c r="L112" s="772"/>
      <c r="M112" s="772"/>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c r="AI112" s="772"/>
    </row>
    <row r="113" ht="15.75" customHeight="1">
      <c r="A113" s="772"/>
      <c r="B113" s="772"/>
      <c r="C113" s="772"/>
      <c r="D113" s="772"/>
      <c r="E113" s="772"/>
      <c r="F113" s="772"/>
      <c r="G113" s="772"/>
      <c r="H113" s="772"/>
      <c r="I113" s="772"/>
      <c r="J113" s="772"/>
      <c r="K113" s="772"/>
      <c r="L113" s="772"/>
      <c r="M113" s="772"/>
      <c r="N113" s="772"/>
      <c r="O113" s="772"/>
      <c r="P113" s="772"/>
      <c r="Q113" s="772"/>
      <c r="R113" s="772"/>
      <c r="S113" s="772"/>
      <c r="T113" s="772"/>
      <c r="U113" s="772"/>
      <c r="V113" s="772"/>
      <c r="W113" s="772"/>
      <c r="X113" s="772"/>
      <c r="Y113" s="772"/>
      <c r="Z113" s="772"/>
      <c r="AA113" s="772"/>
      <c r="AB113" s="772"/>
      <c r="AC113" s="772"/>
      <c r="AD113" s="772"/>
      <c r="AE113" s="772"/>
      <c r="AF113" s="772"/>
      <c r="AG113" s="772"/>
      <c r="AH113" s="772"/>
      <c r="AI113" s="772"/>
    </row>
    <row r="114" ht="15.75" customHeight="1">
      <c r="A114" s="772"/>
      <c r="B114" s="772"/>
      <c r="C114" s="772"/>
      <c r="D114" s="772"/>
      <c r="E114" s="772"/>
      <c r="F114" s="772"/>
      <c r="G114" s="772"/>
      <c r="H114" s="772"/>
      <c r="I114" s="772"/>
      <c r="J114" s="772"/>
      <c r="K114" s="772"/>
      <c r="L114" s="772"/>
      <c r="M114" s="772"/>
      <c r="N114" s="772"/>
      <c r="O114" s="772"/>
      <c r="P114" s="772"/>
      <c r="Q114" s="772"/>
      <c r="R114" s="772"/>
      <c r="S114" s="772"/>
      <c r="T114" s="772"/>
      <c r="U114" s="772"/>
      <c r="V114" s="772"/>
      <c r="W114" s="772"/>
      <c r="X114" s="772"/>
      <c r="Y114" s="772"/>
      <c r="Z114" s="772"/>
      <c r="AA114" s="772"/>
      <c r="AB114" s="772"/>
      <c r="AC114" s="772"/>
      <c r="AD114" s="772"/>
      <c r="AE114" s="772"/>
      <c r="AF114" s="772"/>
      <c r="AG114" s="772"/>
      <c r="AH114" s="772"/>
      <c r="AI114" s="772"/>
    </row>
    <row r="115" ht="15.75" customHeight="1">
      <c r="A115" s="772"/>
      <c r="B115" s="772"/>
      <c r="C115" s="772"/>
      <c r="D115" s="772"/>
      <c r="E115" s="772"/>
      <c r="F115" s="772"/>
      <c r="G115" s="772"/>
      <c r="H115" s="772"/>
      <c r="I115" s="772"/>
      <c r="J115" s="772"/>
      <c r="K115" s="772"/>
      <c r="L115" s="772"/>
      <c r="M115" s="772"/>
      <c r="N115" s="772"/>
      <c r="O115" s="772"/>
      <c r="P115" s="772"/>
      <c r="Q115" s="772"/>
      <c r="R115" s="772"/>
      <c r="S115" s="772"/>
      <c r="T115" s="772"/>
      <c r="U115" s="772"/>
      <c r="V115" s="772"/>
      <c r="W115" s="772"/>
      <c r="X115" s="772"/>
      <c r="Y115" s="772"/>
      <c r="Z115" s="772"/>
      <c r="AA115" s="772"/>
      <c r="AB115" s="772"/>
      <c r="AC115" s="772"/>
      <c r="AD115" s="772"/>
      <c r="AE115" s="772"/>
      <c r="AF115" s="772"/>
      <c r="AG115" s="772"/>
      <c r="AH115" s="772"/>
      <c r="AI115" s="772"/>
    </row>
    <row r="116" ht="15.75" customHeight="1">
      <c r="A116" s="772"/>
      <c r="B116" s="772"/>
      <c r="C116" s="772"/>
      <c r="D116" s="772"/>
      <c r="E116" s="772"/>
      <c r="F116" s="772"/>
      <c r="G116" s="772"/>
      <c r="H116" s="772"/>
      <c r="I116" s="772"/>
      <c r="J116" s="772"/>
      <c r="K116" s="772"/>
      <c r="L116" s="772"/>
      <c r="M116" s="772"/>
      <c r="N116" s="772"/>
      <c r="O116" s="772"/>
      <c r="P116" s="772"/>
      <c r="Q116" s="772"/>
      <c r="R116" s="772"/>
      <c r="S116" s="772"/>
      <c r="T116" s="772"/>
      <c r="U116" s="772"/>
      <c r="V116" s="772"/>
      <c r="W116" s="772"/>
      <c r="X116" s="772"/>
      <c r="Y116" s="772"/>
      <c r="Z116" s="772"/>
      <c r="AA116" s="772"/>
      <c r="AB116" s="772"/>
      <c r="AC116" s="772"/>
      <c r="AD116" s="772"/>
      <c r="AE116" s="772"/>
      <c r="AF116" s="772"/>
      <c r="AG116" s="772"/>
      <c r="AH116" s="772"/>
      <c r="AI116" s="772"/>
    </row>
    <row r="117" ht="15.75" customHeight="1">
      <c r="A117" s="772"/>
      <c r="B117" s="772"/>
      <c r="C117" s="772"/>
      <c r="D117" s="772"/>
      <c r="E117" s="772"/>
      <c r="F117" s="772"/>
      <c r="G117" s="772"/>
      <c r="H117" s="772"/>
      <c r="I117" s="772"/>
      <c r="J117" s="772"/>
      <c r="K117" s="772"/>
      <c r="L117" s="772"/>
      <c r="M117" s="772"/>
      <c r="N117" s="772"/>
      <c r="O117" s="772"/>
      <c r="P117" s="772"/>
      <c r="Q117" s="772"/>
      <c r="R117" s="772"/>
      <c r="S117" s="772"/>
      <c r="T117" s="772"/>
      <c r="U117" s="772"/>
      <c r="V117" s="772"/>
      <c r="W117" s="772"/>
      <c r="X117" s="772"/>
      <c r="Y117" s="772"/>
      <c r="Z117" s="772"/>
      <c r="AA117" s="772"/>
      <c r="AB117" s="772"/>
      <c r="AC117" s="772"/>
      <c r="AD117" s="772"/>
      <c r="AE117" s="772"/>
      <c r="AF117" s="772"/>
      <c r="AG117" s="772"/>
      <c r="AH117" s="772"/>
      <c r="AI117" s="772"/>
    </row>
    <row r="118" ht="15.75" customHeight="1">
      <c r="A118" s="772"/>
      <c r="B118" s="772"/>
      <c r="C118" s="772"/>
      <c r="D118" s="772"/>
      <c r="E118" s="772"/>
      <c r="F118" s="772"/>
      <c r="G118" s="772"/>
      <c r="H118" s="772"/>
      <c r="I118" s="772"/>
      <c r="J118" s="772"/>
      <c r="K118" s="772"/>
      <c r="L118" s="772"/>
      <c r="M118" s="772"/>
      <c r="N118" s="772"/>
      <c r="O118" s="772"/>
      <c r="P118" s="772"/>
      <c r="Q118" s="772"/>
      <c r="R118" s="772"/>
      <c r="S118" s="772"/>
      <c r="T118" s="772"/>
      <c r="U118" s="772"/>
      <c r="V118" s="772"/>
      <c r="W118" s="772"/>
      <c r="X118" s="772"/>
      <c r="Y118" s="772"/>
      <c r="Z118" s="772"/>
      <c r="AA118" s="772"/>
      <c r="AB118" s="772"/>
      <c r="AC118" s="772"/>
      <c r="AD118" s="772"/>
      <c r="AE118" s="772"/>
      <c r="AF118" s="772"/>
      <c r="AG118" s="772"/>
      <c r="AH118" s="772"/>
      <c r="AI118" s="772"/>
    </row>
    <row r="119" ht="15.75" customHeight="1">
      <c r="A119" s="772"/>
      <c r="B119" s="772"/>
      <c r="C119" s="772"/>
      <c r="D119" s="772"/>
      <c r="E119" s="772"/>
      <c r="F119" s="772"/>
      <c r="G119" s="772"/>
      <c r="H119" s="772"/>
      <c r="I119" s="772"/>
      <c r="J119" s="772"/>
      <c r="K119" s="772"/>
      <c r="L119" s="772"/>
      <c r="M119" s="772"/>
      <c r="N119" s="772"/>
      <c r="O119" s="772"/>
      <c r="P119" s="772"/>
      <c r="Q119" s="772"/>
      <c r="R119" s="772"/>
      <c r="S119" s="772"/>
      <c r="T119" s="772"/>
      <c r="U119" s="772"/>
      <c r="V119" s="772"/>
      <c r="W119" s="772"/>
      <c r="X119" s="772"/>
      <c r="Y119" s="772"/>
      <c r="Z119" s="772"/>
      <c r="AA119" s="772"/>
      <c r="AB119" s="772"/>
      <c r="AC119" s="772"/>
      <c r="AD119" s="772"/>
      <c r="AE119" s="772"/>
      <c r="AF119" s="772"/>
      <c r="AG119" s="772"/>
      <c r="AH119" s="772"/>
      <c r="AI119" s="772"/>
    </row>
    <row r="120" ht="15.75" customHeight="1">
      <c r="A120" s="772"/>
      <c r="B120" s="772"/>
      <c r="C120" s="772"/>
      <c r="D120" s="772"/>
      <c r="E120" s="772"/>
      <c r="F120" s="772"/>
      <c r="G120" s="772"/>
      <c r="H120" s="772"/>
      <c r="I120" s="772"/>
      <c r="J120" s="772"/>
      <c r="K120" s="772"/>
      <c r="L120" s="772"/>
      <c r="M120" s="772"/>
      <c r="N120" s="772"/>
      <c r="O120" s="772"/>
      <c r="P120" s="772"/>
      <c r="Q120" s="772"/>
      <c r="R120" s="772"/>
      <c r="S120" s="772"/>
      <c r="T120" s="772"/>
      <c r="U120" s="772"/>
      <c r="V120" s="772"/>
      <c r="W120" s="772"/>
      <c r="X120" s="772"/>
      <c r="Y120" s="772"/>
      <c r="Z120" s="772"/>
      <c r="AA120" s="772"/>
      <c r="AB120" s="772"/>
      <c r="AC120" s="772"/>
      <c r="AD120" s="772"/>
      <c r="AE120" s="772"/>
      <c r="AF120" s="772"/>
      <c r="AG120" s="772"/>
      <c r="AH120" s="772"/>
      <c r="AI120" s="772"/>
    </row>
    <row r="121" ht="15.75" customHeight="1">
      <c r="A121" s="772"/>
      <c r="B121" s="772"/>
      <c r="C121" s="772"/>
      <c r="D121" s="772"/>
      <c r="E121" s="772"/>
      <c r="F121" s="772"/>
      <c r="G121" s="772"/>
      <c r="H121" s="772"/>
      <c r="I121" s="772"/>
      <c r="J121" s="772"/>
      <c r="K121" s="772"/>
      <c r="L121" s="772"/>
      <c r="M121" s="772"/>
      <c r="N121" s="772"/>
      <c r="O121" s="772"/>
      <c r="P121" s="772"/>
      <c r="Q121" s="772"/>
      <c r="R121" s="772"/>
      <c r="S121" s="772"/>
      <c r="T121" s="772"/>
      <c r="U121" s="772"/>
      <c r="V121" s="772"/>
      <c r="W121" s="772"/>
      <c r="X121" s="772"/>
      <c r="Y121" s="772"/>
      <c r="Z121" s="772"/>
      <c r="AA121" s="772"/>
      <c r="AB121" s="772"/>
      <c r="AC121" s="772"/>
      <c r="AD121" s="772"/>
      <c r="AE121" s="772"/>
      <c r="AF121" s="772"/>
      <c r="AG121" s="772"/>
      <c r="AH121" s="772"/>
      <c r="AI121" s="772"/>
    </row>
    <row r="122" ht="15.75" customHeight="1">
      <c r="A122" s="772"/>
      <c r="B122" s="772"/>
      <c r="C122" s="772"/>
      <c r="D122" s="772"/>
      <c r="E122" s="772"/>
      <c r="F122" s="772"/>
      <c r="G122" s="772"/>
      <c r="H122" s="772"/>
      <c r="I122" s="772"/>
      <c r="J122" s="772"/>
      <c r="K122" s="772"/>
      <c r="L122" s="772"/>
      <c r="M122" s="772"/>
      <c r="N122" s="772"/>
      <c r="O122" s="772"/>
      <c r="P122" s="772"/>
      <c r="Q122" s="772"/>
      <c r="R122" s="772"/>
      <c r="S122" s="772"/>
      <c r="T122" s="772"/>
      <c r="U122" s="772"/>
      <c r="V122" s="772"/>
      <c r="W122" s="772"/>
      <c r="X122" s="772"/>
      <c r="Y122" s="772"/>
      <c r="Z122" s="772"/>
      <c r="AA122" s="772"/>
      <c r="AB122" s="772"/>
      <c r="AC122" s="772"/>
      <c r="AD122" s="772"/>
      <c r="AE122" s="772"/>
      <c r="AF122" s="772"/>
      <c r="AG122" s="772"/>
      <c r="AH122" s="772"/>
      <c r="AI122" s="772"/>
    </row>
    <row r="123" ht="15.75" customHeight="1">
      <c r="A123" s="772"/>
      <c r="B123" s="772"/>
      <c r="C123" s="772"/>
      <c r="D123" s="772"/>
      <c r="E123" s="772"/>
      <c r="F123" s="772"/>
      <c r="G123" s="772"/>
      <c r="H123" s="772"/>
      <c r="I123" s="772"/>
      <c r="J123" s="772"/>
      <c r="K123" s="772"/>
      <c r="L123" s="772"/>
      <c r="M123" s="772"/>
      <c r="N123" s="772"/>
      <c r="O123" s="772"/>
      <c r="P123" s="772"/>
      <c r="Q123" s="772"/>
      <c r="R123" s="772"/>
      <c r="S123" s="772"/>
      <c r="T123" s="772"/>
      <c r="U123" s="772"/>
      <c r="V123" s="772"/>
      <c r="W123" s="772"/>
      <c r="X123" s="772"/>
      <c r="Y123" s="772"/>
      <c r="Z123" s="772"/>
      <c r="AA123" s="772"/>
      <c r="AB123" s="772"/>
      <c r="AC123" s="772"/>
      <c r="AD123" s="772"/>
      <c r="AE123" s="772"/>
      <c r="AF123" s="772"/>
      <c r="AG123" s="772"/>
      <c r="AH123" s="772"/>
      <c r="AI123" s="772"/>
    </row>
    <row r="124" ht="15.75" customHeight="1">
      <c r="A124" s="772"/>
      <c r="B124" s="772"/>
      <c r="C124" s="772"/>
      <c r="D124" s="772"/>
      <c r="E124" s="772"/>
      <c r="F124" s="772"/>
      <c r="G124" s="772"/>
      <c r="H124" s="772"/>
      <c r="I124" s="772"/>
      <c r="J124" s="772"/>
      <c r="K124" s="772"/>
      <c r="L124" s="772"/>
      <c r="M124" s="772"/>
      <c r="N124" s="772"/>
      <c r="O124" s="772"/>
      <c r="P124" s="772"/>
      <c r="Q124" s="772"/>
      <c r="R124" s="772"/>
      <c r="S124" s="772"/>
      <c r="T124" s="772"/>
      <c r="U124" s="772"/>
      <c r="V124" s="772"/>
      <c r="W124" s="772"/>
      <c r="X124" s="772"/>
      <c r="Y124" s="772"/>
      <c r="Z124" s="772"/>
      <c r="AA124" s="772"/>
      <c r="AB124" s="772"/>
      <c r="AC124" s="772"/>
      <c r="AD124" s="772"/>
      <c r="AE124" s="772"/>
      <c r="AF124" s="772"/>
      <c r="AG124" s="772"/>
      <c r="AH124" s="772"/>
      <c r="AI124" s="772"/>
    </row>
    <row r="125" ht="15.75" customHeight="1">
      <c r="A125" s="772"/>
      <c r="B125" s="772"/>
      <c r="C125" s="772"/>
      <c r="D125" s="772"/>
      <c r="E125" s="772"/>
      <c r="F125" s="772"/>
      <c r="G125" s="772"/>
      <c r="H125" s="772"/>
      <c r="I125" s="772"/>
      <c r="J125" s="772"/>
      <c r="K125" s="772"/>
      <c r="L125" s="772"/>
      <c r="M125" s="772"/>
      <c r="N125" s="772"/>
      <c r="O125" s="772"/>
      <c r="P125" s="772"/>
      <c r="Q125" s="772"/>
      <c r="R125" s="772"/>
      <c r="S125" s="772"/>
      <c r="T125" s="772"/>
      <c r="U125" s="772"/>
      <c r="V125" s="772"/>
      <c r="W125" s="772"/>
      <c r="X125" s="772"/>
      <c r="Y125" s="772"/>
      <c r="Z125" s="772"/>
      <c r="AA125" s="772"/>
      <c r="AB125" s="772"/>
      <c r="AC125" s="772"/>
      <c r="AD125" s="772"/>
      <c r="AE125" s="772"/>
      <c r="AF125" s="772"/>
      <c r="AG125" s="772"/>
      <c r="AH125" s="772"/>
      <c r="AI125" s="772"/>
    </row>
    <row r="126" ht="15.75" customHeight="1">
      <c r="A126" s="772"/>
      <c r="B126" s="772"/>
      <c r="C126" s="772"/>
      <c r="D126" s="772"/>
      <c r="E126" s="772"/>
      <c r="F126" s="772"/>
      <c r="G126" s="772"/>
      <c r="H126" s="772"/>
      <c r="I126" s="772"/>
      <c r="J126" s="772"/>
      <c r="K126" s="772"/>
      <c r="L126" s="772"/>
      <c r="M126" s="772"/>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c r="AI126" s="772"/>
    </row>
    <row r="127" ht="15.75" customHeight="1">
      <c r="A127" s="772"/>
      <c r="B127" s="772"/>
      <c r="C127" s="772"/>
      <c r="D127" s="772"/>
      <c r="E127" s="772"/>
      <c r="F127" s="772"/>
      <c r="G127" s="772"/>
      <c r="H127" s="772"/>
      <c r="I127" s="772"/>
      <c r="J127" s="772"/>
      <c r="K127" s="772"/>
      <c r="L127" s="772"/>
      <c r="M127" s="772"/>
      <c r="N127" s="772"/>
      <c r="O127" s="772"/>
      <c r="P127" s="772"/>
      <c r="Q127" s="772"/>
      <c r="R127" s="772"/>
      <c r="S127" s="772"/>
      <c r="T127" s="772"/>
      <c r="U127" s="772"/>
      <c r="V127" s="772"/>
      <c r="W127" s="772"/>
      <c r="X127" s="772"/>
      <c r="Y127" s="772"/>
      <c r="Z127" s="772"/>
      <c r="AA127" s="772"/>
      <c r="AB127" s="772"/>
      <c r="AC127" s="772"/>
      <c r="AD127" s="772"/>
      <c r="AE127" s="772"/>
      <c r="AF127" s="772"/>
      <c r="AG127" s="772"/>
      <c r="AH127" s="772"/>
      <c r="AI127" s="772"/>
    </row>
    <row r="128" ht="15.75" customHeight="1">
      <c r="A128" s="772"/>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2"/>
      <c r="AE128" s="772"/>
      <c r="AF128" s="772"/>
      <c r="AG128" s="772"/>
      <c r="AH128" s="772"/>
      <c r="AI128" s="772"/>
    </row>
    <row r="129" ht="15.75" customHeight="1">
      <c r="A129" s="772"/>
      <c r="B129" s="772"/>
      <c r="C129" s="772"/>
      <c r="D129" s="772"/>
      <c r="E129" s="772"/>
      <c r="F129" s="772"/>
      <c r="G129" s="772"/>
      <c r="H129" s="772"/>
      <c r="I129" s="772"/>
      <c r="J129" s="772"/>
      <c r="K129" s="772"/>
      <c r="L129" s="772"/>
      <c r="M129" s="772"/>
      <c r="N129" s="772"/>
      <c r="O129" s="772"/>
      <c r="P129" s="772"/>
      <c r="Q129" s="772"/>
      <c r="R129" s="772"/>
      <c r="S129" s="772"/>
      <c r="T129" s="772"/>
      <c r="U129" s="772"/>
      <c r="V129" s="772"/>
      <c r="W129" s="772"/>
      <c r="X129" s="772"/>
      <c r="Y129" s="772"/>
      <c r="Z129" s="772"/>
      <c r="AA129" s="772"/>
      <c r="AB129" s="772"/>
      <c r="AC129" s="772"/>
      <c r="AD129" s="772"/>
      <c r="AE129" s="772"/>
      <c r="AF129" s="772"/>
      <c r="AG129" s="772"/>
      <c r="AH129" s="772"/>
      <c r="AI129" s="772"/>
    </row>
    <row r="130" ht="15.75" customHeight="1">
      <c r="A130" s="772"/>
      <c r="B130" s="772"/>
      <c r="C130" s="772"/>
      <c r="D130" s="772"/>
      <c r="E130" s="772"/>
      <c r="F130" s="772"/>
      <c r="G130" s="772"/>
      <c r="H130" s="772"/>
      <c r="I130" s="772"/>
      <c r="J130" s="772"/>
      <c r="K130" s="772"/>
      <c r="L130" s="772"/>
      <c r="M130" s="772"/>
      <c r="N130" s="772"/>
      <c r="O130" s="772"/>
      <c r="P130" s="772"/>
      <c r="Q130" s="772"/>
      <c r="R130" s="772"/>
      <c r="S130" s="772"/>
      <c r="T130" s="772"/>
      <c r="U130" s="772"/>
      <c r="V130" s="772"/>
      <c r="W130" s="772"/>
      <c r="X130" s="772"/>
      <c r="Y130" s="772"/>
      <c r="Z130" s="772"/>
      <c r="AA130" s="772"/>
      <c r="AB130" s="772"/>
      <c r="AC130" s="772"/>
      <c r="AD130" s="772"/>
      <c r="AE130" s="772"/>
      <c r="AF130" s="772"/>
      <c r="AG130" s="772"/>
      <c r="AH130" s="772"/>
      <c r="AI130" s="772"/>
    </row>
    <row r="131" ht="15.75" customHeight="1">
      <c r="A131" s="772"/>
      <c r="B131" s="772"/>
      <c r="C131" s="772"/>
      <c r="D131" s="772"/>
      <c r="E131" s="772"/>
      <c r="F131" s="772"/>
      <c r="G131" s="772"/>
      <c r="H131" s="772"/>
      <c r="I131" s="772"/>
      <c r="J131" s="772"/>
      <c r="K131" s="772"/>
      <c r="L131" s="772"/>
      <c r="M131" s="772"/>
      <c r="N131" s="772"/>
      <c r="O131" s="772"/>
      <c r="P131" s="772"/>
      <c r="Q131" s="772"/>
      <c r="R131" s="772"/>
      <c r="S131" s="772"/>
      <c r="T131" s="772"/>
      <c r="U131" s="772"/>
      <c r="V131" s="772"/>
      <c r="W131" s="772"/>
      <c r="X131" s="772"/>
      <c r="Y131" s="772"/>
      <c r="Z131" s="772"/>
      <c r="AA131" s="772"/>
      <c r="AB131" s="772"/>
      <c r="AC131" s="772"/>
      <c r="AD131" s="772"/>
      <c r="AE131" s="772"/>
      <c r="AF131" s="772"/>
      <c r="AG131" s="772"/>
      <c r="AH131" s="772"/>
      <c r="AI131" s="772"/>
    </row>
    <row r="132" ht="15.75" customHeight="1">
      <c r="A132" s="772"/>
      <c r="B132" s="772"/>
      <c r="C132" s="772"/>
      <c r="D132" s="772"/>
      <c r="E132" s="772"/>
      <c r="F132" s="772"/>
      <c r="G132" s="772"/>
      <c r="H132" s="772"/>
      <c r="I132" s="772"/>
      <c r="J132" s="772"/>
      <c r="K132" s="772"/>
      <c r="L132" s="772"/>
      <c r="M132" s="772"/>
      <c r="N132" s="772"/>
      <c r="O132" s="772"/>
      <c r="P132" s="772"/>
      <c r="Q132" s="772"/>
      <c r="R132" s="772"/>
      <c r="S132" s="772"/>
      <c r="T132" s="772"/>
      <c r="U132" s="772"/>
      <c r="V132" s="772"/>
      <c r="W132" s="772"/>
      <c r="X132" s="772"/>
      <c r="Y132" s="772"/>
      <c r="Z132" s="772"/>
      <c r="AA132" s="772"/>
      <c r="AB132" s="772"/>
      <c r="AC132" s="772"/>
      <c r="AD132" s="772"/>
      <c r="AE132" s="772"/>
      <c r="AF132" s="772"/>
      <c r="AG132" s="772"/>
      <c r="AH132" s="772"/>
      <c r="AI132" s="772"/>
    </row>
    <row r="133" ht="15.75" customHeight="1">
      <c r="A133" s="772"/>
      <c r="B133" s="772"/>
      <c r="C133" s="772"/>
      <c r="D133" s="772"/>
      <c r="E133" s="772"/>
      <c r="F133" s="772"/>
      <c r="G133" s="772"/>
      <c r="H133" s="772"/>
      <c r="I133" s="772"/>
      <c r="J133" s="772"/>
      <c r="K133" s="772"/>
      <c r="L133" s="772"/>
      <c r="M133" s="772"/>
      <c r="N133" s="772"/>
      <c r="O133" s="772"/>
      <c r="P133" s="772"/>
      <c r="Q133" s="772"/>
      <c r="R133" s="772"/>
      <c r="S133" s="772"/>
      <c r="T133" s="772"/>
      <c r="U133" s="772"/>
      <c r="V133" s="772"/>
      <c r="W133" s="772"/>
      <c r="X133" s="772"/>
      <c r="Y133" s="772"/>
      <c r="Z133" s="772"/>
      <c r="AA133" s="772"/>
      <c r="AB133" s="772"/>
      <c r="AC133" s="772"/>
      <c r="AD133" s="772"/>
      <c r="AE133" s="772"/>
      <c r="AF133" s="772"/>
      <c r="AG133" s="772"/>
      <c r="AH133" s="772"/>
      <c r="AI133" s="772"/>
    </row>
    <row r="134" ht="15.75" customHeight="1">
      <c r="A134" s="772"/>
      <c r="B134" s="772"/>
      <c r="C134" s="772"/>
      <c r="D134" s="772"/>
      <c r="E134" s="772"/>
      <c r="F134" s="772"/>
      <c r="G134" s="772"/>
      <c r="H134" s="772"/>
      <c r="I134" s="772"/>
      <c r="J134" s="772"/>
      <c r="K134" s="772"/>
      <c r="L134" s="772"/>
      <c r="M134" s="772"/>
      <c r="N134" s="772"/>
      <c r="O134" s="772"/>
      <c r="P134" s="772"/>
      <c r="Q134" s="772"/>
      <c r="R134" s="772"/>
      <c r="S134" s="772"/>
      <c r="T134" s="772"/>
      <c r="U134" s="772"/>
      <c r="V134" s="772"/>
      <c r="W134" s="772"/>
      <c r="X134" s="772"/>
      <c r="Y134" s="772"/>
      <c r="Z134" s="772"/>
      <c r="AA134" s="772"/>
      <c r="AB134" s="772"/>
      <c r="AC134" s="772"/>
      <c r="AD134" s="772"/>
      <c r="AE134" s="772"/>
      <c r="AF134" s="772"/>
      <c r="AG134" s="772"/>
      <c r="AH134" s="772"/>
      <c r="AI134" s="772"/>
    </row>
    <row r="135" ht="15.75" customHeight="1">
      <c r="A135" s="772"/>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2"/>
      <c r="AE135" s="772"/>
      <c r="AF135" s="772"/>
      <c r="AG135" s="772"/>
      <c r="AH135" s="772"/>
      <c r="AI135" s="772"/>
    </row>
    <row r="136" ht="15.75" customHeight="1">
      <c r="A136" s="772"/>
      <c r="B136" s="772"/>
      <c r="C136" s="772"/>
      <c r="D136" s="772"/>
      <c r="E136" s="772"/>
      <c r="F136" s="772"/>
      <c r="G136" s="772"/>
      <c r="H136" s="772"/>
      <c r="I136" s="772"/>
      <c r="J136" s="772"/>
      <c r="K136" s="772"/>
      <c r="L136" s="772"/>
      <c r="M136" s="772"/>
      <c r="N136" s="772"/>
      <c r="O136" s="772"/>
      <c r="P136" s="772"/>
      <c r="Q136" s="772"/>
      <c r="R136" s="772"/>
      <c r="S136" s="772"/>
      <c r="T136" s="772"/>
      <c r="U136" s="772"/>
      <c r="V136" s="772"/>
      <c r="W136" s="772"/>
      <c r="X136" s="772"/>
      <c r="Y136" s="772"/>
      <c r="Z136" s="772"/>
      <c r="AA136" s="772"/>
      <c r="AB136" s="772"/>
      <c r="AC136" s="772"/>
      <c r="AD136" s="772"/>
      <c r="AE136" s="772"/>
      <c r="AF136" s="772"/>
      <c r="AG136" s="772"/>
      <c r="AH136" s="772"/>
      <c r="AI136" s="772"/>
    </row>
    <row r="137" ht="15.75" customHeight="1">
      <c r="A137" s="772"/>
      <c r="B137" s="772"/>
      <c r="C137" s="772"/>
      <c r="D137" s="772"/>
      <c r="E137" s="772"/>
      <c r="F137" s="772"/>
      <c r="G137" s="772"/>
      <c r="H137" s="772"/>
      <c r="I137" s="772"/>
      <c r="J137" s="772"/>
      <c r="K137" s="772"/>
      <c r="L137" s="772"/>
      <c r="M137" s="772"/>
      <c r="N137" s="772"/>
      <c r="O137" s="772"/>
      <c r="P137" s="772"/>
      <c r="Q137" s="772"/>
      <c r="R137" s="772"/>
      <c r="S137" s="772"/>
      <c r="T137" s="772"/>
      <c r="U137" s="772"/>
      <c r="V137" s="772"/>
      <c r="W137" s="772"/>
      <c r="X137" s="772"/>
      <c r="Y137" s="772"/>
      <c r="Z137" s="772"/>
      <c r="AA137" s="772"/>
      <c r="AB137" s="772"/>
      <c r="AC137" s="772"/>
      <c r="AD137" s="772"/>
      <c r="AE137" s="772"/>
      <c r="AF137" s="772"/>
      <c r="AG137" s="772"/>
      <c r="AH137" s="772"/>
      <c r="AI137" s="772"/>
    </row>
    <row r="138" ht="15.75" customHeight="1">
      <c r="A138" s="772"/>
      <c r="B138" s="772"/>
      <c r="C138" s="772"/>
      <c r="D138" s="772"/>
      <c r="E138" s="772"/>
      <c r="F138" s="772"/>
      <c r="G138" s="772"/>
      <c r="H138" s="772"/>
      <c r="I138" s="772"/>
      <c r="J138" s="772"/>
      <c r="K138" s="772"/>
      <c r="L138" s="772"/>
      <c r="M138" s="772"/>
      <c r="N138" s="772"/>
      <c r="O138" s="772"/>
      <c r="P138" s="772"/>
      <c r="Q138" s="772"/>
      <c r="R138" s="772"/>
      <c r="S138" s="772"/>
      <c r="T138" s="772"/>
      <c r="U138" s="772"/>
      <c r="V138" s="772"/>
      <c r="W138" s="772"/>
      <c r="X138" s="772"/>
      <c r="Y138" s="772"/>
      <c r="Z138" s="772"/>
      <c r="AA138" s="772"/>
      <c r="AB138" s="772"/>
      <c r="AC138" s="772"/>
      <c r="AD138" s="772"/>
      <c r="AE138" s="772"/>
      <c r="AF138" s="772"/>
      <c r="AG138" s="772"/>
      <c r="AH138" s="772"/>
      <c r="AI138" s="772"/>
    </row>
    <row r="139" ht="15.75" customHeight="1">
      <c r="A139" s="772"/>
      <c r="B139" s="772"/>
      <c r="C139" s="772"/>
      <c r="D139" s="772"/>
      <c r="E139" s="772"/>
      <c r="F139" s="772"/>
      <c r="G139" s="772"/>
      <c r="H139" s="772"/>
      <c r="I139" s="772"/>
      <c r="J139" s="772"/>
      <c r="K139" s="772"/>
      <c r="L139" s="772"/>
      <c r="M139" s="772"/>
      <c r="N139" s="772"/>
      <c r="O139" s="772"/>
      <c r="P139" s="772"/>
      <c r="Q139" s="772"/>
      <c r="R139" s="772"/>
      <c r="S139" s="772"/>
      <c r="T139" s="772"/>
      <c r="U139" s="772"/>
      <c r="V139" s="772"/>
      <c r="W139" s="772"/>
      <c r="X139" s="772"/>
      <c r="Y139" s="772"/>
      <c r="Z139" s="772"/>
      <c r="AA139" s="772"/>
      <c r="AB139" s="772"/>
      <c r="AC139" s="772"/>
      <c r="AD139" s="772"/>
      <c r="AE139" s="772"/>
      <c r="AF139" s="772"/>
      <c r="AG139" s="772"/>
      <c r="AH139" s="772"/>
      <c r="AI139" s="772"/>
    </row>
    <row r="140" ht="15.75" customHeight="1">
      <c r="A140" s="772"/>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2"/>
      <c r="AE140" s="772"/>
      <c r="AF140" s="772"/>
      <c r="AG140" s="772"/>
      <c r="AH140" s="772"/>
      <c r="AI140" s="772"/>
    </row>
    <row r="141" ht="15.75" customHeight="1">
      <c r="A141" s="772"/>
      <c r="B141" s="772"/>
      <c r="C141" s="772"/>
      <c r="D141" s="772"/>
      <c r="E141" s="772"/>
      <c r="F141" s="772"/>
      <c r="G141" s="772"/>
      <c r="H141" s="772"/>
      <c r="I141" s="772"/>
      <c r="J141" s="772"/>
      <c r="K141" s="772"/>
      <c r="L141" s="772"/>
      <c r="M141" s="772"/>
      <c r="N141" s="772"/>
      <c r="O141" s="772"/>
      <c r="P141" s="772"/>
      <c r="Q141" s="772"/>
      <c r="R141" s="772"/>
      <c r="S141" s="772"/>
      <c r="T141" s="772"/>
      <c r="U141" s="772"/>
      <c r="V141" s="772"/>
      <c r="W141" s="772"/>
      <c r="X141" s="772"/>
      <c r="Y141" s="772"/>
      <c r="Z141" s="772"/>
      <c r="AA141" s="772"/>
      <c r="AB141" s="772"/>
      <c r="AC141" s="772"/>
      <c r="AD141" s="772"/>
      <c r="AE141" s="772"/>
      <c r="AF141" s="772"/>
      <c r="AG141" s="772"/>
      <c r="AH141" s="772"/>
      <c r="AI141" s="772"/>
    </row>
    <row r="142" ht="15.75" customHeight="1">
      <c r="A142" s="772"/>
      <c r="B142" s="772"/>
      <c r="C142" s="772"/>
      <c r="D142" s="772"/>
      <c r="E142" s="772"/>
      <c r="F142" s="772"/>
      <c r="G142" s="772"/>
      <c r="H142" s="772"/>
      <c r="I142" s="772"/>
      <c r="J142" s="772"/>
      <c r="K142" s="772"/>
      <c r="L142" s="772"/>
      <c r="M142" s="772"/>
      <c r="N142" s="772"/>
      <c r="O142" s="772"/>
      <c r="P142" s="772"/>
      <c r="Q142" s="772"/>
      <c r="R142" s="772"/>
      <c r="S142" s="772"/>
      <c r="T142" s="772"/>
      <c r="U142" s="772"/>
      <c r="V142" s="772"/>
      <c r="W142" s="772"/>
      <c r="X142" s="772"/>
      <c r="Y142" s="772"/>
      <c r="Z142" s="772"/>
      <c r="AA142" s="772"/>
      <c r="AB142" s="772"/>
      <c r="AC142" s="772"/>
      <c r="AD142" s="772"/>
      <c r="AE142" s="772"/>
      <c r="AF142" s="772"/>
      <c r="AG142" s="772"/>
      <c r="AH142" s="772"/>
      <c r="AI142" s="772"/>
    </row>
    <row r="143" ht="15.75" customHeight="1">
      <c r="A143" s="772"/>
      <c r="B143" s="772"/>
      <c r="C143" s="772"/>
      <c r="D143" s="772"/>
      <c r="E143" s="772"/>
      <c r="F143" s="772"/>
      <c r="G143" s="772"/>
      <c r="H143" s="772"/>
      <c r="I143" s="772"/>
      <c r="J143" s="772"/>
      <c r="K143" s="772"/>
      <c r="L143" s="772"/>
      <c r="M143" s="772"/>
      <c r="N143" s="772"/>
      <c r="O143" s="772"/>
      <c r="P143" s="772"/>
      <c r="Q143" s="772"/>
      <c r="R143" s="772"/>
      <c r="S143" s="772"/>
      <c r="T143" s="772"/>
      <c r="U143" s="772"/>
      <c r="V143" s="772"/>
      <c r="W143" s="772"/>
      <c r="X143" s="772"/>
      <c r="Y143" s="772"/>
      <c r="Z143" s="772"/>
      <c r="AA143" s="772"/>
      <c r="AB143" s="772"/>
      <c r="AC143" s="772"/>
      <c r="AD143" s="772"/>
      <c r="AE143" s="772"/>
      <c r="AF143" s="772"/>
      <c r="AG143" s="772"/>
      <c r="AH143" s="772"/>
      <c r="AI143" s="772"/>
    </row>
    <row r="144" ht="15.75" customHeight="1">
      <c r="A144" s="772"/>
      <c r="B144" s="772"/>
      <c r="C144" s="772"/>
      <c r="D144" s="772"/>
      <c r="E144" s="772"/>
      <c r="F144" s="772"/>
      <c r="G144" s="772"/>
      <c r="H144" s="772"/>
      <c r="I144" s="772"/>
      <c r="J144" s="772"/>
      <c r="K144" s="772"/>
      <c r="L144" s="772"/>
      <c r="M144" s="772"/>
      <c r="N144" s="772"/>
      <c r="O144" s="772"/>
      <c r="P144" s="772"/>
      <c r="Q144" s="772"/>
      <c r="R144" s="772"/>
      <c r="S144" s="772"/>
      <c r="T144" s="772"/>
      <c r="U144" s="772"/>
      <c r="V144" s="772"/>
      <c r="W144" s="772"/>
      <c r="X144" s="772"/>
      <c r="Y144" s="772"/>
      <c r="Z144" s="772"/>
      <c r="AA144" s="772"/>
      <c r="AB144" s="772"/>
      <c r="AC144" s="772"/>
      <c r="AD144" s="772"/>
      <c r="AE144" s="772"/>
      <c r="AF144" s="772"/>
      <c r="AG144" s="772"/>
      <c r="AH144" s="772"/>
      <c r="AI144" s="772"/>
    </row>
    <row r="145" ht="15.75" customHeight="1">
      <c r="A145" s="772"/>
      <c r="B145" s="772"/>
      <c r="C145" s="772"/>
      <c r="D145" s="772"/>
      <c r="E145" s="772"/>
      <c r="F145" s="772"/>
      <c r="G145" s="772"/>
      <c r="H145" s="772"/>
      <c r="I145" s="772"/>
      <c r="J145" s="772"/>
      <c r="K145" s="772"/>
      <c r="L145" s="772"/>
      <c r="M145" s="772"/>
      <c r="N145" s="772"/>
      <c r="O145" s="772"/>
      <c r="P145" s="772"/>
      <c r="Q145" s="772"/>
      <c r="R145" s="772"/>
      <c r="S145" s="772"/>
      <c r="T145" s="772"/>
      <c r="U145" s="772"/>
      <c r="V145" s="772"/>
      <c r="W145" s="772"/>
      <c r="X145" s="772"/>
      <c r="Y145" s="772"/>
      <c r="Z145" s="772"/>
      <c r="AA145" s="772"/>
      <c r="AB145" s="772"/>
      <c r="AC145" s="772"/>
      <c r="AD145" s="772"/>
      <c r="AE145" s="772"/>
      <c r="AF145" s="772"/>
      <c r="AG145" s="772"/>
      <c r="AH145" s="772"/>
      <c r="AI145" s="772"/>
    </row>
    <row r="146" ht="15.75" customHeight="1">
      <c r="A146" s="772"/>
      <c r="B146" s="772"/>
      <c r="C146" s="772"/>
      <c r="D146" s="772"/>
      <c r="E146" s="772"/>
      <c r="F146" s="772"/>
      <c r="G146" s="772"/>
      <c r="H146" s="772"/>
      <c r="I146" s="772"/>
      <c r="J146" s="772"/>
      <c r="K146" s="772"/>
      <c r="L146" s="772"/>
      <c r="M146" s="772"/>
      <c r="N146" s="772"/>
      <c r="O146" s="772"/>
      <c r="P146" s="772"/>
      <c r="Q146" s="772"/>
      <c r="R146" s="772"/>
      <c r="S146" s="772"/>
      <c r="T146" s="772"/>
      <c r="U146" s="772"/>
      <c r="V146" s="772"/>
      <c r="W146" s="772"/>
      <c r="X146" s="772"/>
      <c r="Y146" s="772"/>
      <c r="Z146" s="772"/>
      <c r="AA146" s="772"/>
      <c r="AB146" s="772"/>
      <c r="AC146" s="772"/>
      <c r="AD146" s="772"/>
      <c r="AE146" s="772"/>
      <c r="AF146" s="772"/>
      <c r="AG146" s="772"/>
      <c r="AH146" s="772"/>
      <c r="AI146" s="772"/>
    </row>
    <row r="147" ht="15.75" customHeight="1">
      <c r="A147" s="772"/>
      <c r="B147" s="772"/>
      <c r="C147" s="772"/>
      <c r="D147" s="772"/>
      <c r="E147" s="772"/>
      <c r="F147" s="772"/>
      <c r="G147" s="772"/>
      <c r="H147" s="772"/>
      <c r="I147" s="772"/>
      <c r="J147" s="772"/>
      <c r="K147" s="772"/>
      <c r="L147" s="772"/>
      <c r="M147" s="772"/>
      <c r="N147" s="772"/>
      <c r="O147" s="772"/>
      <c r="P147" s="772"/>
      <c r="Q147" s="772"/>
      <c r="R147" s="772"/>
      <c r="S147" s="772"/>
      <c r="T147" s="772"/>
      <c r="U147" s="772"/>
      <c r="V147" s="772"/>
      <c r="W147" s="772"/>
      <c r="X147" s="772"/>
      <c r="Y147" s="772"/>
      <c r="Z147" s="772"/>
      <c r="AA147" s="772"/>
      <c r="AB147" s="772"/>
      <c r="AC147" s="772"/>
      <c r="AD147" s="772"/>
      <c r="AE147" s="772"/>
      <c r="AF147" s="772"/>
      <c r="AG147" s="772"/>
      <c r="AH147" s="772"/>
      <c r="AI147" s="772"/>
    </row>
    <row r="148" ht="15.75" customHeight="1">
      <c r="A148" s="772"/>
      <c r="B148" s="772"/>
      <c r="C148" s="772"/>
      <c r="D148" s="772"/>
      <c r="E148" s="772"/>
      <c r="F148" s="772"/>
      <c r="G148" s="772"/>
      <c r="H148" s="772"/>
      <c r="I148" s="772"/>
      <c r="J148" s="772"/>
      <c r="K148" s="772"/>
      <c r="L148" s="772"/>
      <c r="M148" s="772"/>
      <c r="N148" s="772"/>
      <c r="O148" s="772"/>
      <c r="P148" s="772"/>
      <c r="Q148" s="772"/>
      <c r="R148" s="772"/>
      <c r="S148" s="772"/>
      <c r="T148" s="772"/>
      <c r="U148" s="772"/>
      <c r="V148" s="772"/>
      <c r="W148" s="772"/>
      <c r="X148" s="772"/>
      <c r="Y148" s="772"/>
      <c r="Z148" s="772"/>
      <c r="AA148" s="772"/>
      <c r="AB148" s="772"/>
      <c r="AC148" s="772"/>
      <c r="AD148" s="772"/>
      <c r="AE148" s="772"/>
      <c r="AF148" s="772"/>
      <c r="AG148" s="772"/>
      <c r="AH148" s="772"/>
      <c r="AI148" s="772"/>
    </row>
    <row r="149" ht="15.75" customHeight="1">
      <c r="A149" s="772"/>
      <c r="B149" s="772"/>
      <c r="C149" s="772"/>
      <c r="D149" s="772"/>
      <c r="E149" s="772"/>
      <c r="F149" s="772"/>
      <c r="G149" s="772"/>
      <c r="H149" s="772"/>
      <c r="I149" s="772"/>
      <c r="J149" s="772"/>
      <c r="K149" s="772"/>
      <c r="L149" s="772"/>
      <c r="M149" s="772"/>
      <c r="N149" s="772"/>
      <c r="O149" s="772"/>
      <c r="P149" s="772"/>
      <c r="Q149" s="772"/>
      <c r="R149" s="772"/>
      <c r="S149" s="772"/>
      <c r="T149" s="772"/>
      <c r="U149" s="772"/>
      <c r="V149" s="772"/>
      <c r="W149" s="772"/>
      <c r="X149" s="772"/>
      <c r="Y149" s="772"/>
      <c r="Z149" s="772"/>
      <c r="AA149" s="772"/>
      <c r="AB149" s="772"/>
      <c r="AC149" s="772"/>
      <c r="AD149" s="772"/>
      <c r="AE149" s="772"/>
      <c r="AF149" s="772"/>
      <c r="AG149" s="772"/>
      <c r="AH149" s="772"/>
      <c r="AI149" s="772"/>
    </row>
    <row r="150" ht="15.75" customHeight="1">
      <c r="A150" s="772"/>
      <c r="B150" s="772"/>
      <c r="C150" s="772"/>
      <c r="D150" s="772"/>
      <c r="E150" s="772"/>
      <c r="F150" s="772"/>
      <c r="G150" s="772"/>
      <c r="H150" s="772"/>
      <c r="I150" s="772"/>
      <c r="J150" s="772"/>
      <c r="K150" s="772"/>
      <c r="L150" s="772"/>
      <c r="M150" s="772"/>
      <c r="N150" s="772"/>
      <c r="O150" s="772"/>
      <c r="P150" s="772"/>
      <c r="Q150" s="772"/>
      <c r="R150" s="772"/>
      <c r="S150" s="772"/>
      <c r="T150" s="772"/>
      <c r="U150" s="772"/>
      <c r="V150" s="772"/>
      <c r="W150" s="772"/>
      <c r="X150" s="772"/>
      <c r="Y150" s="772"/>
      <c r="Z150" s="772"/>
      <c r="AA150" s="772"/>
      <c r="AB150" s="772"/>
      <c r="AC150" s="772"/>
      <c r="AD150" s="772"/>
      <c r="AE150" s="772"/>
      <c r="AF150" s="772"/>
      <c r="AG150" s="772"/>
      <c r="AH150" s="772"/>
      <c r="AI150" s="772"/>
    </row>
    <row r="151" ht="15.75" customHeight="1">
      <c r="A151" s="772"/>
      <c r="B151" s="772"/>
      <c r="C151" s="772"/>
      <c r="D151" s="772"/>
      <c r="E151" s="772"/>
      <c r="F151" s="772"/>
      <c r="G151" s="772"/>
      <c r="H151" s="772"/>
      <c r="I151" s="772"/>
      <c r="J151" s="772"/>
      <c r="K151" s="772"/>
      <c r="L151" s="772"/>
      <c r="M151" s="772"/>
      <c r="N151" s="772"/>
      <c r="O151" s="772"/>
      <c r="P151" s="772"/>
      <c r="Q151" s="772"/>
      <c r="R151" s="772"/>
      <c r="S151" s="772"/>
      <c r="T151" s="772"/>
      <c r="U151" s="772"/>
      <c r="V151" s="772"/>
      <c r="W151" s="772"/>
      <c r="X151" s="772"/>
      <c r="Y151" s="772"/>
      <c r="Z151" s="772"/>
      <c r="AA151" s="772"/>
      <c r="AB151" s="772"/>
      <c r="AC151" s="772"/>
      <c r="AD151" s="772"/>
      <c r="AE151" s="772"/>
      <c r="AF151" s="772"/>
      <c r="AG151" s="772"/>
      <c r="AH151" s="772"/>
      <c r="AI151" s="772"/>
    </row>
    <row r="152" ht="15.75" customHeight="1">
      <c r="A152" s="772"/>
      <c r="B152" s="772"/>
      <c r="C152" s="772"/>
      <c r="D152" s="772"/>
      <c r="E152" s="772"/>
      <c r="F152" s="772"/>
      <c r="G152" s="772"/>
      <c r="H152" s="772"/>
      <c r="I152" s="772"/>
      <c r="J152" s="772"/>
      <c r="K152" s="772"/>
      <c r="L152" s="772"/>
      <c r="M152" s="772"/>
      <c r="N152" s="772"/>
      <c r="O152" s="772"/>
      <c r="P152" s="772"/>
      <c r="Q152" s="772"/>
      <c r="R152" s="772"/>
      <c r="S152" s="772"/>
      <c r="T152" s="772"/>
      <c r="U152" s="772"/>
      <c r="V152" s="772"/>
      <c r="W152" s="772"/>
      <c r="X152" s="772"/>
      <c r="Y152" s="772"/>
      <c r="Z152" s="772"/>
      <c r="AA152" s="772"/>
      <c r="AB152" s="772"/>
      <c r="AC152" s="772"/>
      <c r="AD152" s="772"/>
      <c r="AE152" s="772"/>
      <c r="AF152" s="772"/>
      <c r="AG152" s="772"/>
      <c r="AH152" s="772"/>
      <c r="AI152" s="772"/>
    </row>
    <row r="153" ht="15.75" customHeight="1">
      <c r="A153" s="772"/>
      <c r="B153" s="772"/>
      <c r="C153" s="772"/>
      <c r="D153" s="772"/>
      <c r="E153" s="772"/>
      <c r="F153" s="772"/>
      <c r="G153" s="772"/>
      <c r="H153" s="772"/>
      <c r="I153" s="772"/>
      <c r="J153" s="772"/>
      <c r="K153" s="772"/>
      <c r="L153" s="772"/>
      <c r="M153" s="772"/>
      <c r="N153" s="772"/>
      <c r="O153" s="772"/>
      <c r="P153" s="772"/>
      <c r="Q153" s="772"/>
      <c r="R153" s="772"/>
      <c r="S153" s="772"/>
      <c r="T153" s="772"/>
      <c r="U153" s="772"/>
      <c r="V153" s="772"/>
      <c r="W153" s="772"/>
      <c r="X153" s="772"/>
      <c r="Y153" s="772"/>
      <c r="Z153" s="772"/>
      <c r="AA153" s="772"/>
      <c r="AB153" s="772"/>
      <c r="AC153" s="772"/>
      <c r="AD153" s="772"/>
      <c r="AE153" s="772"/>
      <c r="AF153" s="772"/>
      <c r="AG153" s="772"/>
      <c r="AH153" s="772"/>
      <c r="AI153" s="772"/>
    </row>
    <row r="154" ht="15.75" customHeight="1">
      <c r="A154" s="772"/>
      <c r="B154" s="772"/>
      <c r="C154" s="772"/>
      <c r="D154" s="772"/>
      <c r="E154" s="772"/>
      <c r="F154" s="772"/>
      <c r="G154" s="772"/>
      <c r="H154" s="772"/>
      <c r="I154" s="772"/>
      <c r="J154" s="772"/>
      <c r="K154" s="772"/>
      <c r="L154" s="772"/>
      <c r="M154" s="772"/>
      <c r="N154" s="772"/>
      <c r="O154" s="772"/>
      <c r="P154" s="772"/>
      <c r="Q154" s="772"/>
      <c r="R154" s="772"/>
      <c r="S154" s="772"/>
      <c r="T154" s="772"/>
      <c r="U154" s="772"/>
      <c r="V154" s="772"/>
      <c r="W154" s="772"/>
      <c r="X154" s="772"/>
      <c r="Y154" s="772"/>
      <c r="Z154" s="772"/>
      <c r="AA154" s="772"/>
      <c r="AB154" s="772"/>
      <c r="AC154" s="772"/>
      <c r="AD154" s="772"/>
      <c r="AE154" s="772"/>
      <c r="AF154" s="772"/>
      <c r="AG154" s="772"/>
      <c r="AH154" s="772"/>
      <c r="AI154" s="772"/>
    </row>
    <row r="155" ht="15.75" customHeight="1">
      <c r="A155" s="772"/>
      <c r="B155" s="772"/>
      <c r="C155" s="772"/>
      <c r="D155" s="772"/>
      <c r="E155" s="772"/>
      <c r="F155" s="772"/>
      <c r="G155" s="772"/>
      <c r="H155" s="772"/>
      <c r="I155" s="772"/>
      <c r="J155" s="772"/>
      <c r="K155" s="772"/>
      <c r="L155" s="772"/>
      <c r="M155" s="772"/>
      <c r="N155" s="772"/>
      <c r="O155" s="772"/>
      <c r="P155" s="772"/>
      <c r="Q155" s="772"/>
      <c r="R155" s="772"/>
      <c r="S155" s="772"/>
      <c r="T155" s="772"/>
      <c r="U155" s="772"/>
      <c r="V155" s="772"/>
      <c r="W155" s="772"/>
      <c r="X155" s="772"/>
      <c r="Y155" s="772"/>
      <c r="Z155" s="772"/>
      <c r="AA155" s="772"/>
      <c r="AB155" s="772"/>
      <c r="AC155" s="772"/>
      <c r="AD155" s="772"/>
      <c r="AE155" s="772"/>
      <c r="AF155" s="772"/>
      <c r="AG155" s="772"/>
      <c r="AH155" s="772"/>
      <c r="AI155" s="772"/>
    </row>
    <row r="156" ht="15.75" customHeight="1">
      <c r="A156" s="772"/>
      <c r="B156" s="772"/>
      <c r="C156" s="772"/>
      <c r="D156" s="772"/>
      <c r="E156" s="772"/>
      <c r="F156" s="772"/>
      <c r="G156" s="772"/>
      <c r="H156" s="772"/>
      <c r="I156" s="772"/>
      <c r="J156" s="772"/>
      <c r="K156" s="772"/>
      <c r="L156" s="772"/>
      <c r="M156" s="772"/>
      <c r="N156" s="772"/>
      <c r="O156" s="772"/>
      <c r="P156" s="772"/>
      <c r="Q156" s="772"/>
      <c r="R156" s="772"/>
      <c r="S156" s="772"/>
      <c r="T156" s="772"/>
      <c r="U156" s="772"/>
      <c r="V156" s="772"/>
      <c r="W156" s="772"/>
      <c r="X156" s="772"/>
      <c r="Y156" s="772"/>
      <c r="Z156" s="772"/>
      <c r="AA156" s="772"/>
      <c r="AB156" s="772"/>
      <c r="AC156" s="772"/>
      <c r="AD156" s="772"/>
      <c r="AE156" s="772"/>
      <c r="AF156" s="772"/>
      <c r="AG156" s="772"/>
      <c r="AH156" s="772"/>
      <c r="AI156" s="772"/>
    </row>
    <row r="157" ht="15.75" customHeight="1">
      <c r="A157" s="772"/>
      <c r="B157" s="772"/>
      <c r="C157" s="772"/>
      <c r="D157" s="772"/>
      <c r="E157" s="772"/>
      <c r="F157" s="772"/>
      <c r="G157" s="772"/>
      <c r="H157" s="772"/>
      <c r="I157" s="772"/>
      <c r="J157" s="772"/>
      <c r="K157" s="772"/>
      <c r="L157" s="772"/>
      <c r="M157" s="772"/>
      <c r="N157" s="772"/>
      <c r="O157" s="772"/>
      <c r="P157" s="772"/>
      <c r="Q157" s="772"/>
      <c r="R157" s="772"/>
      <c r="S157" s="772"/>
      <c r="T157" s="772"/>
      <c r="U157" s="772"/>
      <c r="V157" s="772"/>
      <c r="W157" s="772"/>
      <c r="X157" s="772"/>
      <c r="Y157" s="772"/>
      <c r="Z157" s="772"/>
      <c r="AA157" s="772"/>
      <c r="AB157" s="772"/>
      <c r="AC157" s="772"/>
      <c r="AD157" s="772"/>
      <c r="AE157" s="772"/>
      <c r="AF157" s="772"/>
      <c r="AG157" s="772"/>
      <c r="AH157" s="772"/>
      <c r="AI157" s="772"/>
    </row>
    <row r="158" ht="15.75" customHeight="1">
      <c r="A158" s="772"/>
      <c r="B158" s="772"/>
      <c r="C158" s="772"/>
      <c r="D158" s="772"/>
      <c r="E158" s="772"/>
      <c r="F158" s="772"/>
      <c r="G158" s="772"/>
      <c r="H158" s="772"/>
      <c r="I158" s="772"/>
      <c r="J158" s="772"/>
      <c r="K158" s="772"/>
      <c r="L158" s="772"/>
      <c r="M158" s="772"/>
      <c r="N158" s="772"/>
      <c r="O158" s="772"/>
      <c r="P158" s="772"/>
      <c r="Q158" s="772"/>
      <c r="R158" s="772"/>
      <c r="S158" s="772"/>
      <c r="T158" s="772"/>
      <c r="U158" s="772"/>
      <c r="V158" s="772"/>
      <c r="W158" s="772"/>
      <c r="X158" s="772"/>
      <c r="Y158" s="772"/>
      <c r="Z158" s="772"/>
      <c r="AA158" s="772"/>
      <c r="AB158" s="772"/>
      <c r="AC158" s="772"/>
      <c r="AD158" s="772"/>
      <c r="AE158" s="772"/>
      <c r="AF158" s="772"/>
      <c r="AG158" s="772"/>
      <c r="AH158" s="772"/>
      <c r="AI158" s="772"/>
    </row>
    <row r="159" ht="15.75" customHeight="1">
      <c r="A159" s="772"/>
      <c r="B159" s="772"/>
      <c r="C159" s="772"/>
      <c r="D159" s="772"/>
      <c r="E159" s="772"/>
      <c r="F159" s="772"/>
      <c r="G159" s="772"/>
      <c r="H159" s="772"/>
      <c r="I159" s="772"/>
      <c r="J159" s="772"/>
      <c r="K159" s="772"/>
      <c r="L159" s="772"/>
      <c r="M159" s="772"/>
      <c r="N159" s="772"/>
      <c r="O159" s="772"/>
      <c r="P159" s="772"/>
      <c r="Q159" s="772"/>
      <c r="R159" s="772"/>
      <c r="S159" s="772"/>
      <c r="T159" s="772"/>
      <c r="U159" s="772"/>
      <c r="V159" s="772"/>
      <c r="W159" s="772"/>
      <c r="X159" s="772"/>
      <c r="Y159" s="772"/>
      <c r="Z159" s="772"/>
      <c r="AA159" s="772"/>
      <c r="AB159" s="772"/>
      <c r="AC159" s="772"/>
      <c r="AD159" s="772"/>
      <c r="AE159" s="772"/>
      <c r="AF159" s="772"/>
      <c r="AG159" s="772"/>
      <c r="AH159" s="772"/>
      <c r="AI159" s="772"/>
    </row>
    <row r="160" ht="15.75" customHeight="1">
      <c r="A160" s="772"/>
      <c r="B160" s="772"/>
      <c r="C160" s="772"/>
      <c r="D160" s="772"/>
      <c r="E160" s="772"/>
      <c r="F160" s="772"/>
      <c r="G160" s="772"/>
      <c r="H160" s="772"/>
      <c r="I160" s="772"/>
      <c r="J160" s="772"/>
      <c r="K160" s="772"/>
      <c r="L160" s="772"/>
      <c r="M160" s="772"/>
      <c r="N160" s="772"/>
      <c r="O160" s="772"/>
      <c r="P160" s="772"/>
      <c r="Q160" s="772"/>
      <c r="R160" s="772"/>
      <c r="S160" s="772"/>
      <c r="T160" s="772"/>
      <c r="U160" s="772"/>
      <c r="V160" s="772"/>
      <c r="W160" s="772"/>
      <c r="X160" s="772"/>
      <c r="Y160" s="772"/>
      <c r="Z160" s="772"/>
      <c r="AA160" s="772"/>
      <c r="AB160" s="772"/>
      <c r="AC160" s="772"/>
      <c r="AD160" s="772"/>
      <c r="AE160" s="772"/>
      <c r="AF160" s="772"/>
      <c r="AG160" s="772"/>
      <c r="AH160" s="772"/>
      <c r="AI160" s="772"/>
    </row>
    <row r="161" ht="15.75" customHeight="1">
      <c r="A161" s="772"/>
      <c r="B161" s="772"/>
      <c r="C161" s="772"/>
      <c r="D161" s="772"/>
      <c r="E161" s="772"/>
      <c r="F161" s="772"/>
      <c r="G161" s="772"/>
      <c r="H161" s="772"/>
      <c r="I161" s="772"/>
      <c r="J161" s="772"/>
      <c r="K161" s="772"/>
      <c r="L161" s="772"/>
      <c r="M161" s="772"/>
      <c r="N161" s="772"/>
      <c r="O161" s="772"/>
      <c r="P161" s="772"/>
      <c r="Q161" s="772"/>
      <c r="R161" s="772"/>
      <c r="S161" s="772"/>
      <c r="T161" s="772"/>
      <c r="U161" s="772"/>
      <c r="V161" s="772"/>
      <c r="W161" s="772"/>
      <c r="X161" s="772"/>
      <c r="Y161" s="772"/>
      <c r="Z161" s="772"/>
      <c r="AA161" s="772"/>
      <c r="AB161" s="772"/>
      <c r="AC161" s="772"/>
      <c r="AD161" s="772"/>
      <c r="AE161" s="772"/>
      <c r="AF161" s="772"/>
      <c r="AG161" s="772"/>
      <c r="AH161" s="772"/>
      <c r="AI161" s="772"/>
    </row>
    <row r="162" ht="15.75" customHeight="1">
      <c r="A162" s="772"/>
      <c r="B162" s="772"/>
      <c r="C162" s="772"/>
      <c r="D162" s="772"/>
      <c r="E162" s="772"/>
      <c r="F162" s="772"/>
      <c r="G162" s="772"/>
      <c r="H162" s="772"/>
      <c r="I162" s="772"/>
      <c r="J162" s="772"/>
      <c r="K162" s="772"/>
      <c r="L162" s="772"/>
      <c r="M162" s="772"/>
      <c r="N162" s="772"/>
      <c r="O162" s="772"/>
      <c r="P162" s="772"/>
      <c r="Q162" s="772"/>
      <c r="R162" s="772"/>
      <c r="S162" s="772"/>
      <c r="T162" s="772"/>
      <c r="U162" s="772"/>
      <c r="V162" s="772"/>
      <c r="W162" s="772"/>
      <c r="X162" s="772"/>
      <c r="Y162" s="772"/>
      <c r="Z162" s="772"/>
      <c r="AA162" s="772"/>
      <c r="AB162" s="772"/>
      <c r="AC162" s="772"/>
      <c r="AD162" s="772"/>
      <c r="AE162" s="772"/>
      <c r="AF162" s="772"/>
      <c r="AG162" s="772"/>
      <c r="AH162" s="772"/>
      <c r="AI162" s="772"/>
    </row>
    <row r="163" ht="15.75" customHeight="1">
      <c r="A163" s="772"/>
      <c r="B163" s="772"/>
      <c r="C163" s="772"/>
      <c r="D163" s="772"/>
      <c r="E163" s="772"/>
      <c r="F163" s="772"/>
      <c r="G163" s="772"/>
      <c r="H163" s="772"/>
      <c r="I163" s="772"/>
      <c r="J163" s="772"/>
      <c r="K163" s="772"/>
      <c r="L163" s="772"/>
      <c r="M163" s="772"/>
      <c r="N163" s="772"/>
      <c r="O163" s="772"/>
      <c r="P163" s="772"/>
      <c r="Q163" s="772"/>
      <c r="R163" s="772"/>
      <c r="S163" s="772"/>
      <c r="T163" s="772"/>
      <c r="U163" s="772"/>
      <c r="V163" s="772"/>
      <c r="W163" s="772"/>
      <c r="X163" s="772"/>
      <c r="Y163" s="772"/>
      <c r="Z163" s="772"/>
      <c r="AA163" s="772"/>
      <c r="AB163" s="772"/>
      <c r="AC163" s="772"/>
      <c r="AD163" s="772"/>
      <c r="AE163" s="772"/>
      <c r="AF163" s="772"/>
      <c r="AG163" s="772"/>
      <c r="AH163" s="772"/>
      <c r="AI163" s="772"/>
    </row>
    <row r="164" ht="15.75" customHeight="1">
      <c r="A164" s="772"/>
      <c r="B164" s="772"/>
      <c r="C164" s="772"/>
      <c r="D164" s="772"/>
      <c r="E164" s="772"/>
      <c r="F164" s="772"/>
      <c r="G164" s="772"/>
      <c r="H164" s="772"/>
      <c r="I164" s="772"/>
      <c r="J164" s="772"/>
      <c r="K164" s="772"/>
      <c r="L164" s="772"/>
      <c r="M164" s="772"/>
      <c r="N164" s="772"/>
      <c r="O164" s="772"/>
      <c r="P164" s="772"/>
      <c r="Q164" s="772"/>
      <c r="R164" s="772"/>
      <c r="S164" s="772"/>
      <c r="T164" s="772"/>
      <c r="U164" s="772"/>
      <c r="V164" s="772"/>
      <c r="W164" s="772"/>
      <c r="X164" s="772"/>
      <c r="Y164" s="772"/>
      <c r="Z164" s="772"/>
      <c r="AA164" s="772"/>
      <c r="AB164" s="772"/>
      <c r="AC164" s="772"/>
      <c r="AD164" s="772"/>
      <c r="AE164" s="772"/>
      <c r="AF164" s="772"/>
      <c r="AG164" s="772"/>
      <c r="AH164" s="772"/>
      <c r="AI164" s="772"/>
    </row>
    <row r="165" ht="15.75" customHeight="1">
      <c r="A165" s="772"/>
      <c r="B165" s="772"/>
      <c r="C165" s="772"/>
      <c r="D165" s="772"/>
      <c r="E165" s="772"/>
      <c r="F165" s="772"/>
      <c r="G165" s="772"/>
      <c r="H165" s="772"/>
      <c r="I165" s="772"/>
      <c r="J165" s="772"/>
      <c r="K165" s="772"/>
      <c r="L165" s="772"/>
      <c r="M165" s="772"/>
      <c r="N165" s="772"/>
      <c r="O165" s="772"/>
      <c r="P165" s="772"/>
      <c r="Q165" s="772"/>
      <c r="R165" s="772"/>
      <c r="S165" s="772"/>
      <c r="T165" s="772"/>
      <c r="U165" s="772"/>
      <c r="V165" s="772"/>
      <c r="W165" s="772"/>
      <c r="X165" s="772"/>
      <c r="Y165" s="772"/>
      <c r="Z165" s="772"/>
      <c r="AA165" s="772"/>
      <c r="AB165" s="772"/>
      <c r="AC165" s="772"/>
      <c r="AD165" s="772"/>
      <c r="AE165" s="772"/>
      <c r="AF165" s="772"/>
      <c r="AG165" s="772"/>
      <c r="AH165" s="772"/>
      <c r="AI165" s="772"/>
    </row>
    <row r="166" ht="15.75" customHeight="1">
      <c r="A166" s="772"/>
      <c r="B166" s="772"/>
      <c r="C166" s="772"/>
      <c r="D166" s="772"/>
      <c r="E166" s="772"/>
      <c r="F166" s="772"/>
      <c r="G166" s="772"/>
      <c r="H166" s="772"/>
      <c r="I166" s="772"/>
      <c r="J166" s="772"/>
      <c r="K166" s="772"/>
      <c r="L166" s="772"/>
      <c r="M166" s="772"/>
      <c r="N166" s="772"/>
      <c r="O166" s="772"/>
      <c r="P166" s="772"/>
      <c r="Q166" s="772"/>
      <c r="R166" s="772"/>
      <c r="S166" s="772"/>
      <c r="T166" s="772"/>
      <c r="U166" s="772"/>
      <c r="V166" s="772"/>
      <c r="W166" s="772"/>
      <c r="X166" s="772"/>
      <c r="Y166" s="772"/>
      <c r="Z166" s="772"/>
      <c r="AA166" s="772"/>
      <c r="AB166" s="772"/>
      <c r="AC166" s="772"/>
      <c r="AD166" s="772"/>
      <c r="AE166" s="772"/>
      <c r="AF166" s="772"/>
      <c r="AG166" s="772"/>
      <c r="AH166" s="772"/>
      <c r="AI166" s="772"/>
    </row>
    <row r="167" ht="15.75" customHeight="1">
      <c r="A167" s="772"/>
      <c r="B167" s="772"/>
      <c r="C167" s="772"/>
      <c r="D167" s="772"/>
      <c r="E167" s="772"/>
      <c r="F167" s="772"/>
      <c r="G167" s="772"/>
      <c r="H167" s="772"/>
      <c r="I167" s="772"/>
      <c r="J167" s="772"/>
      <c r="K167" s="772"/>
      <c r="L167" s="772"/>
      <c r="M167" s="772"/>
      <c r="N167" s="772"/>
      <c r="O167" s="772"/>
      <c r="P167" s="772"/>
      <c r="Q167" s="772"/>
      <c r="R167" s="772"/>
      <c r="S167" s="772"/>
      <c r="T167" s="772"/>
      <c r="U167" s="772"/>
      <c r="V167" s="772"/>
      <c r="W167" s="772"/>
      <c r="X167" s="772"/>
      <c r="Y167" s="772"/>
      <c r="Z167" s="772"/>
      <c r="AA167" s="772"/>
      <c r="AB167" s="772"/>
      <c r="AC167" s="772"/>
      <c r="AD167" s="772"/>
      <c r="AE167" s="772"/>
      <c r="AF167" s="772"/>
      <c r="AG167" s="772"/>
      <c r="AH167" s="772"/>
      <c r="AI167" s="772"/>
    </row>
    <row r="168" ht="15.75" customHeight="1">
      <c r="A168" s="772"/>
      <c r="B168" s="772"/>
      <c r="C168" s="772"/>
      <c r="D168" s="772"/>
      <c r="E168" s="772"/>
      <c r="F168" s="772"/>
      <c r="G168" s="772"/>
      <c r="H168" s="772"/>
      <c r="I168" s="772"/>
      <c r="J168" s="772"/>
      <c r="K168" s="772"/>
      <c r="L168" s="772"/>
      <c r="M168" s="772"/>
      <c r="N168" s="772"/>
      <c r="O168" s="772"/>
      <c r="P168" s="772"/>
      <c r="Q168" s="772"/>
      <c r="R168" s="772"/>
      <c r="S168" s="772"/>
      <c r="T168" s="772"/>
      <c r="U168" s="772"/>
      <c r="V168" s="772"/>
      <c r="W168" s="772"/>
      <c r="X168" s="772"/>
      <c r="Y168" s="772"/>
      <c r="Z168" s="772"/>
      <c r="AA168" s="772"/>
      <c r="AB168" s="772"/>
      <c r="AC168" s="772"/>
      <c r="AD168" s="772"/>
      <c r="AE168" s="772"/>
      <c r="AF168" s="772"/>
      <c r="AG168" s="772"/>
      <c r="AH168" s="772"/>
      <c r="AI168" s="772"/>
    </row>
    <row r="169" ht="15.75" customHeight="1">
      <c r="A169" s="772"/>
      <c r="B169" s="772"/>
      <c r="C169" s="772"/>
      <c r="D169" s="772"/>
      <c r="E169" s="772"/>
      <c r="F169" s="772"/>
      <c r="G169" s="772"/>
      <c r="H169" s="772"/>
      <c r="I169" s="772"/>
      <c r="J169" s="772"/>
      <c r="K169" s="772"/>
      <c r="L169" s="772"/>
      <c r="M169" s="772"/>
      <c r="N169" s="772"/>
      <c r="O169" s="772"/>
      <c r="P169" s="772"/>
      <c r="Q169" s="772"/>
      <c r="R169" s="772"/>
      <c r="S169" s="772"/>
      <c r="T169" s="772"/>
      <c r="U169" s="772"/>
      <c r="V169" s="772"/>
      <c r="W169" s="772"/>
      <c r="X169" s="772"/>
      <c r="Y169" s="772"/>
      <c r="Z169" s="772"/>
      <c r="AA169" s="772"/>
      <c r="AB169" s="772"/>
      <c r="AC169" s="772"/>
      <c r="AD169" s="772"/>
      <c r="AE169" s="772"/>
      <c r="AF169" s="772"/>
      <c r="AG169" s="772"/>
      <c r="AH169" s="772"/>
      <c r="AI169" s="772"/>
    </row>
    <row r="170" ht="15.75" customHeight="1">
      <c r="A170" s="772"/>
      <c r="B170" s="772"/>
      <c r="C170" s="772"/>
      <c r="D170" s="772"/>
      <c r="E170" s="772"/>
      <c r="F170" s="772"/>
      <c r="G170" s="772"/>
      <c r="H170" s="772"/>
      <c r="I170" s="772"/>
      <c r="J170" s="772"/>
      <c r="K170" s="772"/>
      <c r="L170" s="772"/>
      <c r="M170" s="772"/>
      <c r="N170" s="772"/>
      <c r="O170" s="772"/>
      <c r="P170" s="772"/>
      <c r="Q170" s="772"/>
      <c r="R170" s="772"/>
      <c r="S170" s="772"/>
      <c r="T170" s="772"/>
      <c r="U170" s="772"/>
      <c r="V170" s="772"/>
      <c r="W170" s="772"/>
      <c r="X170" s="772"/>
      <c r="Y170" s="772"/>
      <c r="Z170" s="772"/>
      <c r="AA170" s="772"/>
      <c r="AB170" s="772"/>
      <c r="AC170" s="772"/>
      <c r="AD170" s="772"/>
      <c r="AE170" s="772"/>
      <c r="AF170" s="772"/>
      <c r="AG170" s="772"/>
      <c r="AH170" s="772"/>
      <c r="AI170" s="772"/>
    </row>
    <row r="171" ht="15.75" customHeight="1">
      <c r="A171" s="772"/>
      <c r="B171" s="772"/>
      <c r="C171" s="772"/>
      <c r="D171" s="772"/>
      <c r="E171" s="772"/>
      <c r="F171" s="772"/>
      <c r="G171" s="772"/>
      <c r="H171" s="772"/>
      <c r="I171" s="772"/>
      <c r="J171" s="772"/>
      <c r="K171" s="772"/>
      <c r="L171" s="772"/>
      <c r="M171" s="772"/>
      <c r="N171" s="772"/>
      <c r="O171" s="772"/>
      <c r="P171" s="772"/>
      <c r="Q171" s="772"/>
      <c r="R171" s="772"/>
      <c r="S171" s="772"/>
      <c r="T171" s="772"/>
      <c r="U171" s="772"/>
      <c r="V171" s="772"/>
      <c r="W171" s="772"/>
      <c r="X171" s="772"/>
      <c r="Y171" s="772"/>
      <c r="Z171" s="772"/>
      <c r="AA171" s="772"/>
      <c r="AB171" s="772"/>
      <c r="AC171" s="772"/>
      <c r="AD171" s="772"/>
      <c r="AE171" s="772"/>
      <c r="AF171" s="772"/>
      <c r="AG171" s="772"/>
      <c r="AH171" s="772"/>
      <c r="AI171" s="772"/>
    </row>
    <row r="172" ht="15.75" customHeight="1">
      <c r="A172" s="815"/>
      <c r="B172" s="782"/>
      <c r="C172" s="782"/>
      <c r="D172" s="782"/>
      <c r="E172" s="816"/>
      <c r="F172" s="816"/>
      <c r="G172" s="816"/>
      <c r="H172" s="817"/>
      <c r="I172" s="817"/>
      <c r="J172" s="817"/>
      <c r="K172" s="818"/>
      <c r="L172" s="772"/>
      <c r="M172" s="772"/>
      <c r="N172" s="772"/>
      <c r="O172" s="772"/>
      <c r="P172" s="772"/>
      <c r="Q172" s="772"/>
      <c r="R172" s="772"/>
      <c r="S172" s="772"/>
      <c r="T172" s="772"/>
      <c r="U172" s="772"/>
      <c r="V172" s="772"/>
      <c r="W172" s="772"/>
      <c r="X172" s="772"/>
      <c r="Y172" s="772"/>
      <c r="Z172" s="772"/>
      <c r="AA172" s="772"/>
      <c r="AB172" s="772"/>
      <c r="AC172" s="772"/>
      <c r="AD172" s="772"/>
      <c r="AE172" s="772"/>
      <c r="AF172" s="772"/>
      <c r="AG172" s="772"/>
      <c r="AH172" s="772"/>
      <c r="AI172" s="772"/>
    </row>
    <row r="173" ht="15.75" customHeight="1">
      <c r="A173" s="815"/>
      <c r="B173" s="782"/>
      <c r="C173" s="782"/>
      <c r="D173" s="782"/>
      <c r="E173" s="816"/>
      <c r="F173" s="816"/>
      <c r="G173" s="816"/>
      <c r="H173" s="817"/>
      <c r="I173" s="817"/>
      <c r="J173" s="817"/>
      <c r="K173" s="818"/>
      <c r="L173" s="772"/>
      <c r="M173" s="772"/>
      <c r="N173" s="772"/>
      <c r="O173" s="772"/>
      <c r="P173" s="772"/>
      <c r="Q173" s="772"/>
      <c r="R173" s="772"/>
      <c r="S173" s="772"/>
      <c r="T173" s="772"/>
      <c r="U173" s="772"/>
      <c r="V173" s="772"/>
      <c r="W173" s="772"/>
      <c r="X173" s="772"/>
      <c r="Y173" s="772"/>
      <c r="Z173" s="772"/>
      <c r="AA173" s="772"/>
      <c r="AB173" s="772"/>
      <c r="AC173" s="772"/>
      <c r="AD173" s="772"/>
      <c r="AE173" s="772"/>
      <c r="AF173" s="772"/>
      <c r="AG173" s="772"/>
      <c r="AH173" s="772"/>
      <c r="AI173" s="772"/>
    </row>
    <row r="174" ht="15.75" customHeight="1">
      <c r="A174" s="815"/>
      <c r="B174" s="782"/>
      <c r="C174" s="782"/>
      <c r="D174" s="782"/>
      <c r="E174" s="816"/>
      <c r="F174" s="816"/>
      <c r="G174" s="816"/>
      <c r="H174" s="817"/>
      <c r="I174" s="817"/>
      <c r="J174" s="817"/>
      <c r="K174" s="818"/>
      <c r="L174" s="772"/>
      <c r="M174" s="772"/>
      <c r="N174" s="772"/>
      <c r="O174" s="772"/>
      <c r="P174" s="772"/>
      <c r="Q174" s="772"/>
      <c r="R174" s="772"/>
      <c r="S174" s="772"/>
      <c r="T174" s="772"/>
      <c r="U174" s="772"/>
      <c r="V174" s="772"/>
      <c r="W174" s="772"/>
      <c r="X174" s="772"/>
      <c r="Y174" s="772"/>
      <c r="Z174" s="772"/>
      <c r="AA174" s="772"/>
      <c r="AB174" s="772"/>
      <c r="AC174" s="772"/>
      <c r="AD174" s="772"/>
      <c r="AE174" s="772"/>
      <c r="AF174" s="772"/>
      <c r="AG174" s="772"/>
      <c r="AH174" s="772"/>
      <c r="AI174" s="772"/>
    </row>
    <row r="175" ht="15.75" customHeight="1">
      <c r="A175" s="815"/>
      <c r="B175" s="782"/>
      <c r="C175" s="782"/>
      <c r="D175" s="782"/>
      <c r="E175" s="816"/>
      <c r="F175" s="816"/>
      <c r="G175" s="816"/>
      <c r="H175" s="817"/>
      <c r="I175" s="817"/>
      <c r="J175" s="817"/>
      <c r="K175" s="818"/>
      <c r="L175" s="772"/>
      <c r="M175" s="772"/>
      <c r="N175" s="772"/>
      <c r="O175" s="772"/>
      <c r="P175" s="772"/>
      <c r="Q175" s="772"/>
      <c r="R175" s="772"/>
      <c r="S175" s="772"/>
      <c r="T175" s="772"/>
      <c r="U175" s="772"/>
      <c r="V175" s="772"/>
      <c r="W175" s="772"/>
      <c r="X175" s="772"/>
      <c r="Y175" s="772"/>
      <c r="Z175" s="772"/>
      <c r="AA175" s="772"/>
      <c r="AB175" s="772"/>
      <c r="AC175" s="772"/>
      <c r="AD175" s="772"/>
      <c r="AE175" s="772"/>
      <c r="AF175" s="772"/>
      <c r="AG175" s="772"/>
      <c r="AH175" s="772"/>
      <c r="AI175" s="772"/>
    </row>
    <row r="176" ht="15.75" customHeight="1">
      <c r="A176" s="815"/>
      <c r="B176" s="782"/>
      <c r="C176" s="782"/>
      <c r="D176" s="782"/>
      <c r="E176" s="816"/>
      <c r="F176" s="816"/>
      <c r="G176" s="816"/>
      <c r="H176" s="817"/>
      <c r="I176" s="817"/>
      <c r="J176" s="817"/>
      <c r="K176" s="818"/>
      <c r="L176" s="772"/>
      <c r="M176" s="772"/>
      <c r="N176" s="772"/>
      <c r="O176" s="772"/>
      <c r="P176" s="772"/>
      <c r="Q176" s="772"/>
      <c r="R176" s="772"/>
      <c r="S176" s="772"/>
      <c r="T176" s="772"/>
      <c r="U176" s="772"/>
      <c r="V176" s="772"/>
      <c r="W176" s="772"/>
      <c r="X176" s="772"/>
      <c r="Y176" s="772"/>
      <c r="Z176" s="772"/>
      <c r="AA176" s="772"/>
      <c r="AB176" s="772"/>
      <c r="AC176" s="772"/>
      <c r="AD176" s="772"/>
      <c r="AE176" s="772"/>
      <c r="AF176" s="772"/>
      <c r="AG176" s="772"/>
      <c r="AH176" s="772"/>
      <c r="AI176" s="772"/>
    </row>
    <row r="177" ht="15.75" customHeight="1">
      <c r="A177" s="815"/>
      <c r="B177" s="782"/>
      <c r="C177" s="782"/>
      <c r="D177" s="782"/>
      <c r="E177" s="816"/>
      <c r="F177" s="816"/>
      <c r="G177" s="816"/>
      <c r="H177" s="817"/>
      <c r="I177" s="817"/>
      <c r="J177" s="817"/>
      <c r="K177" s="818"/>
      <c r="L177" s="772"/>
      <c r="M177" s="772"/>
      <c r="N177" s="772"/>
      <c r="O177" s="772"/>
      <c r="P177" s="772"/>
      <c r="Q177" s="772"/>
      <c r="R177" s="772"/>
      <c r="S177" s="772"/>
      <c r="T177" s="772"/>
      <c r="U177" s="772"/>
      <c r="V177" s="772"/>
      <c r="W177" s="772"/>
      <c r="X177" s="772"/>
      <c r="Y177" s="772"/>
      <c r="Z177" s="772"/>
      <c r="AA177" s="772"/>
      <c r="AB177" s="772"/>
      <c r="AC177" s="772"/>
      <c r="AD177" s="772"/>
      <c r="AE177" s="772"/>
      <c r="AF177" s="772"/>
      <c r="AG177" s="772"/>
      <c r="AH177" s="772"/>
      <c r="AI177" s="772"/>
    </row>
    <row r="178" ht="15.75" customHeight="1">
      <c r="A178" s="815"/>
      <c r="B178" s="782"/>
      <c r="C178" s="782"/>
      <c r="D178" s="782"/>
      <c r="E178" s="816"/>
      <c r="F178" s="816"/>
      <c r="G178" s="816"/>
      <c r="H178" s="817"/>
      <c r="I178" s="817"/>
      <c r="J178" s="817"/>
      <c r="K178" s="818"/>
      <c r="L178" s="772"/>
      <c r="M178" s="772"/>
      <c r="N178" s="772"/>
      <c r="O178" s="772"/>
      <c r="P178" s="772"/>
      <c r="Q178" s="772"/>
      <c r="R178" s="772"/>
      <c r="S178" s="772"/>
      <c r="T178" s="772"/>
      <c r="U178" s="772"/>
      <c r="V178" s="772"/>
      <c r="W178" s="772"/>
      <c r="X178" s="772"/>
      <c r="Y178" s="772"/>
      <c r="Z178" s="772"/>
      <c r="AA178" s="772"/>
      <c r="AB178" s="772"/>
      <c r="AC178" s="772"/>
      <c r="AD178" s="772"/>
      <c r="AE178" s="772"/>
      <c r="AF178" s="772"/>
      <c r="AG178" s="772"/>
      <c r="AH178" s="772"/>
      <c r="AI178" s="772"/>
    </row>
    <row r="179" ht="15.75" customHeight="1">
      <c r="A179" s="815"/>
      <c r="B179" s="782"/>
      <c r="C179" s="782"/>
      <c r="D179" s="782"/>
      <c r="E179" s="816"/>
      <c r="F179" s="816"/>
      <c r="G179" s="816"/>
      <c r="H179" s="817"/>
      <c r="I179" s="817"/>
      <c r="J179" s="817"/>
      <c r="K179" s="818"/>
      <c r="L179" s="772"/>
      <c r="M179" s="772"/>
      <c r="N179" s="772"/>
      <c r="O179" s="772"/>
      <c r="P179" s="772"/>
      <c r="Q179" s="772"/>
      <c r="R179" s="772"/>
      <c r="S179" s="772"/>
      <c r="T179" s="772"/>
      <c r="U179" s="772"/>
      <c r="V179" s="772"/>
      <c r="W179" s="772"/>
      <c r="X179" s="772"/>
      <c r="Y179" s="772"/>
      <c r="Z179" s="772"/>
      <c r="AA179" s="772"/>
      <c r="AB179" s="772"/>
      <c r="AC179" s="772"/>
      <c r="AD179" s="772"/>
      <c r="AE179" s="772"/>
      <c r="AF179" s="772"/>
      <c r="AG179" s="772"/>
      <c r="AH179" s="772"/>
      <c r="AI179" s="772"/>
    </row>
    <row r="180" ht="15.75" customHeight="1">
      <c r="A180" s="815"/>
      <c r="B180" s="782"/>
      <c r="C180" s="782"/>
      <c r="D180" s="782"/>
      <c r="E180" s="816"/>
      <c r="F180" s="816"/>
      <c r="G180" s="816"/>
      <c r="H180" s="817"/>
      <c r="I180" s="817"/>
      <c r="J180" s="817"/>
      <c r="K180" s="818"/>
      <c r="L180" s="772"/>
      <c r="M180" s="772"/>
      <c r="N180" s="772"/>
      <c r="O180" s="772"/>
      <c r="P180" s="772"/>
      <c r="Q180" s="772"/>
      <c r="R180" s="772"/>
      <c r="S180" s="772"/>
      <c r="T180" s="772"/>
      <c r="U180" s="772"/>
      <c r="V180" s="772"/>
      <c r="W180" s="772"/>
      <c r="X180" s="772"/>
      <c r="Y180" s="772"/>
      <c r="Z180" s="772"/>
      <c r="AA180" s="772"/>
      <c r="AB180" s="772"/>
      <c r="AC180" s="772"/>
      <c r="AD180" s="772"/>
      <c r="AE180" s="772"/>
      <c r="AF180" s="772"/>
      <c r="AG180" s="772"/>
      <c r="AH180" s="772"/>
      <c r="AI180" s="772"/>
    </row>
    <row r="181" ht="15.75" customHeight="1">
      <c r="A181" s="815"/>
      <c r="B181" s="782"/>
      <c r="C181" s="782"/>
      <c r="D181" s="782"/>
      <c r="E181" s="816"/>
      <c r="F181" s="816"/>
      <c r="G181" s="816"/>
      <c r="H181" s="817"/>
      <c r="I181" s="817"/>
      <c r="J181" s="817"/>
      <c r="K181" s="818"/>
      <c r="L181" s="772"/>
      <c r="M181" s="772"/>
      <c r="N181" s="772"/>
      <c r="O181" s="772"/>
      <c r="P181" s="772"/>
      <c r="Q181" s="772"/>
      <c r="R181" s="772"/>
      <c r="S181" s="772"/>
      <c r="T181" s="772"/>
      <c r="U181" s="772"/>
      <c r="V181" s="772"/>
      <c r="W181" s="772"/>
      <c r="X181" s="772"/>
      <c r="Y181" s="772"/>
      <c r="Z181" s="772"/>
      <c r="AA181" s="772"/>
      <c r="AB181" s="772"/>
      <c r="AC181" s="772"/>
      <c r="AD181" s="772"/>
      <c r="AE181" s="772"/>
      <c r="AF181" s="772"/>
      <c r="AG181" s="772"/>
      <c r="AH181" s="772"/>
      <c r="AI181" s="772"/>
    </row>
    <row r="182" ht="15.75" customHeight="1">
      <c r="A182" s="815"/>
      <c r="B182" s="782"/>
      <c r="C182" s="782"/>
      <c r="D182" s="782"/>
      <c r="E182" s="816"/>
      <c r="F182" s="816"/>
      <c r="G182" s="816"/>
      <c r="H182" s="817"/>
      <c r="I182" s="817"/>
      <c r="J182" s="817"/>
      <c r="K182" s="818"/>
      <c r="L182" s="772"/>
      <c r="M182" s="772"/>
      <c r="N182" s="772"/>
      <c r="O182" s="772"/>
      <c r="P182" s="772"/>
      <c r="Q182" s="772"/>
      <c r="R182" s="772"/>
      <c r="S182" s="772"/>
      <c r="T182" s="772"/>
      <c r="U182" s="772"/>
      <c r="V182" s="772"/>
      <c r="W182" s="772"/>
      <c r="X182" s="772"/>
      <c r="Y182" s="772"/>
      <c r="Z182" s="772"/>
      <c r="AA182" s="772"/>
      <c r="AB182" s="772"/>
      <c r="AC182" s="772"/>
      <c r="AD182" s="772"/>
      <c r="AE182" s="772"/>
      <c r="AF182" s="772"/>
      <c r="AG182" s="772"/>
      <c r="AH182" s="772"/>
      <c r="AI182" s="772"/>
    </row>
    <row r="183" ht="15.75" customHeight="1">
      <c r="A183" s="815"/>
      <c r="B183" s="782"/>
      <c r="C183" s="782"/>
      <c r="D183" s="782"/>
      <c r="E183" s="816"/>
      <c r="F183" s="816"/>
      <c r="G183" s="816"/>
      <c r="H183" s="817"/>
      <c r="I183" s="817"/>
      <c r="J183" s="817"/>
      <c r="K183" s="818"/>
      <c r="L183" s="772"/>
      <c r="M183" s="772"/>
      <c r="N183" s="772"/>
      <c r="O183" s="772"/>
      <c r="P183" s="772"/>
      <c r="Q183" s="772"/>
      <c r="R183" s="772"/>
      <c r="S183" s="772"/>
      <c r="T183" s="772"/>
      <c r="U183" s="772"/>
      <c r="V183" s="772"/>
      <c r="W183" s="772"/>
      <c r="X183" s="772"/>
      <c r="Y183" s="772"/>
      <c r="Z183" s="772"/>
      <c r="AA183" s="772"/>
      <c r="AB183" s="772"/>
      <c r="AC183" s="772"/>
      <c r="AD183" s="772"/>
      <c r="AE183" s="772"/>
      <c r="AF183" s="772"/>
      <c r="AG183" s="772"/>
      <c r="AH183" s="772"/>
      <c r="AI183" s="772"/>
    </row>
    <row r="184" ht="15.75" customHeight="1">
      <c r="A184" s="815"/>
      <c r="B184" s="782"/>
      <c r="C184" s="782"/>
      <c r="D184" s="782"/>
      <c r="E184" s="816"/>
      <c r="F184" s="816"/>
      <c r="G184" s="816"/>
      <c r="H184" s="817"/>
      <c r="I184" s="817"/>
      <c r="J184" s="817"/>
      <c r="K184" s="818"/>
      <c r="L184" s="772"/>
      <c r="M184" s="772"/>
      <c r="N184" s="772"/>
      <c r="O184" s="772"/>
      <c r="P184" s="772"/>
      <c r="Q184" s="772"/>
      <c r="R184" s="772"/>
      <c r="S184" s="772"/>
      <c r="T184" s="772"/>
      <c r="U184" s="772"/>
      <c r="V184" s="772"/>
      <c r="W184" s="772"/>
      <c r="X184" s="772"/>
      <c r="Y184" s="772"/>
      <c r="Z184" s="772"/>
      <c r="AA184" s="772"/>
      <c r="AB184" s="772"/>
      <c r="AC184" s="772"/>
      <c r="AD184" s="772"/>
      <c r="AE184" s="772"/>
      <c r="AF184" s="772"/>
      <c r="AG184" s="772"/>
      <c r="AH184" s="772"/>
      <c r="AI184" s="772"/>
    </row>
    <row r="185" ht="15.75" customHeight="1">
      <c r="A185" s="815"/>
      <c r="B185" s="782"/>
      <c r="C185" s="782"/>
      <c r="D185" s="782"/>
      <c r="E185" s="816"/>
      <c r="F185" s="816"/>
      <c r="G185" s="816"/>
      <c r="H185" s="817"/>
      <c r="I185" s="817"/>
      <c r="J185" s="817"/>
      <c r="K185" s="818"/>
      <c r="L185" s="772"/>
      <c r="M185" s="772"/>
      <c r="N185" s="772"/>
      <c r="O185" s="772"/>
      <c r="P185" s="772"/>
      <c r="Q185" s="772"/>
      <c r="R185" s="772"/>
      <c r="S185" s="772"/>
      <c r="T185" s="772"/>
      <c r="U185" s="772"/>
      <c r="V185" s="772"/>
      <c r="W185" s="772"/>
      <c r="X185" s="772"/>
      <c r="Y185" s="772"/>
      <c r="Z185" s="772"/>
      <c r="AA185" s="772"/>
      <c r="AB185" s="772"/>
      <c r="AC185" s="772"/>
      <c r="AD185" s="772"/>
      <c r="AE185" s="772"/>
      <c r="AF185" s="772"/>
      <c r="AG185" s="772"/>
      <c r="AH185" s="772"/>
      <c r="AI185" s="772"/>
    </row>
    <row r="186" ht="15.75" customHeight="1">
      <c r="A186" s="815"/>
      <c r="B186" s="782"/>
      <c r="C186" s="782"/>
      <c r="D186" s="782"/>
      <c r="E186" s="816"/>
      <c r="F186" s="816"/>
      <c r="G186" s="816"/>
      <c r="H186" s="817"/>
      <c r="I186" s="817"/>
      <c r="J186" s="817"/>
      <c r="K186" s="818"/>
      <c r="L186" s="772"/>
      <c r="M186" s="772"/>
      <c r="N186" s="772"/>
      <c r="O186" s="772"/>
      <c r="P186" s="772"/>
      <c r="Q186" s="772"/>
      <c r="R186" s="772"/>
      <c r="S186" s="772"/>
      <c r="T186" s="772"/>
      <c r="U186" s="772"/>
      <c r="V186" s="772"/>
      <c r="W186" s="772"/>
      <c r="X186" s="772"/>
      <c r="Y186" s="772"/>
      <c r="Z186" s="772"/>
      <c r="AA186" s="772"/>
      <c r="AB186" s="772"/>
      <c r="AC186" s="772"/>
      <c r="AD186" s="772"/>
      <c r="AE186" s="772"/>
      <c r="AF186" s="772"/>
      <c r="AG186" s="772"/>
      <c r="AH186" s="772"/>
      <c r="AI186" s="772"/>
    </row>
    <row r="187" ht="15.75" customHeight="1">
      <c r="A187" s="815"/>
      <c r="B187" s="782"/>
      <c r="C187" s="782"/>
      <c r="D187" s="782"/>
      <c r="E187" s="816"/>
      <c r="F187" s="816"/>
      <c r="G187" s="816"/>
      <c r="H187" s="817"/>
      <c r="I187" s="817"/>
      <c r="J187" s="817"/>
      <c r="K187" s="818"/>
      <c r="L187" s="772"/>
      <c r="M187" s="772"/>
      <c r="N187" s="772"/>
      <c r="O187" s="772"/>
      <c r="P187" s="772"/>
      <c r="Q187" s="772"/>
      <c r="R187" s="772"/>
      <c r="S187" s="772"/>
      <c r="T187" s="772"/>
      <c r="U187" s="772"/>
      <c r="V187" s="772"/>
      <c r="W187" s="772"/>
      <c r="X187" s="772"/>
      <c r="Y187" s="772"/>
      <c r="Z187" s="772"/>
      <c r="AA187" s="772"/>
      <c r="AB187" s="772"/>
      <c r="AC187" s="772"/>
      <c r="AD187" s="772"/>
      <c r="AE187" s="772"/>
      <c r="AF187" s="772"/>
      <c r="AG187" s="772"/>
      <c r="AH187" s="772"/>
      <c r="AI187" s="772"/>
    </row>
    <row r="188" ht="15.75" customHeight="1">
      <c r="A188" s="815"/>
      <c r="B188" s="782"/>
      <c r="C188" s="782"/>
      <c r="D188" s="782"/>
      <c r="E188" s="816"/>
      <c r="F188" s="816"/>
      <c r="G188" s="816"/>
      <c r="H188" s="817"/>
      <c r="I188" s="817"/>
      <c r="J188" s="817"/>
      <c r="K188" s="818"/>
      <c r="L188" s="772"/>
      <c r="M188" s="772"/>
      <c r="N188" s="772"/>
      <c r="O188" s="772"/>
      <c r="P188" s="772"/>
      <c r="Q188" s="772"/>
      <c r="R188" s="772"/>
      <c r="S188" s="772"/>
      <c r="T188" s="772"/>
      <c r="U188" s="772"/>
      <c r="V188" s="772"/>
      <c r="W188" s="772"/>
      <c r="X188" s="772"/>
      <c r="Y188" s="772"/>
      <c r="Z188" s="772"/>
      <c r="AA188" s="772"/>
      <c r="AB188" s="772"/>
      <c r="AC188" s="772"/>
      <c r="AD188" s="772"/>
      <c r="AE188" s="772"/>
      <c r="AF188" s="772"/>
      <c r="AG188" s="772"/>
      <c r="AH188" s="772"/>
      <c r="AI188" s="772"/>
    </row>
    <row r="189" ht="15.75" customHeight="1">
      <c r="A189" s="815"/>
      <c r="B189" s="782"/>
      <c r="C189" s="782"/>
      <c r="D189" s="782"/>
      <c r="E189" s="816"/>
      <c r="F189" s="816"/>
      <c r="G189" s="816"/>
      <c r="H189" s="817"/>
      <c r="I189" s="817"/>
      <c r="J189" s="817"/>
      <c r="K189" s="818"/>
      <c r="L189" s="772"/>
      <c r="M189" s="772"/>
      <c r="N189" s="772"/>
      <c r="O189" s="772"/>
      <c r="P189" s="772"/>
      <c r="Q189" s="772"/>
      <c r="R189" s="772"/>
      <c r="S189" s="772"/>
      <c r="T189" s="772"/>
      <c r="U189" s="772"/>
      <c r="V189" s="772"/>
      <c r="W189" s="772"/>
      <c r="X189" s="772"/>
      <c r="Y189" s="772"/>
      <c r="Z189" s="772"/>
      <c r="AA189" s="772"/>
      <c r="AB189" s="772"/>
      <c r="AC189" s="772"/>
      <c r="AD189" s="772"/>
      <c r="AE189" s="772"/>
      <c r="AF189" s="772"/>
      <c r="AG189" s="772"/>
      <c r="AH189" s="772"/>
      <c r="AI189" s="772"/>
    </row>
    <row r="190" ht="15.75" customHeight="1">
      <c r="A190" s="815"/>
      <c r="B190" s="782"/>
      <c r="C190" s="782"/>
      <c r="D190" s="782"/>
      <c r="E190" s="816"/>
      <c r="F190" s="816"/>
      <c r="G190" s="816"/>
      <c r="H190" s="817"/>
      <c r="I190" s="817"/>
      <c r="J190" s="817"/>
      <c r="K190" s="818"/>
      <c r="L190" s="772"/>
      <c r="M190" s="772"/>
      <c r="N190" s="772"/>
      <c r="O190" s="772"/>
      <c r="P190" s="772"/>
      <c r="Q190" s="772"/>
      <c r="R190" s="772"/>
      <c r="S190" s="772"/>
      <c r="T190" s="772"/>
      <c r="U190" s="772"/>
      <c r="V190" s="772"/>
      <c r="W190" s="772"/>
      <c r="X190" s="772"/>
      <c r="Y190" s="772"/>
      <c r="Z190" s="772"/>
      <c r="AA190" s="772"/>
      <c r="AB190" s="772"/>
      <c r="AC190" s="772"/>
      <c r="AD190" s="772"/>
      <c r="AE190" s="772"/>
      <c r="AF190" s="772"/>
      <c r="AG190" s="772"/>
      <c r="AH190" s="772"/>
      <c r="AI190" s="772"/>
    </row>
    <row r="191" ht="15.75" customHeight="1">
      <c r="A191" s="815"/>
      <c r="B191" s="782"/>
      <c r="C191" s="782"/>
      <c r="D191" s="782"/>
      <c r="E191" s="816"/>
      <c r="F191" s="816"/>
      <c r="G191" s="816"/>
      <c r="H191" s="817"/>
      <c r="I191" s="817"/>
      <c r="J191" s="817"/>
      <c r="K191" s="818"/>
      <c r="L191" s="772"/>
      <c r="M191" s="772"/>
      <c r="N191" s="772"/>
      <c r="O191" s="772"/>
      <c r="P191" s="772"/>
      <c r="Q191" s="772"/>
      <c r="R191" s="772"/>
      <c r="S191" s="772"/>
      <c r="T191" s="772"/>
      <c r="U191" s="772"/>
      <c r="V191" s="772"/>
      <c r="W191" s="772"/>
      <c r="X191" s="772"/>
      <c r="Y191" s="772"/>
      <c r="Z191" s="772"/>
      <c r="AA191" s="772"/>
      <c r="AB191" s="772"/>
      <c r="AC191" s="772"/>
      <c r="AD191" s="772"/>
      <c r="AE191" s="772"/>
      <c r="AF191" s="772"/>
      <c r="AG191" s="772"/>
      <c r="AH191" s="772"/>
      <c r="AI191" s="772"/>
    </row>
    <row r="192" ht="15.75" customHeight="1">
      <c r="A192" s="815"/>
      <c r="B192" s="782"/>
      <c r="C192" s="782"/>
      <c r="D192" s="782"/>
      <c r="E192" s="816"/>
      <c r="F192" s="816"/>
      <c r="G192" s="816"/>
      <c r="H192" s="817"/>
      <c r="I192" s="817"/>
      <c r="J192" s="817"/>
      <c r="K192" s="818"/>
      <c r="L192" s="772"/>
      <c r="M192" s="772"/>
      <c r="N192" s="772"/>
      <c r="O192" s="772"/>
      <c r="P192" s="772"/>
      <c r="Q192" s="772"/>
      <c r="R192" s="772"/>
      <c r="S192" s="772"/>
      <c r="T192" s="772"/>
      <c r="U192" s="772"/>
      <c r="V192" s="772"/>
      <c r="W192" s="772"/>
      <c r="X192" s="772"/>
      <c r="Y192" s="772"/>
      <c r="Z192" s="772"/>
      <c r="AA192" s="772"/>
      <c r="AB192" s="772"/>
      <c r="AC192" s="772"/>
      <c r="AD192" s="772"/>
      <c r="AE192" s="772"/>
      <c r="AF192" s="772"/>
      <c r="AG192" s="772"/>
      <c r="AH192" s="772"/>
      <c r="AI192" s="772"/>
    </row>
    <row r="193" ht="15.75" customHeight="1">
      <c r="A193" s="815"/>
      <c r="B193" s="782"/>
      <c r="C193" s="782"/>
      <c r="D193" s="782"/>
      <c r="E193" s="816"/>
      <c r="F193" s="816"/>
      <c r="G193" s="816"/>
      <c r="H193" s="817"/>
      <c r="I193" s="817"/>
      <c r="J193" s="817"/>
      <c r="K193" s="818"/>
      <c r="L193" s="772"/>
      <c r="M193" s="772"/>
      <c r="N193" s="772"/>
      <c r="O193" s="772"/>
      <c r="P193" s="772"/>
      <c r="Q193" s="772"/>
      <c r="R193" s="772"/>
      <c r="S193" s="772"/>
      <c r="T193" s="772"/>
      <c r="U193" s="772"/>
      <c r="V193" s="772"/>
      <c r="W193" s="772"/>
      <c r="X193" s="772"/>
      <c r="Y193" s="772"/>
      <c r="Z193" s="772"/>
      <c r="AA193" s="772"/>
      <c r="AB193" s="772"/>
      <c r="AC193" s="772"/>
      <c r="AD193" s="772"/>
      <c r="AE193" s="772"/>
      <c r="AF193" s="772"/>
      <c r="AG193" s="772"/>
      <c r="AH193" s="772"/>
      <c r="AI193" s="772"/>
    </row>
    <row r="194" ht="15.75" customHeight="1">
      <c r="A194" s="815"/>
      <c r="B194" s="782"/>
      <c r="C194" s="782"/>
      <c r="D194" s="782"/>
      <c r="E194" s="816"/>
      <c r="F194" s="816"/>
      <c r="G194" s="816"/>
      <c r="H194" s="817"/>
      <c r="I194" s="817"/>
      <c r="J194" s="817"/>
      <c r="K194" s="818"/>
      <c r="L194" s="772"/>
      <c r="M194" s="772"/>
      <c r="N194" s="772"/>
      <c r="O194" s="772"/>
      <c r="P194" s="772"/>
      <c r="Q194" s="772"/>
      <c r="R194" s="772"/>
      <c r="S194" s="772"/>
      <c r="T194" s="772"/>
      <c r="U194" s="772"/>
      <c r="V194" s="772"/>
      <c r="W194" s="772"/>
      <c r="X194" s="772"/>
      <c r="Y194" s="772"/>
      <c r="Z194" s="772"/>
      <c r="AA194" s="772"/>
      <c r="AB194" s="772"/>
      <c r="AC194" s="772"/>
      <c r="AD194" s="772"/>
      <c r="AE194" s="772"/>
      <c r="AF194" s="772"/>
      <c r="AG194" s="772"/>
      <c r="AH194" s="772"/>
      <c r="AI194" s="772"/>
    </row>
    <row r="195" ht="15.75" customHeight="1">
      <c r="A195" s="815"/>
      <c r="B195" s="782"/>
      <c r="C195" s="782"/>
      <c r="D195" s="782"/>
      <c r="E195" s="816"/>
      <c r="F195" s="816"/>
      <c r="G195" s="816"/>
      <c r="H195" s="817"/>
      <c r="I195" s="817"/>
      <c r="J195" s="817"/>
      <c r="K195" s="818"/>
      <c r="L195" s="772"/>
      <c r="M195" s="772"/>
      <c r="N195" s="772"/>
      <c r="O195" s="772"/>
      <c r="P195" s="772"/>
      <c r="Q195" s="772"/>
      <c r="R195" s="772"/>
      <c r="S195" s="772"/>
      <c r="T195" s="772"/>
      <c r="U195" s="772"/>
      <c r="V195" s="772"/>
      <c r="W195" s="772"/>
      <c r="X195" s="772"/>
      <c r="Y195" s="772"/>
      <c r="Z195" s="772"/>
      <c r="AA195" s="772"/>
      <c r="AB195" s="772"/>
      <c r="AC195" s="772"/>
      <c r="AD195" s="772"/>
      <c r="AE195" s="772"/>
      <c r="AF195" s="772"/>
      <c r="AG195" s="772"/>
      <c r="AH195" s="772"/>
      <c r="AI195" s="772"/>
    </row>
    <row r="196" ht="15.75" customHeight="1">
      <c r="A196" s="815"/>
      <c r="B196" s="782"/>
      <c r="C196" s="782"/>
      <c r="D196" s="782"/>
      <c r="E196" s="816"/>
      <c r="F196" s="816"/>
      <c r="G196" s="816"/>
      <c r="H196" s="817"/>
      <c r="I196" s="817"/>
      <c r="J196" s="817"/>
      <c r="K196" s="818"/>
      <c r="L196" s="772"/>
      <c r="M196" s="772"/>
      <c r="N196" s="772"/>
      <c r="O196" s="772"/>
      <c r="P196" s="772"/>
      <c r="Q196" s="772"/>
      <c r="R196" s="772"/>
      <c r="S196" s="772"/>
      <c r="T196" s="772"/>
      <c r="U196" s="772"/>
      <c r="V196" s="772"/>
      <c r="W196" s="772"/>
      <c r="X196" s="772"/>
      <c r="Y196" s="772"/>
      <c r="Z196" s="772"/>
      <c r="AA196" s="772"/>
      <c r="AB196" s="772"/>
      <c r="AC196" s="772"/>
      <c r="AD196" s="772"/>
      <c r="AE196" s="772"/>
      <c r="AF196" s="772"/>
      <c r="AG196" s="772"/>
      <c r="AH196" s="772"/>
      <c r="AI196" s="772"/>
    </row>
    <row r="197" ht="15.75" customHeight="1">
      <c r="A197" s="815"/>
      <c r="B197" s="782"/>
      <c r="C197" s="782"/>
      <c r="D197" s="782"/>
      <c r="E197" s="816"/>
      <c r="F197" s="816"/>
      <c r="G197" s="816"/>
      <c r="H197" s="817"/>
      <c r="I197" s="817"/>
      <c r="J197" s="817"/>
      <c r="K197" s="818"/>
      <c r="L197" s="772"/>
      <c r="M197" s="772"/>
      <c r="N197" s="772"/>
      <c r="O197" s="772"/>
      <c r="P197" s="772"/>
      <c r="Q197" s="772"/>
      <c r="R197" s="772"/>
      <c r="S197" s="772"/>
      <c r="T197" s="772"/>
      <c r="U197" s="772"/>
      <c r="V197" s="772"/>
      <c r="W197" s="772"/>
      <c r="X197" s="772"/>
      <c r="Y197" s="772"/>
      <c r="Z197" s="772"/>
      <c r="AA197" s="772"/>
      <c r="AB197" s="772"/>
      <c r="AC197" s="772"/>
      <c r="AD197" s="772"/>
      <c r="AE197" s="772"/>
      <c r="AF197" s="772"/>
      <c r="AG197" s="772"/>
      <c r="AH197" s="772"/>
      <c r="AI197" s="772"/>
    </row>
    <row r="198" ht="15.75" customHeight="1">
      <c r="A198" s="815"/>
      <c r="B198" s="782"/>
      <c r="C198" s="782"/>
      <c r="D198" s="782"/>
      <c r="E198" s="816"/>
      <c r="F198" s="816"/>
      <c r="G198" s="816"/>
      <c r="H198" s="817"/>
      <c r="I198" s="817"/>
      <c r="J198" s="817"/>
      <c r="K198" s="818"/>
      <c r="L198" s="772"/>
      <c r="M198" s="772"/>
      <c r="N198" s="772"/>
      <c r="O198" s="772"/>
      <c r="P198" s="772"/>
      <c r="Q198" s="772"/>
      <c r="R198" s="772"/>
      <c r="S198" s="772"/>
      <c r="T198" s="772"/>
      <c r="U198" s="772"/>
      <c r="V198" s="772"/>
      <c r="W198" s="772"/>
      <c r="X198" s="772"/>
      <c r="Y198" s="772"/>
      <c r="Z198" s="772"/>
      <c r="AA198" s="772"/>
      <c r="AB198" s="772"/>
      <c r="AC198" s="772"/>
      <c r="AD198" s="772"/>
      <c r="AE198" s="772"/>
      <c r="AF198" s="772"/>
      <c r="AG198" s="772"/>
      <c r="AH198" s="772"/>
      <c r="AI198" s="772"/>
    </row>
    <row r="199" ht="15.75" customHeight="1">
      <c r="A199" s="815"/>
      <c r="B199" s="782"/>
      <c r="C199" s="782"/>
      <c r="D199" s="782"/>
      <c r="E199" s="816"/>
      <c r="F199" s="816"/>
      <c r="G199" s="816"/>
      <c r="H199" s="817"/>
      <c r="I199" s="817"/>
      <c r="J199" s="817"/>
      <c r="K199" s="818"/>
      <c r="L199" s="772"/>
      <c r="M199" s="772"/>
      <c r="N199" s="772"/>
      <c r="O199" s="772"/>
      <c r="P199" s="772"/>
      <c r="Q199" s="772"/>
      <c r="R199" s="772"/>
      <c r="S199" s="772"/>
      <c r="T199" s="772"/>
      <c r="U199" s="772"/>
      <c r="V199" s="772"/>
      <c r="W199" s="772"/>
      <c r="X199" s="772"/>
      <c r="Y199" s="772"/>
      <c r="Z199" s="772"/>
      <c r="AA199" s="772"/>
      <c r="AB199" s="772"/>
      <c r="AC199" s="772"/>
      <c r="AD199" s="772"/>
      <c r="AE199" s="772"/>
      <c r="AF199" s="772"/>
      <c r="AG199" s="772"/>
      <c r="AH199" s="772"/>
      <c r="AI199" s="772"/>
    </row>
    <row r="200" ht="15.75" customHeight="1">
      <c r="A200" s="815"/>
      <c r="B200" s="782"/>
      <c r="C200" s="782"/>
      <c r="D200" s="782"/>
      <c r="E200" s="816"/>
      <c r="F200" s="816"/>
      <c r="G200" s="816"/>
      <c r="H200" s="817"/>
      <c r="I200" s="817"/>
      <c r="J200" s="817"/>
      <c r="K200" s="818"/>
      <c r="L200" s="772"/>
      <c r="M200" s="772"/>
      <c r="N200" s="772"/>
      <c r="O200" s="772"/>
      <c r="P200" s="772"/>
      <c r="Q200" s="772"/>
      <c r="R200" s="772"/>
      <c r="S200" s="772"/>
      <c r="T200" s="772"/>
      <c r="U200" s="772"/>
      <c r="V200" s="772"/>
      <c r="W200" s="772"/>
      <c r="X200" s="772"/>
      <c r="Y200" s="772"/>
      <c r="Z200" s="772"/>
      <c r="AA200" s="772"/>
      <c r="AB200" s="772"/>
      <c r="AC200" s="772"/>
      <c r="AD200" s="772"/>
      <c r="AE200" s="772"/>
      <c r="AF200" s="772"/>
      <c r="AG200" s="772"/>
      <c r="AH200" s="772"/>
      <c r="AI200" s="772"/>
    </row>
    <row r="201" ht="15.75" customHeight="1">
      <c r="A201" s="815"/>
      <c r="B201" s="782"/>
      <c r="C201" s="782"/>
      <c r="D201" s="782"/>
      <c r="E201" s="816"/>
      <c r="F201" s="816"/>
      <c r="G201" s="816"/>
      <c r="H201" s="817"/>
      <c r="I201" s="817"/>
      <c r="J201" s="817"/>
      <c r="K201" s="818"/>
      <c r="L201" s="772"/>
      <c r="M201" s="772"/>
      <c r="N201" s="772"/>
      <c r="O201" s="772"/>
      <c r="P201" s="772"/>
      <c r="Q201" s="772"/>
      <c r="R201" s="772"/>
      <c r="S201" s="772"/>
      <c r="T201" s="772"/>
      <c r="U201" s="772"/>
      <c r="V201" s="772"/>
      <c r="W201" s="772"/>
      <c r="X201" s="772"/>
      <c r="Y201" s="772"/>
      <c r="Z201" s="772"/>
      <c r="AA201" s="772"/>
      <c r="AB201" s="772"/>
      <c r="AC201" s="772"/>
      <c r="AD201" s="772"/>
      <c r="AE201" s="772"/>
      <c r="AF201" s="772"/>
      <c r="AG201" s="772"/>
      <c r="AH201" s="772"/>
      <c r="AI201" s="772"/>
    </row>
    <row r="202" ht="15.75" customHeight="1">
      <c r="A202" s="815"/>
      <c r="B202" s="782"/>
      <c r="C202" s="782"/>
      <c r="D202" s="782"/>
      <c r="E202" s="816"/>
      <c r="F202" s="816"/>
      <c r="G202" s="816"/>
      <c r="H202" s="817"/>
      <c r="I202" s="817"/>
      <c r="J202" s="817"/>
      <c r="K202" s="818"/>
      <c r="L202" s="772"/>
      <c r="M202" s="772"/>
      <c r="N202" s="772"/>
      <c r="O202" s="772"/>
      <c r="P202" s="772"/>
      <c r="Q202" s="772"/>
      <c r="R202" s="772"/>
      <c r="S202" s="772"/>
      <c r="T202" s="772"/>
      <c r="U202" s="772"/>
      <c r="V202" s="772"/>
      <c r="W202" s="772"/>
      <c r="X202" s="772"/>
      <c r="Y202" s="772"/>
      <c r="Z202" s="772"/>
      <c r="AA202" s="772"/>
      <c r="AB202" s="772"/>
      <c r="AC202" s="772"/>
      <c r="AD202" s="772"/>
      <c r="AE202" s="772"/>
      <c r="AF202" s="772"/>
      <c r="AG202" s="772"/>
      <c r="AH202" s="772"/>
      <c r="AI202" s="772"/>
    </row>
    <row r="203" ht="15.75" customHeight="1">
      <c r="A203" s="815"/>
      <c r="B203" s="782"/>
      <c r="C203" s="782"/>
      <c r="D203" s="782"/>
      <c r="E203" s="816"/>
      <c r="F203" s="816"/>
      <c r="G203" s="816"/>
      <c r="H203" s="817"/>
      <c r="I203" s="817"/>
      <c r="J203" s="817"/>
      <c r="K203" s="818"/>
      <c r="L203" s="772"/>
      <c r="M203" s="772"/>
      <c r="N203" s="772"/>
      <c r="O203" s="772"/>
      <c r="P203" s="772"/>
      <c r="Q203" s="772"/>
      <c r="R203" s="772"/>
      <c r="S203" s="772"/>
      <c r="T203" s="772"/>
      <c r="U203" s="772"/>
      <c r="V203" s="772"/>
      <c r="W203" s="772"/>
      <c r="X203" s="772"/>
      <c r="Y203" s="772"/>
      <c r="Z203" s="772"/>
      <c r="AA203" s="772"/>
      <c r="AB203" s="772"/>
      <c r="AC203" s="772"/>
      <c r="AD203" s="772"/>
      <c r="AE203" s="772"/>
      <c r="AF203" s="772"/>
      <c r="AG203" s="772"/>
      <c r="AH203" s="772"/>
      <c r="AI203" s="772"/>
    </row>
    <row r="204" ht="15.75" customHeight="1">
      <c r="A204" s="815"/>
      <c r="B204" s="782"/>
      <c r="C204" s="782"/>
      <c r="D204" s="782"/>
      <c r="E204" s="816"/>
      <c r="F204" s="816"/>
      <c r="G204" s="816"/>
      <c r="H204" s="817"/>
      <c r="I204" s="817"/>
      <c r="J204" s="817"/>
      <c r="K204" s="818"/>
      <c r="L204" s="772"/>
      <c r="M204" s="772"/>
      <c r="N204" s="772"/>
      <c r="O204" s="772"/>
      <c r="P204" s="772"/>
      <c r="Q204" s="772"/>
      <c r="R204" s="772"/>
      <c r="S204" s="772"/>
      <c r="T204" s="772"/>
      <c r="U204" s="772"/>
      <c r="V204" s="772"/>
      <c r="W204" s="772"/>
      <c r="X204" s="772"/>
      <c r="Y204" s="772"/>
      <c r="Z204" s="772"/>
      <c r="AA204" s="772"/>
      <c r="AB204" s="772"/>
      <c r="AC204" s="772"/>
      <c r="AD204" s="772"/>
      <c r="AE204" s="772"/>
      <c r="AF204" s="772"/>
      <c r="AG204" s="772"/>
      <c r="AH204" s="772"/>
      <c r="AI204" s="772"/>
    </row>
    <row r="205" ht="15.75" customHeight="1">
      <c r="A205" s="815"/>
      <c r="B205" s="782"/>
      <c r="C205" s="782"/>
      <c r="D205" s="782"/>
      <c r="E205" s="816"/>
      <c r="F205" s="816"/>
      <c r="G205" s="816"/>
      <c r="H205" s="817"/>
      <c r="I205" s="817"/>
      <c r="J205" s="817"/>
      <c r="K205" s="818"/>
      <c r="L205" s="772"/>
      <c r="M205" s="772"/>
      <c r="N205" s="772"/>
      <c r="O205" s="772"/>
      <c r="P205" s="772"/>
      <c r="Q205" s="772"/>
      <c r="R205" s="772"/>
      <c r="S205" s="772"/>
      <c r="T205" s="772"/>
      <c r="U205" s="772"/>
      <c r="V205" s="772"/>
      <c r="W205" s="772"/>
      <c r="X205" s="772"/>
      <c r="Y205" s="772"/>
      <c r="Z205" s="772"/>
      <c r="AA205" s="772"/>
      <c r="AB205" s="772"/>
      <c r="AC205" s="772"/>
      <c r="AD205" s="772"/>
      <c r="AE205" s="772"/>
      <c r="AF205" s="772"/>
      <c r="AG205" s="772"/>
      <c r="AH205" s="772"/>
      <c r="AI205" s="772"/>
    </row>
    <row r="206" ht="15.75" customHeight="1">
      <c r="A206" s="815"/>
      <c r="B206" s="782"/>
      <c r="C206" s="782"/>
      <c r="D206" s="782"/>
      <c r="E206" s="816"/>
      <c r="F206" s="816"/>
      <c r="G206" s="816"/>
      <c r="H206" s="817"/>
      <c r="I206" s="817"/>
      <c r="J206" s="817"/>
      <c r="K206" s="818"/>
      <c r="L206" s="772"/>
      <c r="M206" s="772"/>
      <c r="N206" s="772"/>
      <c r="O206" s="772"/>
      <c r="P206" s="772"/>
      <c r="Q206" s="772"/>
      <c r="R206" s="772"/>
      <c r="S206" s="772"/>
      <c r="T206" s="772"/>
      <c r="U206" s="772"/>
      <c r="V206" s="772"/>
      <c r="W206" s="772"/>
      <c r="X206" s="772"/>
      <c r="Y206" s="772"/>
      <c r="Z206" s="772"/>
      <c r="AA206" s="772"/>
      <c r="AB206" s="772"/>
      <c r="AC206" s="772"/>
      <c r="AD206" s="772"/>
      <c r="AE206" s="772"/>
      <c r="AF206" s="772"/>
      <c r="AG206" s="772"/>
      <c r="AH206" s="772"/>
      <c r="AI206" s="772"/>
    </row>
    <row r="207" ht="15.75" customHeight="1">
      <c r="A207" s="815"/>
      <c r="B207" s="782"/>
      <c r="C207" s="782"/>
      <c r="D207" s="782"/>
      <c r="E207" s="816"/>
      <c r="F207" s="816"/>
      <c r="G207" s="816"/>
      <c r="H207" s="817"/>
      <c r="I207" s="817"/>
      <c r="J207" s="817"/>
      <c r="K207" s="818"/>
      <c r="L207" s="772"/>
      <c r="M207" s="772"/>
      <c r="N207" s="772"/>
      <c r="O207" s="772"/>
      <c r="P207" s="772"/>
      <c r="Q207" s="772"/>
      <c r="R207" s="772"/>
      <c r="S207" s="772"/>
      <c r="T207" s="772"/>
      <c r="U207" s="772"/>
      <c r="V207" s="772"/>
      <c r="W207" s="772"/>
      <c r="X207" s="772"/>
      <c r="Y207" s="772"/>
      <c r="Z207" s="772"/>
      <c r="AA207" s="772"/>
      <c r="AB207" s="772"/>
      <c r="AC207" s="772"/>
      <c r="AD207" s="772"/>
      <c r="AE207" s="772"/>
      <c r="AF207" s="772"/>
      <c r="AG207" s="772"/>
      <c r="AH207" s="772"/>
      <c r="AI207" s="772"/>
    </row>
    <row r="208" ht="15.75" customHeight="1">
      <c r="A208" s="815"/>
      <c r="B208" s="782"/>
      <c r="C208" s="782"/>
      <c r="D208" s="782"/>
      <c r="E208" s="816"/>
      <c r="F208" s="816"/>
      <c r="G208" s="816"/>
      <c r="H208" s="817"/>
      <c r="I208" s="817"/>
      <c r="J208" s="817"/>
      <c r="K208" s="818"/>
      <c r="L208" s="772"/>
      <c r="M208" s="772"/>
      <c r="N208" s="772"/>
      <c r="O208" s="772"/>
      <c r="P208" s="772"/>
      <c r="Q208" s="772"/>
      <c r="R208" s="772"/>
      <c r="S208" s="772"/>
      <c r="T208" s="772"/>
      <c r="U208" s="772"/>
      <c r="V208" s="772"/>
      <c r="W208" s="772"/>
      <c r="X208" s="772"/>
      <c r="Y208" s="772"/>
      <c r="Z208" s="772"/>
      <c r="AA208" s="772"/>
      <c r="AB208" s="772"/>
      <c r="AC208" s="772"/>
      <c r="AD208" s="772"/>
      <c r="AE208" s="772"/>
      <c r="AF208" s="772"/>
      <c r="AG208" s="772"/>
      <c r="AH208" s="772"/>
      <c r="AI208" s="772"/>
    </row>
    <row r="209" ht="15.75" customHeight="1">
      <c r="A209" s="815"/>
      <c r="B209" s="782"/>
      <c r="C209" s="782"/>
      <c r="D209" s="782"/>
      <c r="E209" s="816"/>
      <c r="F209" s="816"/>
      <c r="G209" s="816"/>
      <c r="H209" s="817"/>
      <c r="I209" s="817"/>
      <c r="J209" s="817"/>
      <c r="K209" s="818"/>
      <c r="L209" s="772"/>
      <c r="M209" s="772"/>
      <c r="N209" s="772"/>
      <c r="O209" s="772"/>
      <c r="P209" s="772"/>
      <c r="Q209" s="772"/>
      <c r="R209" s="772"/>
      <c r="S209" s="772"/>
      <c r="T209" s="772"/>
      <c r="U209" s="772"/>
      <c r="V209" s="772"/>
      <c r="W209" s="772"/>
      <c r="X209" s="772"/>
      <c r="Y209" s="772"/>
      <c r="Z209" s="772"/>
      <c r="AA209" s="772"/>
      <c r="AB209" s="772"/>
      <c r="AC209" s="772"/>
      <c r="AD209" s="772"/>
      <c r="AE209" s="772"/>
      <c r="AF209" s="772"/>
      <c r="AG209" s="772"/>
      <c r="AH209" s="772"/>
      <c r="AI209" s="772"/>
    </row>
    <row r="210" ht="15.75" customHeight="1">
      <c r="A210" s="815"/>
      <c r="B210" s="782"/>
      <c r="C210" s="782"/>
      <c r="D210" s="782"/>
      <c r="E210" s="816"/>
      <c r="F210" s="816"/>
      <c r="G210" s="816"/>
      <c r="H210" s="817"/>
      <c r="I210" s="817"/>
      <c r="J210" s="817"/>
      <c r="K210" s="818"/>
      <c r="L210" s="772"/>
      <c r="M210" s="772"/>
      <c r="N210" s="772"/>
      <c r="O210" s="772"/>
      <c r="P210" s="772"/>
      <c r="Q210" s="772"/>
      <c r="R210" s="772"/>
      <c r="S210" s="772"/>
      <c r="T210" s="772"/>
      <c r="U210" s="772"/>
      <c r="V210" s="772"/>
      <c r="W210" s="772"/>
      <c r="X210" s="772"/>
      <c r="Y210" s="772"/>
      <c r="Z210" s="772"/>
      <c r="AA210" s="772"/>
      <c r="AB210" s="772"/>
      <c r="AC210" s="772"/>
      <c r="AD210" s="772"/>
      <c r="AE210" s="772"/>
      <c r="AF210" s="772"/>
      <c r="AG210" s="772"/>
      <c r="AH210" s="772"/>
      <c r="AI210" s="772"/>
    </row>
    <row r="211" ht="15.75" customHeight="1">
      <c r="A211" s="815"/>
      <c r="B211" s="782"/>
      <c r="C211" s="782"/>
      <c r="D211" s="782"/>
      <c r="E211" s="816"/>
      <c r="F211" s="816"/>
      <c r="G211" s="816"/>
      <c r="H211" s="817"/>
      <c r="I211" s="817"/>
      <c r="J211" s="817"/>
      <c r="K211" s="818"/>
      <c r="L211" s="772"/>
      <c r="M211" s="772"/>
      <c r="N211" s="772"/>
      <c r="O211" s="772"/>
      <c r="P211" s="772"/>
      <c r="Q211" s="772"/>
      <c r="R211" s="772"/>
      <c r="S211" s="772"/>
      <c r="T211" s="772"/>
      <c r="U211" s="772"/>
      <c r="V211" s="772"/>
      <c r="W211" s="772"/>
      <c r="X211" s="772"/>
      <c r="Y211" s="772"/>
      <c r="Z211" s="772"/>
      <c r="AA211" s="772"/>
      <c r="AB211" s="772"/>
      <c r="AC211" s="772"/>
      <c r="AD211" s="772"/>
      <c r="AE211" s="772"/>
      <c r="AF211" s="772"/>
      <c r="AG211" s="772"/>
      <c r="AH211" s="772"/>
      <c r="AI211" s="772"/>
    </row>
    <row r="212" ht="15.75" customHeight="1">
      <c r="A212" s="815"/>
      <c r="B212" s="782"/>
      <c r="C212" s="782"/>
      <c r="D212" s="782"/>
      <c r="E212" s="816"/>
      <c r="F212" s="816"/>
      <c r="G212" s="816"/>
      <c r="H212" s="817"/>
      <c r="I212" s="817"/>
      <c r="J212" s="817"/>
      <c r="K212" s="818"/>
      <c r="L212" s="772"/>
      <c r="M212" s="772"/>
      <c r="N212" s="772"/>
      <c r="O212" s="772"/>
      <c r="P212" s="772"/>
      <c r="Q212" s="772"/>
      <c r="R212" s="772"/>
      <c r="S212" s="772"/>
      <c r="T212" s="772"/>
      <c r="U212" s="772"/>
      <c r="V212" s="772"/>
      <c r="W212" s="772"/>
      <c r="X212" s="772"/>
      <c r="Y212" s="772"/>
      <c r="Z212" s="772"/>
      <c r="AA212" s="772"/>
      <c r="AB212" s="772"/>
      <c r="AC212" s="772"/>
      <c r="AD212" s="772"/>
      <c r="AE212" s="772"/>
      <c r="AF212" s="772"/>
      <c r="AG212" s="772"/>
      <c r="AH212" s="772"/>
      <c r="AI212" s="772"/>
    </row>
    <row r="213" ht="15.75" customHeight="1">
      <c r="A213" s="815"/>
      <c r="B213" s="782"/>
      <c r="C213" s="782"/>
      <c r="D213" s="782"/>
      <c r="E213" s="816"/>
      <c r="F213" s="816"/>
      <c r="G213" s="816"/>
      <c r="H213" s="817"/>
      <c r="I213" s="817"/>
      <c r="J213" s="817"/>
      <c r="K213" s="818"/>
      <c r="L213" s="772"/>
      <c r="M213" s="772"/>
      <c r="N213" s="772"/>
      <c r="O213" s="772"/>
      <c r="P213" s="772"/>
      <c r="Q213" s="772"/>
      <c r="R213" s="772"/>
      <c r="S213" s="772"/>
      <c r="T213" s="772"/>
      <c r="U213" s="772"/>
      <c r="V213" s="772"/>
      <c r="W213" s="772"/>
      <c r="X213" s="772"/>
      <c r="Y213" s="772"/>
      <c r="Z213" s="772"/>
      <c r="AA213" s="772"/>
      <c r="AB213" s="772"/>
      <c r="AC213" s="772"/>
      <c r="AD213" s="772"/>
      <c r="AE213" s="772"/>
      <c r="AF213" s="772"/>
      <c r="AG213" s="772"/>
      <c r="AH213" s="772"/>
      <c r="AI213" s="772"/>
    </row>
    <row r="214" ht="15.75" customHeight="1">
      <c r="A214" s="815"/>
      <c r="B214" s="782"/>
      <c r="C214" s="782"/>
      <c r="D214" s="782"/>
      <c r="E214" s="816"/>
      <c r="F214" s="816"/>
      <c r="G214" s="816"/>
      <c r="H214" s="817"/>
      <c r="I214" s="817"/>
      <c r="J214" s="817"/>
      <c r="K214" s="818"/>
      <c r="L214" s="772"/>
      <c r="M214" s="772"/>
      <c r="N214" s="772"/>
      <c r="O214" s="772"/>
      <c r="P214" s="772"/>
      <c r="Q214" s="772"/>
      <c r="R214" s="772"/>
      <c r="S214" s="772"/>
      <c r="T214" s="772"/>
      <c r="U214" s="772"/>
      <c r="V214" s="772"/>
      <c r="W214" s="772"/>
      <c r="X214" s="772"/>
      <c r="Y214" s="772"/>
      <c r="Z214" s="772"/>
      <c r="AA214" s="772"/>
      <c r="AB214" s="772"/>
      <c r="AC214" s="772"/>
      <c r="AD214" s="772"/>
      <c r="AE214" s="772"/>
      <c r="AF214" s="772"/>
      <c r="AG214" s="772"/>
      <c r="AH214" s="772"/>
      <c r="AI214" s="772"/>
    </row>
    <row r="215" ht="15.75" customHeight="1">
      <c r="A215" s="815"/>
      <c r="B215" s="782"/>
      <c r="C215" s="782"/>
      <c r="D215" s="782"/>
      <c r="E215" s="816"/>
      <c r="F215" s="816"/>
      <c r="G215" s="816"/>
      <c r="H215" s="817"/>
      <c r="I215" s="817"/>
      <c r="J215" s="817"/>
      <c r="K215" s="818"/>
      <c r="L215" s="772"/>
      <c r="M215" s="772"/>
      <c r="N215" s="772"/>
      <c r="O215" s="772"/>
      <c r="P215" s="772"/>
      <c r="Q215" s="772"/>
      <c r="R215" s="772"/>
      <c r="S215" s="772"/>
      <c r="T215" s="772"/>
      <c r="U215" s="772"/>
      <c r="V215" s="772"/>
      <c r="W215" s="772"/>
      <c r="X215" s="772"/>
      <c r="Y215" s="772"/>
      <c r="Z215" s="772"/>
      <c r="AA215" s="772"/>
      <c r="AB215" s="772"/>
      <c r="AC215" s="772"/>
      <c r="AD215" s="772"/>
      <c r="AE215" s="772"/>
      <c r="AF215" s="772"/>
      <c r="AG215" s="772"/>
      <c r="AH215" s="772"/>
      <c r="AI215" s="772"/>
    </row>
    <row r="216" ht="15.75" customHeight="1">
      <c r="A216" s="815"/>
      <c r="B216" s="782"/>
      <c r="C216" s="782"/>
      <c r="D216" s="782"/>
      <c r="E216" s="816"/>
      <c r="F216" s="816"/>
      <c r="G216" s="816"/>
      <c r="H216" s="817"/>
      <c r="I216" s="817"/>
      <c r="J216" s="817"/>
      <c r="K216" s="818"/>
      <c r="L216" s="772"/>
      <c r="M216" s="772"/>
      <c r="N216" s="772"/>
      <c r="O216" s="772"/>
      <c r="P216" s="772"/>
      <c r="Q216" s="772"/>
      <c r="R216" s="772"/>
      <c r="S216" s="772"/>
      <c r="T216" s="772"/>
      <c r="U216" s="772"/>
      <c r="V216" s="772"/>
      <c r="W216" s="772"/>
      <c r="X216" s="772"/>
      <c r="Y216" s="772"/>
      <c r="Z216" s="772"/>
      <c r="AA216" s="772"/>
      <c r="AB216" s="772"/>
      <c r="AC216" s="772"/>
      <c r="AD216" s="772"/>
      <c r="AE216" s="772"/>
      <c r="AF216" s="772"/>
      <c r="AG216" s="772"/>
      <c r="AH216" s="772"/>
      <c r="AI216" s="772"/>
    </row>
    <row r="217" ht="15.75" customHeight="1">
      <c r="A217" s="815"/>
      <c r="B217" s="782"/>
      <c r="C217" s="782"/>
      <c r="D217" s="782"/>
      <c r="E217" s="816"/>
      <c r="F217" s="816"/>
      <c r="G217" s="816"/>
      <c r="H217" s="817"/>
      <c r="I217" s="817"/>
      <c r="J217" s="817"/>
      <c r="K217" s="818"/>
      <c r="L217" s="772"/>
      <c r="M217" s="772"/>
      <c r="N217" s="772"/>
      <c r="O217" s="772"/>
      <c r="P217" s="772"/>
      <c r="Q217" s="772"/>
      <c r="R217" s="772"/>
      <c r="S217" s="772"/>
      <c r="T217" s="772"/>
      <c r="U217" s="772"/>
      <c r="V217" s="772"/>
      <c r="W217" s="772"/>
      <c r="X217" s="772"/>
      <c r="Y217" s="772"/>
      <c r="Z217" s="772"/>
      <c r="AA217" s="772"/>
      <c r="AB217" s="772"/>
      <c r="AC217" s="772"/>
      <c r="AD217" s="772"/>
      <c r="AE217" s="772"/>
      <c r="AF217" s="772"/>
      <c r="AG217" s="772"/>
      <c r="AH217" s="772"/>
      <c r="AI217" s="772"/>
    </row>
    <row r="218" ht="15.75" customHeight="1">
      <c r="A218" s="815"/>
      <c r="B218" s="782"/>
      <c r="C218" s="782"/>
      <c r="D218" s="782"/>
      <c r="E218" s="816"/>
      <c r="F218" s="816"/>
      <c r="G218" s="816"/>
      <c r="H218" s="817"/>
      <c r="I218" s="817"/>
      <c r="J218" s="817"/>
      <c r="K218" s="818"/>
      <c r="L218" s="772"/>
      <c r="M218" s="772"/>
      <c r="N218" s="772"/>
      <c r="O218" s="772"/>
      <c r="P218" s="772"/>
      <c r="Q218" s="772"/>
      <c r="R218" s="772"/>
      <c r="S218" s="772"/>
      <c r="T218" s="772"/>
      <c r="U218" s="772"/>
      <c r="V218" s="772"/>
      <c r="W218" s="772"/>
      <c r="X218" s="772"/>
      <c r="Y218" s="772"/>
      <c r="Z218" s="772"/>
      <c r="AA218" s="772"/>
      <c r="AB218" s="772"/>
      <c r="AC218" s="772"/>
      <c r="AD218" s="772"/>
      <c r="AE218" s="772"/>
      <c r="AF218" s="772"/>
      <c r="AG218" s="772"/>
      <c r="AH218" s="772"/>
      <c r="AI218" s="772"/>
    </row>
    <row r="219" ht="15.75" customHeight="1">
      <c r="A219" s="815"/>
      <c r="B219" s="782"/>
      <c r="C219" s="782"/>
      <c r="D219" s="782"/>
      <c r="E219" s="816"/>
      <c r="F219" s="816"/>
      <c r="G219" s="816"/>
      <c r="H219" s="817"/>
      <c r="I219" s="817"/>
      <c r="J219" s="817"/>
      <c r="K219" s="818"/>
      <c r="L219" s="772"/>
      <c r="M219" s="772"/>
      <c r="N219" s="772"/>
      <c r="O219" s="772"/>
      <c r="P219" s="772"/>
      <c r="Q219" s="772"/>
      <c r="R219" s="772"/>
      <c r="S219" s="772"/>
      <c r="T219" s="772"/>
      <c r="U219" s="772"/>
      <c r="V219" s="772"/>
      <c r="W219" s="772"/>
      <c r="X219" s="772"/>
      <c r="Y219" s="772"/>
      <c r="Z219" s="772"/>
      <c r="AA219" s="772"/>
      <c r="AB219" s="772"/>
      <c r="AC219" s="772"/>
      <c r="AD219" s="772"/>
      <c r="AE219" s="772"/>
      <c r="AF219" s="772"/>
      <c r="AG219" s="772"/>
      <c r="AH219" s="772"/>
      <c r="AI219" s="772"/>
    </row>
    <row r="220" ht="15.75" customHeight="1">
      <c r="A220" s="815"/>
      <c r="B220" s="782"/>
      <c r="C220" s="782"/>
      <c r="D220" s="782"/>
      <c r="E220" s="816"/>
      <c r="F220" s="816"/>
      <c r="G220" s="816"/>
      <c r="H220" s="817"/>
      <c r="I220" s="817"/>
      <c r="J220" s="817"/>
      <c r="K220" s="818"/>
      <c r="L220" s="772"/>
      <c r="M220" s="772"/>
      <c r="N220" s="772"/>
      <c r="O220" s="772"/>
      <c r="P220" s="772"/>
      <c r="Q220" s="772"/>
      <c r="R220" s="772"/>
      <c r="S220" s="772"/>
      <c r="T220" s="772"/>
      <c r="U220" s="772"/>
      <c r="V220" s="772"/>
      <c r="W220" s="772"/>
      <c r="X220" s="772"/>
      <c r="Y220" s="772"/>
      <c r="Z220" s="772"/>
      <c r="AA220" s="772"/>
      <c r="AB220" s="772"/>
      <c r="AC220" s="772"/>
      <c r="AD220" s="772"/>
      <c r="AE220" s="772"/>
      <c r="AF220" s="772"/>
      <c r="AG220" s="772"/>
      <c r="AH220" s="772"/>
      <c r="AI220" s="772"/>
    </row>
    <row r="221" ht="15.75" customHeight="1">
      <c r="A221" s="815"/>
      <c r="B221" s="782"/>
      <c r="C221" s="782"/>
      <c r="D221" s="782"/>
      <c r="E221" s="816"/>
      <c r="F221" s="816"/>
      <c r="G221" s="816"/>
      <c r="H221" s="817"/>
      <c r="I221" s="817"/>
      <c r="J221" s="817"/>
      <c r="K221" s="818"/>
      <c r="L221" s="772"/>
      <c r="M221" s="772"/>
      <c r="N221" s="772"/>
      <c r="O221" s="772"/>
      <c r="P221" s="772"/>
      <c r="Q221" s="772"/>
      <c r="R221" s="772"/>
      <c r="S221" s="772"/>
      <c r="T221" s="772"/>
      <c r="U221" s="772"/>
      <c r="V221" s="772"/>
      <c r="W221" s="772"/>
      <c r="X221" s="772"/>
      <c r="Y221" s="772"/>
      <c r="Z221" s="772"/>
      <c r="AA221" s="772"/>
      <c r="AB221" s="772"/>
      <c r="AC221" s="772"/>
      <c r="AD221" s="772"/>
      <c r="AE221" s="772"/>
      <c r="AF221" s="772"/>
      <c r="AG221" s="772"/>
      <c r="AH221" s="772"/>
      <c r="AI221" s="772"/>
    </row>
    <row r="222" ht="15.75" customHeight="1">
      <c r="A222" s="815"/>
      <c r="B222" s="782"/>
      <c r="C222" s="782"/>
      <c r="D222" s="782"/>
      <c r="E222" s="816"/>
      <c r="F222" s="816"/>
      <c r="G222" s="816"/>
      <c r="H222" s="817"/>
      <c r="I222" s="817"/>
      <c r="J222" s="817"/>
      <c r="K222" s="818"/>
      <c r="L222" s="772"/>
      <c r="M222" s="772"/>
      <c r="N222" s="772"/>
      <c r="O222" s="772"/>
      <c r="P222" s="772"/>
      <c r="Q222" s="772"/>
      <c r="R222" s="772"/>
      <c r="S222" s="772"/>
      <c r="T222" s="772"/>
      <c r="U222" s="772"/>
      <c r="V222" s="772"/>
      <c r="W222" s="772"/>
      <c r="X222" s="772"/>
      <c r="Y222" s="772"/>
      <c r="Z222" s="772"/>
      <c r="AA222" s="772"/>
      <c r="AB222" s="772"/>
      <c r="AC222" s="772"/>
      <c r="AD222" s="772"/>
      <c r="AE222" s="772"/>
      <c r="AF222" s="772"/>
      <c r="AG222" s="772"/>
      <c r="AH222" s="772"/>
      <c r="AI222" s="772"/>
    </row>
    <row r="223" ht="15.75" customHeight="1">
      <c r="A223" s="815"/>
      <c r="B223" s="782"/>
      <c r="C223" s="782"/>
      <c r="D223" s="782"/>
      <c r="E223" s="816"/>
      <c r="F223" s="816"/>
      <c r="G223" s="816"/>
      <c r="H223" s="817"/>
      <c r="I223" s="817"/>
      <c r="J223" s="817"/>
      <c r="K223" s="818"/>
      <c r="L223" s="772"/>
      <c r="M223" s="772"/>
      <c r="N223" s="772"/>
      <c r="O223" s="772"/>
      <c r="P223" s="772"/>
      <c r="Q223" s="772"/>
      <c r="R223" s="772"/>
      <c r="S223" s="772"/>
      <c r="T223" s="772"/>
      <c r="U223" s="772"/>
      <c r="V223" s="772"/>
      <c r="W223" s="772"/>
      <c r="X223" s="772"/>
      <c r="Y223" s="772"/>
      <c r="Z223" s="772"/>
      <c r="AA223" s="772"/>
      <c r="AB223" s="772"/>
      <c r="AC223" s="772"/>
      <c r="AD223" s="772"/>
      <c r="AE223" s="772"/>
      <c r="AF223" s="772"/>
      <c r="AG223" s="772"/>
      <c r="AH223" s="772"/>
      <c r="AI223" s="772"/>
    </row>
    <row r="224" ht="15.75" customHeight="1">
      <c r="A224" s="815"/>
      <c r="B224" s="782"/>
      <c r="C224" s="782"/>
      <c r="D224" s="782"/>
      <c r="E224" s="816"/>
      <c r="F224" s="816"/>
      <c r="G224" s="816"/>
      <c r="H224" s="817"/>
      <c r="I224" s="817"/>
      <c r="J224" s="817"/>
      <c r="K224" s="818"/>
      <c r="L224" s="772"/>
      <c r="M224" s="772"/>
      <c r="N224" s="772"/>
      <c r="O224" s="772"/>
      <c r="P224" s="772"/>
      <c r="Q224" s="772"/>
      <c r="R224" s="772"/>
      <c r="S224" s="772"/>
      <c r="T224" s="772"/>
      <c r="U224" s="772"/>
      <c r="V224" s="772"/>
      <c r="W224" s="772"/>
      <c r="X224" s="772"/>
      <c r="Y224" s="772"/>
      <c r="Z224" s="772"/>
      <c r="AA224" s="772"/>
      <c r="AB224" s="772"/>
      <c r="AC224" s="772"/>
      <c r="AD224" s="772"/>
      <c r="AE224" s="772"/>
      <c r="AF224" s="772"/>
      <c r="AG224" s="772"/>
      <c r="AH224" s="772"/>
      <c r="AI224" s="772"/>
    </row>
    <row r="225" ht="15.75" customHeight="1">
      <c r="A225" s="815"/>
      <c r="B225" s="782"/>
      <c r="C225" s="782"/>
      <c r="D225" s="782"/>
      <c r="E225" s="816"/>
      <c r="F225" s="816"/>
      <c r="G225" s="816"/>
      <c r="H225" s="817"/>
      <c r="I225" s="817"/>
      <c r="J225" s="817"/>
      <c r="K225" s="818"/>
      <c r="L225" s="772"/>
      <c r="M225" s="772"/>
      <c r="N225" s="772"/>
      <c r="O225" s="772"/>
      <c r="P225" s="772"/>
      <c r="Q225" s="772"/>
      <c r="R225" s="772"/>
      <c r="S225" s="772"/>
      <c r="T225" s="772"/>
      <c r="U225" s="772"/>
      <c r="V225" s="772"/>
      <c r="W225" s="772"/>
      <c r="X225" s="772"/>
      <c r="Y225" s="772"/>
      <c r="Z225" s="772"/>
      <c r="AA225" s="772"/>
      <c r="AB225" s="772"/>
      <c r="AC225" s="772"/>
      <c r="AD225" s="772"/>
      <c r="AE225" s="772"/>
      <c r="AF225" s="772"/>
      <c r="AG225" s="772"/>
      <c r="AH225" s="772"/>
      <c r="AI225" s="772"/>
    </row>
    <row r="226" ht="15.75" customHeight="1">
      <c r="A226" s="815"/>
      <c r="B226" s="782"/>
      <c r="C226" s="782"/>
      <c r="D226" s="782"/>
      <c r="E226" s="816"/>
      <c r="F226" s="816"/>
      <c r="G226" s="816"/>
      <c r="H226" s="817"/>
      <c r="I226" s="817"/>
      <c r="J226" s="817"/>
      <c r="K226" s="818"/>
      <c r="L226" s="772"/>
      <c r="M226" s="772"/>
      <c r="N226" s="772"/>
      <c r="O226" s="772"/>
      <c r="P226" s="772"/>
      <c r="Q226" s="772"/>
      <c r="R226" s="772"/>
      <c r="S226" s="772"/>
      <c r="T226" s="772"/>
      <c r="U226" s="772"/>
      <c r="V226" s="772"/>
      <c r="W226" s="772"/>
      <c r="X226" s="772"/>
      <c r="Y226" s="772"/>
      <c r="Z226" s="772"/>
      <c r="AA226" s="772"/>
      <c r="AB226" s="772"/>
      <c r="AC226" s="772"/>
      <c r="AD226" s="772"/>
      <c r="AE226" s="772"/>
      <c r="AF226" s="772"/>
      <c r="AG226" s="772"/>
      <c r="AH226" s="772"/>
      <c r="AI226" s="772"/>
    </row>
    <row r="227" ht="15.75" customHeight="1">
      <c r="A227" s="815"/>
      <c r="B227" s="782"/>
      <c r="C227" s="782"/>
      <c r="D227" s="782"/>
      <c r="E227" s="816"/>
      <c r="F227" s="816"/>
      <c r="G227" s="816"/>
      <c r="H227" s="817"/>
      <c r="I227" s="817"/>
      <c r="J227" s="817"/>
      <c r="K227" s="818"/>
      <c r="L227" s="772"/>
      <c r="M227" s="772"/>
      <c r="N227" s="772"/>
      <c r="O227" s="772"/>
      <c r="P227" s="772"/>
      <c r="Q227" s="772"/>
      <c r="R227" s="772"/>
      <c r="S227" s="772"/>
      <c r="T227" s="772"/>
      <c r="U227" s="772"/>
      <c r="V227" s="772"/>
      <c r="W227" s="772"/>
      <c r="X227" s="772"/>
      <c r="Y227" s="772"/>
      <c r="Z227" s="772"/>
      <c r="AA227" s="772"/>
      <c r="AB227" s="772"/>
      <c r="AC227" s="772"/>
      <c r="AD227" s="772"/>
      <c r="AE227" s="772"/>
      <c r="AF227" s="772"/>
      <c r="AG227" s="772"/>
      <c r="AH227" s="772"/>
      <c r="AI227" s="772"/>
    </row>
    <row r="228" ht="15.75" customHeight="1">
      <c r="A228" s="815"/>
      <c r="B228" s="782"/>
      <c r="C228" s="782"/>
      <c r="D228" s="782"/>
      <c r="E228" s="816"/>
      <c r="F228" s="816"/>
      <c r="G228" s="816"/>
      <c r="H228" s="817"/>
      <c r="I228" s="817"/>
      <c r="J228" s="817"/>
      <c r="K228" s="818"/>
      <c r="L228" s="772"/>
      <c r="M228" s="772"/>
      <c r="N228" s="772"/>
      <c r="O228" s="772"/>
      <c r="P228" s="772"/>
      <c r="Q228" s="772"/>
      <c r="R228" s="772"/>
      <c r="S228" s="772"/>
      <c r="T228" s="772"/>
      <c r="U228" s="772"/>
      <c r="V228" s="772"/>
      <c r="W228" s="772"/>
      <c r="X228" s="772"/>
      <c r="Y228" s="772"/>
      <c r="Z228" s="772"/>
      <c r="AA228" s="772"/>
      <c r="AB228" s="772"/>
      <c r="AC228" s="772"/>
      <c r="AD228" s="772"/>
      <c r="AE228" s="772"/>
      <c r="AF228" s="772"/>
      <c r="AG228" s="772"/>
      <c r="AH228" s="772"/>
      <c r="AI228" s="772"/>
    </row>
    <row r="229" ht="15.75" customHeight="1">
      <c r="A229" s="815"/>
      <c r="B229" s="782"/>
      <c r="C229" s="782"/>
      <c r="D229" s="782"/>
      <c r="E229" s="816"/>
      <c r="F229" s="816"/>
      <c r="G229" s="816"/>
      <c r="H229" s="817"/>
      <c r="I229" s="817"/>
      <c r="J229" s="817"/>
      <c r="K229" s="818"/>
      <c r="L229" s="772"/>
      <c r="M229" s="772"/>
      <c r="N229" s="772"/>
      <c r="O229" s="772"/>
      <c r="P229" s="772"/>
      <c r="Q229" s="772"/>
      <c r="R229" s="772"/>
      <c r="S229" s="772"/>
      <c r="T229" s="772"/>
      <c r="U229" s="772"/>
      <c r="V229" s="772"/>
      <c r="W229" s="772"/>
      <c r="X229" s="772"/>
      <c r="Y229" s="772"/>
      <c r="Z229" s="772"/>
      <c r="AA229" s="772"/>
      <c r="AB229" s="772"/>
      <c r="AC229" s="772"/>
      <c r="AD229" s="772"/>
      <c r="AE229" s="772"/>
      <c r="AF229" s="772"/>
      <c r="AG229" s="772"/>
      <c r="AH229" s="772"/>
      <c r="AI229" s="772"/>
    </row>
    <row r="230" ht="15.75" customHeight="1">
      <c r="A230" s="815"/>
      <c r="B230" s="782"/>
      <c r="C230" s="782"/>
      <c r="D230" s="782"/>
      <c r="E230" s="816"/>
      <c r="F230" s="816"/>
      <c r="G230" s="816"/>
      <c r="H230" s="817"/>
      <c r="I230" s="817"/>
      <c r="J230" s="817"/>
      <c r="K230" s="818"/>
      <c r="L230" s="772"/>
      <c r="M230" s="772"/>
      <c r="N230" s="772"/>
      <c r="O230" s="772"/>
      <c r="P230" s="772"/>
      <c r="Q230" s="772"/>
      <c r="R230" s="772"/>
      <c r="S230" s="772"/>
      <c r="T230" s="772"/>
      <c r="U230" s="772"/>
      <c r="V230" s="772"/>
      <c r="W230" s="772"/>
      <c r="X230" s="772"/>
      <c r="Y230" s="772"/>
      <c r="Z230" s="772"/>
      <c r="AA230" s="772"/>
      <c r="AB230" s="772"/>
      <c r="AC230" s="772"/>
      <c r="AD230" s="772"/>
      <c r="AE230" s="772"/>
      <c r="AF230" s="772"/>
      <c r="AG230" s="772"/>
      <c r="AH230" s="772"/>
      <c r="AI230" s="772"/>
    </row>
    <row r="231" ht="15.75" customHeight="1">
      <c r="A231" s="815"/>
      <c r="B231" s="782"/>
      <c r="C231" s="782"/>
      <c r="D231" s="782"/>
      <c r="E231" s="816"/>
      <c r="F231" s="816"/>
      <c r="G231" s="816"/>
      <c r="H231" s="817"/>
      <c r="I231" s="817"/>
      <c r="J231" s="817"/>
      <c r="K231" s="818"/>
      <c r="L231" s="772"/>
      <c r="M231" s="772"/>
      <c r="N231" s="772"/>
      <c r="O231" s="772"/>
      <c r="P231" s="772"/>
      <c r="Q231" s="772"/>
      <c r="R231" s="772"/>
      <c r="S231" s="772"/>
      <c r="T231" s="772"/>
      <c r="U231" s="772"/>
      <c r="V231" s="772"/>
      <c r="W231" s="772"/>
      <c r="X231" s="772"/>
      <c r="Y231" s="772"/>
      <c r="Z231" s="772"/>
      <c r="AA231" s="772"/>
      <c r="AB231" s="772"/>
      <c r="AC231" s="772"/>
      <c r="AD231" s="772"/>
      <c r="AE231" s="772"/>
      <c r="AF231" s="772"/>
      <c r="AG231" s="772"/>
      <c r="AH231" s="772"/>
      <c r="AI231" s="772"/>
    </row>
    <row r="232" ht="15.75" customHeight="1">
      <c r="A232" s="815"/>
      <c r="B232" s="782"/>
      <c r="C232" s="782"/>
      <c r="D232" s="782"/>
      <c r="E232" s="816"/>
      <c r="F232" s="816"/>
      <c r="G232" s="816"/>
      <c r="H232" s="817"/>
      <c r="I232" s="817"/>
      <c r="J232" s="817"/>
      <c r="K232" s="818"/>
      <c r="L232" s="772"/>
      <c r="M232" s="772"/>
      <c r="N232" s="772"/>
      <c r="O232" s="772"/>
      <c r="P232" s="772"/>
      <c r="Q232" s="772"/>
      <c r="R232" s="772"/>
      <c r="S232" s="772"/>
      <c r="T232" s="772"/>
      <c r="U232" s="772"/>
      <c r="V232" s="772"/>
      <c r="W232" s="772"/>
      <c r="X232" s="772"/>
      <c r="Y232" s="772"/>
      <c r="Z232" s="772"/>
      <c r="AA232" s="772"/>
      <c r="AB232" s="772"/>
      <c r="AC232" s="772"/>
      <c r="AD232" s="772"/>
      <c r="AE232" s="772"/>
      <c r="AF232" s="772"/>
      <c r="AG232" s="772"/>
      <c r="AH232" s="772"/>
      <c r="AI232" s="772"/>
    </row>
    <row r="233" ht="15.75" customHeight="1">
      <c r="A233" s="815"/>
      <c r="B233" s="782"/>
      <c r="C233" s="782"/>
      <c r="D233" s="782"/>
      <c r="E233" s="816"/>
      <c r="F233" s="816"/>
      <c r="G233" s="816"/>
      <c r="H233" s="817"/>
      <c r="I233" s="817"/>
      <c r="J233" s="817"/>
      <c r="K233" s="818"/>
      <c r="L233" s="772"/>
      <c r="M233" s="772"/>
      <c r="N233" s="772"/>
      <c r="O233" s="772"/>
      <c r="P233" s="772"/>
      <c r="Q233" s="772"/>
      <c r="R233" s="772"/>
      <c r="S233" s="772"/>
      <c r="T233" s="772"/>
      <c r="U233" s="772"/>
      <c r="V233" s="772"/>
      <c r="W233" s="772"/>
      <c r="X233" s="772"/>
      <c r="Y233" s="772"/>
      <c r="Z233" s="772"/>
      <c r="AA233" s="772"/>
      <c r="AB233" s="772"/>
      <c r="AC233" s="772"/>
      <c r="AD233" s="772"/>
      <c r="AE233" s="772"/>
      <c r="AF233" s="772"/>
      <c r="AG233" s="772"/>
      <c r="AH233" s="772"/>
      <c r="AI233" s="772"/>
    </row>
    <row r="234" ht="15.75" customHeight="1">
      <c r="A234" s="815"/>
      <c r="B234" s="782"/>
      <c r="C234" s="782"/>
      <c r="D234" s="782"/>
      <c r="E234" s="816"/>
      <c r="F234" s="816"/>
      <c r="G234" s="816"/>
      <c r="H234" s="817"/>
      <c r="I234" s="817"/>
      <c r="J234" s="817"/>
      <c r="K234" s="818"/>
      <c r="L234" s="772"/>
      <c r="M234" s="772"/>
      <c r="N234" s="772"/>
      <c r="O234" s="772"/>
      <c r="P234" s="772"/>
      <c r="Q234" s="772"/>
      <c r="R234" s="772"/>
      <c r="S234" s="772"/>
      <c r="T234" s="772"/>
      <c r="U234" s="772"/>
      <c r="V234" s="772"/>
      <c r="W234" s="772"/>
      <c r="X234" s="772"/>
      <c r="Y234" s="772"/>
      <c r="Z234" s="772"/>
      <c r="AA234" s="772"/>
      <c r="AB234" s="772"/>
      <c r="AC234" s="772"/>
      <c r="AD234" s="772"/>
      <c r="AE234" s="772"/>
      <c r="AF234" s="772"/>
      <c r="AG234" s="772"/>
      <c r="AH234" s="772"/>
      <c r="AI234" s="772"/>
    </row>
    <row r="235" ht="15.75" customHeight="1">
      <c r="A235" s="815"/>
      <c r="B235" s="782"/>
      <c r="C235" s="782"/>
      <c r="D235" s="782"/>
      <c r="E235" s="816"/>
      <c r="F235" s="816"/>
      <c r="G235" s="816"/>
      <c r="H235" s="817"/>
      <c r="I235" s="817"/>
      <c r="J235" s="817"/>
      <c r="K235" s="818"/>
      <c r="L235" s="772"/>
      <c r="M235" s="772"/>
      <c r="N235" s="772"/>
      <c r="O235" s="772"/>
      <c r="P235" s="772"/>
      <c r="Q235" s="772"/>
      <c r="R235" s="772"/>
      <c r="S235" s="772"/>
      <c r="T235" s="772"/>
      <c r="U235" s="772"/>
      <c r="V235" s="772"/>
      <c r="W235" s="772"/>
      <c r="X235" s="772"/>
      <c r="Y235" s="772"/>
      <c r="Z235" s="772"/>
      <c r="AA235" s="772"/>
      <c r="AB235" s="772"/>
      <c r="AC235" s="772"/>
      <c r="AD235" s="772"/>
      <c r="AE235" s="772"/>
      <c r="AF235" s="772"/>
      <c r="AG235" s="772"/>
      <c r="AH235" s="772"/>
      <c r="AI235" s="772"/>
    </row>
    <row r="236" ht="15.75" customHeight="1">
      <c r="A236" s="815"/>
      <c r="B236" s="782"/>
      <c r="C236" s="782"/>
      <c r="D236" s="782"/>
      <c r="E236" s="816"/>
      <c r="F236" s="816"/>
      <c r="G236" s="816"/>
      <c r="H236" s="817"/>
      <c r="I236" s="817"/>
      <c r="J236" s="817"/>
      <c r="K236" s="818"/>
      <c r="L236" s="772"/>
      <c r="M236" s="772"/>
      <c r="N236" s="772"/>
      <c r="O236" s="772"/>
      <c r="P236" s="772"/>
      <c r="Q236" s="772"/>
      <c r="R236" s="772"/>
      <c r="S236" s="772"/>
      <c r="T236" s="772"/>
      <c r="U236" s="772"/>
      <c r="V236" s="772"/>
      <c r="W236" s="772"/>
      <c r="X236" s="772"/>
      <c r="Y236" s="772"/>
      <c r="Z236" s="772"/>
      <c r="AA236" s="772"/>
      <c r="AB236" s="772"/>
      <c r="AC236" s="772"/>
      <c r="AD236" s="772"/>
      <c r="AE236" s="772"/>
      <c r="AF236" s="772"/>
      <c r="AG236" s="772"/>
      <c r="AH236" s="772"/>
      <c r="AI236" s="772"/>
    </row>
    <row r="237" ht="15.75" customHeight="1">
      <c r="A237" s="815"/>
      <c r="B237" s="782"/>
      <c r="C237" s="782"/>
      <c r="D237" s="782"/>
      <c r="E237" s="816"/>
      <c r="F237" s="816"/>
      <c r="G237" s="816"/>
      <c r="H237" s="817"/>
      <c r="I237" s="817"/>
      <c r="J237" s="817"/>
      <c r="K237" s="818"/>
      <c r="L237" s="772"/>
      <c r="M237" s="772"/>
      <c r="N237" s="772"/>
      <c r="O237" s="772"/>
      <c r="P237" s="772"/>
      <c r="Q237" s="772"/>
      <c r="R237" s="772"/>
      <c r="S237" s="772"/>
      <c r="T237" s="772"/>
      <c r="U237" s="772"/>
      <c r="V237" s="772"/>
      <c r="W237" s="772"/>
      <c r="X237" s="772"/>
      <c r="Y237" s="772"/>
      <c r="Z237" s="772"/>
      <c r="AA237" s="772"/>
      <c r="AB237" s="772"/>
      <c r="AC237" s="772"/>
      <c r="AD237" s="772"/>
      <c r="AE237" s="772"/>
      <c r="AF237" s="772"/>
      <c r="AG237" s="772"/>
      <c r="AH237" s="772"/>
      <c r="AI237" s="772"/>
    </row>
    <row r="238" ht="15.75" customHeight="1">
      <c r="A238" s="815"/>
      <c r="B238" s="782"/>
      <c r="C238" s="782"/>
      <c r="D238" s="782"/>
      <c r="E238" s="816"/>
      <c r="F238" s="816"/>
      <c r="G238" s="816"/>
      <c r="H238" s="817"/>
      <c r="I238" s="817"/>
      <c r="J238" s="817"/>
      <c r="K238" s="818"/>
      <c r="L238" s="772"/>
      <c r="M238" s="772"/>
      <c r="N238" s="772"/>
      <c r="O238" s="772"/>
      <c r="P238" s="772"/>
      <c r="Q238" s="772"/>
      <c r="R238" s="772"/>
      <c r="S238" s="772"/>
      <c r="T238" s="772"/>
      <c r="U238" s="772"/>
      <c r="V238" s="772"/>
      <c r="W238" s="772"/>
      <c r="X238" s="772"/>
      <c r="Y238" s="772"/>
      <c r="Z238" s="772"/>
      <c r="AA238" s="772"/>
      <c r="AB238" s="772"/>
      <c r="AC238" s="772"/>
      <c r="AD238" s="772"/>
      <c r="AE238" s="772"/>
      <c r="AF238" s="772"/>
      <c r="AG238" s="772"/>
      <c r="AH238" s="772"/>
      <c r="AI238" s="772"/>
    </row>
    <row r="239" ht="15.75" customHeight="1">
      <c r="A239" s="815"/>
      <c r="B239" s="782"/>
      <c r="C239" s="782"/>
      <c r="D239" s="782"/>
      <c r="E239" s="816"/>
      <c r="F239" s="816"/>
      <c r="G239" s="816"/>
      <c r="H239" s="817"/>
      <c r="I239" s="817"/>
      <c r="J239" s="817"/>
      <c r="K239" s="818"/>
      <c r="L239" s="772"/>
      <c r="M239" s="772"/>
      <c r="N239" s="772"/>
      <c r="O239" s="772"/>
      <c r="P239" s="772"/>
      <c r="Q239" s="772"/>
      <c r="R239" s="772"/>
      <c r="S239" s="772"/>
      <c r="T239" s="772"/>
      <c r="U239" s="772"/>
      <c r="V239" s="772"/>
      <c r="W239" s="772"/>
      <c r="X239" s="772"/>
      <c r="Y239" s="772"/>
      <c r="Z239" s="772"/>
      <c r="AA239" s="772"/>
      <c r="AB239" s="772"/>
      <c r="AC239" s="772"/>
      <c r="AD239" s="772"/>
      <c r="AE239" s="772"/>
      <c r="AF239" s="772"/>
      <c r="AG239" s="772"/>
      <c r="AH239" s="772"/>
      <c r="AI239" s="772"/>
    </row>
    <row r="240" ht="15.75" customHeight="1">
      <c r="A240" s="815"/>
      <c r="B240" s="782"/>
      <c r="C240" s="782"/>
      <c r="D240" s="782"/>
      <c r="E240" s="816"/>
      <c r="F240" s="816"/>
      <c r="G240" s="816"/>
      <c r="H240" s="817"/>
      <c r="I240" s="817"/>
      <c r="J240" s="817"/>
      <c r="K240" s="818"/>
      <c r="L240" s="772"/>
      <c r="M240" s="772"/>
      <c r="N240" s="772"/>
      <c r="O240" s="772"/>
      <c r="P240" s="772"/>
      <c r="Q240" s="772"/>
      <c r="R240" s="772"/>
      <c r="S240" s="772"/>
      <c r="T240" s="772"/>
      <c r="U240" s="772"/>
      <c r="V240" s="772"/>
      <c r="W240" s="772"/>
      <c r="X240" s="772"/>
      <c r="Y240" s="772"/>
      <c r="Z240" s="772"/>
      <c r="AA240" s="772"/>
      <c r="AB240" s="772"/>
      <c r="AC240" s="772"/>
      <c r="AD240" s="772"/>
      <c r="AE240" s="772"/>
      <c r="AF240" s="772"/>
      <c r="AG240" s="772"/>
      <c r="AH240" s="772"/>
      <c r="AI240" s="772"/>
    </row>
    <row r="241" ht="15.75" customHeight="1">
      <c r="A241" s="815"/>
      <c r="B241" s="782"/>
      <c r="C241" s="782"/>
      <c r="D241" s="782"/>
      <c r="E241" s="816"/>
      <c r="F241" s="816"/>
      <c r="G241" s="816"/>
      <c r="H241" s="817"/>
      <c r="I241" s="817"/>
      <c r="J241" s="817"/>
      <c r="K241" s="818"/>
      <c r="L241" s="772"/>
      <c r="M241" s="772"/>
      <c r="N241" s="772"/>
      <c r="O241" s="772"/>
      <c r="P241" s="772"/>
      <c r="Q241" s="772"/>
      <c r="R241" s="772"/>
      <c r="S241" s="772"/>
      <c r="T241" s="772"/>
      <c r="U241" s="772"/>
      <c r="V241" s="772"/>
      <c r="W241" s="772"/>
      <c r="X241" s="772"/>
      <c r="Y241" s="772"/>
      <c r="Z241" s="772"/>
      <c r="AA241" s="772"/>
      <c r="AB241" s="772"/>
      <c r="AC241" s="772"/>
      <c r="AD241" s="772"/>
      <c r="AE241" s="772"/>
      <c r="AF241" s="772"/>
      <c r="AG241" s="772"/>
      <c r="AH241" s="772"/>
      <c r="AI241" s="772"/>
    </row>
    <row r="242" ht="15.75" customHeight="1">
      <c r="A242" s="815"/>
      <c r="B242" s="782"/>
      <c r="C242" s="782"/>
      <c r="D242" s="782"/>
      <c r="E242" s="816"/>
      <c r="F242" s="816"/>
      <c r="G242" s="816"/>
      <c r="H242" s="817"/>
      <c r="I242" s="817"/>
      <c r="J242" s="817"/>
      <c r="K242" s="818"/>
      <c r="L242" s="772"/>
      <c r="M242" s="772"/>
      <c r="N242" s="772"/>
      <c r="O242" s="772"/>
      <c r="P242" s="772"/>
      <c r="Q242" s="772"/>
      <c r="R242" s="772"/>
      <c r="S242" s="772"/>
      <c r="T242" s="772"/>
      <c r="U242" s="772"/>
      <c r="V242" s="772"/>
      <c r="W242" s="772"/>
      <c r="X242" s="772"/>
      <c r="Y242" s="772"/>
      <c r="Z242" s="772"/>
      <c r="AA242" s="772"/>
      <c r="AB242" s="772"/>
      <c r="AC242" s="772"/>
      <c r="AD242" s="772"/>
      <c r="AE242" s="772"/>
      <c r="AF242" s="772"/>
      <c r="AG242" s="772"/>
      <c r="AH242" s="772"/>
      <c r="AI242" s="772"/>
    </row>
    <row r="243" ht="15.75" customHeight="1">
      <c r="A243" s="815"/>
      <c r="B243" s="782"/>
      <c r="C243" s="782"/>
      <c r="D243" s="782"/>
      <c r="E243" s="816"/>
      <c r="F243" s="816"/>
      <c r="G243" s="816"/>
      <c r="H243" s="817"/>
      <c r="I243" s="817"/>
      <c r="J243" s="817"/>
      <c r="K243" s="818"/>
      <c r="L243" s="772"/>
      <c r="M243" s="772"/>
      <c r="N243" s="772"/>
      <c r="O243" s="772"/>
      <c r="P243" s="772"/>
      <c r="Q243" s="772"/>
      <c r="R243" s="772"/>
      <c r="S243" s="772"/>
      <c r="T243" s="772"/>
      <c r="U243" s="772"/>
      <c r="V243" s="772"/>
      <c r="W243" s="772"/>
      <c r="X243" s="772"/>
      <c r="Y243" s="772"/>
      <c r="Z243" s="772"/>
      <c r="AA243" s="772"/>
      <c r="AB243" s="772"/>
      <c r="AC243" s="772"/>
      <c r="AD243" s="772"/>
      <c r="AE243" s="772"/>
      <c r="AF243" s="772"/>
      <c r="AG243" s="772"/>
      <c r="AH243" s="772"/>
      <c r="AI243" s="772"/>
    </row>
    <row r="244" ht="15.75" customHeight="1">
      <c r="A244" s="815"/>
      <c r="B244" s="782"/>
      <c r="C244" s="782"/>
      <c r="D244" s="782"/>
      <c r="E244" s="816"/>
      <c r="F244" s="816"/>
      <c r="G244" s="816"/>
      <c r="H244" s="817"/>
      <c r="I244" s="817"/>
      <c r="J244" s="817"/>
      <c r="K244" s="818"/>
      <c r="L244" s="772"/>
      <c r="M244" s="772"/>
      <c r="N244" s="772"/>
      <c r="O244" s="772"/>
      <c r="P244" s="772"/>
      <c r="Q244" s="772"/>
      <c r="R244" s="772"/>
      <c r="S244" s="772"/>
      <c r="T244" s="772"/>
      <c r="U244" s="772"/>
      <c r="V244" s="772"/>
      <c r="W244" s="772"/>
      <c r="X244" s="772"/>
      <c r="Y244" s="772"/>
      <c r="Z244" s="772"/>
      <c r="AA244" s="772"/>
      <c r="AB244" s="772"/>
      <c r="AC244" s="772"/>
      <c r="AD244" s="772"/>
      <c r="AE244" s="772"/>
      <c r="AF244" s="772"/>
      <c r="AG244" s="772"/>
      <c r="AH244" s="772"/>
      <c r="AI244" s="772"/>
    </row>
    <row r="245" ht="15.75" customHeight="1">
      <c r="A245" s="815"/>
      <c r="B245" s="782"/>
      <c r="C245" s="782"/>
      <c r="D245" s="782"/>
      <c r="E245" s="816"/>
      <c r="F245" s="816"/>
      <c r="G245" s="816"/>
      <c r="H245" s="817"/>
      <c r="I245" s="817"/>
      <c r="J245" s="817"/>
      <c r="K245" s="818"/>
      <c r="L245" s="772"/>
      <c r="M245" s="772"/>
      <c r="N245" s="772"/>
      <c r="O245" s="772"/>
      <c r="P245" s="772"/>
      <c r="Q245" s="772"/>
      <c r="R245" s="772"/>
      <c r="S245" s="772"/>
      <c r="T245" s="772"/>
      <c r="U245" s="772"/>
      <c r="V245" s="772"/>
      <c r="W245" s="772"/>
      <c r="X245" s="772"/>
      <c r="Y245" s="772"/>
      <c r="Z245" s="772"/>
      <c r="AA245" s="772"/>
      <c r="AB245" s="772"/>
      <c r="AC245" s="772"/>
      <c r="AD245" s="772"/>
      <c r="AE245" s="772"/>
      <c r="AF245" s="772"/>
      <c r="AG245" s="772"/>
      <c r="AH245" s="772"/>
      <c r="AI245" s="772"/>
    </row>
    <row r="246" ht="15.75" customHeight="1">
      <c r="A246" s="815"/>
      <c r="B246" s="782"/>
      <c r="C246" s="782"/>
      <c r="D246" s="782"/>
      <c r="E246" s="816"/>
      <c r="F246" s="816"/>
      <c r="G246" s="816"/>
      <c r="H246" s="817"/>
      <c r="I246" s="817"/>
      <c r="J246" s="817"/>
      <c r="K246" s="818"/>
      <c r="L246" s="772"/>
      <c r="M246" s="772"/>
      <c r="N246" s="772"/>
      <c r="O246" s="772"/>
      <c r="P246" s="772"/>
      <c r="Q246" s="772"/>
      <c r="R246" s="772"/>
      <c r="S246" s="772"/>
      <c r="T246" s="772"/>
      <c r="U246" s="772"/>
      <c r="V246" s="772"/>
      <c r="W246" s="772"/>
      <c r="X246" s="772"/>
      <c r="Y246" s="772"/>
      <c r="Z246" s="772"/>
      <c r="AA246" s="772"/>
      <c r="AB246" s="772"/>
      <c r="AC246" s="772"/>
      <c r="AD246" s="772"/>
      <c r="AE246" s="772"/>
      <c r="AF246" s="772"/>
      <c r="AG246" s="772"/>
      <c r="AH246" s="772"/>
      <c r="AI246" s="772"/>
    </row>
    <row r="247" ht="15.75" customHeight="1">
      <c r="A247" s="815"/>
      <c r="B247" s="782"/>
      <c r="C247" s="782"/>
      <c r="D247" s="782"/>
      <c r="E247" s="816"/>
      <c r="F247" s="816"/>
      <c r="G247" s="816"/>
      <c r="H247" s="817"/>
      <c r="I247" s="817"/>
      <c r="J247" s="817"/>
      <c r="K247" s="818"/>
      <c r="L247" s="772"/>
      <c r="M247" s="772"/>
      <c r="N247" s="772"/>
      <c r="O247" s="772"/>
      <c r="P247" s="772"/>
      <c r="Q247" s="772"/>
      <c r="R247" s="772"/>
      <c r="S247" s="772"/>
      <c r="T247" s="772"/>
      <c r="U247" s="772"/>
      <c r="V247" s="772"/>
      <c r="W247" s="772"/>
      <c r="X247" s="772"/>
      <c r="Y247" s="772"/>
      <c r="Z247" s="772"/>
      <c r="AA247" s="772"/>
      <c r="AB247" s="772"/>
      <c r="AC247" s="772"/>
      <c r="AD247" s="772"/>
      <c r="AE247" s="772"/>
      <c r="AF247" s="772"/>
      <c r="AG247" s="772"/>
      <c r="AH247" s="772"/>
      <c r="AI247" s="772"/>
    </row>
    <row r="248" ht="15.75" customHeight="1">
      <c r="A248" s="815"/>
      <c r="B248" s="782"/>
      <c r="C248" s="782"/>
      <c r="D248" s="782"/>
      <c r="E248" s="816"/>
      <c r="F248" s="816"/>
      <c r="G248" s="816"/>
      <c r="H248" s="817"/>
      <c r="I248" s="817"/>
      <c r="J248" s="817"/>
      <c r="K248" s="818"/>
      <c r="L248" s="772"/>
      <c r="M248" s="772"/>
      <c r="N248" s="772"/>
      <c r="O248" s="772"/>
      <c r="P248" s="772"/>
      <c r="Q248" s="772"/>
      <c r="R248" s="772"/>
      <c r="S248" s="772"/>
      <c r="T248" s="772"/>
      <c r="U248" s="772"/>
      <c r="V248" s="772"/>
      <c r="W248" s="772"/>
      <c r="X248" s="772"/>
      <c r="Y248" s="772"/>
      <c r="Z248" s="772"/>
      <c r="AA248" s="772"/>
      <c r="AB248" s="772"/>
      <c r="AC248" s="772"/>
      <c r="AD248" s="772"/>
      <c r="AE248" s="772"/>
      <c r="AF248" s="772"/>
      <c r="AG248" s="772"/>
      <c r="AH248" s="772"/>
      <c r="AI248" s="772"/>
    </row>
    <row r="249" ht="15.75" customHeight="1">
      <c r="A249" s="815"/>
      <c r="B249" s="782"/>
      <c r="C249" s="782"/>
      <c r="D249" s="782"/>
      <c r="E249" s="816"/>
      <c r="F249" s="816"/>
      <c r="G249" s="816"/>
      <c r="H249" s="817"/>
      <c r="I249" s="817"/>
      <c r="J249" s="817"/>
      <c r="K249" s="818"/>
      <c r="L249" s="772"/>
      <c r="M249" s="772"/>
      <c r="N249" s="772"/>
      <c r="O249" s="772"/>
      <c r="P249" s="772"/>
      <c r="Q249" s="772"/>
      <c r="R249" s="772"/>
      <c r="S249" s="772"/>
      <c r="T249" s="772"/>
      <c r="U249" s="772"/>
      <c r="V249" s="772"/>
      <c r="W249" s="772"/>
      <c r="X249" s="772"/>
      <c r="Y249" s="772"/>
      <c r="Z249" s="772"/>
      <c r="AA249" s="772"/>
      <c r="AB249" s="772"/>
      <c r="AC249" s="772"/>
      <c r="AD249" s="772"/>
      <c r="AE249" s="772"/>
      <c r="AF249" s="772"/>
      <c r="AG249" s="772"/>
      <c r="AH249" s="772"/>
      <c r="AI249" s="772"/>
    </row>
    <row r="250" ht="15.75" customHeight="1">
      <c r="A250" s="815"/>
      <c r="B250" s="782"/>
      <c r="C250" s="782"/>
      <c r="D250" s="782"/>
      <c r="E250" s="816"/>
      <c r="F250" s="816"/>
      <c r="G250" s="816"/>
      <c r="H250" s="817"/>
      <c r="I250" s="817"/>
      <c r="J250" s="817"/>
      <c r="K250" s="818"/>
      <c r="L250" s="772"/>
      <c r="M250" s="772"/>
      <c r="N250" s="772"/>
      <c r="O250" s="772"/>
      <c r="P250" s="772"/>
      <c r="Q250" s="772"/>
      <c r="R250" s="772"/>
      <c r="S250" s="772"/>
      <c r="T250" s="772"/>
      <c r="U250" s="772"/>
      <c r="V250" s="772"/>
      <c r="W250" s="772"/>
      <c r="X250" s="772"/>
      <c r="Y250" s="772"/>
      <c r="Z250" s="772"/>
      <c r="AA250" s="772"/>
      <c r="AB250" s="772"/>
      <c r="AC250" s="772"/>
      <c r="AD250" s="772"/>
      <c r="AE250" s="772"/>
      <c r="AF250" s="772"/>
      <c r="AG250" s="772"/>
      <c r="AH250" s="772"/>
      <c r="AI250" s="772"/>
    </row>
    <row r="251" ht="15.75" customHeight="1">
      <c r="A251" s="815"/>
      <c r="B251" s="782"/>
      <c r="C251" s="782"/>
      <c r="D251" s="782"/>
      <c r="E251" s="816"/>
      <c r="F251" s="816"/>
      <c r="G251" s="816"/>
      <c r="H251" s="817"/>
      <c r="I251" s="817"/>
      <c r="J251" s="817"/>
      <c r="K251" s="818"/>
      <c r="L251" s="772"/>
      <c r="M251" s="772"/>
      <c r="N251" s="772"/>
      <c r="O251" s="772"/>
      <c r="P251" s="772"/>
      <c r="Q251" s="772"/>
      <c r="R251" s="772"/>
      <c r="S251" s="772"/>
      <c r="T251" s="772"/>
      <c r="U251" s="772"/>
      <c r="V251" s="772"/>
      <c r="W251" s="772"/>
      <c r="X251" s="772"/>
      <c r="Y251" s="772"/>
      <c r="Z251" s="772"/>
      <c r="AA251" s="772"/>
      <c r="AB251" s="772"/>
      <c r="AC251" s="772"/>
      <c r="AD251" s="772"/>
      <c r="AE251" s="772"/>
      <c r="AF251" s="772"/>
      <c r="AG251" s="772"/>
      <c r="AH251" s="772"/>
      <c r="AI251" s="772"/>
    </row>
    <row r="252" ht="15.75" customHeight="1">
      <c r="A252" s="815"/>
      <c r="B252" s="782"/>
      <c r="C252" s="782"/>
      <c r="D252" s="782"/>
      <c r="E252" s="816"/>
      <c r="F252" s="816"/>
      <c r="G252" s="816"/>
      <c r="H252" s="817"/>
      <c r="I252" s="817"/>
      <c r="J252" s="817"/>
      <c r="K252" s="818"/>
      <c r="L252" s="772"/>
      <c r="M252" s="772"/>
      <c r="N252" s="772"/>
      <c r="O252" s="772"/>
      <c r="P252" s="772"/>
      <c r="Q252" s="772"/>
      <c r="R252" s="772"/>
      <c r="S252" s="772"/>
      <c r="T252" s="772"/>
      <c r="U252" s="772"/>
      <c r="V252" s="772"/>
      <c r="W252" s="772"/>
      <c r="X252" s="772"/>
      <c r="Y252" s="772"/>
      <c r="Z252" s="772"/>
      <c r="AA252" s="772"/>
      <c r="AB252" s="772"/>
      <c r="AC252" s="772"/>
      <c r="AD252" s="772"/>
      <c r="AE252" s="772"/>
      <c r="AF252" s="772"/>
      <c r="AG252" s="772"/>
      <c r="AH252" s="772"/>
      <c r="AI252" s="772"/>
    </row>
    <row r="253" ht="15.75" customHeight="1">
      <c r="A253" s="815"/>
      <c r="B253" s="782"/>
      <c r="C253" s="782"/>
      <c r="D253" s="782"/>
      <c r="E253" s="816"/>
      <c r="F253" s="816"/>
      <c r="G253" s="816"/>
      <c r="H253" s="817"/>
      <c r="I253" s="817"/>
      <c r="J253" s="817"/>
      <c r="K253" s="818"/>
      <c r="L253" s="772"/>
      <c r="M253" s="772"/>
      <c r="N253" s="772"/>
      <c r="O253" s="772"/>
      <c r="P253" s="772"/>
      <c r="Q253" s="772"/>
      <c r="R253" s="772"/>
      <c r="S253" s="772"/>
      <c r="T253" s="772"/>
      <c r="U253" s="772"/>
      <c r="V253" s="772"/>
      <c r="W253" s="772"/>
      <c r="X253" s="772"/>
      <c r="Y253" s="772"/>
      <c r="Z253" s="772"/>
      <c r="AA253" s="772"/>
      <c r="AB253" s="772"/>
      <c r="AC253" s="772"/>
      <c r="AD253" s="772"/>
      <c r="AE253" s="772"/>
      <c r="AF253" s="772"/>
      <c r="AG253" s="772"/>
      <c r="AH253" s="772"/>
      <c r="AI253" s="772"/>
    </row>
    <row r="254" ht="15.75" customHeight="1">
      <c r="A254" s="815"/>
      <c r="B254" s="782"/>
      <c r="C254" s="782"/>
      <c r="D254" s="782"/>
      <c r="E254" s="816"/>
      <c r="F254" s="816"/>
      <c r="G254" s="816"/>
      <c r="H254" s="817"/>
      <c r="I254" s="817"/>
      <c r="J254" s="817"/>
      <c r="K254" s="818"/>
      <c r="L254" s="772"/>
      <c r="M254" s="772"/>
      <c r="N254" s="772"/>
      <c r="O254" s="772"/>
      <c r="P254" s="772"/>
      <c r="Q254" s="772"/>
      <c r="R254" s="772"/>
      <c r="S254" s="772"/>
      <c r="T254" s="772"/>
      <c r="U254" s="772"/>
      <c r="V254" s="772"/>
      <c r="W254" s="772"/>
      <c r="X254" s="772"/>
      <c r="Y254" s="772"/>
      <c r="Z254" s="772"/>
      <c r="AA254" s="772"/>
      <c r="AB254" s="772"/>
      <c r="AC254" s="772"/>
      <c r="AD254" s="772"/>
      <c r="AE254" s="772"/>
      <c r="AF254" s="772"/>
      <c r="AG254" s="772"/>
      <c r="AH254" s="772"/>
      <c r="AI254" s="772"/>
    </row>
    <row r="255" ht="15.75" customHeight="1">
      <c r="A255" s="815"/>
      <c r="B255" s="782"/>
      <c r="C255" s="782"/>
      <c r="D255" s="782"/>
      <c r="E255" s="816"/>
      <c r="F255" s="816"/>
      <c r="G255" s="816"/>
      <c r="H255" s="817"/>
      <c r="I255" s="817"/>
      <c r="J255" s="817"/>
      <c r="K255" s="818"/>
      <c r="L255" s="772"/>
      <c r="M255" s="772"/>
      <c r="N255" s="772"/>
      <c r="O255" s="772"/>
      <c r="P255" s="772"/>
      <c r="Q255" s="772"/>
      <c r="R255" s="772"/>
      <c r="S255" s="772"/>
      <c r="T255" s="772"/>
      <c r="U255" s="772"/>
      <c r="V255" s="772"/>
      <c r="W255" s="772"/>
      <c r="X255" s="772"/>
      <c r="Y255" s="772"/>
      <c r="Z255" s="772"/>
      <c r="AA255" s="772"/>
      <c r="AB255" s="772"/>
      <c r="AC255" s="772"/>
      <c r="AD255" s="772"/>
      <c r="AE255" s="772"/>
      <c r="AF255" s="772"/>
      <c r="AG255" s="772"/>
      <c r="AH255" s="772"/>
      <c r="AI255" s="772"/>
    </row>
    <row r="256" ht="15.75" customHeight="1">
      <c r="A256" s="815"/>
      <c r="B256" s="782"/>
      <c r="C256" s="782"/>
      <c r="D256" s="782"/>
      <c r="E256" s="816"/>
      <c r="F256" s="816"/>
      <c r="G256" s="816"/>
      <c r="H256" s="817"/>
      <c r="I256" s="817"/>
      <c r="J256" s="817"/>
      <c r="K256" s="818"/>
      <c r="L256" s="772"/>
      <c r="M256" s="772"/>
      <c r="N256" s="772"/>
      <c r="O256" s="772"/>
      <c r="P256" s="772"/>
      <c r="Q256" s="772"/>
      <c r="R256" s="772"/>
      <c r="S256" s="772"/>
      <c r="T256" s="772"/>
      <c r="U256" s="772"/>
      <c r="V256" s="772"/>
      <c r="W256" s="772"/>
      <c r="X256" s="772"/>
      <c r="Y256" s="772"/>
      <c r="Z256" s="772"/>
      <c r="AA256" s="772"/>
      <c r="AB256" s="772"/>
      <c r="AC256" s="772"/>
      <c r="AD256" s="772"/>
      <c r="AE256" s="772"/>
      <c r="AF256" s="772"/>
      <c r="AG256" s="772"/>
      <c r="AH256" s="772"/>
      <c r="AI256" s="772"/>
    </row>
    <row r="257" ht="15.75" customHeight="1">
      <c r="A257" s="815"/>
      <c r="B257" s="782"/>
      <c r="C257" s="782"/>
      <c r="D257" s="782"/>
      <c r="E257" s="816"/>
      <c r="F257" s="816"/>
      <c r="G257" s="816"/>
      <c r="H257" s="817"/>
      <c r="I257" s="817"/>
      <c r="J257" s="817"/>
      <c r="K257" s="818"/>
      <c r="L257" s="772"/>
      <c r="M257" s="772"/>
      <c r="N257" s="772"/>
      <c r="O257" s="772"/>
      <c r="P257" s="772"/>
      <c r="Q257" s="772"/>
      <c r="R257" s="772"/>
      <c r="S257" s="772"/>
      <c r="T257" s="772"/>
      <c r="U257" s="772"/>
      <c r="V257" s="772"/>
      <c r="W257" s="772"/>
      <c r="X257" s="772"/>
      <c r="Y257" s="772"/>
      <c r="Z257" s="772"/>
      <c r="AA257" s="772"/>
      <c r="AB257" s="772"/>
      <c r="AC257" s="772"/>
      <c r="AD257" s="772"/>
      <c r="AE257" s="772"/>
      <c r="AF257" s="772"/>
      <c r="AG257" s="772"/>
      <c r="AH257" s="772"/>
      <c r="AI257" s="772"/>
    </row>
    <row r="258" ht="15.75" customHeight="1">
      <c r="A258" s="815"/>
      <c r="B258" s="782"/>
      <c r="C258" s="782"/>
      <c r="D258" s="782"/>
      <c r="E258" s="816"/>
      <c r="F258" s="816"/>
      <c r="G258" s="816"/>
      <c r="H258" s="817"/>
      <c r="I258" s="817"/>
      <c r="J258" s="817"/>
      <c r="K258" s="818"/>
      <c r="L258" s="772"/>
      <c r="M258" s="772"/>
      <c r="N258" s="772"/>
      <c r="O258" s="772"/>
      <c r="P258" s="772"/>
      <c r="Q258" s="772"/>
      <c r="R258" s="772"/>
      <c r="S258" s="772"/>
      <c r="T258" s="772"/>
      <c r="U258" s="772"/>
      <c r="V258" s="772"/>
      <c r="W258" s="772"/>
      <c r="X258" s="772"/>
      <c r="Y258" s="772"/>
      <c r="Z258" s="772"/>
      <c r="AA258" s="772"/>
      <c r="AB258" s="772"/>
      <c r="AC258" s="772"/>
      <c r="AD258" s="772"/>
      <c r="AE258" s="772"/>
      <c r="AF258" s="772"/>
      <c r="AG258" s="772"/>
      <c r="AH258" s="772"/>
      <c r="AI258" s="772"/>
    </row>
    <row r="259" ht="15.75" customHeight="1">
      <c r="A259" s="815"/>
      <c r="B259" s="782"/>
      <c r="C259" s="782"/>
      <c r="D259" s="782"/>
      <c r="E259" s="816"/>
      <c r="F259" s="816"/>
      <c r="G259" s="816"/>
      <c r="H259" s="817"/>
      <c r="I259" s="817"/>
      <c r="J259" s="817"/>
      <c r="K259" s="818"/>
      <c r="L259" s="772"/>
      <c r="M259" s="772"/>
      <c r="N259" s="772"/>
      <c r="O259" s="772"/>
      <c r="P259" s="772"/>
      <c r="Q259" s="772"/>
      <c r="R259" s="772"/>
      <c r="S259" s="772"/>
      <c r="T259" s="772"/>
      <c r="U259" s="772"/>
      <c r="V259" s="772"/>
      <c r="W259" s="772"/>
      <c r="X259" s="772"/>
      <c r="Y259" s="772"/>
      <c r="Z259" s="772"/>
      <c r="AA259" s="772"/>
      <c r="AB259" s="772"/>
      <c r="AC259" s="772"/>
      <c r="AD259" s="772"/>
      <c r="AE259" s="772"/>
      <c r="AF259" s="772"/>
      <c r="AG259" s="772"/>
      <c r="AH259" s="772"/>
      <c r="AI259" s="772"/>
    </row>
    <row r="260" ht="15.75" customHeight="1">
      <c r="A260" s="815"/>
      <c r="B260" s="782"/>
      <c r="C260" s="782"/>
      <c r="D260" s="782"/>
      <c r="E260" s="816"/>
      <c r="F260" s="816"/>
      <c r="G260" s="816"/>
      <c r="H260" s="817"/>
      <c r="I260" s="817"/>
      <c r="J260" s="817"/>
      <c r="K260" s="818"/>
      <c r="L260" s="772"/>
      <c r="M260" s="772"/>
      <c r="N260" s="772"/>
      <c r="O260" s="772"/>
      <c r="P260" s="772"/>
      <c r="Q260" s="772"/>
      <c r="R260" s="772"/>
      <c r="S260" s="772"/>
      <c r="T260" s="772"/>
      <c r="U260" s="772"/>
      <c r="V260" s="772"/>
      <c r="W260" s="772"/>
      <c r="X260" s="772"/>
      <c r="Y260" s="772"/>
      <c r="Z260" s="772"/>
      <c r="AA260" s="772"/>
      <c r="AB260" s="772"/>
      <c r="AC260" s="772"/>
      <c r="AD260" s="772"/>
      <c r="AE260" s="772"/>
      <c r="AF260" s="772"/>
      <c r="AG260" s="772"/>
      <c r="AH260" s="772"/>
      <c r="AI260" s="772"/>
    </row>
    <row r="261" ht="15.75" customHeight="1">
      <c r="A261" s="815"/>
      <c r="B261" s="782"/>
      <c r="C261" s="782"/>
      <c r="D261" s="782"/>
      <c r="E261" s="816"/>
      <c r="F261" s="816"/>
      <c r="G261" s="816"/>
      <c r="H261" s="817"/>
      <c r="I261" s="817"/>
      <c r="J261" s="817"/>
      <c r="K261" s="818"/>
      <c r="L261" s="772"/>
      <c r="M261" s="772"/>
      <c r="N261" s="772"/>
      <c r="O261" s="772"/>
      <c r="P261" s="772"/>
      <c r="Q261" s="772"/>
      <c r="R261" s="772"/>
      <c r="S261" s="772"/>
      <c r="T261" s="772"/>
      <c r="U261" s="772"/>
      <c r="V261" s="772"/>
      <c r="W261" s="772"/>
      <c r="X261" s="772"/>
      <c r="Y261" s="772"/>
      <c r="Z261" s="772"/>
      <c r="AA261" s="772"/>
      <c r="AB261" s="772"/>
      <c r="AC261" s="772"/>
      <c r="AD261" s="772"/>
      <c r="AE261" s="772"/>
      <c r="AF261" s="772"/>
      <c r="AG261" s="772"/>
      <c r="AH261" s="772"/>
      <c r="AI261" s="772"/>
    </row>
    <row r="262" ht="15.75" customHeight="1">
      <c r="A262" s="815"/>
      <c r="B262" s="782"/>
      <c r="C262" s="782"/>
      <c r="D262" s="782"/>
      <c r="E262" s="816"/>
      <c r="F262" s="816"/>
      <c r="G262" s="816"/>
      <c r="H262" s="817"/>
      <c r="I262" s="817"/>
      <c r="J262" s="817"/>
      <c r="K262" s="818"/>
      <c r="L262" s="772"/>
      <c r="M262" s="772"/>
      <c r="N262" s="772"/>
      <c r="O262" s="772"/>
      <c r="P262" s="772"/>
      <c r="Q262" s="772"/>
      <c r="R262" s="772"/>
      <c r="S262" s="772"/>
      <c r="T262" s="772"/>
      <c r="U262" s="772"/>
      <c r="V262" s="772"/>
      <c r="W262" s="772"/>
      <c r="X262" s="772"/>
      <c r="Y262" s="772"/>
      <c r="Z262" s="772"/>
      <c r="AA262" s="772"/>
      <c r="AB262" s="772"/>
      <c r="AC262" s="772"/>
      <c r="AD262" s="772"/>
      <c r="AE262" s="772"/>
      <c r="AF262" s="772"/>
      <c r="AG262" s="772"/>
      <c r="AH262" s="772"/>
      <c r="AI262" s="772"/>
    </row>
    <row r="263" ht="15.75" customHeight="1">
      <c r="A263" s="815"/>
      <c r="B263" s="782"/>
      <c r="C263" s="782"/>
      <c r="D263" s="782"/>
      <c r="E263" s="816"/>
      <c r="F263" s="816"/>
      <c r="G263" s="816"/>
      <c r="H263" s="817"/>
      <c r="I263" s="817"/>
      <c r="J263" s="817"/>
      <c r="K263" s="818"/>
      <c r="L263" s="772"/>
      <c r="M263" s="772"/>
      <c r="N263" s="772"/>
      <c r="O263" s="772"/>
      <c r="P263" s="772"/>
      <c r="Q263" s="772"/>
      <c r="R263" s="772"/>
      <c r="S263" s="772"/>
      <c r="T263" s="772"/>
      <c r="U263" s="772"/>
      <c r="V263" s="772"/>
      <c r="W263" s="772"/>
      <c r="X263" s="772"/>
      <c r="Y263" s="772"/>
      <c r="Z263" s="772"/>
      <c r="AA263" s="772"/>
      <c r="AB263" s="772"/>
      <c r="AC263" s="772"/>
      <c r="AD263" s="772"/>
      <c r="AE263" s="772"/>
      <c r="AF263" s="772"/>
      <c r="AG263" s="772"/>
      <c r="AH263" s="772"/>
      <c r="AI263" s="772"/>
    </row>
    <row r="264" ht="15.75" customHeight="1">
      <c r="A264" s="815"/>
      <c r="B264" s="782"/>
      <c r="C264" s="782"/>
      <c r="D264" s="782"/>
      <c r="E264" s="816"/>
      <c r="F264" s="816"/>
      <c r="G264" s="816"/>
      <c r="H264" s="817"/>
      <c r="I264" s="817"/>
      <c r="J264" s="817"/>
      <c r="K264" s="818"/>
      <c r="L264" s="772"/>
      <c r="M264" s="772"/>
      <c r="N264" s="772"/>
      <c r="O264" s="772"/>
      <c r="P264" s="772"/>
      <c r="Q264" s="772"/>
      <c r="R264" s="772"/>
      <c r="S264" s="772"/>
      <c r="T264" s="772"/>
      <c r="U264" s="772"/>
      <c r="V264" s="772"/>
      <c r="W264" s="772"/>
      <c r="X264" s="772"/>
      <c r="Y264" s="772"/>
      <c r="Z264" s="772"/>
      <c r="AA264" s="772"/>
      <c r="AB264" s="772"/>
      <c r="AC264" s="772"/>
      <c r="AD264" s="772"/>
      <c r="AE264" s="772"/>
      <c r="AF264" s="772"/>
      <c r="AG264" s="772"/>
      <c r="AH264" s="772"/>
      <c r="AI264" s="772"/>
    </row>
    <row r="265" ht="15.75" customHeight="1">
      <c r="A265" s="815"/>
      <c r="B265" s="782"/>
      <c r="C265" s="782"/>
      <c r="D265" s="782"/>
      <c r="E265" s="816"/>
      <c r="F265" s="816"/>
      <c r="G265" s="816"/>
      <c r="H265" s="817"/>
      <c r="I265" s="817"/>
      <c r="J265" s="817"/>
      <c r="K265" s="818"/>
      <c r="L265" s="772"/>
      <c r="M265" s="772"/>
      <c r="N265" s="772"/>
      <c r="O265" s="772"/>
      <c r="P265" s="772"/>
      <c r="Q265" s="772"/>
      <c r="R265" s="772"/>
      <c r="S265" s="772"/>
      <c r="T265" s="772"/>
      <c r="U265" s="772"/>
      <c r="V265" s="772"/>
      <c r="W265" s="772"/>
      <c r="X265" s="772"/>
      <c r="Y265" s="772"/>
      <c r="Z265" s="772"/>
      <c r="AA265" s="772"/>
      <c r="AB265" s="772"/>
      <c r="AC265" s="772"/>
      <c r="AD265" s="772"/>
      <c r="AE265" s="772"/>
      <c r="AF265" s="772"/>
      <c r="AG265" s="772"/>
      <c r="AH265" s="772"/>
      <c r="AI265" s="772"/>
    </row>
    <row r="266" ht="15.75" customHeight="1">
      <c r="A266" s="815"/>
      <c r="B266" s="782"/>
      <c r="C266" s="782"/>
      <c r="D266" s="782"/>
      <c r="E266" s="816"/>
      <c r="F266" s="816"/>
      <c r="G266" s="816"/>
      <c r="H266" s="817"/>
      <c r="I266" s="817"/>
      <c r="J266" s="817"/>
      <c r="K266" s="818"/>
      <c r="L266" s="772"/>
      <c r="M266" s="772"/>
      <c r="N266" s="772"/>
      <c r="O266" s="772"/>
      <c r="P266" s="772"/>
      <c r="Q266" s="772"/>
      <c r="R266" s="772"/>
      <c r="S266" s="772"/>
      <c r="T266" s="772"/>
      <c r="U266" s="772"/>
      <c r="V266" s="772"/>
      <c r="W266" s="772"/>
      <c r="X266" s="772"/>
      <c r="Y266" s="772"/>
      <c r="Z266" s="772"/>
      <c r="AA266" s="772"/>
      <c r="AB266" s="772"/>
      <c r="AC266" s="772"/>
      <c r="AD266" s="772"/>
      <c r="AE266" s="772"/>
      <c r="AF266" s="772"/>
      <c r="AG266" s="772"/>
      <c r="AH266" s="772"/>
      <c r="AI266" s="772"/>
    </row>
    <row r="267" ht="15.75" customHeight="1">
      <c r="A267" s="815"/>
      <c r="B267" s="782"/>
      <c r="C267" s="782"/>
      <c r="D267" s="782"/>
      <c r="E267" s="816"/>
      <c r="F267" s="816"/>
      <c r="G267" s="816"/>
      <c r="H267" s="817"/>
      <c r="I267" s="817"/>
      <c r="J267" s="817"/>
      <c r="K267" s="818"/>
      <c r="L267" s="772"/>
      <c r="M267" s="772"/>
      <c r="N267" s="772"/>
      <c r="O267" s="772"/>
      <c r="P267" s="772"/>
      <c r="Q267" s="772"/>
      <c r="R267" s="772"/>
      <c r="S267" s="772"/>
      <c r="T267" s="772"/>
      <c r="U267" s="772"/>
      <c r="V267" s="772"/>
      <c r="W267" s="772"/>
      <c r="X267" s="772"/>
      <c r="Y267" s="772"/>
      <c r="Z267" s="772"/>
      <c r="AA267" s="772"/>
      <c r="AB267" s="772"/>
      <c r="AC267" s="772"/>
      <c r="AD267" s="772"/>
      <c r="AE267" s="772"/>
      <c r="AF267" s="772"/>
      <c r="AG267" s="772"/>
      <c r="AH267" s="772"/>
      <c r="AI267" s="772"/>
    </row>
    <row r="268" ht="15.75" customHeight="1">
      <c r="A268" s="815"/>
      <c r="B268" s="782"/>
      <c r="C268" s="782"/>
      <c r="D268" s="782"/>
      <c r="E268" s="816"/>
      <c r="F268" s="816"/>
      <c r="G268" s="816"/>
      <c r="H268" s="817"/>
      <c r="I268" s="817"/>
      <c r="J268" s="817"/>
      <c r="K268" s="818"/>
      <c r="L268" s="772"/>
      <c r="M268" s="772"/>
      <c r="N268" s="772"/>
      <c r="O268" s="772"/>
      <c r="P268" s="772"/>
      <c r="Q268" s="772"/>
      <c r="R268" s="772"/>
      <c r="S268" s="772"/>
      <c r="T268" s="772"/>
      <c r="U268" s="772"/>
      <c r="V268" s="772"/>
      <c r="W268" s="772"/>
      <c r="X268" s="772"/>
      <c r="Y268" s="772"/>
      <c r="Z268" s="772"/>
      <c r="AA268" s="772"/>
      <c r="AB268" s="772"/>
      <c r="AC268" s="772"/>
      <c r="AD268" s="772"/>
      <c r="AE268" s="772"/>
      <c r="AF268" s="772"/>
      <c r="AG268" s="772"/>
      <c r="AH268" s="772"/>
      <c r="AI268" s="772"/>
    </row>
    <row r="269" ht="15.75" customHeight="1">
      <c r="A269" s="815"/>
      <c r="B269" s="782"/>
      <c r="C269" s="782"/>
      <c r="D269" s="782"/>
      <c r="E269" s="816"/>
      <c r="F269" s="816"/>
      <c r="G269" s="816"/>
      <c r="H269" s="817"/>
      <c r="I269" s="817"/>
      <c r="J269" s="817"/>
      <c r="K269" s="818"/>
      <c r="L269" s="772"/>
      <c r="M269" s="772"/>
      <c r="N269" s="772"/>
      <c r="O269" s="772"/>
      <c r="P269" s="772"/>
      <c r="Q269" s="772"/>
      <c r="R269" s="772"/>
      <c r="S269" s="772"/>
      <c r="T269" s="772"/>
      <c r="U269" s="772"/>
      <c r="V269" s="772"/>
      <c r="W269" s="772"/>
      <c r="X269" s="772"/>
      <c r="Y269" s="772"/>
      <c r="Z269" s="772"/>
      <c r="AA269" s="772"/>
      <c r="AB269" s="772"/>
      <c r="AC269" s="772"/>
      <c r="AD269" s="772"/>
      <c r="AE269" s="772"/>
      <c r="AF269" s="772"/>
      <c r="AG269" s="772"/>
      <c r="AH269" s="772"/>
      <c r="AI269" s="772"/>
    </row>
    <row r="270" ht="15.75" customHeight="1">
      <c r="A270" s="815"/>
      <c r="B270" s="782"/>
      <c r="C270" s="782"/>
      <c r="D270" s="782"/>
      <c r="E270" s="816"/>
      <c r="F270" s="816"/>
      <c r="G270" s="816"/>
      <c r="H270" s="817"/>
      <c r="I270" s="817"/>
      <c r="J270" s="817"/>
      <c r="K270" s="818"/>
      <c r="L270" s="772"/>
      <c r="M270" s="772"/>
      <c r="N270" s="772"/>
      <c r="O270" s="772"/>
      <c r="P270" s="772"/>
      <c r="Q270" s="772"/>
      <c r="R270" s="772"/>
      <c r="S270" s="772"/>
      <c r="T270" s="772"/>
      <c r="U270" s="772"/>
      <c r="V270" s="772"/>
      <c r="W270" s="772"/>
      <c r="X270" s="772"/>
      <c r="Y270" s="772"/>
      <c r="Z270" s="772"/>
      <c r="AA270" s="772"/>
      <c r="AB270" s="772"/>
      <c r="AC270" s="772"/>
      <c r="AD270" s="772"/>
      <c r="AE270" s="772"/>
      <c r="AF270" s="772"/>
      <c r="AG270" s="772"/>
      <c r="AH270" s="772"/>
      <c r="AI270" s="772"/>
    </row>
    <row r="271" ht="15.75" customHeight="1">
      <c r="A271" s="815"/>
      <c r="B271" s="782"/>
      <c r="C271" s="782"/>
      <c r="D271" s="782"/>
      <c r="E271" s="816"/>
      <c r="F271" s="816"/>
      <c r="G271" s="816"/>
      <c r="H271" s="817"/>
      <c r="I271" s="817"/>
      <c r="J271" s="817"/>
      <c r="K271" s="818"/>
      <c r="L271" s="772"/>
      <c r="M271" s="772"/>
      <c r="N271" s="772"/>
      <c r="O271" s="772"/>
      <c r="P271" s="772"/>
      <c r="Q271" s="772"/>
      <c r="R271" s="772"/>
      <c r="S271" s="772"/>
      <c r="T271" s="772"/>
      <c r="U271" s="772"/>
      <c r="V271" s="772"/>
      <c r="W271" s="772"/>
      <c r="X271" s="772"/>
      <c r="Y271" s="772"/>
      <c r="Z271" s="772"/>
      <c r="AA271" s="772"/>
      <c r="AB271" s="772"/>
      <c r="AC271" s="772"/>
      <c r="AD271" s="772"/>
      <c r="AE271" s="772"/>
      <c r="AF271" s="772"/>
      <c r="AG271" s="772"/>
      <c r="AH271" s="772"/>
      <c r="AI271" s="772"/>
    </row>
    <row r="272" ht="15.75" customHeight="1">
      <c r="A272" s="815"/>
      <c r="B272" s="782"/>
      <c r="C272" s="782"/>
      <c r="D272" s="782"/>
      <c r="E272" s="816"/>
      <c r="F272" s="816"/>
      <c r="G272" s="816"/>
      <c r="H272" s="817"/>
      <c r="I272" s="817"/>
      <c r="J272" s="817"/>
      <c r="K272" s="818"/>
      <c r="L272" s="772"/>
      <c r="M272" s="772"/>
      <c r="N272" s="772"/>
      <c r="O272" s="772"/>
      <c r="P272" s="772"/>
      <c r="Q272" s="772"/>
      <c r="R272" s="772"/>
      <c r="S272" s="772"/>
      <c r="T272" s="772"/>
      <c r="U272" s="772"/>
      <c r="V272" s="772"/>
      <c r="W272" s="772"/>
      <c r="X272" s="772"/>
      <c r="Y272" s="772"/>
      <c r="Z272" s="772"/>
      <c r="AA272" s="772"/>
      <c r="AB272" s="772"/>
      <c r="AC272" s="772"/>
      <c r="AD272" s="772"/>
      <c r="AE272" s="772"/>
      <c r="AF272" s="772"/>
      <c r="AG272" s="772"/>
      <c r="AH272" s="772"/>
      <c r="AI272" s="772"/>
    </row>
    <row r="273" ht="15.75" customHeight="1">
      <c r="A273" s="815"/>
      <c r="B273" s="782"/>
      <c r="C273" s="782"/>
      <c r="D273" s="782"/>
      <c r="E273" s="816"/>
      <c r="F273" s="816"/>
      <c r="G273" s="816"/>
      <c r="H273" s="817"/>
      <c r="I273" s="817"/>
      <c r="J273" s="817"/>
      <c r="K273" s="818"/>
      <c r="L273" s="772"/>
      <c r="M273" s="772"/>
      <c r="N273" s="772"/>
      <c r="O273" s="772"/>
      <c r="P273" s="772"/>
      <c r="Q273" s="772"/>
      <c r="R273" s="772"/>
      <c r="S273" s="772"/>
      <c r="T273" s="772"/>
      <c r="U273" s="772"/>
      <c r="V273" s="772"/>
      <c r="W273" s="772"/>
      <c r="X273" s="772"/>
      <c r="Y273" s="772"/>
      <c r="Z273" s="772"/>
      <c r="AA273" s="772"/>
      <c r="AB273" s="772"/>
      <c r="AC273" s="772"/>
      <c r="AD273" s="772"/>
      <c r="AE273" s="772"/>
      <c r="AF273" s="772"/>
      <c r="AG273" s="772"/>
      <c r="AH273" s="772"/>
      <c r="AI273" s="772"/>
    </row>
    <row r="274" ht="15.75" customHeight="1">
      <c r="A274" s="815"/>
      <c r="B274" s="782"/>
      <c r="C274" s="782"/>
      <c r="D274" s="782"/>
      <c r="E274" s="816"/>
      <c r="F274" s="816"/>
      <c r="G274" s="816"/>
      <c r="H274" s="817"/>
      <c r="I274" s="817"/>
      <c r="J274" s="817"/>
      <c r="K274" s="818"/>
      <c r="L274" s="772"/>
      <c r="M274" s="772"/>
      <c r="N274" s="772"/>
      <c r="O274" s="772"/>
      <c r="P274" s="772"/>
      <c r="Q274" s="772"/>
      <c r="R274" s="772"/>
      <c r="S274" s="772"/>
      <c r="T274" s="772"/>
      <c r="U274" s="772"/>
      <c r="V274" s="772"/>
      <c r="W274" s="772"/>
      <c r="X274" s="772"/>
      <c r="Y274" s="772"/>
      <c r="Z274" s="772"/>
      <c r="AA274" s="772"/>
      <c r="AB274" s="772"/>
      <c r="AC274" s="772"/>
      <c r="AD274" s="772"/>
      <c r="AE274" s="772"/>
      <c r="AF274" s="772"/>
      <c r="AG274" s="772"/>
      <c r="AH274" s="772"/>
      <c r="AI274" s="772"/>
    </row>
    <row r="275" ht="15.75" customHeight="1">
      <c r="A275" s="815"/>
      <c r="B275" s="782"/>
      <c r="C275" s="782"/>
      <c r="D275" s="782"/>
      <c r="E275" s="816"/>
      <c r="F275" s="816"/>
      <c r="G275" s="816"/>
      <c r="H275" s="817"/>
      <c r="I275" s="817"/>
      <c r="J275" s="817"/>
      <c r="K275" s="818"/>
      <c r="L275" s="772"/>
      <c r="M275" s="772"/>
      <c r="N275" s="772"/>
      <c r="O275" s="772"/>
      <c r="P275" s="772"/>
      <c r="Q275" s="772"/>
      <c r="R275" s="772"/>
      <c r="S275" s="772"/>
      <c r="T275" s="772"/>
      <c r="U275" s="772"/>
      <c r="V275" s="772"/>
      <c r="W275" s="772"/>
      <c r="X275" s="772"/>
      <c r="Y275" s="772"/>
      <c r="Z275" s="772"/>
      <c r="AA275" s="772"/>
      <c r="AB275" s="772"/>
      <c r="AC275" s="772"/>
      <c r="AD275" s="772"/>
      <c r="AE275" s="772"/>
      <c r="AF275" s="772"/>
      <c r="AG275" s="772"/>
      <c r="AH275" s="772"/>
      <c r="AI275" s="772"/>
    </row>
    <row r="276" ht="15.75" customHeight="1">
      <c r="A276" s="815"/>
      <c r="B276" s="782"/>
      <c r="C276" s="782"/>
      <c r="D276" s="782"/>
      <c r="E276" s="816"/>
      <c r="F276" s="816"/>
      <c r="G276" s="816"/>
      <c r="H276" s="817"/>
      <c r="I276" s="817"/>
      <c r="J276" s="817"/>
      <c r="K276" s="818"/>
      <c r="L276" s="772"/>
      <c r="M276" s="772"/>
      <c r="N276" s="772"/>
      <c r="O276" s="772"/>
      <c r="P276" s="772"/>
      <c r="Q276" s="772"/>
      <c r="R276" s="772"/>
      <c r="S276" s="772"/>
      <c r="T276" s="772"/>
      <c r="U276" s="772"/>
      <c r="V276" s="772"/>
      <c r="W276" s="772"/>
      <c r="X276" s="772"/>
      <c r="Y276" s="772"/>
      <c r="Z276" s="772"/>
      <c r="AA276" s="772"/>
      <c r="AB276" s="772"/>
      <c r="AC276" s="772"/>
      <c r="AD276" s="772"/>
      <c r="AE276" s="772"/>
      <c r="AF276" s="772"/>
      <c r="AG276" s="772"/>
      <c r="AH276" s="772"/>
      <c r="AI276" s="772"/>
    </row>
    <row r="277" ht="15.75" customHeight="1">
      <c r="A277" s="815"/>
      <c r="B277" s="782"/>
      <c r="C277" s="782"/>
      <c r="D277" s="782"/>
      <c r="E277" s="816"/>
      <c r="F277" s="816"/>
      <c r="G277" s="816"/>
      <c r="H277" s="817"/>
      <c r="I277" s="817"/>
      <c r="J277" s="817"/>
      <c r="K277" s="818"/>
      <c r="L277" s="772"/>
      <c r="M277" s="772"/>
      <c r="N277" s="772"/>
      <c r="O277" s="772"/>
      <c r="P277" s="772"/>
      <c r="Q277" s="772"/>
      <c r="R277" s="772"/>
      <c r="S277" s="772"/>
      <c r="T277" s="772"/>
      <c r="U277" s="772"/>
      <c r="V277" s="772"/>
      <c r="W277" s="772"/>
      <c r="X277" s="772"/>
      <c r="Y277" s="772"/>
      <c r="Z277" s="772"/>
      <c r="AA277" s="772"/>
      <c r="AB277" s="772"/>
      <c r="AC277" s="772"/>
      <c r="AD277" s="772"/>
      <c r="AE277" s="772"/>
      <c r="AF277" s="772"/>
      <c r="AG277" s="772"/>
      <c r="AH277" s="772"/>
      <c r="AI277" s="772"/>
    </row>
    <row r="278" ht="15.75" customHeight="1">
      <c r="A278" s="815"/>
      <c r="B278" s="782"/>
      <c r="C278" s="782"/>
      <c r="D278" s="782"/>
      <c r="E278" s="816"/>
      <c r="F278" s="816"/>
      <c r="G278" s="816"/>
      <c r="H278" s="817"/>
      <c r="I278" s="817"/>
      <c r="J278" s="817"/>
      <c r="K278" s="818"/>
      <c r="L278" s="772"/>
      <c r="M278" s="772"/>
      <c r="N278" s="772"/>
      <c r="O278" s="772"/>
      <c r="P278" s="772"/>
      <c r="Q278" s="772"/>
      <c r="R278" s="772"/>
      <c r="S278" s="772"/>
      <c r="T278" s="772"/>
      <c r="U278" s="772"/>
      <c r="V278" s="772"/>
      <c r="W278" s="772"/>
      <c r="X278" s="772"/>
      <c r="Y278" s="772"/>
      <c r="Z278" s="772"/>
      <c r="AA278" s="772"/>
      <c r="AB278" s="772"/>
      <c r="AC278" s="772"/>
      <c r="AD278" s="772"/>
      <c r="AE278" s="772"/>
      <c r="AF278" s="772"/>
      <c r="AG278" s="772"/>
      <c r="AH278" s="772"/>
      <c r="AI278" s="772"/>
    </row>
    <row r="279" ht="15.75" customHeight="1">
      <c r="A279" s="815"/>
      <c r="B279" s="782"/>
      <c r="C279" s="782"/>
      <c r="D279" s="782"/>
      <c r="E279" s="816"/>
      <c r="F279" s="816"/>
      <c r="G279" s="816"/>
      <c r="H279" s="817"/>
      <c r="I279" s="817"/>
      <c r="J279" s="817"/>
      <c r="K279" s="818"/>
      <c r="L279" s="772"/>
      <c r="M279" s="772"/>
      <c r="N279" s="772"/>
      <c r="O279" s="772"/>
      <c r="P279" s="772"/>
      <c r="Q279" s="772"/>
      <c r="R279" s="772"/>
      <c r="S279" s="772"/>
      <c r="T279" s="772"/>
      <c r="U279" s="772"/>
      <c r="V279" s="772"/>
      <c r="W279" s="772"/>
      <c r="X279" s="772"/>
      <c r="Y279" s="772"/>
      <c r="Z279" s="772"/>
      <c r="AA279" s="772"/>
      <c r="AB279" s="772"/>
      <c r="AC279" s="772"/>
      <c r="AD279" s="772"/>
      <c r="AE279" s="772"/>
      <c r="AF279" s="772"/>
      <c r="AG279" s="772"/>
      <c r="AH279" s="772"/>
      <c r="AI279" s="772"/>
    </row>
    <row r="280" ht="15.75" customHeight="1">
      <c r="A280" s="815"/>
      <c r="B280" s="782"/>
      <c r="C280" s="782"/>
      <c r="D280" s="782"/>
      <c r="E280" s="816"/>
      <c r="F280" s="816"/>
      <c r="G280" s="816"/>
      <c r="H280" s="817"/>
      <c r="I280" s="817"/>
      <c r="J280" s="817"/>
      <c r="K280" s="818"/>
      <c r="L280" s="772"/>
      <c r="M280" s="772"/>
      <c r="N280" s="772"/>
      <c r="O280" s="772"/>
      <c r="P280" s="772"/>
      <c r="Q280" s="772"/>
      <c r="R280" s="772"/>
      <c r="S280" s="772"/>
      <c r="T280" s="772"/>
      <c r="U280" s="772"/>
      <c r="V280" s="772"/>
      <c r="W280" s="772"/>
      <c r="X280" s="772"/>
      <c r="Y280" s="772"/>
      <c r="Z280" s="772"/>
      <c r="AA280" s="772"/>
      <c r="AB280" s="772"/>
      <c r="AC280" s="772"/>
      <c r="AD280" s="772"/>
      <c r="AE280" s="772"/>
      <c r="AF280" s="772"/>
      <c r="AG280" s="772"/>
      <c r="AH280" s="772"/>
      <c r="AI280" s="772"/>
    </row>
    <row r="281" ht="15.75" customHeight="1">
      <c r="A281" s="815"/>
      <c r="B281" s="782"/>
      <c r="C281" s="782"/>
      <c r="D281" s="782"/>
      <c r="E281" s="816"/>
      <c r="F281" s="816"/>
      <c r="G281" s="816"/>
      <c r="H281" s="817"/>
      <c r="I281" s="817"/>
      <c r="J281" s="817"/>
      <c r="K281" s="818"/>
      <c r="L281" s="772"/>
      <c r="M281" s="772"/>
      <c r="N281" s="772"/>
      <c r="O281" s="772"/>
      <c r="P281" s="772"/>
      <c r="Q281" s="772"/>
      <c r="R281" s="772"/>
      <c r="S281" s="772"/>
      <c r="T281" s="772"/>
      <c r="U281" s="772"/>
      <c r="V281" s="772"/>
      <c r="W281" s="772"/>
      <c r="X281" s="772"/>
      <c r="Y281" s="772"/>
      <c r="Z281" s="772"/>
      <c r="AA281" s="772"/>
      <c r="AB281" s="772"/>
      <c r="AC281" s="772"/>
      <c r="AD281" s="772"/>
      <c r="AE281" s="772"/>
      <c r="AF281" s="772"/>
      <c r="AG281" s="772"/>
      <c r="AH281" s="772"/>
      <c r="AI281" s="772"/>
    </row>
    <row r="282" ht="15.75" customHeight="1">
      <c r="A282" s="815"/>
      <c r="B282" s="782"/>
      <c r="C282" s="782"/>
      <c r="D282" s="782"/>
      <c r="E282" s="816"/>
      <c r="F282" s="816"/>
      <c r="G282" s="816"/>
      <c r="H282" s="817"/>
      <c r="I282" s="817"/>
      <c r="J282" s="817"/>
      <c r="K282" s="818"/>
      <c r="L282" s="772"/>
      <c r="M282" s="772"/>
      <c r="N282" s="772"/>
      <c r="O282" s="772"/>
      <c r="P282" s="772"/>
      <c r="Q282" s="772"/>
      <c r="R282" s="772"/>
      <c r="S282" s="772"/>
      <c r="T282" s="772"/>
      <c r="U282" s="772"/>
      <c r="V282" s="772"/>
      <c r="W282" s="772"/>
      <c r="X282" s="772"/>
      <c r="Y282" s="772"/>
      <c r="Z282" s="772"/>
      <c r="AA282" s="772"/>
      <c r="AB282" s="772"/>
      <c r="AC282" s="772"/>
      <c r="AD282" s="772"/>
      <c r="AE282" s="772"/>
      <c r="AF282" s="772"/>
      <c r="AG282" s="772"/>
      <c r="AH282" s="772"/>
      <c r="AI282" s="772"/>
    </row>
    <row r="283" ht="15.75" customHeight="1">
      <c r="A283" s="815"/>
      <c r="B283" s="782"/>
      <c r="C283" s="782"/>
      <c r="D283" s="782"/>
      <c r="E283" s="816"/>
      <c r="F283" s="816"/>
      <c r="G283" s="816"/>
      <c r="H283" s="817"/>
      <c r="I283" s="817"/>
      <c r="J283" s="817"/>
      <c r="K283" s="818"/>
      <c r="L283" s="772"/>
      <c r="M283" s="772"/>
      <c r="N283" s="772"/>
      <c r="O283" s="772"/>
      <c r="P283" s="772"/>
      <c r="Q283" s="772"/>
      <c r="R283" s="772"/>
      <c r="S283" s="772"/>
      <c r="T283" s="772"/>
      <c r="U283" s="772"/>
      <c r="V283" s="772"/>
      <c r="W283" s="772"/>
      <c r="X283" s="772"/>
      <c r="Y283" s="772"/>
      <c r="Z283" s="772"/>
      <c r="AA283" s="772"/>
      <c r="AB283" s="772"/>
      <c r="AC283" s="772"/>
      <c r="AD283" s="772"/>
      <c r="AE283" s="772"/>
      <c r="AF283" s="772"/>
      <c r="AG283" s="772"/>
      <c r="AH283" s="772"/>
      <c r="AI283" s="772"/>
    </row>
    <row r="284" ht="15.75" customHeight="1">
      <c r="A284" s="815"/>
      <c r="B284" s="782"/>
      <c r="C284" s="782"/>
      <c r="D284" s="782"/>
      <c r="E284" s="816"/>
      <c r="F284" s="816"/>
      <c r="G284" s="816"/>
      <c r="H284" s="817"/>
      <c r="I284" s="817"/>
      <c r="J284" s="817"/>
      <c r="K284" s="818"/>
      <c r="L284" s="772"/>
      <c r="M284" s="772"/>
      <c r="N284" s="772"/>
      <c r="O284" s="772"/>
      <c r="P284" s="772"/>
      <c r="Q284" s="772"/>
      <c r="R284" s="772"/>
      <c r="S284" s="772"/>
      <c r="T284" s="772"/>
      <c r="U284" s="772"/>
      <c r="V284" s="772"/>
      <c r="W284" s="772"/>
      <c r="X284" s="772"/>
      <c r="Y284" s="772"/>
      <c r="Z284" s="772"/>
      <c r="AA284" s="772"/>
      <c r="AB284" s="772"/>
      <c r="AC284" s="772"/>
      <c r="AD284" s="772"/>
      <c r="AE284" s="772"/>
      <c r="AF284" s="772"/>
      <c r="AG284" s="772"/>
      <c r="AH284" s="772"/>
      <c r="AI284" s="772"/>
    </row>
    <row r="285" ht="15.75" customHeight="1">
      <c r="A285" s="815"/>
      <c r="B285" s="782"/>
      <c r="C285" s="782"/>
      <c r="D285" s="782"/>
      <c r="E285" s="816"/>
      <c r="F285" s="816"/>
      <c r="G285" s="816"/>
      <c r="H285" s="817"/>
      <c r="I285" s="817"/>
      <c r="J285" s="817"/>
      <c r="K285" s="818"/>
      <c r="L285" s="772"/>
      <c r="M285" s="772"/>
      <c r="N285" s="772"/>
      <c r="O285" s="772"/>
      <c r="P285" s="772"/>
      <c r="Q285" s="772"/>
      <c r="R285" s="772"/>
      <c r="S285" s="772"/>
      <c r="T285" s="772"/>
      <c r="U285" s="772"/>
      <c r="V285" s="772"/>
      <c r="W285" s="772"/>
      <c r="X285" s="772"/>
      <c r="Y285" s="772"/>
      <c r="Z285" s="772"/>
      <c r="AA285" s="772"/>
      <c r="AB285" s="772"/>
      <c r="AC285" s="772"/>
      <c r="AD285" s="772"/>
      <c r="AE285" s="772"/>
      <c r="AF285" s="772"/>
      <c r="AG285" s="772"/>
      <c r="AH285" s="772"/>
      <c r="AI285" s="772"/>
    </row>
    <row r="286" ht="15.75" customHeight="1">
      <c r="A286" s="815"/>
      <c r="B286" s="782"/>
      <c r="C286" s="782"/>
      <c r="D286" s="782"/>
      <c r="E286" s="816"/>
      <c r="F286" s="816"/>
      <c r="G286" s="816"/>
      <c r="H286" s="817"/>
      <c r="I286" s="817"/>
      <c r="J286" s="817"/>
      <c r="K286" s="818"/>
      <c r="L286" s="772"/>
      <c r="M286" s="772"/>
      <c r="N286" s="772"/>
      <c r="O286" s="772"/>
      <c r="P286" s="772"/>
      <c r="Q286" s="772"/>
      <c r="R286" s="772"/>
      <c r="S286" s="772"/>
      <c r="T286" s="772"/>
      <c r="U286" s="772"/>
      <c r="V286" s="772"/>
      <c r="W286" s="772"/>
      <c r="X286" s="772"/>
      <c r="Y286" s="772"/>
      <c r="Z286" s="772"/>
      <c r="AA286" s="772"/>
      <c r="AB286" s="772"/>
      <c r="AC286" s="772"/>
      <c r="AD286" s="772"/>
      <c r="AE286" s="772"/>
      <c r="AF286" s="772"/>
      <c r="AG286" s="772"/>
      <c r="AH286" s="772"/>
      <c r="AI286" s="772"/>
    </row>
    <row r="287" ht="15.75" customHeight="1">
      <c r="A287" s="815"/>
      <c r="B287" s="782"/>
      <c r="C287" s="782"/>
      <c r="D287" s="782"/>
      <c r="E287" s="816"/>
      <c r="F287" s="816"/>
      <c r="G287" s="816"/>
      <c r="H287" s="817"/>
      <c r="I287" s="817"/>
      <c r="J287" s="817"/>
      <c r="K287" s="818"/>
      <c r="L287" s="772"/>
      <c r="M287" s="772"/>
      <c r="N287" s="772"/>
      <c r="O287" s="772"/>
      <c r="P287" s="772"/>
      <c r="Q287" s="772"/>
      <c r="R287" s="772"/>
      <c r="S287" s="772"/>
      <c r="T287" s="772"/>
      <c r="U287" s="772"/>
      <c r="V287" s="772"/>
      <c r="W287" s="772"/>
      <c r="X287" s="772"/>
      <c r="Y287" s="772"/>
      <c r="Z287" s="772"/>
      <c r="AA287" s="772"/>
      <c r="AB287" s="772"/>
      <c r="AC287" s="772"/>
      <c r="AD287" s="772"/>
      <c r="AE287" s="772"/>
      <c r="AF287" s="772"/>
      <c r="AG287" s="772"/>
      <c r="AH287" s="772"/>
      <c r="AI287" s="772"/>
    </row>
    <row r="288" ht="15.75" customHeight="1">
      <c r="A288" s="815"/>
      <c r="B288" s="782"/>
      <c r="C288" s="782"/>
      <c r="D288" s="782"/>
      <c r="E288" s="816"/>
      <c r="F288" s="816"/>
      <c r="G288" s="816"/>
      <c r="H288" s="817"/>
      <c r="I288" s="817"/>
      <c r="J288" s="817"/>
      <c r="K288" s="818"/>
      <c r="L288" s="772"/>
      <c r="M288" s="772"/>
      <c r="N288" s="772"/>
      <c r="O288" s="772"/>
      <c r="P288" s="772"/>
      <c r="Q288" s="772"/>
      <c r="R288" s="772"/>
      <c r="S288" s="772"/>
      <c r="T288" s="772"/>
      <c r="U288" s="772"/>
      <c r="V288" s="772"/>
      <c r="W288" s="772"/>
      <c r="X288" s="772"/>
      <c r="Y288" s="772"/>
      <c r="Z288" s="772"/>
      <c r="AA288" s="772"/>
      <c r="AB288" s="772"/>
      <c r="AC288" s="772"/>
      <c r="AD288" s="772"/>
      <c r="AE288" s="772"/>
      <c r="AF288" s="772"/>
      <c r="AG288" s="772"/>
      <c r="AH288" s="772"/>
      <c r="AI288" s="772"/>
    </row>
    <row r="289" ht="15.75" customHeight="1">
      <c r="A289" s="815"/>
      <c r="B289" s="782"/>
      <c r="C289" s="782"/>
      <c r="D289" s="782"/>
      <c r="E289" s="816"/>
      <c r="F289" s="816"/>
      <c r="G289" s="816"/>
      <c r="H289" s="817"/>
      <c r="I289" s="817"/>
      <c r="J289" s="817"/>
      <c r="K289" s="818"/>
      <c r="L289" s="772"/>
      <c r="M289" s="772"/>
      <c r="N289" s="772"/>
      <c r="O289" s="772"/>
      <c r="P289" s="772"/>
      <c r="Q289" s="772"/>
      <c r="R289" s="772"/>
      <c r="S289" s="772"/>
      <c r="T289" s="772"/>
      <c r="U289" s="772"/>
      <c r="V289" s="772"/>
      <c r="W289" s="772"/>
      <c r="X289" s="772"/>
      <c r="Y289" s="772"/>
      <c r="Z289" s="772"/>
      <c r="AA289" s="772"/>
      <c r="AB289" s="772"/>
      <c r="AC289" s="772"/>
      <c r="AD289" s="772"/>
      <c r="AE289" s="772"/>
      <c r="AF289" s="772"/>
      <c r="AG289" s="772"/>
      <c r="AH289" s="772"/>
      <c r="AI289" s="772"/>
    </row>
    <row r="290" ht="15.75" customHeight="1">
      <c r="A290" s="815"/>
      <c r="B290" s="782"/>
      <c r="C290" s="782"/>
      <c r="D290" s="782"/>
      <c r="E290" s="816"/>
      <c r="F290" s="816"/>
      <c r="G290" s="816"/>
      <c r="H290" s="817"/>
      <c r="I290" s="817"/>
      <c r="J290" s="817"/>
      <c r="K290" s="818"/>
      <c r="L290" s="772"/>
      <c r="M290" s="772"/>
      <c r="N290" s="772"/>
      <c r="O290" s="772"/>
      <c r="P290" s="772"/>
      <c r="Q290" s="772"/>
      <c r="R290" s="772"/>
      <c r="S290" s="772"/>
      <c r="T290" s="772"/>
      <c r="U290" s="772"/>
      <c r="V290" s="772"/>
      <c r="W290" s="772"/>
      <c r="X290" s="772"/>
      <c r="Y290" s="772"/>
      <c r="Z290" s="772"/>
      <c r="AA290" s="772"/>
      <c r="AB290" s="772"/>
      <c r="AC290" s="772"/>
      <c r="AD290" s="772"/>
      <c r="AE290" s="772"/>
      <c r="AF290" s="772"/>
      <c r="AG290" s="772"/>
      <c r="AH290" s="772"/>
      <c r="AI290" s="772"/>
    </row>
    <row r="291" ht="15.75" customHeight="1">
      <c r="A291" s="815"/>
      <c r="B291" s="782"/>
      <c r="C291" s="782"/>
      <c r="D291" s="782"/>
      <c r="E291" s="816"/>
      <c r="F291" s="816"/>
      <c r="G291" s="816"/>
      <c r="H291" s="817"/>
      <c r="I291" s="817"/>
      <c r="J291" s="817"/>
      <c r="K291" s="818"/>
      <c r="L291" s="772"/>
      <c r="M291" s="772"/>
      <c r="N291" s="772"/>
      <c r="O291" s="772"/>
      <c r="P291" s="772"/>
      <c r="Q291" s="772"/>
      <c r="R291" s="772"/>
      <c r="S291" s="772"/>
      <c r="T291" s="772"/>
      <c r="U291" s="772"/>
      <c r="V291" s="772"/>
      <c r="W291" s="772"/>
      <c r="X291" s="772"/>
      <c r="Y291" s="772"/>
      <c r="Z291" s="772"/>
      <c r="AA291" s="772"/>
      <c r="AB291" s="772"/>
      <c r="AC291" s="772"/>
      <c r="AD291" s="772"/>
      <c r="AE291" s="772"/>
      <c r="AF291" s="772"/>
      <c r="AG291" s="772"/>
      <c r="AH291" s="772"/>
      <c r="AI291" s="772"/>
    </row>
    <row r="292" ht="15.75" customHeight="1">
      <c r="A292" s="815"/>
      <c r="B292" s="782"/>
      <c r="C292" s="782"/>
      <c r="D292" s="782"/>
      <c r="E292" s="816"/>
      <c r="F292" s="816"/>
      <c r="G292" s="816"/>
      <c r="H292" s="817"/>
      <c r="I292" s="817"/>
      <c r="J292" s="817"/>
      <c r="K292" s="818"/>
      <c r="L292" s="772"/>
      <c r="M292" s="772"/>
      <c r="N292" s="772"/>
      <c r="O292" s="772"/>
      <c r="P292" s="772"/>
      <c r="Q292" s="772"/>
      <c r="R292" s="772"/>
      <c r="S292" s="772"/>
      <c r="T292" s="772"/>
      <c r="U292" s="772"/>
      <c r="V292" s="772"/>
      <c r="W292" s="772"/>
      <c r="X292" s="772"/>
      <c r="Y292" s="772"/>
      <c r="Z292" s="772"/>
      <c r="AA292" s="772"/>
      <c r="AB292" s="772"/>
      <c r="AC292" s="772"/>
      <c r="AD292" s="772"/>
      <c r="AE292" s="772"/>
      <c r="AF292" s="772"/>
      <c r="AG292" s="772"/>
      <c r="AH292" s="772"/>
      <c r="AI292" s="772"/>
    </row>
    <row r="293" ht="15.75" customHeight="1">
      <c r="A293" s="815"/>
      <c r="B293" s="782"/>
      <c r="C293" s="782"/>
      <c r="D293" s="782"/>
      <c r="E293" s="816"/>
      <c r="F293" s="816"/>
      <c r="G293" s="816"/>
      <c r="H293" s="817"/>
      <c r="I293" s="817"/>
      <c r="J293" s="817"/>
      <c r="K293" s="818"/>
      <c r="L293" s="772"/>
      <c r="M293" s="772"/>
      <c r="N293" s="772"/>
      <c r="O293" s="772"/>
      <c r="P293" s="772"/>
      <c r="Q293" s="772"/>
      <c r="R293" s="772"/>
      <c r="S293" s="772"/>
      <c r="T293" s="772"/>
      <c r="U293" s="772"/>
      <c r="V293" s="772"/>
      <c r="W293" s="772"/>
      <c r="X293" s="772"/>
      <c r="Y293" s="772"/>
      <c r="Z293" s="772"/>
      <c r="AA293" s="772"/>
      <c r="AB293" s="772"/>
      <c r="AC293" s="772"/>
      <c r="AD293" s="772"/>
      <c r="AE293" s="772"/>
      <c r="AF293" s="772"/>
      <c r="AG293" s="772"/>
      <c r="AH293" s="772"/>
      <c r="AI293" s="772"/>
    </row>
    <row r="294" ht="15.75" customHeight="1">
      <c r="A294" s="815"/>
      <c r="B294" s="782"/>
      <c r="C294" s="782"/>
      <c r="D294" s="782"/>
      <c r="E294" s="816"/>
      <c r="F294" s="816"/>
      <c r="G294" s="816"/>
      <c r="H294" s="817"/>
      <c r="I294" s="817"/>
      <c r="J294" s="817"/>
      <c r="K294" s="818"/>
      <c r="L294" s="772"/>
      <c r="M294" s="772"/>
      <c r="N294" s="772"/>
      <c r="O294" s="772"/>
      <c r="P294" s="772"/>
      <c r="Q294" s="772"/>
      <c r="R294" s="772"/>
      <c r="S294" s="772"/>
      <c r="T294" s="772"/>
      <c r="U294" s="772"/>
      <c r="V294" s="772"/>
      <c r="W294" s="772"/>
      <c r="X294" s="772"/>
      <c r="Y294" s="772"/>
      <c r="Z294" s="772"/>
      <c r="AA294" s="772"/>
      <c r="AB294" s="772"/>
      <c r="AC294" s="772"/>
      <c r="AD294" s="772"/>
      <c r="AE294" s="772"/>
      <c r="AF294" s="772"/>
      <c r="AG294" s="772"/>
      <c r="AH294" s="772"/>
      <c r="AI294" s="772"/>
    </row>
    <row r="295" ht="15.75" customHeight="1">
      <c r="A295" s="815"/>
      <c r="B295" s="782"/>
      <c r="C295" s="782"/>
      <c r="D295" s="782"/>
      <c r="E295" s="816"/>
      <c r="F295" s="816"/>
      <c r="G295" s="816"/>
      <c r="H295" s="817"/>
      <c r="I295" s="817"/>
      <c r="J295" s="817"/>
      <c r="K295" s="818"/>
      <c r="L295" s="772"/>
      <c r="M295" s="772"/>
      <c r="N295" s="772"/>
      <c r="O295" s="772"/>
      <c r="P295" s="772"/>
      <c r="Q295" s="772"/>
      <c r="R295" s="772"/>
      <c r="S295" s="772"/>
      <c r="T295" s="772"/>
      <c r="U295" s="772"/>
      <c r="V295" s="772"/>
      <c r="W295" s="772"/>
      <c r="X295" s="772"/>
      <c r="Y295" s="772"/>
      <c r="Z295" s="772"/>
      <c r="AA295" s="772"/>
      <c r="AB295" s="772"/>
      <c r="AC295" s="772"/>
      <c r="AD295" s="772"/>
      <c r="AE295" s="772"/>
      <c r="AF295" s="772"/>
      <c r="AG295" s="772"/>
      <c r="AH295" s="772"/>
      <c r="AI295" s="772"/>
    </row>
    <row r="296" ht="15.75" customHeight="1">
      <c r="A296" s="815"/>
      <c r="B296" s="782"/>
      <c r="C296" s="782"/>
      <c r="D296" s="782"/>
      <c r="E296" s="816"/>
      <c r="F296" s="816"/>
      <c r="G296" s="816"/>
      <c r="H296" s="817"/>
      <c r="I296" s="817"/>
      <c r="J296" s="817"/>
      <c r="K296" s="818"/>
      <c r="L296" s="772"/>
      <c r="M296" s="772"/>
      <c r="N296" s="772"/>
      <c r="O296" s="772"/>
      <c r="P296" s="772"/>
      <c r="Q296" s="772"/>
      <c r="R296" s="772"/>
      <c r="S296" s="772"/>
      <c r="T296" s="772"/>
      <c r="U296" s="772"/>
      <c r="V296" s="772"/>
      <c r="W296" s="772"/>
      <c r="X296" s="772"/>
      <c r="Y296" s="772"/>
      <c r="Z296" s="772"/>
      <c r="AA296" s="772"/>
      <c r="AB296" s="772"/>
      <c r="AC296" s="772"/>
      <c r="AD296" s="772"/>
      <c r="AE296" s="772"/>
      <c r="AF296" s="772"/>
      <c r="AG296" s="772"/>
      <c r="AH296" s="772"/>
      <c r="AI296" s="772"/>
    </row>
    <row r="297" ht="15.75" customHeight="1">
      <c r="A297" s="815"/>
      <c r="B297" s="782"/>
      <c r="C297" s="782"/>
      <c r="D297" s="782"/>
      <c r="E297" s="816"/>
      <c r="F297" s="816"/>
      <c r="G297" s="816"/>
      <c r="H297" s="817"/>
      <c r="I297" s="817"/>
      <c r="J297" s="817"/>
      <c r="K297" s="818"/>
      <c r="L297" s="772"/>
      <c r="M297" s="772"/>
      <c r="N297" s="772"/>
      <c r="O297" s="772"/>
      <c r="P297" s="772"/>
      <c r="Q297" s="772"/>
      <c r="R297" s="772"/>
      <c r="S297" s="772"/>
      <c r="T297" s="772"/>
      <c r="U297" s="772"/>
      <c r="V297" s="772"/>
      <c r="W297" s="772"/>
      <c r="X297" s="772"/>
      <c r="Y297" s="772"/>
      <c r="Z297" s="772"/>
      <c r="AA297" s="772"/>
      <c r="AB297" s="772"/>
      <c r="AC297" s="772"/>
      <c r="AD297" s="772"/>
      <c r="AE297" s="772"/>
      <c r="AF297" s="772"/>
      <c r="AG297" s="772"/>
      <c r="AH297" s="772"/>
      <c r="AI297" s="772"/>
    </row>
    <row r="298" ht="15.75" customHeight="1">
      <c r="A298" s="815"/>
      <c r="B298" s="782"/>
      <c r="C298" s="782"/>
      <c r="D298" s="782"/>
      <c r="E298" s="816"/>
      <c r="F298" s="816"/>
      <c r="G298" s="816"/>
      <c r="H298" s="817"/>
      <c r="I298" s="817"/>
      <c r="J298" s="817"/>
      <c r="K298" s="818"/>
      <c r="L298" s="772"/>
      <c r="M298" s="772"/>
      <c r="N298" s="772"/>
      <c r="O298" s="772"/>
      <c r="P298" s="772"/>
      <c r="Q298" s="772"/>
      <c r="R298" s="772"/>
      <c r="S298" s="772"/>
      <c r="T298" s="772"/>
      <c r="U298" s="772"/>
      <c r="V298" s="772"/>
      <c r="W298" s="772"/>
      <c r="X298" s="772"/>
      <c r="Y298" s="772"/>
      <c r="Z298" s="772"/>
      <c r="AA298" s="772"/>
      <c r="AB298" s="772"/>
      <c r="AC298" s="772"/>
      <c r="AD298" s="772"/>
      <c r="AE298" s="772"/>
      <c r="AF298" s="772"/>
      <c r="AG298" s="772"/>
      <c r="AH298" s="772"/>
      <c r="AI298" s="772"/>
    </row>
    <row r="299" ht="15.75" customHeight="1">
      <c r="A299" s="815"/>
      <c r="B299" s="782"/>
      <c r="C299" s="782"/>
      <c r="D299" s="782"/>
      <c r="E299" s="816"/>
      <c r="F299" s="816"/>
      <c r="G299" s="816"/>
      <c r="H299" s="817"/>
      <c r="I299" s="817"/>
      <c r="J299" s="817"/>
      <c r="K299" s="818"/>
      <c r="L299" s="772"/>
      <c r="M299" s="772"/>
      <c r="N299" s="772"/>
      <c r="O299" s="772"/>
      <c r="P299" s="772"/>
      <c r="Q299" s="772"/>
      <c r="R299" s="772"/>
      <c r="S299" s="772"/>
      <c r="T299" s="772"/>
      <c r="U299" s="772"/>
      <c r="V299" s="772"/>
      <c r="W299" s="772"/>
      <c r="X299" s="772"/>
      <c r="Y299" s="772"/>
      <c r="Z299" s="772"/>
      <c r="AA299" s="772"/>
      <c r="AB299" s="772"/>
      <c r="AC299" s="772"/>
      <c r="AD299" s="772"/>
      <c r="AE299" s="772"/>
      <c r="AF299" s="772"/>
      <c r="AG299" s="772"/>
      <c r="AH299" s="772"/>
      <c r="AI299" s="772"/>
    </row>
    <row r="300" ht="15.75" customHeight="1">
      <c r="A300" s="815"/>
      <c r="B300" s="782"/>
      <c r="C300" s="782"/>
      <c r="D300" s="782"/>
      <c r="E300" s="816"/>
      <c r="F300" s="816"/>
      <c r="G300" s="816"/>
      <c r="H300" s="817"/>
      <c r="I300" s="817"/>
      <c r="J300" s="817"/>
      <c r="K300" s="818"/>
      <c r="L300" s="772"/>
      <c r="M300" s="772"/>
      <c r="N300" s="772"/>
      <c r="O300" s="772"/>
      <c r="P300" s="772"/>
      <c r="Q300" s="772"/>
      <c r="R300" s="772"/>
      <c r="S300" s="772"/>
      <c r="T300" s="772"/>
      <c r="U300" s="772"/>
      <c r="V300" s="772"/>
      <c r="W300" s="772"/>
      <c r="X300" s="772"/>
      <c r="Y300" s="772"/>
      <c r="Z300" s="772"/>
      <c r="AA300" s="772"/>
      <c r="AB300" s="772"/>
      <c r="AC300" s="772"/>
      <c r="AD300" s="772"/>
      <c r="AE300" s="772"/>
      <c r="AF300" s="772"/>
      <c r="AG300" s="772"/>
      <c r="AH300" s="772"/>
      <c r="AI300" s="772"/>
    </row>
    <row r="301" ht="15.75" customHeight="1">
      <c r="A301" s="815"/>
      <c r="B301" s="782"/>
      <c r="C301" s="782"/>
      <c r="D301" s="782"/>
      <c r="E301" s="816"/>
      <c r="F301" s="816"/>
      <c r="G301" s="816"/>
      <c r="H301" s="817"/>
      <c r="I301" s="817"/>
      <c r="J301" s="817"/>
      <c r="K301" s="818"/>
      <c r="L301" s="772"/>
      <c r="M301" s="772"/>
      <c r="N301" s="772"/>
      <c r="O301" s="772"/>
      <c r="P301" s="772"/>
      <c r="Q301" s="772"/>
      <c r="R301" s="772"/>
      <c r="S301" s="772"/>
      <c r="T301" s="772"/>
      <c r="U301" s="772"/>
      <c r="V301" s="772"/>
      <c r="W301" s="772"/>
      <c r="X301" s="772"/>
      <c r="Y301" s="772"/>
      <c r="Z301" s="772"/>
      <c r="AA301" s="772"/>
      <c r="AB301" s="772"/>
      <c r="AC301" s="772"/>
      <c r="AD301" s="772"/>
      <c r="AE301" s="772"/>
      <c r="AF301" s="772"/>
      <c r="AG301" s="772"/>
      <c r="AH301" s="772"/>
      <c r="AI301" s="772"/>
    </row>
    <row r="302" ht="15.75" customHeight="1">
      <c r="A302" s="815"/>
      <c r="B302" s="782"/>
      <c r="C302" s="782"/>
      <c r="D302" s="782"/>
      <c r="E302" s="816"/>
      <c r="F302" s="816"/>
      <c r="G302" s="816"/>
      <c r="H302" s="817"/>
      <c r="I302" s="817"/>
      <c r="J302" s="817"/>
      <c r="K302" s="818"/>
      <c r="L302" s="772"/>
      <c r="M302" s="772"/>
      <c r="N302" s="772"/>
      <c r="O302" s="772"/>
      <c r="P302" s="772"/>
      <c r="Q302" s="772"/>
      <c r="R302" s="772"/>
      <c r="S302" s="772"/>
      <c r="T302" s="772"/>
      <c r="U302" s="772"/>
      <c r="V302" s="772"/>
      <c r="W302" s="772"/>
      <c r="X302" s="772"/>
      <c r="Y302" s="772"/>
      <c r="Z302" s="772"/>
      <c r="AA302" s="772"/>
      <c r="AB302" s="772"/>
      <c r="AC302" s="772"/>
      <c r="AD302" s="772"/>
      <c r="AE302" s="772"/>
      <c r="AF302" s="772"/>
      <c r="AG302" s="772"/>
      <c r="AH302" s="772"/>
      <c r="AI302" s="772"/>
    </row>
    <row r="303" ht="15.75" customHeight="1">
      <c r="A303" s="815"/>
      <c r="B303" s="782"/>
      <c r="C303" s="782"/>
      <c r="D303" s="782"/>
      <c r="E303" s="816"/>
      <c r="F303" s="816"/>
      <c r="G303" s="816"/>
      <c r="H303" s="817"/>
      <c r="I303" s="817"/>
      <c r="J303" s="817"/>
      <c r="K303" s="818"/>
      <c r="L303" s="772"/>
      <c r="M303" s="772"/>
      <c r="N303" s="772"/>
      <c r="O303" s="772"/>
      <c r="P303" s="772"/>
      <c r="Q303" s="772"/>
      <c r="R303" s="772"/>
      <c r="S303" s="772"/>
      <c r="T303" s="772"/>
      <c r="U303" s="772"/>
      <c r="V303" s="772"/>
      <c r="W303" s="772"/>
      <c r="X303" s="772"/>
      <c r="Y303" s="772"/>
      <c r="Z303" s="772"/>
      <c r="AA303" s="772"/>
      <c r="AB303" s="772"/>
      <c r="AC303" s="772"/>
      <c r="AD303" s="772"/>
      <c r="AE303" s="772"/>
      <c r="AF303" s="772"/>
      <c r="AG303" s="772"/>
      <c r="AH303" s="772"/>
      <c r="AI303" s="772"/>
    </row>
    <row r="304" ht="15.75" customHeight="1">
      <c r="A304" s="815"/>
      <c r="B304" s="782"/>
      <c r="C304" s="782"/>
      <c r="D304" s="782"/>
      <c r="E304" s="816"/>
      <c r="F304" s="816"/>
      <c r="G304" s="816"/>
      <c r="H304" s="817"/>
      <c r="I304" s="817"/>
      <c r="J304" s="817"/>
      <c r="K304" s="818"/>
      <c r="L304" s="772"/>
      <c r="M304" s="772"/>
      <c r="N304" s="772"/>
      <c r="O304" s="772"/>
      <c r="P304" s="772"/>
      <c r="Q304" s="772"/>
      <c r="R304" s="772"/>
      <c r="S304" s="772"/>
      <c r="T304" s="772"/>
      <c r="U304" s="772"/>
      <c r="V304" s="772"/>
      <c r="W304" s="772"/>
      <c r="X304" s="772"/>
      <c r="Y304" s="772"/>
      <c r="Z304" s="772"/>
      <c r="AA304" s="772"/>
      <c r="AB304" s="772"/>
      <c r="AC304" s="772"/>
      <c r="AD304" s="772"/>
      <c r="AE304" s="772"/>
      <c r="AF304" s="772"/>
      <c r="AG304" s="772"/>
      <c r="AH304" s="772"/>
      <c r="AI304" s="772"/>
    </row>
    <row r="305" ht="15.75" customHeight="1">
      <c r="A305" s="815"/>
      <c r="B305" s="782"/>
      <c r="C305" s="782"/>
      <c r="D305" s="782"/>
      <c r="E305" s="816"/>
      <c r="F305" s="816"/>
      <c r="G305" s="816"/>
      <c r="H305" s="817"/>
      <c r="I305" s="817"/>
      <c r="J305" s="817"/>
      <c r="K305" s="818"/>
      <c r="L305" s="772"/>
      <c r="M305" s="772"/>
      <c r="N305" s="772"/>
      <c r="O305" s="772"/>
      <c r="P305" s="772"/>
      <c r="Q305" s="772"/>
      <c r="R305" s="772"/>
      <c r="S305" s="772"/>
      <c r="T305" s="772"/>
      <c r="U305" s="772"/>
      <c r="V305" s="772"/>
      <c r="W305" s="772"/>
      <c r="X305" s="772"/>
      <c r="Y305" s="772"/>
      <c r="Z305" s="772"/>
      <c r="AA305" s="772"/>
      <c r="AB305" s="772"/>
      <c r="AC305" s="772"/>
      <c r="AD305" s="772"/>
      <c r="AE305" s="772"/>
      <c r="AF305" s="772"/>
      <c r="AG305" s="772"/>
      <c r="AH305" s="772"/>
      <c r="AI305" s="772"/>
    </row>
    <row r="306" ht="15.75" customHeight="1">
      <c r="A306" s="815"/>
      <c r="B306" s="782"/>
      <c r="C306" s="782"/>
      <c r="D306" s="782"/>
      <c r="E306" s="816"/>
      <c r="F306" s="816"/>
      <c r="G306" s="816"/>
      <c r="H306" s="817"/>
      <c r="I306" s="817"/>
      <c r="J306" s="817"/>
      <c r="K306" s="818"/>
      <c r="L306" s="772"/>
      <c r="M306" s="772"/>
      <c r="N306" s="772"/>
      <c r="O306" s="772"/>
      <c r="P306" s="772"/>
      <c r="Q306" s="772"/>
      <c r="R306" s="772"/>
      <c r="S306" s="772"/>
      <c r="T306" s="772"/>
      <c r="U306" s="772"/>
      <c r="V306" s="772"/>
      <c r="W306" s="772"/>
      <c r="X306" s="772"/>
      <c r="Y306" s="772"/>
      <c r="Z306" s="772"/>
      <c r="AA306" s="772"/>
      <c r="AB306" s="772"/>
      <c r="AC306" s="772"/>
      <c r="AD306" s="772"/>
      <c r="AE306" s="772"/>
      <c r="AF306" s="772"/>
      <c r="AG306" s="772"/>
      <c r="AH306" s="772"/>
      <c r="AI306" s="772"/>
    </row>
    <row r="307" ht="15.75" customHeight="1">
      <c r="A307" s="815"/>
      <c r="B307" s="782"/>
      <c r="C307" s="782"/>
      <c r="D307" s="782"/>
      <c r="E307" s="816"/>
      <c r="F307" s="816"/>
      <c r="G307" s="816"/>
      <c r="H307" s="817"/>
      <c r="I307" s="817"/>
      <c r="J307" s="817"/>
      <c r="K307" s="818"/>
      <c r="L307" s="772"/>
      <c r="M307" s="772"/>
      <c r="N307" s="772"/>
      <c r="O307" s="772"/>
      <c r="P307" s="772"/>
      <c r="Q307" s="772"/>
      <c r="R307" s="772"/>
      <c r="S307" s="772"/>
      <c r="T307" s="772"/>
      <c r="U307" s="772"/>
      <c r="V307" s="772"/>
      <c r="W307" s="772"/>
      <c r="X307" s="772"/>
      <c r="Y307" s="772"/>
      <c r="Z307" s="772"/>
      <c r="AA307" s="772"/>
      <c r="AB307" s="772"/>
      <c r="AC307" s="772"/>
      <c r="AD307" s="772"/>
      <c r="AE307" s="772"/>
      <c r="AF307" s="772"/>
      <c r="AG307" s="772"/>
      <c r="AH307" s="772"/>
      <c r="AI307" s="772"/>
    </row>
    <row r="308" ht="15.75" customHeight="1">
      <c r="A308" s="815"/>
      <c r="B308" s="782"/>
      <c r="C308" s="782"/>
      <c r="D308" s="782"/>
      <c r="E308" s="816"/>
      <c r="F308" s="816"/>
      <c r="G308" s="816"/>
      <c r="H308" s="817"/>
      <c r="I308" s="817"/>
      <c r="J308" s="817"/>
      <c r="K308" s="818"/>
      <c r="L308" s="772"/>
      <c r="M308" s="772"/>
      <c r="N308" s="772"/>
      <c r="O308" s="772"/>
      <c r="P308" s="772"/>
      <c r="Q308" s="772"/>
      <c r="R308" s="772"/>
      <c r="S308" s="772"/>
      <c r="T308" s="772"/>
      <c r="U308" s="772"/>
      <c r="V308" s="772"/>
      <c r="W308" s="772"/>
      <c r="X308" s="772"/>
      <c r="Y308" s="772"/>
      <c r="Z308" s="772"/>
      <c r="AA308" s="772"/>
      <c r="AB308" s="772"/>
      <c r="AC308" s="772"/>
      <c r="AD308" s="772"/>
      <c r="AE308" s="772"/>
      <c r="AF308" s="772"/>
      <c r="AG308" s="772"/>
      <c r="AH308" s="772"/>
      <c r="AI308" s="772"/>
    </row>
    <row r="309" ht="15.75" customHeight="1">
      <c r="A309" s="815"/>
      <c r="B309" s="782"/>
      <c r="C309" s="782"/>
      <c r="D309" s="782"/>
      <c r="E309" s="816"/>
      <c r="F309" s="816"/>
      <c r="G309" s="816"/>
      <c r="H309" s="817"/>
      <c r="I309" s="817"/>
      <c r="J309" s="817"/>
      <c r="K309" s="818"/>
      <c r="L309" s="772"/>
      <c r="M309" s="772"/>
      <c r="N309" s="772"/>
      <c r="O309" s="772"/>
      <c r="P309" s="772"/>
      <c r="Q309" s="772"/>
      <c r="R309" s="772"/>
      <c r="S309" s="772"/>
      <c r="T309" s="772"/>
      <c r="U309" s="772"/>
      <c r="V309" s="772"/>
      <c r="W309" s="772"/>
      <c r="X309" s="772"/>
      <c r="Y309" s="772"/>
      <c r="Z309" s="772"/>
      <c r="AA309" s="772"/>
      <c r="AB309" s="772"/>
      <c r="AC309" s="772"/>
      <c r="AD309" s="772"/>
      <c r="AE309" s="772"/>
      <c r="AF309" s="772"/>
      <c r="AG309" s="772"/>
      <c r="AH309" s="772"/>
      <c r="AI309" s="772"/>
    </row>
    <row r="310" ht="15.75" customHeight="1">
      <c r="A310" s="815"/>
      <c r="B310" s="782"/>
      <c r="C310" s="782"/>
      <c r="D310" s="782"/>
      <c r="E310" s="816"/>
      <c r="F310" s="816"/>
      <c r="G310" s="816"/>
      <c r="H310" s="817"/>
      <c r="I310" s="817"/>
      <c r="J310" s="817"/>
      <c r="K310" s="818"/>
      <c r="L310" s="772"/>
      <c r="M310" s="772"/>
      <c r="N310" s="772"/>
      <c r="O310" s="772"/>
      <c r="P310" s="772"/>
      <c r="Q310" s="772"/>
      <c r="R310" s="772"/>
      <c r="S310" s="772"/>
      <c r="T310" s="772"/>
      <c r="U310" s="772"/>
      <c r="V310" s="772"/>
      <c r="W310" s="772"/>
      <c r="X310" s="772"/>
      <c r="Y310" s="772"/>
      <c r="Z310" s="772"/>
      <c r="AA310" s="772"/>
      <c r="AB310" s="772"/>
      <c r="AC310" s="772"/>
      <c r="AD310" s="772"/>
      <c r="AE310" s="772"/>
      <c r="AF310" s="772"/>
      <c r="AG310" s="772"/>
      <c r="AH310" s="772"/>
      <c r="AI310" s="772"/>
    </row>
    <row r="311" ht="15.75" customHeight="1">
      <c r="A311" s="815"/>
      <c r="B311" s="782"/>
      <c r="C311" s="782"/>
      <c r="D311" s="782"/>
      <c r="E311" s="816"/>
      <c r="F311" s="816"/>
      <c r="G311" s="816"/>
      <c r="H311" s="817"/>
      <c r="I311" s="817"/>
      <c r="J311" s="817"/>
      <c r="K311" s="818"/>
      <c r="L311" s="772"/>
      <c r="M311" s="772"/>
      <c r="N311" s="772"/>
      <c r="O311" s="772"/>
      <c r="P311" s="772"/>
      <c r="Q311" s="772"/>
      <c r="R311" s="772"/>
      <c r="S311" s="772"/>
      <c r="T311" s="772"/>
      <c r="U311" s="772"/>
      <c r="V311" s="772"/>
      <c r="W311" s="772"/>
      <c r="X311" s="772"/>
      <c r="Y311" s="772"/>
      <c r="Z311" s="772"/>
      <c r="AA311" s="772"/>
      <c r="AB311" s="772"/>
      <c r="AC311" s="772"/>
      <c r="AD311" s="772"/>
      <c r="AE311" s="772"/>
      <c r="AF311" s="772"/>
      <c r="AG311" s="772"/>
      <c r="AH311" s="772"/>
      <c r="AI311" s="772"/>
    </row>
    <row r="312" ht="15.75" customHeight="1">
      <c r="A312" s="815"/>
      <c r="B312" s="782"/>
      <c r="C312" s="782"/>
      <c r="D312" s="782"/>
      <c r="E312" s="816"/>
      <c r="F312" s="816"/>
      <c r="G312" s="816"/>
      <c r="H312" s="817"/>
      <c r="I312" s="817"/>
      <c r="J312" s="817"/>
      <c r="K312" s="818"/>
      <c r="L312" s="772"/>
      <c r="M312" s="772"/>
      <c r="N312" s="772"/>
      <c r="O312" s="772"/>
      <c r="P312" s="772"/>
      <c r="Q312" s="772"/>
      <c r="R312" s="772"/>
      <c r="S312" s="772"/>
      <c r="T312" s="772"/>
      <c r="U312" s="772"/>
      <c r="V312" s="772"/>
      <c r="W312" s="772"/>
      <c r="X312" s="772"/>
      <c r="Y312" s="772"/>
      <c r="Z312" s="772"/>
      <c r="AA312" s="772"/>
      <c r="AB312" s="772"/>
      <c r="AC312" s="772"/>
      <c r="AD312" s="772"/>
      <c r="AE312" s="772"/>
      <c r="AF312" s="772"/>
      <c r="AG312" s="772"/>
      <c r="AH312" s="772"/>
      <c r="AI312" s="772"/>
    </row>
    <row r="313" ht="15.75" customHeight="1">
      <c r="A313" s="815"/>
      <c r="B313" s="782"/>
      <c r="C313" s="782"/>
      <c r="D313" s="782"/>
      <c r="E313" s="816"/>
      <c r="F313" s="816"/>
      <c r="G313" s="816"/>
      <c r="H313" s="817"/>
      <c r="I313" s="817"/>
      <c r="J313" s="817"/>
      <c r="K313" s="818"/>
      <c r="L313" s="772"/>
      <c r="M313" s="772"/>
      <c r="N313" s="772"/>
      <c r="O313" s="772"/>
      <c r="P313" s="772"/>
      <c r="Q313" s="772"/>
      <c r="R313" s="772"/>
      <c r="S313" s="772"/>
      <c r="T313" s="772"/>
      <c r="U313" s="772"/>
      <c r="V313" s="772"/>
      <c r="W313" s="772"/>
      <c r="X313" s="772"/>
      <c r="Y313" s="772"/>
      <c r="Z313" s="772"/>
      <c r="AA313" s="772"/>
      <c r="AB313" s="772"/>
      <c r="AC313" s="772"/>
      <c r="AD313" s="772"/>
      <c r="AE313" s="772"/>
      <c r="AF313" s="772"/>
      <c r="AG313" s="772"/>
      <c r="AH313" s="772"/>
      <c r="AI313" s="772"/>
    </row>
    <row r="314" ht="15.75" customHeight="1">
      <c r="A314" s="815"/>
      <c r="B314" s="782"/>
      <c r="C314" s="782"/>
      <c r="D314" s="782"/>
      <c r="E314" s="816"/>
      <c r="F314" s="816"/>
      <c r="G314" s="816"/>
      <c r="H314" s="817"/>
      <c r="I314" s="817"/>
      <c r="J314" s="817"/>
      <c r="K314" s="818"/>
      <c r="L314" s="772"/>
      <c r="M314" s="772"/>
      <c r="N314" s="772"/>
      <c r="O314" s="772"/>
      <c r="P314" s="772"/>
      <c r="Q314" s="772"/>
      <c r="R314" s="772"/>
      <c r="S314" s="772"/>
      <c r="T314" s="772"/>
      <c r="U314" s="772"/>
      <c r="V314" s="772"/>
      <c r="W314" s="772"/>
      <c r="X314" s="772"/>
      <c r="Y314" s="772"/>
      <c r="Z314" s="772"/>
      <c r="AA314" s="772"/>
      <c r="AB314" s="772"/>
      <c r="AC314" s="772"/>
      <c r="AD314" s="772"/>
      <c r="AE314" s="772"/>
      <c r="AF314" s="772"/>
      <c r="AG314" s="772"/>
      <c r="AH314" s="772"/>
      <c r="AI314" s="772"/>
    </row>
    <row r="315" ht="15.75" customHeight="1">
      <c r="A315" s="815"/>
      <c r="B315" s="782"/>
      <c r="C315" s="782"/>
      <c r="D315" s="782"/>
      <c r="E315" s="816"/>
      <c r="F315" s="816"/>
      <c r="G315" s="816"/>
      <c r="H315" s="817"/>
      <c r="I315" s="817"/>
      <c r="J315" s="817"/>
      <c r="K315" s="818"/>
      <c r="L315" s="772"/>
      <c r="M315" s="772"/>
      <c r="N315" s="772"/>
      <c r="O315" s="772"/>
      <c r="P315" s="772"/>
      <c r="Q315" s="772"/>
      <c r="R315" s="772"/>
      <c r="S315" s="772"/>
      <c r="T315" s="772"/>
      <c r="U315" s="772"/>
      <c r="V315" s="772"/>
      <c r="W315" s="772"/>
      <c r="X315" s="772"/>
      <c r="Y315" s="772"/>
      <c r="Z315" s="772"/>
      <c r="AA315" s="772"/>
      <c r="AB315" s="772"/>
      <c r="AC315" s="772"/>
      <c r="AD315" s="772"/>
      <c r="AE315" s="772"/>
      <c r="AF315" s="772"/>
      <c r="AG315" s="772"/>
      <c r="AH315" s="772"/>
      <c r="AI315" s="772"/>
    </row>
    <row r="316" ht="15.75" customHeight="1">
      <c r="A316" s="815"/>
      <c r="B316" s="782"/>
      <c r="C316" s="782"/>
      <c r="D316" s="782"/>
      <c r="E316" s="816"/>
      <c r="F316" s="816"/>
      <c r="G316" s="816"/>
      <c r="H316" s="817"/>
      <c r="I316" s="817"/>
      <c r="J316" s="817"/>
      <c r="K316" s="818"/>
      <c r="L316" s="772"/>
      <c r="M316" s="772"/>
      <c r="N316" s="772"/>
      <c r="O316" s="772"/>
      <c r="P316" s="772"/>
      <c r="Q316" s="772"/>
      <c r="R316" s="772"/>
      <c r="S316" s="772"/>
      <c r="T316" s="772"/>
      <c r="U316" s="772"/>
      <c r="V316" s="772"/>
      <c r="W316" s="772"/>
      <c r="X316" s="772"/>
      <c r="Y316" s="772"/>
      <c r="Z316" s="772"/>
      <c r="AA316" s="772"/>
      <c r="AB316" s="772"/>
      <c r="AC316" s="772"/>
      <c r="AD316" s="772"/>
      <c r="AE316" s="772"/>
      <c r="AF316" s="772"/>
      <c r="AG316" s="772"/>
      <c r="AH316" s="772"/>
      <c r="AI316" s="772"/>
    </row>
    <row r="317" ht="15.75" customHeight="1">
      <c r="A317" s="815"/>
      <c r="B317" s="782"/>
      <c r="C317" s="782"/>
      <c r="D317" s="782"/>
      <c r="E317" s="816"/>
      <c r="F317" s="816"/>
      <c r="G317" s="816"/>
      <c r="H317" s="817"/>
      <c r="I317" s="817"/>
      <c r="J317" s="817"/>
      <c r="K317" s="818"/>
      <c r="L317" s="772"/>
      <c r="M317" s="772"/>
      <c r="N317" s="772"/>
      <c r="O317" s="772"/>
      <c r="P317" s="772"/>
      <c r="Q317" s="772"/>
      <c r="R317" s="772"/>
      <c r="S317" s="772"/>
      <c r="T317" s="772"/>
      <c r="U317" s="772"/>
      <c r="V317" s="772"/>
      <c r="W317" s="772"/>
      <c r="X317" s="772"/>
      <c r="Y317" s="772"/>
      <c r="Z317" s="772"/>
      <c r="AA317" s="772"/>
      <c r="AB317" s="772"/>
      <c r="AC317" s="772"/>
      <c r="AD317" s="772"/>
      <c r="AE317" s="772"/>
      <c r="AF317" s="772"/>
      <c r="AG317" s="772"/>
      <c r="AH317" s="772"/>
      <c r="AI317" s="772"/>
    </row>
    <row r="318" ht="15.75" customHeight="1">
      <c r="A318" s="815"/>
      <c r="B318" s="782"/>
      <c r="C318" s="782"/>
      <c r="D318" s="782"/>
      <c r="E318" s="816"/>
      <c r="F318" s="816"/>
      <c r="G318" s="816"/>
      <c r="H318" s="817"/>
      <c r="I318" s="817"/>
      <c r="J318" s="817"/>
      <c r="K318" s="818"/>
      <c r="L318" s="772"/>
      <c r="M318" s="772"/>
      <c r="N318" s="772"/>
      <c r="O318" s="772"/>
      <c r="P318" s="772"/>
      <c r="Q318" s="772"/>
      <c r="R318" s="772"/>
      <c r="S318" s="772"/>
      <c r="T318" s="772"/>
      <c r="U318" s="772"/>
      <c r="V318" s="772"/>
      <c r="W318" s="772"/>
      <c r="X318" s="772"/>
      <c r="Y318" s="772"/>
      <c r="Z318" s="772"/>
      <c r="AA318" s="772"/>
      <c r="AB318" s="772"/>
      <c r="AC318" s="772"/>
      <c r="AD318" s="772"/>
      <c r="AE318" s="772"/>
      <c r="AF318" s="772"/>
      <c r="AG318" s="772"/>
      <c r="AH318" s="772"/>
      <c r="AI318" s="772"/>
    </row>
    <row r="319" ht="15.75" customHeight="1">
      <c r="A319" s="815"/>
      <c r="B319" s="782"/>
      <c r="C319" s="782"/>
      <c r="D319" s="782"/>
      <c r="E319" s="816"/>
      <c r="F319" s="816"/>
      <c r="G319" s="816"/>
      <c r="H319" s="817"/>
      <c r="I319" s="817"/>
      <c r="J319" s="817"/>
      <c r="K319" s="818"/>
      <c r="L319" s="772"/>
      <c r="M319" s="772"/>
      <c r="N319" s="772"/>
      <c r="O319" s="772"/>
      <c r="P319" s="772"/>
      <c r="Q319" s="772"/>
      <c r="R319" s="772"/>
      <c r="S319" s="772"/>
      <c r="T319" s="772"/>
      <c r="U319" s="772"/>
      <c r="V319" s="772"/>
      <c r="W319" s="772"/>
      <c r="X319" s="772"/>
      <c r="Y319" s="772"/>
      <c r="Z319" s="772"/>
      <c r="AA319" s="772"/>
      <c r="AB319" s="772"/>
      <c r="AC319" s="772"/>
      <c r="AD319" s="772"/>
      <c r="AE319" s="772"/>
      <c r="AF319" s="772"/>
      <c r="AG319" s="772"/>
      <c r="AH319" s="772"/>
      <c r="AI319" s="772"/>
    </row>
    <row r="320" ht="15.75" customHeight="1">
      <c r="A320" s="815"/>
      <c r="B320" s="782"/>
      <c r="C320" s="782"/>
      <c r="D320" s="782"/>
      <c r="E320" s="816"/>
      <c r="F320" s="816"/>
      <c r="G320" s="816"/>
      <c r="H320" s="817"/>
      <c r="I320" s="817"/>
      <c r="J320" s="817"/>
      <c r="K320" s="818"/>
      <c r="L320" s="772"/>
      <c r="M320" s="772"/>
      <c r="N320" s="772"/>
      <c r="O320" s="772"/>
      <c r="P320" s="772"/>
      <c r="Q320" s="772"/>
      <c r="R320" s="772"/>
      <c r="S320" s="772"/>
      <c r="T320" s="772"/>
      <c r="U320" s="772"/>
      <c r="V320" s="772"/>
      <c r="W320" s="772"/>
      <c r="X320" s="772"/>
      <c r="Y320" s="772"/>
      <c r="Z320" s="772"/>
      <c r="AA320" s="772"/>
      <c r="AB320" s="772"/>
      <c r="AC320" s="772"/>
      <c r="AD320" s="772"/>
      <c r="AE320" s="772"/>
      <c r="AF320" s="772"/>
      <c r="AG320" s="772"/>
      <c r="AH320" s="772"/>
      <c r="AI320" s="772"/>
    </row>
    <row r="321" ht="15.75" customHeight="1">
      <c r="A321" s="815"/>
      <c r="B321" s="782"/>
      <c r="C321" s="782"/>
      <c r="D321" s="782"/>
      <c r="E321" s="816"/>
      <c r="F321" s="816"/>
      <c r="G321" s="816"/>
      <c r="H321" s="817"/>
      <c r="I321" s="817"/>
      <c r="J321" s="817"/>
      <c r="K321" s="818"/>
      <c r="L321" s="772"/>
      <c r="M321" s="772"/>
      <c r="N321" s="772"/>
      <c r="O321" s="772"/>
      <c r="P321" s="772"/>
      <c r="Q321" s="772"/>
      <c r="R321" s="772"/>
      <c r="S321" s="772"/>
      <c r="T321" s="772"/>
      <c r="U321" s="772"/>
      <c r="V321" s="772"/>
      <c r="W321" s="772"/>
      <c r="X321" s="772"/>
      <c r="Y321" s="772"/>
      <c r="Z321" s="772"/>
      <c r="AA321" s="772"/>
      <c r="AB321" s="772"/>
      <c r="AC321" s="772"/>
      <c r="AD321" s="772"/>
      <c r="AE321" s="772"/>
      <c r="AF321" s="772"/>
      <c r="AG321" s="772"/>
      <c r="AH321" s="772"/>
      <c r="AI321" s="772"/>
    </row>
    <row r="322" ht="15.75" customHeight="1">
      <c r="A322" s="815"/>
      <c r="B322" s="782"/>
      <c r="C322" s="782"/>
      <c r="D322" s="782"/>
      <c r="E322" s="816"/>
      <c r="F322" s="816"/>
      <c r="G322" s="816"/>
      <c r="H322" s="817"/>
      <c r="I322" s="817"/>
      <c r="J322" s="817"/>
      <c r="K322" s="818"/>
      <c r="L322" s="772"/>
      <c r="M322" s="772"/>
      <c r="N322" s="772"/>
      <c r="O322" s="772"/>
      <c r="P322" s="772"/>
      <c r="Q322" s="772"/>
      <c r="R322" s="772"/>
      <c r="S322" s="772"/>
      <c r="T322" s="772"/>
      <c r="U322" s="772"/>
      <c r="V322" s="772"/>
      <c r="W322" s="772"/>
      <c r="X322" s="772"/>
      <c r="Y322" s="772"/>
      <c r="Z322" s="772"/>
      <c r="AA322" s="772"/>
      <c r="AB322" s="772"/>
      <c r="AC322" s="772"/>
      <c r="AD322" s="772"/>
      <c r="AE322" s="772"/>
      <c r="AF322" s="772"/>
      <c r="AG322" s="772"/>
      <c r="AH322" s="772"/>
      <c r="AI322" s="772"/>
    </row>
    <row r="323" ht="15.75" customHeight="1">
      <c r="A323" s="815"/>
      <c r="B323" s="782"/>
      <c r="C323" s="782"/>
      <c r="D323" s="782"/>
      <c r="E323" s="816"/>
      <c r="F323" s="816"/>
      <c r="G323" s="816"/>
      <c r="H323" s="817"/>
      <c r="I323" s="817"/>
      <c r="J323" s="817"/>
      <c r="K323" s="818"/>
      <c r="L323" s="772"/>
      <c r="M323" s="772"/>
      <c r="N323" s="772"/>
      <c r="O323" s="772"/>
      <c r="P323" s="772"/>
      <c r="Q323" s="772"/>
      <c r="R323" s="772"/>
      <c r="S323" s="772"/>
      <c r="T323" s="772"/>
      <c r="U323" s="772"/>
      <c r="V323" s="772"/>
      <c r="W323" s="772"/>
      <c r="X323" s="772"/>
      <c r="Y323" s="772"/>
      <c r="Z323" s="772"/>
      <c r="AA323" s="772"/>
      <c r="AB323" s="772"/>
      <c r="AC323" s="772"/>
      <c r="AD323" s="772"/>
      <c r="AE323" s="772"/>
      <c r="AF323" s="772"/>
      <c r="AG323" s="772"/>
      <c r="AH323" s="772"/>
      <c r="AI323" s="772"/>
    </row>
    <row r="324" ht="15.75" customHeight="1">
      <c r="A324" s="815"/>
      <c r="B324" s="782"/>
      <c r="C324" s="782"/>
      <c r="D324" s="782"/>
      <c r="E324" s="816"/>
      <c r="F324" s="816"/>
      <c r="G324" s="816"/>
      <c r="H324" s="817"/>
      <c r="I324" s="817"/>
      <c r="J324" s="817"/>
      <c r="K324" s="818"/>
      <c r="L324" s="772"/>
      <c r="M324" s="772"/>
      <c r="N324" s="772"/>
      <c r="O324" s="772"/>
      <c r="P324" s="772"/>
      <c r="Q324" s="772"/>
      <c r="R324" s="772"/>
      <c r="S324" s="772"/>
      <c r="T324" s="772"/>
      <c r="U324" s="772"/>
      <c r="V324" s="772"/>
      <c r="W324" s="772"/>
      <c r="X324" s="772"/>
      <c r="Y324" s="772"/>
      <c r="Z324" s="772"/>
      <c r="AA324" s="772"/>
      <c r="AB324" s="772"/>
      <c r="AC324" s="772"/>
      <c r="AD324" s="772"/>
      <c r="AE324" s="772"/>
      <c r="AF324" s="772"/>
      <c r="AG324" s="772"/>
      <c r="AH324" s="772"/>
      <c r="AI324" s="772"/>
    </row>
    <row r="325" ht="15.75" customHeight="1">
      <c r="A325" s="815"/>
      <c r="B325" s="782"/>
      <c r="C325" s="782"/>
      <c r="D325" s="782"/>
      <c r="E325" s="816"/>
      <c r="F325" s="816"/>
      <c r="G325" s="816"/>
      <c r="H325" s="817"/>
      <c r="I325" s="817"/>
      <c r="J325" s="817"/>
      <c r="K325" s="818"/>
      <c r="L325" s="772"/>
      <c r="M325" s="772"/>
      <c r="N325" s="772"/>
      <c r="O325" s="772"/>
      <c r="P325" s="772"/>
      <c r="Q325" s="772"/>
      <c r="R325" s="772"/>
      <c r="S325" s="772"/>
      <c r="T325" s="772"/>
      <c r="U325" s="772"/>
      <c r="V325" s="772"/>
      <c r="W325" s="772"/>
      <c r="X325" s="772"/>
      <c r="Y325" s="772"/>
      <c r="Z325" s="772"/>
      <c r="AA325" s="772"/>
      <c r="AB325" s="772"/>
      <c r="AC325" s="772"/>
      <c r="AD325" s="772"/>
      <c r="AE325" s="772"/>
      <c r="AF325" s="772"/>
      <c r="AG325" s="772"/>
      <c r="AH325" s="772"/>
      <c r="AI325" s="772"/>
    </row>
    <row r="326" ht="15.75" customHeight="1">
      <c r="A326" s="815"/>
      <c r="B326" s="782"/>
      <c r="C326" s="782"/>
      <c r="D326" s="782"/>
      <c r="E326" s="816"/>
      <c r="F326" s="816"/>
      <c r="G326" s="816"/>
      <c r="H326" s="817"/>
      <c r="I326" s="817"/>
      <c r="J326" s="817"/>
      <c r="K326" s="818"/>
      <c r="L326" s="772"/>
      <c r="M326" s="772"/>
      <c r="N326" s="772"/>
      <c r="O326" s="772"/>
      <c r="P326" s="772"/>
      <c r="Q326" s="772"/>
      <c r="R326" s="772"/>
      <c r="S326" s="772"/>
      <c r="T326" s="772"/>
      <c r="U326" s="772"/>
      <c r="V326" s="772"/>
      <c r="W326" s="772"/>
      <c r="X326" s="772"/>
      <c r="Y326" s="772"/>
      <c r="Z326" s="772"/>
      <c r="AA326" s="772"/>
      <c r="AB326" s="772"/>
      <c r="AC326" s="772"/>
      <c r="AD326" s="772"/>
      <c r="AE326" s="772"/>
      <c r="AF326" s="772"/>
      <c r="AG326" s="772"/>
      <c r="AH326" s="772"/>
      <c r="AI326" s="772"/>
    </row>
    <row r="327" ht="15.75" customHeight="1">
      <c r="A327" s="815"/>
      <c r="B327" s="782"/>
      <c r="C327" s="782"/>
      <c r="D327" s="782"/>
      <c r="E327" s="816"/>
      <c r="F327" s="816"/>
      <c r="G327" s="816"/>
      <c r="H327" s="817"/>
      <c r="I327" s="817"/>
      <c r="J327" s="817"/>
      <c r="K327" s="818"/>
      <c r="L327" s="772"/>
      <c r="M327" s="772"/>
      <c r="N327" s="772"/>
      <c r="O327" s="772"/>
      <c r="P327" s="772"/>
      <c r="Q327" s="772"/>
      <c r="R327" s="772"/>
      <c r="S327" s="772"/>
      <c r="T327" s="772"/>
      <c r="U327" s="772"/>
      <c r="V327" s="772"/>
      <c r="W327" s="772"/>
      <c r="X327" s="772"/>
      <c r="Y327" s="772"/>
      <c r="Z327" s="772"/>
      <c r="AA327" s="772"/>
      <c r="AB327" s="772"/>
      <c r="AC327" s="772"/>
      <c r="AD327" s="772"/>
      <c r="AE327" s="772"/>
      <c r="AF327" s="772"/>
      <c r="AG327" s="772"/>
      <c r="AH327" s="772"/>
      <c r="AI327" s="772"/>
    </row>
    <row r="328" ht="15.75" customHeight="1">
      <c r="A328" s="815"/>
      <c r="B328" s="782"/>
      <c r="C328" s="782"/>
      <c r="D328" s="782"/>
      <c r="E328" s="816"/>
      <c r="F328" s="816"/>
      <c r="G328" s="816"/>
      <c r="H328" s="817"/>
      <c r="I328" s="817"/>
      <c r="J328" s="817"/>
      <c r="K328" s="818"/>
      <c r="L328" s="772"/>
      <c r="M328" s="772"/>
      <c r="N328" s="772"/>
      <c r="O328" s="772"/>
      <c r="P328" s="772"/>
      <c r="Q328" s="772"/>
      <c r="R328" s="772"/>
      <c r="S328" s="772"/>
      <c r="T328" s="772"/>
      <c r="U328" s="772"/>
      <c r="V328" s="772"/>
      <c r="W328" s="772"/>
      <c r="X328" s="772"/>
      <c r="Y328" s="772"/>
      <c r="Z328" s="772"/>
      <c r="AA328" s="772"/>
      <c r="AB328" s="772"/>
      <c r="AC328" s="772"/>
      <c r="AD328" s="772"/>
      <c r="AE328" s="772"/>
      <c r="AF328" s="772"/>
      <c r="AG328" s="772"/>
      <c r="AH328" s="772"/>
      <c r="AI328" s="772"/>
    </row>
    <row r="329" ht="15.75" customHeight="1">
      <c r="A329" s="815"/>
      <c r="B329" s="782"/>
      <c r="C329" s="782"/>
      <c r="D329" s="782"/>
      <c r="E329" s="816"/>
      <c r="F329" s="816"/>
      <c r="G329" s="816"/>
      <c r="H329" s="817"/>
      <c r="I329" s="817"/>
      <c r="J329" s="817"/>
      <c r="K329" s="818"/>
      <c r="L329" s="772"/>
      <c r="M329" s="772"/>
      <c r="N329" s="772"/>
      <c r="O329" s="772"/>
      <c r="P329" s="772"/>
      <c r="Q329" s="772"/>
      <c r="R329" s="772"/>
      <c r="S329" s="772"/>
      <c r="T329" s="772"/>
      <c r="U329" s="772"/>
      <c r="V329" s="772"/>
      <c r="W329" s="772"/>
      <c r="X329" s="772"/>
      <c r="Y329" s="772"/>
      <c r="Z329" s="772"/>
      <c r="AA329" s="772"/>
      <c r="AB329" s="772"/>
      <c r="AC329" s="772"/>
      <c r="AD329" s="772"/>
      <c r="AE329" s="772"/>
      <c r="AF329" s="772"/>
      <c r="AG329" s="772"/>
      <c r="AH329" s="772"/>
      <c r="AI329" s="772"/>
    </row>
    <row r="330" ht="15.75" customHeight="1">
      <c r="A330" s="815"/>
      <c r="B330" s="782"/>
      <c r="C330" s="782"/>
      <c r="D330" s="782"/>
      <c r="E330" s="816"/>
      <c r="F330" s="816"/>
      <c r="G330" s="816"/>
      <c r="H330" s="817"/>
      <c r="I330" s="817"/>
      <c r="J330" s="817"/>
      <c r="K330" s="818"/>
      <c r="L330" s="772"/>
      <c r="M330" s="772"/>
      <c r="N330" s="772"/>
      <c r="O330" s="772"/>
      <c r="P330" s="772"/>
      <c r="Q330" s="772"/>
      <c r="R330" s="772"/>
      <c r="S330" s="772"/>
      <c r="T330" s="772"/>
      <c r="U330" s="772"/>
      <c r="V330" s="772"/>
      <c r="W330" s="772"/>
      <c r="X330" s="772"/>
      <c r="Y330" s="772"/>
      <c r="Z330" s="772"/>
      <c r="AA330" s="772"/>
      <c r="AB330" s="772"/>
      <c r="AC330" s="772"/>
      <c r="AD330" s="772"/>
      <c r="AE330" s="772"/>
      <c r="AF330" s="772"/>
      <c r="AG330" s="772"/>
      <c r="AH330" s="772"/>
      <c r="AI330" s="772"/>
    </row>
    <row r="331" ht="15.75" customHeight="1">
      <c r="A331" s="815"/>
      <c r="B331" s="782"/>
      <c r="C331" s="782"/>
      <c r="D331" s="782"/>
      <c r="E331" s="816"/>
      <c r="F331" s="816"/>
      <c r="G331" s="816"/>
      <c r="H331" s="817"/>
      <c r="I331" s="817"/>
      <c r="J331" s="817"/>
      <c r="K331" s="818"/>
      <c r="L331" s="772"/>
      <c r="M331" s="772"/>
      <c r="N331" s="772"/>
      <c r="O331" s="772"/>
      <c r="P331" s="772"/>
      <c r="Q331" s="772"/>
      <c r="R331" s="772"/>
      <c r="S331" s="772"/>
      <c r="T331" s="772"/>
      <c r="U331" s="772"/>
      <c r="V331" s="772"/>
      <c r="W331" s="772"/>
      <c r="X331" s="772"/>
      <c r="Y331" s="772"/>
      <c r="Z331" s="772"/>
      <c r="AA331" s="772"/>
      <c r="AB331" s="772"/>
      <c r="AC331" s="772"/>
      <c r="AD331" s="772"/>
      <c r="AE331" s="772"/>
      <c r="AF331" s="772"/>
      <c r="AG331" s="772"/>
      <c r="AH331" s="772"/>
      <c r="AI331" s="772"/>
    </row>
    <row r="332" ht="15.75" customHeight="1">
      <c r="A332" s="815"/>
      <c r="B332" s="782"/>
      <c r="C332" s="782"/>
      <c r="D332" s="782"/>
      <c r="E332" s="816"/>
      <c r="F332" s="816"/>
      <c r="G332" s="816"/>
      <c r="H332" s="817"/>
      <c r="I332" s="817"/>
      <c r="J332" s="817"/>
      <c r="K332" s="818"/>
      <c r="L332" s="772"/>
      <c r="M332" s="772"/>
      <c r="N332" s="772"/>
      <c r="O332" s="772"/>
      <c r="P332" s="772"/>
      <c r="Q332" s="772"/>
      <c r="R332" s="772"/>
      <c r="S332" s="772"/>
      <c r="T332" s="772"/>
      <c r="U332" s="772"/>
      <c r="V332" s="772"/>
      <c r="W332" s="772"/>
      <c r="X332" s="772"/>
      <c r="Y332" s="772"/>
      <c r="Z332" s="772"/>
      <c r="AA332" s="772"/>
      <c r="AB332" s="772"/>
      <c r="AC332" s="772"/>
      <c r="AD332" s="772"/>
      <c r="AE332" s="772"/>
      <c r="AF332" s="772"/>
      <c r="AG332" s="772"/>
      <c r="AH332" s="772"/>
      <c r="AI332" s="772"/>
    </row>
    <row r="333" ht="15.75" customHeight="1">
      <c r="A333" s="815"/>
      <c r="B333" s="782"/>
      <c r="C333" s="782"/>
      <c r="D333" s="782"/>
      <c r="E333" s="816"/>
      <c r="F333" s="816"/>
      <c r="G333" s="816"/>
      <c r="H333" s="817"/>
      <c r="I333" s="817"/>
      <c r="J333" s="817"/>
      <c r="K333" s="818"/>
      <c r="L333" s="772"/>
      <c r="M333" s="772"/>
      <c r="N333" s="772"/>
      <c r="O333" s="772"/>
      <c r="P333" s="772"/>
      <c r="Q333" s="772"/>
      <c r="R333" s="772"/>
      <c r="S333" s="772"/>
      <c r="T333" s="772"/>
      <c r="U333" s="772"/>
      <c r="V333" s="772"/>
      <c r="W333" s="772"/>
      <c r="X333" s="772"/>
      <c r="Y333" s="772"/>
      <c r="Z333" s="772"/>
      <c r="AA333" s="772"/>
      <c r="AB333" s="772"/>
      <c r="AC333" s="772"/>
      <c r="AD333" s="772"/>
      <c r="AE333" s="772"/>
      <c r="AF333" s="772"/>
      <c r="AG333" s="772"/>
      <c r="AH333" s="772"/>
      <c r="AI333" s="772"/>
    </row>
    <row r="334" ht="15.75" customHeight="1">
      <c r="A334" s="815"/>
      <c r="B334" s="782"/>
      <c r="C334" s="782"/>
      <c r="D334" s="782"/>
      <c r="E334" s="816"/>
      <c r="F334" s="816"/>
      <c r="G334" s="816"/>
      <c r="H334" s="817"/>
      <c r="I334" s="817"/>
      <c r="J334" s="817"/>
      <c r="K334" s="818"/>
      <c r="L334" s="772"/>
      <c r="M334" s="772"/>
      <c r="N334" s="772"/>
      <c r="O334" s="772"/>
      <c r="P334" s="772"/>
      <c r="Q334" s="772"/>
      <c r="R334" s="772"/>
      <c r="S334" s="772"/>
      <c r="T334" s="772"/>
      <c r="U334" s="772"/>
      <c r="V334" s="772"/>
      <c r="W334" s="772"/>
      <c r="X334" s="772"/>
      <c r="Y334" s="772"/>
      <c r="Z334" s="772"/>
      <c r="AA334" s="772"/>
      <c r="AB334" s="772"/>
      <c r="AC334" s="772"/>
      <c r="AD334" s="772"/>
      <c r="AE334" s="772"/>
      <c r="AF334" s="772"/>
      <c r="AG334" s="772"/>
      <c r="AH334" s="772"/>
      <c r="AI334" s="772"/>
    </row>
    <row r="335" ht="15.75" customHeight="1">
      <c r="A335" s="815"/>
      <c r="B335" s="782"/>
      <c r="C335" s="782"/>
      <c r="D335" s="782"/>
      <c r="E335" s="816"/>
      <c r="F335" s="816"/>
      <c r="G335" s="816"/>
      <c r="H335" s="817"/>
      <c r="I335" s="817"/>
      <c r="J335" s="817"/>
      <c r="K335" s="818"/>
      <c r="L335" s="772"/>
      <c r="M335" s="772"/>
      <c r="N335" s="772"/>
      <c r="O335" s="772"/>
      <c r="P335" s="772"/>
      <c r="Q335" s="772"/>
      <c r="R335" s="772"/>
      <c r="S335" s="772"/>
      <c r="T335" s="772"/>
      <c r="U335" s="772"/>
      <c r="V335" s="772"/>
      <c r="W335" s="772"/>
      <c r="X335" s="772"/>
      <c r="Y335" s="772"/>
      <c r="Z335" s="772"/>
      <c r="AA335" s="772"/>
      <c r="AB335" s="772"/>
      <c r="AC335" s="772"/>
      <c r="AD335" s="772"/>
      <c r="AE335" s="772"/>
      <c r="AF335" s="772"/>
      <c r="AG335" s="772"/>
      <c r="AH335" s="772"/>
      <c r="AI335" s="772"/>
    </row>
    <row r="336" ht="15.75" customHeight="1">
      <c r="A336" s="815"/>
      <c r="B336" s="782"/>
      <c r="C336" s="782"/>
      <c r="D336" s="782"/>
      <c r="E336" s="816"/>
      <c r="F336" s="816"/>
      <c r="G336" s="816"/>
      <c r="H336" s="817"/>
      <c r="I336" s="817"/>
      <c r="J336" s="817"/>
      <c r="K336" s="818"/>
      <c r="L336" s="772"/>
      <c r="M336" s="772"/>
      <c r="N336" s="772"/>
      <c r="O336" s="772"/>
      <c r="P336" s="772"/>
      <c r="Q336" s="772"/>
      <c r="R336" s="772"/>
      <c r="S336" s="772"/>
      <c r="T336" s="772"/>
      <c r="U336" s="772"/>
      <c r="V336" s="772"/>
      <c r="W336" s="772"/>
      <c r="X336" s="772"/>
      <c r="Y336" s="772"/>
      <c r="Z336" s="772"/>
      <c r="AA336" s="772"/>
      <c r="AB336" s="772"/>
      <c r="AC336" s="772"/>
      <c r="AD336" s="772"/>
      <c r="AE336" s="772"/>
      <c r="AF336" s="772"/>
      <c r="AG336" s="772"/>
      <c r="AH336" s="772"/>
      <c r="AI336" s="772"/>
    </row>
    <row r="337" ht="15.75" customHeight="1">
      <c r="A337" s="815"/>
      <c r="B337" s="782"/>
      <c r="C337" s="782"/>
      <c r="D337" s="782"/>
      <c r="E337" s="816"/>
      <c r="F337" s="816"/>
      <c r="G337" s="816"/>
      <c r="H337" s="817"/>
      <c r="I337" s="817"/>
      <c r="J337" s="817"/>
      <c r="K337" s="818"/>
      <c r="L337" s="772"/>
      <c r="M337" s="772"/>
      <c r="N337" s="772"/>
      <c r="O337" s="772"/>
      <c r="P337" s="772"/>
      <c r="Q337" s="772"/>
      <c r="R337" s="772"/>
      <c r="S337" s="772"/>
      <c r="T337" s="772"/>
      <c r="U337" s="772"/>
      <c r="V337" s="772"/>
      <c r="W337" s="772"/>
      <c r="X337" s="772"/>
      <c r="Y337" s="772"/>
      <c r="Z337" s="772"/>
      <c r="AA337" s="772"/>
      <c r="AB337" s="772"/>
      <c r="AC337" s="772"/>
      <c r="AD337" s="772"/>
      <c r="AE337" s="772"/>
      <c r="AF337" s="772"/>
      <c r="AG337" s="772"/>
      <c r="AH337" s="772"/>
      <c r="AI337" s="772"/>
    </row>
    <row r="338" ht="15.75" customHeight="1">
      <c r="A338" s="815"/>
      <c r="B338" s="782"/>
      <c r="C338" s="782"/>
      <c r="D338" s="782"/>
      <c r="E338" s="816"/>
      <c r="F338" s="816"/>
      <c r="G338" s="816"/>
      <c r="H338" s="817"/>
      <c r="I338" s="817"/>
      <c r="J338" s="817"/>
      <c r="K338" s="818"/>
      <c r="L338" s="772"/>
      <c r="M338" s="772"/>
      <c r="N338" s="772"/>
      <c r="O338" s="772"/>
      <c r="P338" s="772"/>
      <c r="Q338" s="772"/>
      <c r="R338" s="772"/>
      <c r="S338" s="772"/>
      <c r="T338" s="772"/>
      <c r="U338" s="772"/>
      <c r="V338" s="772"/>
      <c r="W338" s="772"/>
      <c r="X338" s="772"/>
      <c r="Y338" s="772"/>
      <c r="Z338" s="772"/>
      <c r="AA338" s="772"/>
      <c r="AB338" s="772"/>
      <c r="AC338" s="772"/>
      <c r="AD338" s="772"/>
      <c r="AE338" s="772"/>
      <c r="AF338" s="772"/>
      <c r="AG338" s="772"/>
      <c r="AH338" s="772"/>
      <c r="AI338" s="772"/>
    </row>
    <row r="339" ht="15.75" customHeight="1">
      <c r="A339" s="815"/>
      <c r="B339" s="782"/>
      <c r="C339" s="782"/>
      <c r="D339" s="782"/>
      <c r="E339" s="816"/>
      <c r="F339" s="816"/>
      <c r="G339" s="816"/>
      <c r="H339" s="817"/>
      <c r="I339" s="817"/>
      <c r="J339" s="817"/>
      <c r="K339" s="818"/>
      <c r="L339" s="772"/>
      <c r="M339" s="772"/>
      <c r="N339" s="772"/>
      <c r="O339" s="772"/>
      <c r="P339" s="772"/>
      <c r="Q339" s="772"/>
      <c r="R339" s="772"/>
      <c r="S339" s="772"/>
      <c r="T339" s="772"/>
      <c r="U339" s="772"/>
      <c r="V339" s="772"/>
      <c r="W339" s="772"/>
      <c r="X339" s="772"/>
      <c r="Y339" s="772"/>
      <c r="Z339" s="772"/>
      <c r="AA339" s="772"/>
      <c r="AB339" s="772"/>
      <c r="AC339" s="772"/>
      <c r="AD339" s="772"/>
      <c r="AE339" s="772"/>
      <c r="AF339" s="772"/>
      <c r="AG339" s="772"/>
      <c r="AH339" s="772"/>
      <c r="AI339" s="772"/>
    </row>
    <row r="340" ht="15.75" customHeight="1">
      <c r="A340" s="815"/>
      <c r="B340" s="782"/>
      <c r="C340" s="782"/>
      <c r="D340" s="782"/>
      <c r="E340" s="816"/>
      <c r="F340" s="816"/>
      <c r="G340" s="816"/>
      <c r="H340" s="817"/>
      <c r="I340" s="817"/>
      <c r="J340" s="817"/>
      <c r="K340" s="818"/>
      <c r="L340" s="772"/>
      <c r="M340" s="772"/>
      <c r="N340" s="772"/>
      <c r="O340" s="772"/>
      <c r="P340" s="772"/>
      <c r="Q340" s="772"/>
      <c r="R340" s="772"/>
      <c r="S340" s="772"/>
      <c r="T340" s="772"/>
      <c r="U340" s="772"/>
      <c r="V340" s="772"/>
      <c r="W340" s="772"/>
      <c r="X340" s="772"/>
      <c r="Y340" s="772"/>
      <c r="Z340" s="772"/>
      <c r="AA340" s="772"/>
      <c r="AB340" s="772"/>
      <c r="AC340" s="772"/>
      <c r="AD340" s="772"/>
      <c r="AE340" s="772"/>
      <c r="AF340" s="772"/>
      <c r="AG340" s="772"/>
      <c r="AH340" s="772"/>
      <c r="AI340" s="772"/>
    </row>
    <row r="341" ht="15.75" customHeight="1">
      <c r="A341" s="815"/>
      <c r="B341" s="782"/>
      <c r="C341" s="782"/>
      <c r="D341" s="782"/>
      <c r="E341" s="816"/>
      <c r="F341" s="816"/>
      <c r="G341" s="816"/>
      <c r="H341" s="817"/>
      <c r="I341" s="817"/>
      <c r="J341" s="817"/>
      <c r="K341" s="818"/>
      <c r="L341" s="772"/>
      <c r="M341" s="772"/>
      <c r="N341" s="772"/>
      <c r="O341" s="772"/>
      <c r="P341" s="772"/>
      <c r="Q341" s="772"/>
      <c r="R341" s="772"/>
      <c r="S341" s="772"/>
      <c r="T341" s="772"/>
      <c r="U341" s="772"/>
      <c r="V341" s="772"/>
      <c r="W341" s="772"/>
      <c r="X341" s="772"/>
      <c r="Y341" s="772"/>
      <c r="Z341" s="772"/>
      <c r="AA341" s="772"/>
      <c r="AB341" s="772"/>
      <c r="AC341" s="772"/>
      <c r="AD341" s="772"/>
      <c r="AE341" s="772"/>
      <c r="AF341" s="772"/>
      <c r="AG341" s="772"/>
      <c r="AH341" s="772"/>
      <c r="AI341" s="772"/>
    </row>
    <row r="342" ht="15.75" customHeight="1">
      <c r="A342" s="815"/>
      <c r="B342" s="782"/>
      <c r="C342" s="782"/>
      <c r="D342" s="782"/>
      <c r="E342" s="816"/>
      <c r="F342" s="816"/>
      <c r="G342" s="816"/>
      <c r="H342" s="817"/>
      <c r="I342" s="817"/>
      <c r="J342" s="817"/>
      <c r="K342" s="818"/>
      <c r="L342" s="772"/>
      <c r="M342" s="772"/>
      <c r="N342" s="772"/>
      <c r="O342" s="772"/>
      <c r="P342" s="772"/>
      <c r="Q342" s="772"/>
      <c r="R342" s="772"/>
      <c r="S342" s="772"/>
      <c r="T342" s="772"/>
      <c r="U342" s="772"/>
      <c r="V342" s="772"/>
      <c r="W342" s="772"/>
      <c r="X342" s="772"/>
      <c r="Y342" s="772"/>
      <c r="Z342" s="772"/>
      <c r="AA342" s="772"/>
      <c r="AB342" s="772"/>
      <c r="AC342" s="772"/>
      <c r="AD342" s="772"/>
      <c r="AE342" s="772"/>
      <c r="AF342" s="772"/>
      <c r="AG342" s="772"/>
      <c r="AH342" s="772"/>
      <c r="AI342" s="772"/>
    </row>
    <row r="343" ht="15.75" customHeight="1">
      <c r="A343" s="815"/>
      <c r="B343" s="782"/>
      <c r="C343" s="782"/>
      <c r="D343" s="782"/>
      <c r="E343" s="816"/>
      <c r="F343" s="816"/>
      <c r="G343" s="816"/>
      <c r="H343" s="817"/>
      <c r="I343" s="817"/>
      <c r="J343" s="817"/>
      <c r="K343" s="818"/>
      <c r="L343" s="772"/>
      <c r="M343" s="772"/>
      <c r="N343" s="772"/>
      <c r="O343" s="772"/>
      <c r="P343" s="772"/>
      <c r="Q343" s="772"/>
      <c r="R343" s="772"/>
      <c r="S343" s="772"/>
      <c r="T343" s="772"/>
      <c r="U343" s="772"/>
      <c r="V343" s="772"/>
      <c r="W343" s="772"/>
      <c r="X343" s="772"/>
      <c r="Y343" s="772"/>
      <c r="Z343" s="772"/>
      <c r="AA343" s="772"/>
      <c r="AB343" s="772"/>
      <c r="AC343" s="772"/>
      <c r="AD343" s="772"/>
      <c r="AE343" s="772"/>
      <c r="AF343" s="772"/>
      <c r="AG343" s="772"/>
      <c r="AH343" s="772"/>
      <c r="AI343" s="772"/>
    </row>
    <row r="344" ht="15.75" customHeight="1">
      <c r="A344" s="815"/>
      <c r="B344" s="782"/>
      <c r="C344" s="782"/>
      <c r="D344" s="782"/>
      <c r="E344" s="816"/>
      <c r="F344" s="816"/>
      <c r="G344" s="816"/>
      <c r="H344" s="817"/>
      <c r="I344" s="817"/>
      <c r="J344" s="817"/>
      <c r="K344" s="818"/>
      <c r="L344" s="772"/>
      <c r="M344" s="772"/>
      <c r="N344" s="772"/>
      <c r="O344" s="772"/>
      <c r="P344" s="772"/>
      <c r="Q344" s="772"/>
      <c r="R344" s="772"/>
      <c r="S344" s="772"/>
      <c r="T344" s="772"/>
      <c r="U344" s="772"/>
      <c r="V344" s="772"/>
      <c r="W344" s="772"/>
      <c r="X344" s="772"/>
      <c r="Y344" s="772"/>
      <c r="Z344" s="772"/>
      <c r="AA344" s="772"/>
      <c r="AB344" s="772"/>
      <c r="AC344" s="772"/>
      <c r="AD344" s="772"/>
      <c r="AE344" s="772"/>
      <c r="AF344" s="772"/>
      <c r="AG344" s="772"/>
      <c r="AH344" s="772"/>
      <c r="AI344" s="772"/>
    </row>
    <row r="345" ht="15.75" customHeight="1">
      <c r="A345" s="815"/>
      <c r="B345" s="782"/>
      <c r="C345" s="782"/>
      <c r="D345" s="782"/>
      <c r="E345" s="816"/>
      <c r="F345" s="816"/>
      <c r="G345" s="816"/>
      <c r="H345" s="817"/>
      <c r="I345" s="817"/>
      <c r="J345" s="817"/>
      <c r="K345" s="818"/>
      <c r="L345" s="772"/>
      <c r="M345" s="772"/>
      <c r="N345" s="772"/>
      <c r="O345" s="772"/>
      <c r="P345" s="772"/>
      <c r="Q345" s="772"/>
      <c r="R345" s="772"/>
      <c r="S345" s="772"/>
      <c r="T345" s="772"/>
      <c r="U345" s="772"/>
      <c r="V345" s="772"/>
      <c r="W345" s="772"/>
      <c r="X345" s="772"/>
      <c r="Y345" s="772"/>
      <c r="Z345" s="772"/>
      <c r="AA345" s="772"/>
      <c r="AB345" s="772"/>
      <c r="AC345" s="772"/>
      <c r="AD345" s="772"/>
      <c r="AE345" s="772"/>
      <c r="AF345" s="772"/>
      <c r="AG345" s="772"/>
      <c r="AH345" s="772"/>
      <c r="AI345" s="772"/>
    </row>
    <row r="346" ht="15.75" customHeight="1">
      <c r="A346" s="815"/>
      <c r="B346" s="782"/>
      <c r="C346" s="782"/>
      <c r="D346" s="782"/>
      <c r="E346" s="816"/>
      <c r="F346" s="816"/>
      <c r="G346" s="816"/>
      <c r="H346" s="817"/>
      <c r="I346" s="817"/>
      <c r="J346" s="817"/>
      <c r="K346" s="818"/>
      <c r="L346" s="772"/>
      <c r="M346" s="772"/>
      <c r="N346" s="772"/>
      <c r="O346" s="772"/>
      <c r="P346" s="772"/>
      <c r="Q346" s="772"/>
      <c r="R346" s="772"/>
      <c r="S346" s="772"/>
      <c r="T346" s="772"/>
      <c r="U346" s="772"/>
      <c r="V346" s="772"/>
      <c r="W346" s="772"/>
      <c r="X346" s="772"/>
      <c r="Y346" s="772"/>
      <c r="Z346" s="772"/>
      <c r="AA346" s="772"/>
      <c r="AB346" s="772"/>
      <c r="AC346" s="772"/>
      <c r="AD346" s="772"/>
      <c r="AE346" s="772"/>
      <c r="AF346" s="772"/>
      <c r="AG346" s="772"/>
      <c r="AH346" s="772"/>
      <c r="AI346" s="772"/>
    </row>
    <row r="347" ht="15.75" customHeight="1">
      <c r="A347" s="815"/>
      <c r="B347" s="782"/>
      <c r="C347" s="782"/>
      <c r="D347" s="782"/>
      <c r="E347" s="816"/>
      <c r="F347" s="816"/>
      <c r="G347" s="816"/>
      <c r="H347" s="817"/>
      <c r="I347" s="817"/>
      <c r="J347" s="817"/>
      <c r="K347" s="818"/>
      <c r="L347" s="772"/>
      <c r="M347" s="772"/>
      <c r="N347" s="772"/>
      <c r="O347" s="772"/>
      <c r="P347" s="772"/>
      <c r="Q347" s="772"/>
      <c r="R347" s="772"/>
      <c r="S347" s="772"/>
      <c r="T347" s="772"/>
      <c r="U347" s="772"/>
      <c r="V347" s="772"/>
      <c r="W347" s="772"/>
      <c r="X347" s="772"/>
      <c r="Y347" s="772"/>
      <c r="Z347" s="772"/>
      <c r="AA347" s="772"/>
      <c r="AB347" s="772"/>
      <c r="AC347" s="772"/>
      <c r="AD347" s="772"/>
      <c r="AE347" s="772"/>
      <c r="AF347" s="772"/>
      <c r="AG347" s="772"/>
      <c r="AH347" s="772"/>
      <c r="AI347" s="772"/>
    </row>
    <row r="348" ht="15.75" customHeight="1">
      <c r="A348" s="815"/>
      <c r="B348" s="782"/>
      <c r="C348" s="782"/>
      <c r="D348" s="782"/>
      <c r="E348" s="816"/>
      <c r="F348" s="816"/>
      <c r="G348" s="816"/>
      <c r="H348" s="817"/>
      <c r="I348" s="817"/>
      <c r="J348" s="817"/>
      <c r="K348" s="818"/>
      <c r="L348" s="772"/>
      <c r="M348" s="772"/>
      <c r="N348" s="772"/>
      <c r="O348" s="772"/>
      <c r="P348" s="772"/>
      <c r="Q348" s="772"/>
      <c r="R348" s="772"/>
      <c r="S348" s="772"/>
      <c r="T348" s="772"/>
      <c r="U348" s="772"/>
      <c r="V348" s="772"/>
      <c r="W348" s="772"/>
      <c r="X348" s="772"/>
      <c r="Y348" s="772"/>
      <c r="Z348" s="772"/>
      <c r="AA348" s="772"/>
      <c r="AB348" s="772"/>
      <c r="AC348" s="772"/>
      <c r="AD348" s="772"/>
      <c r="AE348" s="772"/>
      <c r="AF348" s="772"/>
      <c r="AG348" s="772"/>
      <c r="AH348" s="772"/>
      <c r="AI348" s="772"/>
    </row>
    <row r="349" ht="15.75" customHeight="1">
      <c r="A349" s="815"/>
      <c r="B349" s="782"/>
      <c r="C349" s="782"/>
      <c r="D349" s="782"/>
      <c r="E349" s="816"/>
      <c r="F349" s="816"/>
      <c r="G349" s="816"/>
      <c r="H349" s="817"/>
      <c r="I349" s="817"/>
      <c r="J349" s="817"/>
      <c r="K349" s="818"/>
      <c r="L349" s="772"/>
      <c r="M349" s="772"/>
      <c r="N349" s="772"/>
      <c r="O349" s="772"/>
      <c r="P349" s="772"/>
      <c r="Q349" s="772"/>
      <c r="R349" s="772"/>
      <c r="S349" s="772"/>
      <c r="T349" s="772"/>
      <c r="U349" s="772"/>
      <c r="V349" s="772"/>
      <c r="W349" s="772"/>
      <c r="X349" s="772"/>
      <c r="Y349" s="772"/>
      <c r="Z349" s="772"/>
      <c r="AA349" s="772"/>
      <c r="AB349" s="772"/>
      <c r="AC349" s="772"/>
      <c r="AD349" s="772"/>
      <c r="AE349" s="772"/>
      <c r="AF349" s="772"/>
      <c r="AG349" s="772"/>
      <c r="AH349" s="772"/>
      <c r="AI349" s="772"/>
    </row>
    <row r="350" ht="15.75" customHeight="1">
      <c r="A350" s="815"/>
      <c r="B350" s="782"/>
      <c r="C350" s="782"/>
      <c r="D350" s="782"/>
      <c r="E350" s="816"/>
      <c r="F350" s="816"/>
      <c r="G350" s="816"/>
      <c r="H350" s="817"/>
      <c r="I350" s="817"/>
      <c r="J350" s="817"/>
      <c r="K350" s="818"/>
      <c r="L350" s="772"/>
      <c r="M350" s="772"/>
      <c r="N350" s="772"/>
      <c r="O350" s="772"/>
      <c r="P350" s="772"/>
      <c r="Q350" s="772"/>
      <c r="R350" s="772"/>
      <c r="S350" s="772"/>
      <c r="T350" s="772"/>
      <c r="U350" s="772"/>
      <c r="V350" s="772"/>
      <c r="W350" s="772"/>
      <c r="X350" s="772"/>
      <c r="Y350" s="772"/>
      <c r="Z350" s="772"/>
      <c r="AA350" s="772"/>
      <c r="AB350" s="772"/>
      <c r="AC350" s="772"/>
      <c r="AD350" s="772"/>
      <c r="AE350" s="772"/>
      <c r="AF350" s="772"/>
      <c r="AG350" s="772"/>
      <c r="AH350" s="772"/>
      <c r="AI350" s="772"/>
    </row>
    <row r="351" ht="15.75" customHeight="1">
      <c r="A351" s="815"/>
      <c r="B351" s="782"/>
      <c r="C351" s="782"/>
      <c r="D351" s="782"/>
      <c r="E351" s="816"/>
      <c r="F351" s="816"/>
      <c r="G351" s="816"/>
      <c r="H351" s="817"/>
      <c r="I351" s="817"/>
      <c r="J351" s="817"/>
      <c r="K351" s="818"/>
      <c r="L351" s="772"/>
      <c r="M351" s="772"/>
      <c r="N351" s="772"/>
      <c r="O351" s="772"/>
      <c r="P351" s="772"/>
      <c r="Q351" s="772"/>
      <c r="R351" s="772"/>
      <c r="S351" s="772"/>
      <c r="T351" s="772"/>
      <c r="U351" s="772"/>
      <c r="V351" s="772"/>
      <c r="W351" s="772"/>
      <c r="X351" s="772"/>
      <c r="Y351" s="772"/>
      <c r="Z351" s="772"/>
      <c r="AA351" s="772"/>
      <c r="AB351" s="772"/>
      <c r="AC351" s="772"/>
      <c r="AD351" s="772"/>
      <c r="AE351" s="772"/>
      <c r="AF351" s="772"/>
      <c r="AG351" s="772"/>
      <c r="AH351" s="772"/>
      <c r="AI351" s="772"/>
    </row>
    <row r="352" ht="15.75" customHeight="1">
      <c r="A352" s="815"/>
      <c r="B352" s="782"/>
      <c r="C352" s="782"/>
      <c r="D352" s="782"/>
      <c r="E352" s="816"/>
      <c r="F352" s="816"/>
      <c r="G352" s="816"/>
      <c r="H352" s="817"/>
      <c r="I352" s="817"/>
      <c r="J352" s="817"/>
      <c r="K352" s="818"/>
      <c r="L352" s="772"/>
      <c r="M352" s="772"/>
      <c r="N352" s="772"/>
      <c r="O352" s="772"/>
      <c r="P352" s="772"/>
      <c r="Q352" s="772"/>
      <c r="R352" s="772"/>
      <c r="S352" s="772"/>
      <c r="T352" s="772"/>
      <c r="U352" s="772"/>
      <c r="V352" s="772"/>
      <c r="W352" s="772"/>
      <c r="X352" s="772"/>
      <c r="Y352" s="772"/>
      <c r="Z352" s="772"/>
      <c r="AA352" s="772"/>
      <c r="AB352" s="772"/>
      <c r="AC352" s="772"/>
      <c r="AD352" s="772"/>
      <c r="AE352" s="772"/>
      <c r="AF352" s="772"/>
      <c r="AG352" s="772"/>
      <c r="AH352" s="772"/>
      <c r="AI352" s="772"/>
    </row>
    <row r="353" ht="15.75" customHeight="1">
      <c r="A353" s="815"/>
      <c r="B353" s="782"/>
      <c r="C353" s="782"/>
      <c r="D353" s="782"/>
      <c r="E353" s="816"/>
      <c r="F353" s="816"/>
      <c r="G353" s="816"/>
      <c r="H353" s="817"/>
      <c r="I353" s="817"/>
      <c r="J353" s="817"/>
      <c r="K353" s="818"/>
      <c r="L353" s="772"/>
      <c r="M353" s="772"/>
      <c r="N353" s="772"/>
      <c r="O353" s="772"/>
      <c r="P353" s="772"/>
      <c r="Q353" s="772"/>
      <c r="R353" s="772"/>
      <c r="S353" s="772"/>
      <c r="T353" s="772"/>
      <c r="U353" s="772"/>
      <c r="V353" s="772"/>
      <c r="W353" s="772"/>
      <c r="X353" s="772"/>
      <c r="Y353" s="772"/>
      <c r="Z353" s="772"/>
      <c r="AA353" s="772"/>
      <c r="AB353" s="772"/>
      <c r="AC353" s="772"/>
      <c r="AD353" s="772"/>
      <c r="AE353" s="772"/>
      <c r="AF353" s="772"/>
      <c r="AG353" s="772"/>
      <c r="AH353" s="772"/>
      <c r="AI353" s="772"/>
    </row>
    <row r="354" ht="15.75" customHeight="1">
      <c r="A354" s="815"/>
      <c r="B354" s="782"/>
      <c r="C354" s="782"/>
      <c r="D354" s="782"/>
      <c r="E354" s="816"/>
      <c r="F354" s="816"/>
      <c r="G354" s="816"/>
      <c r="H354" s="817"/>
      <c r="I354" s="817"/>
      <c r="J354" s="817"/>
      <c r="K354" s="818"/>
      <c r="L354" s="772"/>
      <c r="M354" s="772"/>
      <c r="N354" s="772"/>
      <c r="O354" s="772"/>
      <c r="P354" s="772"/>
      <c r="Q354" s="772"/>
      <c r="R354" s="772"/>
      <c r="S354" s="772"/>
      <c r="T354" s="772"/>
      <c r="U354" s="772"/>
      <c r="V354" s="772"/>
      <c r="W354" s="772"/>
      <c r="X354" s="772"/>
      <c r="Y354" s="772"/>
      <c r="Z354" s="772"/>
      <c r="AA354" s="772"/>
      <c r="AB354" s="772"/>
      <c r="AC354" s="772"/>
      <c r="AD354" s="772"/>
      <c r="AE354" s="772"/>
      <c r="AF354" s="772"/>
      <c r="AG354" s="772"/>
      <c r="AH354" s="772"/>
      <c r="AI354" s="772"/>
    </row>
    <row r="355" ht="15.75" customHeight="1">
      <c r="A355" s="815"/>
      <c r="B355" s="782"/>
      <c r="C355" s="782"/>
      <c r="D355" s="782"/>
      <c r="E355" s="816"/>
      <c r="F355" s="816"/>
      <c r="G355" s="816"/>
      <c r="H355" s="817"/>
      <c r="I355" s="817"/>
      <c r="J355" s="817"/>
      <c r="K355" s="818"/>
      <c r="L355" s="772"/>
      <c r="M355" s="772"/>
      <c r="N355" s="772"/>
      <c r="O355" s="772"/>
      <c r="P355" s="772"/>
      <c r="Q355" s="772"/>
      <c r="R355" s="772"/>
      <c r="S355" s="772"/>
      <c r="T355" s="772"/>
      <c r="U355" s="772"/>
      <c r="V355" s="772"/>
      <c r="W355" s="772"/>
      <c r="X355" s="772"/>
      <c r="Y355" s="772"/>
      <c r="Z355" s="772"/>
      <c r="AA355" s="772"/>
      <c r="AB355" s="772"/>
      <c r="AC355" s="772"/>
      <c r="AD355" s="772"/>
      <c r="AE355" s="772"/>
      <c r="AF355" s="772"/>
      <c r="AG355" s="772"/>
      <c r="AH355" s="772"/>
      <c r="AI355" s="772"/>
    </row>
    <row r="356" ht="15.75" customHeight="1">
      <c r="A356" s="815"/>
      <c r="B356" s="782"/>
      <c r="C356" s="782"/>
      <c r="D356" s="782"/>
      <c r="E356" s="816"/>
      <c r="F356" s="816"/>
      <c r="G356" s="816"/>
      <c r="H356" s="817"/>
      <c r="I356" s="817"/>
      <c r="J356" s="817"/>
      <c r="K356" s="818"/>
      <c r="L356" s="772"/>
      <c r="M356" s="772"/>
      <c r="N356" s="772"/>
      <c r="O356" s="772"/>
      <c r="P356" s="772"/>
      <c r="Q356" s="772"/>
      <c r="R356" s="772"/>
      <c r="S356" s="772"/>
      <c r="T356" s="772"/>
      <c r="U356" s="772"/>
      <c r="V356" s="772"/>
      <c r="W356" s="772"/>
      <c r="X356" s="772"/>
      <c r="Y356" s="772"/>
      <c r="Z356" s="772"/>
      <c r="AA356" s="772"/>
      <c r="AB356" s="772"/>
      <c r="AC356" s="772"/>
      <c r="AD356" s="772"/>
      <c r="AE356" s="772"/>
      <c r="AF356" s="772"/>
      <c r="AG356" s="772"/>
      <c r="AH356" s="772"/>
      <c r="AI356" s="772"/>
    </row>
    <row r="357" ht="15.75" customHeight="1">
      <c r="A357" s="815"/>
      <c r="B357" s="782"/>
      <c r="C357" s="782"/>
      <c r="D357" s="782"/>
      <c r="E357" s="816"/>
      <c r="F357" s="816"/>
      <c r="G357" s="816"/>
      <c r="H357" s="817"/>
      <c r="I357" s="817"/>
      <c r="J357" s="817"/>
      <c r="K357" s="818"/>
      <c r="L357" s="772"/>
      <c r="M357" s="772"/>
      <c r="N357" s="772"/>
      <c r="O357" s="772"/>
      <c r="P357" s="772"/>
      <c r="Q357" s="772"/>
      <c r="R357" s="772"/>
      <c r="S357" s="772"/>
      <c r="T357" s="772"/>
      <c r="U357" s="772"/>
      <c r="V357" s="772"/>
      <c r="W357" s="772"/>
      <c r="X357" s="772"/>
      <c r="Y357" s="772"/>
      <c r="Z357" s="772"/>
      <c r="AA357" s="772"/>
      <c r="AB357" s="772"/>
      <c r="AC357" s="772"/>
      <c r="AD357" s="772"/>
      <c r="AE357" s="772"/>
      <c r="AF357" s="772"/>
      <c r="AG357" s="772"/>
      <c r="AH357" s="772"/>
      <c r="AI357" s="772"/>
    </row>
    <row r="358" ht="15.75" customHeight="1">
      <c r="A358" s="815"/>
      <c r="B358" s="782"/>
      <c r="C358" s="782"/>
      <c r="D358" s="782"/>
      <c r="E358" s="816"/>
      <c r="F358" s="816"/>
      <c r="G358" s="816"/>
      <c r="H358" s="817"/>
      <c r="I358" s="817"/>
      <c r="J358" s="817"/>
      <c r="K358" s="818"/>
      <c r="L358" s="772"/>
      <c r="M358" s="772"/>
      <c r="N358" s="772"/>
      <c r="O358" s="772"/>
      <c r="P358" s="772"/>
      <c r="Q358" s="772"/>
      <c r="R358" s="772"/>
      <c r="S358" s="772"/>
      <c r="T358" s="772"/>
      <c r="U358" s="772"/>
      <c r="V358" s="772"/>
      <c r="W358" s="772"/>
      <c r="X358" s="772"/>
      <c r="Y358" s="772"/>
      <c r="Z358" s="772"/>
      <c r="AA358" s="772"/>
      <c r="AB358" s="772"/>
      <c r="AC358" s="772"/>
      <c r="AD358" s="772"/>
      <c r="AE358" s="772"/>
      <c r="AF358" s="772"/>
      <c r="AG358" s="772"/>
      <c r="AH358" s="772"/>
      <c r="AI358" s="772"/>
    </row>
    <row r="359" ht="15.75" customHeight="1">
      <c r="A359" s="815"/>
      <c r="B359" s="782"/>
      <c r="C359" s="782"/>
      <c r="D359" s="782"/>
      <c r="E359" s="816"/>
      <c r="F359" s="816"/>
      <c r="G359" s="816"/>
      <c r="H359" s="817"/>
      <c r="I359" s="817"/>
      <c r="J359" s="817"/>
      <c r="K359" s="818"/>
      <c r="L359" s="772"/>
      <c r="M359" s="772"/>
      <c r="N359" s="772"/>
      <c r="O359" s="772"/>
      <c r="P359" s="772"/>
      <c r="Q359" s="772"/>
      <c r="R359" s="772"/>
      <c r="S359" s="772"/>
      <c r="T359" s="772"/>
      <c r="U359" s="772"/>
      <c r="V359" s="772"/>
      <c r="W359" s="772"/>
      <c r="X359" s="772"/>
      <c r="Y359" s="772"/>
      <c r="Z359" s="772"/>
      <c r="AA359" s="772"/>
      <c r="AB359" s="772"/>
      <c r="AC359" s="772"/>
      <c r="AD359" s="772"/>
      <c r="AE359" s="772"/>
      <c r="AF359" s="772"/>
      <c r="AG359" s="772"/>
      <c r="AH359" s="772"/>
      <c r="AI359" s="772"/>
    </row>
    <row r="360" ht="15.75" customHeight="1">
      <c r="A360" s="815"/>
      <c r="B360" s="782"/>
      <c r="C360" s="782"/>
      <c r="D360" s="782"/>
      <c r="E360" s="816"/>
      <c r="F360" s="816"/>
      <c r="G360" s="816"/>
      <c r="H360" s="817"/>
      <c r="I360" s="817"/>
      <c r="J360" s="817"/>
      <c r="K360" s="818"/>
      <c r="L360" s="772"/>
      <c r="M360" s="772"/>
      <c r="N360" s="772"/>
      <c r="O360" s="772"/>
      <c r="P360" s="772"/>
      <c r="Q360" s="772"/>
      <c r="R360" s="772"/>
      <c r="S360" s="772"/>
      <c r="T360" s="772"/>
      <c r="U360" s="772"/>
      <c r="V360" s="772"/>
      <c r="W360" s="772"/>
      <c r="X360" s="772"/>
      <c r="Y360" s="772"/>
      <c r="Z360" s="772"/>
      <c r="AA360" s="772"/>
      <c r="AB360" s="772"/>
      <c r="AC360" s="772"/>
      <c r="AD360" s="772"/>
      <c r="AE360" s="772"/>
      <c r="AF360" s="772"/>
      <c r="AG360" s="772"/>
      <c r="AH360" s="772"/>
      <c r="AI360" s="772"/>
    </row>
    <row r="361" ht="15.75" customHeight="1">
      <c r="A361" s="815"/>
      <c r="B361" s="782"/>
      <c r="C361" s="782"/>
      <c r="D361" s="782"/>
      <c r="E361" s="816"/>
      <c r="F361" s="816"/>
      <c r="G361" s="816"/>
      <c r="H361" s="817"/>
      <c r="I361" s="817"/>
      <c r="J361" s="817"/>
      <c r="K361" s="818"/>
      <c r="L361" s="772"/>
      <c r="M361" s="772"/>
      <c r="N361" s="772"/>
      <c r="O361" s="772"/>
      <c r="P361" s="772"/>
      <c r="Q361" s="772"/>
      <c r="R361" s="772"/>
      <c r="S361" s="772"/>
      <c r="T361" s="772"/>
      <c r="U361" s="772"/>
      <c r="V361" s="772"/>
      <c r="W361" s="772"/>
      <c r="X361" s="772"/>
      <c r="Y361" s="772"/>
      <c r="Z361" s="772"/>
      <c r="AA361" s="772"/>
      <c r="AB361" s="772"/>
      <c r="AC361" s="772"/>
      <c r="AD361" s="772"/>
      <c r="AE361" s="772"/>
      <c r="AF361" s="772"/>
      <c r="AG361" s="772"/>
      <c r="AH361" s="772"/>
      <c r="AI361" s="772"/>
    </row>
    <row r="362" ht="15.75" customHeight="1">
      <c r="A362" s="815"/>
      <c r="B362" s="782"/>
      <c r="C362" s="782"/>
      <c r="D362" s="782"/>
      <c r="E362" s="816"/>
      <c r="F362" s="816"/>
      <c r="G362" s="816"/>
      <c r="H362" s="817"/>
      <c r="I362" s="817"/>
      <c r="J362" s="817"/>
      <c r="K362" s="818"/>
      <c r="L362" s="772"/>
      <c r="M362" s="772"/>
      <c r="N362" s="772"/>
      <c r="O362" s="772"/>
      <c r="P362" s="772"/>
      <c r="Q362" s="772"/>
      <c r="R362" s="772"/>
      <c r="S362" s="772"/>
      <c r="T362" s="772"/>
      <c r="U362" s="772"/>
      <c r="V362" s="772"/>
      <c r="W362" s="772"/>
      <c r="X362" s="772"/>
      <c r="Y362" s="772"/>
      <c r="Z362" s="772"/>
      <c r="AA362" s="772"/>
      <c r="AB362" s="772"/>
      <c r="AC362" s="772"/>
      <c r="AD362" s="772"/>
      <c r="AE362" s="772"/>
      <c r="AF362" s="772"/>
      <c r="AG362" s="772"/>
      <c r="AH362" s="772"/>
      <c r="AI362" s="772"/>
    </row>
    <row r="363" ht="15.75" customHeight="1">
      <c r="A363" s="815"/>
      <c r="B363" s="782"/>
      <c r="C363" s="782"/>
      <c r="D363" s="782"/>
      <c r="E363" s="816"/>
      <c r="F363" s="816"/>
      <c r="G363" s="816"/>
      <c r="H363" s="817"/>
      <c r="I363" s="817"/>
      <c r="J363" s="817"/>
      <c r="K363" s="818"/>
      <c r="L363" s="772"/>
      <c r="M363" s="772"/>
      <c r="N363" s="772"/>
      <c r="O363" s="772"/>
      <c r="P363" s="772"/>
      <c r="Q363" s="772"/>
      <c r="R363" s="772"/>
      <c r="S363" s="772"/>
      <c r="T363" s="772"/>
      <c r="U363" s="772"/>
      <c r="V363" s="772"/>
      <c r="W363" s="772"/>
      <c r="X363" s="772"/>
      <c r="Y363" s="772"/>
      <c r="Z363" s="772"/>
      <c r="AA363" s="772"/>
      <c r="AB363" s="772"/>
      <c r="AC363" s="772"/>
      <c r="AD363" s="772"/>
      <c r="AE363" s="772"/>
      <c r="AF363" s="772"/>
      <c r="AG363" s="772"/>
      <c r="AH363" s="772"/>
      <c r="AI363" s="772"/>
    </row>
    <row r="364" ht="15.75" customHeight="1">
      <c r="A364" s="815"/>
      <c r="B364" s="782"/>
      <c r="C364" s="782"/>
      <c r="D364" s="782"/>
      <c r="E364" s="816"/>
      <c r="F364" s="816"/>
      <c r="G364" s="816"/>
      <c r="H364" s="817"/>
      <c r="I364" s="817"/>
      <c r="J364" s="817"/>
      <c r="K364" s="818"/>
      <c r="L364" s="772"/>
      <c r="M364" s="772"/>
      <c r="N364" s="772"/>
      <c r="O364" s="772"/>
      <c r="P364" s="772"/>
      <c r="Q364" s="772"/>
      <c r="R364" s="772"/>
      <c r="S364" s="772"/>
      <c r="T364" s="772"/>
      <c r="U364" s="772"/>
      <c r="V364" s="772"/>
      <c r="W364" s="772"/>
      <c r="X364" s="772"/>
      <c r="Y364" s="772"/>
      <c r="Z364" s="772"/>
      <c r="AA364" s="772"/>
      <c r="AB364" s="772"/>
      <c r="AC364" s="772"/>
      <c r="AD364" s="772"/>
      <c r="AE364" s="772"/>
      <c r="AF364" s="772"/>
      <c r="AG364" s="772"/>
      <c r="AH364" s="772"/>
      <c r="AI364" s="772"/>
    </row>
    <row r="365" ht="15.75" customHeight="1">
      <c r="A365" s="815"/>
      <c r="B365" s="782"/>
      <c r="C365" s="782"/>
      <c r="D365" s="782"/>
      <c r="E365" s="816"/>
      <c r="F365" s="816"/>
      <c r="G365" s="816"/>
      <c r="H365" s="817"/>
      <c r="I365" s="817"/>
      <c r="J365" s="817"/>
      <c r="K365" s="818"/>
      <c r="L365" s="772"/>
      <c r="M365" s="772"/>
      <c r="N365" s="772"/>
      <c r="O365" s="772"/>
      <c r="P365" s="772"/>
      <c r="Q365" s="772"/>
      <c r="R365" s="772"/>
      <c r="S365" s="772"/>
      <c r="T365" s="772"/>
      <c r="U365" s="772"/>
      <c r="V365" s="772"/>
      <c r="W365" s="772"/>
      <c r="X365" s="772"/>
      <c r="Y365" s="772"/>
      <c r="Z365" s="772"/>
      <c r="AA365" s="772"/>
      <c r="AB365" s="772"/>
      <c r="AC365" s="772"/>
      <c r="AD365" s="772"/>
      <c r="AE365" s="772"/>
      <c r="AF365" s="772"/>
      <c r="AG365" s="772"/>
      <c r="AH365" s="772"/>
      <c r="AI365" s="772"/>
    </row>
    <row r="366" ht="15.75" customHeight="1">
      <c r="A366" s="815"/>
      <c r="B366" s="782"/>
      <c r="C366" s="782"/>
      <c r="D366" s="782"/>
      <c r="E366" s="816"/>
      <c r="F366" s="816"/>
      <c r="G366" s="816"/>
      <c r="H366" s="817"/>
      <c r="I366" s="817"/>
      <c r="J366" s="817"/>
      <c r="K366" s="818"/>
      <c r="L366" s="772"/>
      <c r="M366" s="772"/>
      <c r="N366" s="772"/>
      <c r="O366" s="772"/>
      <c r="P366" s="772"/>
      <c r="Q366" s="772"/>
      <c r="R366" s="772"/>
      <c r="S366" s="772"/>
      <c r="T366" s="772"/>
      <c r="U366" s="772"/>
      <c r="V366" s="772"/>
      <c r="W366" s="772"/>
      <c r="X366" s="772"/>
      <c r="Y366" s="772"/>
      <c r="Z366" s="772"/>
      <c r="AA366" s="772"/>
      <c r="AB366" s="772"/>
      <c r="AC366" s="772"/>
      <c r="AD366" s="772"/>
      <c r="AE366" s="772"/>
      <c r="AF366" s="772"/>
      <c r="AG366" s="772"/>
      <c r="AH366" s="772"/>
      <c r="AI366" s="772"/>
    </row>
    <row r="367" ht="15.75" customHeight="1">
      <c r="A367" s="815"/>
      <c r="B367" s="782"/>
      <c r="C367" s="782"/>
      <c r="D367" s="782"/>
      <c r="E367" s="816"/>
      <c r="F367" s="816"/>
      <c r="G367" s="816"/>
      <c r="H367" s="817"/>
      <c r="I367" s="817"/>
      <c r="J367" s="817"/>
      <c r="K367" s="818"/>
      <c r="L367" s="772"/>
      <c r="M367" s="772"/>
      <c r="N367" s="772"/>
      <c r="O367" s="772"/>
      <c r="P367" s="772"/>
      <c r="Q367" s="772"/>
      <c r="R367" s="772"/>
      <c r="S367" s="772"/>
      <c r="T367" s="772"/>
      <c r="U367" s="772"/>
      <c r="V367" s="772"/>
      <c r="W367" s="772"/>
      <c r="X367" s="772"/>
      <c r="Y367" s="772"/>
      <c r="Z367" s="772"/>
      <c r="AA367" s="772"/>
      <c r="AB367" s="772"/>
      <c r="AC367" s="772"/>
      <c r="AD367" s="772"/>
      <c r="AE367" s="772"/>
      <c r="AF367" s="772"/>
      <c r="AG367" s="772"/>
      <c r="AH367" s="772"/>
      <c r="AI367" s="772"/>
    </row>
    <row r="368" ht="15.75" customHeight="1">
      <c r="A368" s="815"/>
      <c r="B368" s="782"/>
      <c r="C368" s="782"/>
      <c r="D368" s="782"/>
      <c r="E368" s="816"/>
      <c r="F368" s="816"/>
      <c r="G368" s="816"/>
      <c r="H368" s="817"/>
      <c r="I368" s="817"/>
      <c r="J368" s="817"/>
      <c r="K368" s="818"/>
      <c r="L368" s="772"/>
      <c r="M368" s="772"/>
      <c r="N368" s="772"/>
      <c r="O368" s="772"/>
      <c r="P368" s="772"/>
      <c r="Q368" s="772"/>
      <c r="R368" s="772"/>
      <c r="S368" s="772"/>
      <c r="T368" s="772"/>
      <c r="U368" s="772"/>
      <c r="V368" s="772"/>
      <c r="W368" s="772"/>
      <c r="X368" s="772"/>
      <c r="Y368" s="772"/>
      <c r="Z368" s="772"/>
      <c r="AA368" s="772"/>
      <c r="AB368" s="772"/>
      <c r="AC368" s="772"/>
      <c r="AD368" s="772"/>
      <c r="AE368" s="772"/>
      <c r="AF368" s="772"/>
      <c r="AG368" s="772"/>
      <c r="AH368" s="772"/>
      <c r="AI368" s="772"/>
    </row>
    <row r="369" ht="15.75" customHeight="1">
      <c r="A369" s="815"/>
      <c r="B369" s="782"/>
      <c r="C369" s="782"/>
      <c r="D369" s="782"/>
      <c r="E369" s="816"/>
      <c r="F369" s="816"/>
      <c r="G369" s="816"/>
      <c r="H369" s="817"/>
      <c r="I369" s="817"/>
      <c r="J369" s="817"/>
      <c r="K369" s="818"/>
      <c r="L369" s="772"/>
      <c r="M369" s="772"/>
      <c r="N369" s="772"/>
      <c r="O369" s="772"/>
      <c r="P369" s="772"/>
      <c r="Q369" s="772"/>
      <c r="R369" s="772"/>
      <c r="S369" s="772"/>
      <c r="T369" s="772"/>
      <c r="U369" s="772"/>
      <c r="V369" s="772"/>
      <c r="W369" s="772"/>
      <c r="X369" s="772"/>
      <c r="Y369" s="772"/>
      <c r="Z369" s="772"/>
      <c r="AA369" s="772"/>
      <c r="AB369" s="772"/>
      <c r="AC369" s="772"/>
      <c r="AD369" s="772"/>
      <c r="AE369" s="772"/>
      <c r="AF369" s="772"/>
      <c r="AG369" s="772"/>
      <c r="AH369" s="772"/>
      <c r="AI369" s="772"/>
    </row>
    <row r="370" ht="15.75" customHeight="1">
      <c r="A370" s="815"/>
      <c r="B370" s="782"/>
      <c r="C370" s="782"/>
      <c r="D370" s="782"/>
      <c r="E370" s="816"/>
      <c r="F370" s="816"/>
      <c r="G370" s="816"/>
      <c r="H370" s="817"/>
      <c r="I370" s="817"/>
      <c r="J370" s="817"/>
      <c r="K370" s="818"/>
      <c r="L370" s="772"/>
      <c r="M370" s="772"/>
      <c r="N370" s="772"/>
      <c r="O370" s="772"/>
      <c r="P370" s="772"/>
      <c r="Q370" s="772"/>
      <c r="R370" s="772"/>
      <c r="S370" s="772"/>
      <c r="T370" s="772"/>
      <c r="U370" s="772"/>
      <c r="V370" s="772"/>
      <c r="W370" s="772"/>
      <c r="X370" s="772"/>
      <c r="Y370" s="772"/>
      <c r="Z370" s="772"/>
      <c r="AA370" s="772"/>
      <c r="AB370" s="772"/>
      <c r="AC370" s="772"/>
      <c r="AD370" s="772"/>
      <c r="AE370" s="772"/>
      <c r="AF370" s="772"/>
      <c r="AG370" s="772"/>
      <c r="AH370" s="772"/>
      <c r="AI370" s="772"/>
    </row>
    <row r="371" ht="15.75" customHeight="1">
      <c r="A371" s="815"/>
      <c r="B371" s="782"/>
      <c r="C371" s="782"/>
      <c r="D371" s="782"/>
      <c r="E371" s="816"/>
      <c r="F371" s="816"/>
      <c r="G371" s="816"/>
      <c r="H371" s="817"/>
      <c r="I371" s="817"/>
      <c r="J371" s="817"/>
      <c r="K371" s="818"/>
      <c r="L371" s="772"/>
      <c r="M371" s="772"/>
      <c r="N371" s="772"/>
      <c r="O371" s="772"/>
      <c r="P371" s="772"/>
      <c r="Q371" s="772"/>
      <c r="R371" s="772"/>
      <c r="S371" s="772"/>
      <c r="T371" s="772"/>
      <c r="U371" s="772"/>
      <c r="V371" s="772"/>
      <c r="W371" s="772"/>
      <c r="X371" s="772"/>
      <c r="Y371" s="772"/>
      <c r="Z371" s="772"/>
      <c r="AA371" s="772"/>
      <c r="AB371" s="772"/>
      <c r="AC371" s="772"/>
      <c r="AD371" s="772"/>
      <c r="AE371" s="772"/>
      <c r="AF371" s="772"/>
      <c r="AG371" s="772"/>
      <c r="AH371" s="772"/>
      <c r="AI371" s="772"/>
    </row>
    <row r="372" ht="15.75" customHeight="1">
      <c r="A372" s="815"/>
      <c r="B372" s="782"/>
      <c r="C372" s="782"/>
      <c r="D372" s="782"/>
      <c r="E372" s="816"/>
      <c r="F372" s="816"/>
      <c r="G372" s="816"/>
      <c r="H372" s="817"/>
      <c r="I372" s="817"/>
      <c r="J372" s="817"/>
      <c r="K372" s="818"/>
      <c r="L372" s="772"/>
      <c r="M372" s="772"/>
      <c r="N372" s="772"/>
      <c r="O372" s="772"/>
      <c r="P372" s="772"/>
      <c r="Q372" s="772"/>
      <c r="R372" s="772"/>
      <c r="S372" s="772"/>
      <c r="T372" s="772"/>
      <c r="U372" s="772"/>
      <c r="V372" s="772"/>
      <c r="W372" s="772"/>
      <c r="X372" s="772"/>
      <c r="Y372" s="772"/>
      <c r="Z372" s="772"/>
      <c r="AA372" s="772"/>
      <c r="AB372" s="772"/>
      <c r="AC372" s="772"/>
      <c r="AD372" s="772"/>
      <c r="AE372" s="772"/>
      <c r="AF372" s="772"/>
      <c r="AG372" s="772"/>
      <c r="AH372" s="772"/>
      <c r="AI372" s="772"/>
    </row>
    <row r="373" ht="15.75" customHeight="1">
      <c r="A373" s="815"/>
      <c r="B373" s="782"/>
      <c r="C373" s="782"/>
      <c r="D373" s="782"/>
      <c r="E373" s="816"/>
      <c r="F373" s="816"/>
      <c r="G373" s="816"/>
      <c r="H373" s="817"/>
      <c r="I373" s="817"/>
      <c r="J373" s="817"/>
      <c r="K373" s="818"/>
      <c r="L373" s="772"/>
      <c r="M373" s="772"/>
      <c r="N373" s="772"/>
      <c r="O373" s="772"/>
      <c r="P373" s="772"/>
      <c r="Q373" s="772"/>
      <c r="R373" s="772"/>
      <c r="S373" s="772"/>
      <c r="T373" s="772"/>
      <c r="U373" s="772"/>
      <c r="V373" s="772"/>
      <c r="W373" s="772"/>
      <c r="X373" s="772"/>
      <c r="Y373" s="772"/>
      <c r="Z373" s="772"/>
      <c r="AA373" s="772"/>
      <c r="AB373" s="772"/>
      <c r="AC373" s="772"/>
      <c r="AD373" s="772"/>
      <c r="AE373" s="772"/>
      <c r="AF373" s="772"/>
      <c r="AG373" s="772"/>
      <c r="AH373" s="772"/>
      <c r="AI373" s="772"/>
    </row>
    <row r="374" ht="15.75" customHeight="1">
      <c r="A374" s="815"/>
      <c r="B374" s="782"/>
      <c r="C374" s="782"/>
      <c r="D374" s="782"/>
      <c r="E374" s="816"/>
      <c r="F374" s="816"/>
      <c r="G374" s="816"/>
      <c r="H374" s="817"/>
      <c r="I374" s="817"/>
      <c r="J374" s="817"/>
      <c r="K374" s="818"/>
      <c r="L374" s="772"/>
      <c r="M374" s="772"/>
      <c r="N374" s="772"/>
      <c r="O374" s="772"/>
      <c r="P374" s="772"/>
      <c r="Q374" s="772"/>
      <c r="R374" s="772"/>
      <c r="S374" s="772"/>
      <c r="T374" s="772"/>
      <c r="U374" s="772"/>
      <c r="V374" s="772"/>
      <c r="W374" s="772"/>
      <c r="X374" s="772"/>
      <c r="Y374" s="772"/>
      <c r="Z374" s="772"/>
      <c r="AA374" s="772"/>
      <c r="AB374" s="772"/>
      <c r="AC374" s="772"/>
      <c r="AD374" s="772"/>
      <c r="AE374" s="772"/>
      <c r="AF374" s="772"/>
      <c r="AG374" s="772"/>
      <c r="AH374" s="772"/>
      <c r="AI374" s="772"/>
    </row>
    <row r="375" ht="15.75" customHeight="1">
      <c r="A375" s="815"/>
      <c r="B375" s="782"/>
      <c r="C375" s="782"/>
      <c r="D375" s="782"/>
      <c r="E375" s="816"/>
      <c r="F375" s="816"/>
      <c r="G375" s="816"/>
      <c r="H375" s="817"/>
      <c r="I375" s="817"/>
      <c r="J375" s="817"/>
      <c r="K375" s="818"/>
      <c r="L375" s="772"/>
      <c r="M375" s="772"/>
      <c r="N375" s="772"/>
      <c r="O375" s="772"/>
      <c r="P375" s="772"/>
      <c r="Q375" s="772"/>
      <c r="R375" s="772"/>
      <c r="S375" s="772"/>
      <c r="T375" s="772"/>
      <c r="U375" s="772"/>
      <c r="V375" s="772"/>
      <c r="W375" s="772"/>
      <c r="X375" s="772"/>
      <c r="Y375" s="772"/>
      <c r="Z375" s="772"/>
      <c r="AA375" s="772"/>
      <c r="AB375" s="772"/>
      <c r="AC375" s="772"/>
      <c r="AD375" s="772"/>
      <c r="AE375" s="772"/>
      <c r="AF375" s="772"/>
      <c r="AG375" s="772"/>
      <c r="AH375" s="772"/>
      <c r="AI375" s="772"/>
    </row>
    <row r="376" ht="15.75" customHeight="1">
      <c r="A376" s="815"/>
      <c r="B376" s="782"/>
      <c r="C376" s="782"/>
      <c r="D376" s="782"/>
      <c r="E376" s="816"/>
      <c r="F376" s="816"/>
      <c r="G376" s="816"/>
      <c r="H376" s="817"/>
      <c r="I376" s="817"/>
      <c r="J376" s="817"/>
      <c r="K376" s="818"/>
      <c r="L376" s="772"/>
      <c r="M376" s="772"/>
      <c r="N376" s="772"/>
      <c r="O376" s="772"/>
      <c r="P376" s="772"/>
      <c r="Q376" s="772"/>
      <c r="R376" s="772"/>
      <c r="S376" s="772"/>
      <c r="T376" s="772"/>
      <c r="U376" s="772"/>
      <c r="V376" s="772"/>
      <c r="W376" s="772"/>
      <c r="X376" s="772"/>
      <c r="Y376" s="772"/>
      <c r="Z376" s="772"/>
      <c r="AA376" s="772"/>
      <c r="AB376" s="772"/>
      <c r="AC376" s="772"/>
      <c r="AD376" s="772"/>
      <c r="AE376" s="772"/>
      <c r="AF376" s="772"/>
      <c r="AG376" s="772"/>
      <c r="AH376" s="772"/>
      <c r="AI376" s="772"/>
    </row>
    <row r="377" ht="15.75" customHeight="1">
      <c r="A377" s="815"/>
      <c r="B377" s="782"/>
      <c r="C377" s="782"/>
      <c r="D377" s="782"/>
      <c r="E377" s="816"/>
      <c r="F377" s="816"/>
      <c r="G377" s="816"/>
      <c r="H377" s="817"/>
      <c r="I377" s="817"/>
      <c r="J377" s="817"/>
      <c r="K377" s="818"/>
      <c r="L377" s="772"/>
      <c r="M377" s="772"/>
      <c r="N377" s="772"/>
      <c r="O377" s="772"/>
      <c r="P377" s="772"/>
      <c r="Q377" s="772"/>
      <c r="R377" s="772"/>
      <c r="S377" s="772"/>
      <c r="T377" s="772"/>
      <c r="U377" s="772"/>
      <c r="V377" s="772"/>
      <c r="W377" s="772"/>
      <c r="X377" s="772"/>
      <c r="Y377" s="772"/>
      <c r="Z377" s="772"/>
      <c r="AA377" s="772"/>
      <c r="AB377" s="772"/>
      <c r="AC377" s="772"/>
      <c r="AD377" s="772"/>
      <c r="AE377" s="772"/>
      <c r="AF377" s="772"/>
      <c r="AG377" s="772"/>
      <c r="AH377" s="772"/>
      <c r="AI377" s="772"/>
    </row>
    <row r="378" ht="15.75" customHeight="1">
      <c r="A378" s="815"/>
      <c r="B378" s="782"/>
      <c r="C378" s="782"/>
      <c r="D378" s="782"/>
      <c r="E378" s="816"/>
      <c r="F378" s="816"/>
      <c r="G378" s="816"/>
      <c r="H378" s="817"/>
      <c r="I378" s="817"/>
      <c r="J378" s="817"/>
      <c r="K378" s="818"/>
      <c r="L378" s="772"/>
      <c r="M378" s="772"/>
      <c r="N378" s="772"/>
      <c r="O378" s="772"/>
      <c r="P378" s="772"/>
      <c r="Q378" s="772"/>
      <c r="R378" s="772"/>
      <c r="S378" s="772"/>
      <c r="T378" s="772"/>
      <c r="U378" s="772"/>
      <c r="V378" s="772"/>
      <c r="W378" s="772"/>
      <c r="X378" s="772"/>
      <c r="Y378" s="772"/>
      <c r="Z378" s="772"/>
      <c r="AA378" s="772"/>
      <c r="AB378" s="772"/>
      <c r="AC378" s="772"/>
      <c r="AD378" s="772"/>
      <c r="AE378" s="772"/>
      <c r="AF378" s="772"/>
      <c r="AG378" s="772"/>
      <c r="AH378" s="772"/>
      <c r="AI378" s="772"/>
    </row>
    <row r="379" ht="15.75" customHeight="1">
      <c r="A379" s="815"/>
      <c r="B379" s="782"/>
      <c r="C379" s="782"/>
      <c r="D379" s="782"/>
      <c r="E379" s="816"/>
      <c r="F379" s="816"/>
      <c r="G379" s="816"/>
      <c r="H379" s="817"/>
      <c r="I379" s="817"/>
      <c r="J379" s="817"/>
      <c r="K379" s="818"/>
      <c r="L379" s="772"/>
      <c r="M379" s="772"/>
      <c r="N379" s="772"/>
      <c r="O379" s="772"/>
      <c r="P379" s="772"/>
      <c r="Q379" s="772"/>
      <c r="R379" s="772"/>
      <c r="S379" s="772"/>
      <c r="T379" s="772"/>
      <c r="U379" s="772"/>
      <c r="V379" s="772"/>
      <c r="W379" s="772"/>
      <c r="X379" s="772"/>
      <c r="Y379" s="772"/>
      <c r="Z379" s="772"/>
      <c r="AA379" s="772"/>
      <c r="AB379" s="772"/>
      <c r="AC379" s="772"/>
      <c r="AD379" s="772"/>
      <c r="AE379" s="772"/>
      <c r="AF379" s="772"/>
      <c r="AG379" s="772"/>
      <c r="AH379" s="772"/>
      <c r="AI379" s="772"/>
    </row>
    <row r="380" ht="15.75" customHeight="1">
      <c r="A380" s="815"/>
      <c r="B380" s="782"/>
      <c r="C380" s="782"/>
      <c r="D380" s="782"/>
      <c r="E380" s="816"/>
      <c r="F380" s="816"/>
      <c r="G380" s="816"/>
      <c r="H380" s="817"/>
      <c r="I380" s="817"/>
      <c r="J380" s="817"/>
      <c r="K380" s="818"/>
      <c r="L380" s="772"/>
      <c r="M380" s="772"/>
      <c r="N380" s="772"/>
      <c r="O380" s="772"/>
      <c r="P380" s="772"/>
      <c r="Q380" s="772"/>
      <c r="R380" s="772"/>
      <c r="S380" s="772"/>
      <c r="T380" s="772"/>
      <c r="U380" s="772"/>
      <c r="V380" s="772"/>
      <c r="W380" s="772"/>
      <c r="X380" s="772"/>
      <c r="Y380" s="772"/>
      <c r="Z380" s="772"/>
      <c r="AA380" s="772"/>
      <c r="AB380" s="772"/>
      <c r="AC380" s="772"/>
      <c r="AD380" s="772"/>
      <c r="AE380" s="772"/>
      <c r="AF380" s="772"/>
      <c r="AG380" s="772"/>
      <c r="AH380" s="772"/>
      <c r="AI380" s="772"/>
    </row>
    <row r="381" ht="15.75" customHeight="1">
      <c r="A381" s="815"/>
      <c r="B381" s="782"/>
      <c r="C381" s="782"/>
      <c r="D381" s="782"/>
      <c r="E381" s="816"/>
      <c r="F381" s="816"/>
      <c r="G381" s="816"/>
      <c r="H381" s="817"/>
      <c r="I381" s="817"/>
      <c r="J381" s="817"/>
      <c r="K381" s="818"/>
      <c r="L381" s="772"/>
      <c r="M381" s="772"/>
      <c r="N381" s="772"/>
      <c r="O381" s="772"/>
      <c r="P381" s="772"/>
      <c r="Q381" s="772"/>
      <c r="R381" s="772"/>
      <c r="S381" s="772"/>
      <c r="T381" s="772"/>
      <c r="U381" s="772"/>
      <c r="V381" s="772"/>
      <c r="W381" s="772"/>
      <c r="X381" s="772"/>
      <c r="Y381" s="772"/>
      <c r="Z381" s="772"/>
      <c r="AA381" s="772"/>
      <c r="AB381" s="772"/>
      <c r="AC381" s="772"/>
      <c r="AD381" s="772"/>
      <c r="AE381" s="772"/>
      <c r="AF381" s="772"/>
      <c r="AG381" s="772"/>
      <c r="AH381" s="772"/>
      <c r="AI381" s="772"/>
    </row>
    <row r="382" ht="15.75" customHeight="1">
      <c r="A382" s="815"/>
      <c r="B382" s="782"/>
      <c r="C382" s="782"/>
      <c r="D382" s="782"/>
      <c r="E382" s="816"/>
      <c r="F382" s="816"/>
      <c r="G382" s="816"/>
      <c r="H382" s="817"/>
      <c r="I382" s="817"/>
      <c r="J382" s="817"/>
      <c r="K382" s="818"/>
      <c r="L382" s="772"/>
      <c r="M382" s="772"/>
      <c r="N382" s="772"/>
      <c r="O382" s="772"/>
      <c r="P382" s="772"/>
      <c r="Q382" s="772"/>
      <c r="R382" s="772"/>
      <c r="S382" s="772"/>
      <c r="T382" s="772"/>
      <c r="U382" s="772"/>
      <c r="V382" s="772"/>
      <c r="W382" s="772"/>
      <c r="X382" s="772"/>
      <c r="Y382" s="772"/>
      <c r="Z382" s="772"/>
      <c r="AA382" s="772"/>
      <c r="AB382" s="772"/>
      <c r="AC382" s="772"/>
      <c r="AD382" s="772"/>
      <c r="AE382" s="772"/>
      <c r="AF382" s="772"/>
      <c r="AG382" s="772"/>
      <c r="AH382" s="772"/>
      <c r="AI382" s="772"/>
    </row>
    <row r="383" ht="15.75" customHeight="1">
      <c r="A383" s="815"/>
      <c r="B383" s="782"/>
      <c r="C383" s="782"/>
      <c r="D383" s="782"/>
      <c r="E383" s="816"/>
      <c r="F383" s="816"/>
      <c r="G383" s="816"/>
      <c r="H383" s="817"/>
      <c r="I383" s="817"/>
      <c r="J383" s="817"/>
      <c r="K383" s="818"/>
      <c r="L383" s="772"/>
      <c r="M383" s="772"/>
      <c r="N383" s="772"/>
      <c r="O383" s="772"/>
      <c r="P383" s="772"/>
      <c r="Q383" s="772"/>
      <c r="R383" s="772"/>
      <c r="S383" s="772"/>
      <c r="T383" s="772"/>
      <c r="U383" s="772"/>
      <c r="V383" s="772"/>
      <c r="W383" s="772"/>
      <c r="X383" s="772"/>
      <c r="Y383" s="772"/>
      <c r="Z383" s="772"/>
      <c r="AA383" s="772"/>
      <c r="AB383" s="772"/>
      <c r="AC383" s="772"/>
      <c r="AD383" s="772"/>
      <c r="AE383" s="772"/>
      <c r="AF383" s="772"/>
      <c r="AG383" s="772"/>
      <c r="AH383" s="772"/>
      <c r="AI383" s="772"/>
    </row>
    <row r="384" ht="15.75" customHeight="1">
      <c r="A384" s="815"/>
      <c r="B384" s="782"/>
      <c r="C384" s="782"/>
      <c r="D384" s="782"/>
      <c r="E384" s="816"/>
      <c r="F384" s="816"/>
      <c r="G384" s="816"/>
      <c r="H384" s="817"/>
      <c r="I384" s="817"/>
      <c r="J384" s="817"/>
      <c r="K384" s="818"/>
      <c r="L384" s="772"/>
      <c r="M384" s="772"/>
      <c r="N384" s="772"/>
      <c r="O384" s="772"/>
      <c r="P384" s="772"/>
      <c r="Q384" s="772"/>
      <c r="R384" s="772"/>
      <c r="S384" s="772"/>
      <c r="T384" s="772"/>
      <c r="U384" s="772"/>
      <c r="V384" s="772"/>
      <c r="W384" s="772"/>
      <c r="X384" s="772"/>
      <c r="Y384" s="772"/>
      <c r="Z384" s="772"/>
      <c r="AA384" s="772"/>
      <c r="AB384" s="772"/>
      <c r="AC384" s="772"/>
      <c r="AD384" s="772"/>
      <c r="AE384" s="772"/>
      <c r="AF384" s="772"/>
      <c r="AG384" s="772"/>
      <c r="AH384" s="772"/>
      <c r="AI384" s="772"/>
    </row>
    <row r="385" ht="15.75" customHeight="1">
      <c r="A385" s="815"/>
      <c r="B385" s="782"/>
      <c r="C385" s="782"/>
      <c r="D385" s="782"/>
      <c r="E385" s="816"/>
      <c r="F385" s="816"/>
      <c r="G385" s="816"/>
      <c r="H385" s="817"/>
      <c r="I385" s="817"/>
      <c r="J385" s="817"/>
      <c r="K385" s="818"/>
      <c r="L385" s="772"/>
      <c r="M385" s="772"/>
      <c r="N385" s="772"/>
      <c r="O385" s="772"/>
      <c r="P385" s="772"/>
      <c r="Q385" s="772"/>
      <c r="R385" s="772"/>
      <c r="S385" s="772"/>
      <c r="T385" s="772"/>
      <c r="U385" s="772"/>
      <c r="V385" s="772"/>
      <c r="W385" s="772"/>
      <c r="X385" s="772"/>
      <c r="Y385" s="772"/>
      <c r="Z385" s="772"/>
      <c r="AA385" s="772"/>
      <c r="AB385" s="772"/>
      <c r="AC385" s="772"/>
      <c r="AD385" s="772"/>
      <c r="AE385" s="772"/>
      <c r="AF385" s="772"/>
      <c r="AG385" s="772"/>
      <c r="AH385" s="772"/>
      <c r="AI385" s="772"/>
    </row>
    <row r="386" ht="15.75" customHeight="1">
      <c r="A386" s="815"/>
      <c r="B386" s="782"/>
      <c r="C386" s="782"/>
      <c r="D386" s="782"/>
      <c r="E386" s="816"/>
      <c r="F386" s="816"/>
      <c r="G386" s="816"/>
      <c r="H386" s="817"/>
      <c r="I386" s="817"/>
      <c r="J386" s="817"/>
      <c r="K386" s="818"/>
      <c r="L386" s="772"/>
      <c r="M386" s="772"/>
      <c r="N386" s="772"/>
      <c r="O386" s="772"/>
      <c r="P386" s="772"/>
      <c r="Q386" s="772"/>
      <c r="R386" s="772"/>
      <c r="S386" s="772"/>
      <c r="T386" s="772"/>
      <c r="U386" s="772"/>
      <c r="V386" s="772"/>
      <c r="W386" s="772"/>
      <c r="X386" s="772"/>
      <c r="Y386" s="772"/>
      <c r="Z386" s="772"/>
      <c r="AA386" s="772"/>
      <c r="AB386" s="772"/>
      <c r="AC386" s="772"/>
      <c r="AD386" s="772"/>
      <c r="AE386" s="772"/>
      <c r="AF386" s="772"/>
      <c r="AG386" s="772"/>
      <c r="AH386" s="772"/>
      <c r="AI386" s="772"/>
    </row>
    <row r="387" ht="15.75" customHeight="1">
      <c r="A387" s="815"/>
      <c r="B387" s="782"/>
      <c r="C387" s="782"/>
      <c r="D387" s="782"/>
      <c r="E387" s="816"/>
      <c r="F387" s="816"/>
      <c r="G387" s="816"/>
      <c r="H387" s="817"/>
      <c r="I387" s="817"/>
      <c r="J387" s="817"/>
      <c r="K387" s="818"/>
      <c r="L387" s="772"/>
      <c r="M387" s="772"/>
      <c r="N387" s="772"/>
      <c r="O387" s="772"/>
      <c r="P387" s="772"/>
      <c r="Q387" s="772"/>
      <c r="R387" s="772"/>
      <c r="S387" s="772"/>
      <c r="T387" s="772"/>
      <c r="U387" s="772"/>
      <c r="V387" s="772"/>
      <c r="W387" s="772"/>
      <c r="X387" s="772"/>
      <c r="Y387" s="772"/>
      <c r="Z387" s="772"/>
      <c r="AA387" s="772"/>
      <c r="AB387" s="772"/>
      <c r="AC387" s="772"/>
      <c r="AD387" s="772"/>
      <c r="AE387" s="772"/>
      <c r="AF387" s="772"/>
      <c r="AG387" s="772"/>
      <c r="AH387" s="772"/>
      <c r="AI387" s="772"/>
    </row>
    <row r="388" ht="15.75" customHeight="1">
      <c r="A388" s="815"/>
      <c r="B388" s="782"/>
      <c r="C388" s="782"/>
      <c r="D388" s="782"/>
      <c r="E388" s="816"/>
      <c r="F388" s="816"/>
      <c r="G388" s="816"/>
      <c r="H388" s="817"/>
      <c r="I388" s="817"/>
      <c r="J388" s="817"/>
      <c r="K388" s="818"/>
      <c r="L388" s="772"/>
      <c r="M388" s="772"/>
      <c r="N388" s="772"/>
      <c r="O388" s="772"/>
      <c r="P388" s="772"/>
      <c r="Q388" s="772"/>
      <c r="R388" s="772"/>
      <c r="S388" s="772"/>
      <c r="T388" s="772"/>
      <c r="U388" s="772"/>
      <c r="V388" s="772"/>
      <c r="W388" s="772"/>
      <c r="X388" s="772"/>
      <c r="Y388" s="772"/>
      <c r="Z388" s="772"/>
      <c r="AA388" s="772"/>
      <c r="AB388" s="772"/>
      <c r="AC388" s="772"/>
      <c r="AD388" s="772"/>
      <c r="AE388" s="772"/>
      <c r="AF388" s="772"/>
      <c r="AG388" s="772"/>
      <c r="AH388" s="772"/>
      <c r="AI388" s="772"/>
    </row>
    <row r="389" ht="15.75" customHeight="1">
      <c r="A389" s="815"/>
      <c r="B389" s="782"/>
      <c r="C389" s="782"/>
      <c r="D389" s="782"/>
      <c r="E389" s="816"/>
      <c r="F389" s="816"/>
      <c r="G389" s="816"/>
      <c r="H389" s="817"/>
      <c r="I389" s="817"/>
      <c r="J389" s="817"/>
      <c r="K389" s="818"/>
      <c r="L389" s="772"/>
      <c r="M389" s="772"/>
      <c r="N389" s="772"/>
      <c r="O389" s="772"/>
      <c r="P389" s="772"/>
      <c r="Q389" s="772"/>
      <c r="R389" s="772"/>
      <c r="S389" s="772"/>
      <c r="T389" s="772"/>
      <c r="U389" s="772"/>
      <c r="V389" s="772"/>
      <c r="W389" s="772"/>
      <c r="X389" s="772"/>
      <c r="Y389" s="772"/>
      <c r="Z389" s="772"/>
      <c r="AA389" s="772"/>
      <c r="AB389" s="772"/>
      <c r="AC389" s="772"/>
      <c r="AD389" s="772"/>
      <c r="AE389" s="772"/>
      <c r="AF389" s="772"/>
      <c r="AG389" s="772"/>
      <c r="AH389" s="772"/>
      <c r="AI389" s="772"/>
    </row>
    <row r="390" ht="15.75" customHeight="1">
      <c r="A390" s="815"/>
      <c r="B390" s="782"/>
      <c r="C390" s="782"/>
      <c r="D390" s="782"/>
      <c r="E390" s="816"/>
      <c r="F390" s="816"/>
      <c r="G390" s="816"/>
      <c r="H390" s="817"/>
      <c r="I390" s="817"/>
      <c r="J390" s="817"/>
      <c r="K390" s="818"/>
      <c r="L390" s="772"/>
      <c r="M390" s="772"/>
      <c r="N390" s="772"/>
      <c r="O390" s="772"/>
      <c r="P390" s="772"/>
      <c r="Q390" s="772"/>
      <c r="R390" s="772"/>
      <c r="S390" s="772"/>
      <c r="T390" s="772"/>
      <c r="U390" s="772"/>
      <c r="V390" s="772"/>
      <c r="W390" s="772"/>
      <c r="X390" s="772"/>
      <c r="Y390" s="772"/>
      <c r="Z390" s="772"/>
      <c r="AA390" s="772"/>
      <c r="AB390" s="772"/>
      <c r="AC390" s="772"/>
      <c r="AD390" s="772"/>
      <c r="AE390" s="772"/>
      <c r="AF390" s="772"/>
      <c r="AG390" s="772"/>
      <c r="AH390" s="772"/>
      <c r="AI390" s="772"/>
    </row>
    <row r="391" ht="15.75" customHeight="1">
      <c r="A391" s="815"/>
      <c r="B391" s="782"/>
      <c r="C391" s="782"/>
      <c r="D391" s="782"/>
      <c r="E391" s="816"/>
      <c r="F391" s="816"/>
      <c r="G391" s="816"/>
      <c r="H391" s="817"/>
      <c r="I391" s="817"/>
      <c r="J391" s="817"/>
      <c r="K391" s="818"/>
      <c r="L391" s="772"/>
      <c r="M391" s="772"/>
      <c r="N391" s="772"/>
      <c r="O391" s="772"/>
      <c r="P391" s="772"/>
      <c r="Q391" s="772"/>
      <c r="R391" s="772"/>
      <c r="S391" s="772"/>
      <c r="T391" s="772"/>
      <c r="U391" s="772"/>
      <c r="V391" s="772"/>
      <c r="W391" s="772"/>
      <c r="X391" s="772"/>
      <c r="Y391" s="772"/>
      <c r="Z391" s="772"/>
      <c r="AA391" s="772"/>
      <c r="AB391" s="772"/>
      <c r="AC391" s="772"/>
      <c r="AD391" s="772"/>
      <c r="AE391" s="772"/>
      <c r="AF391" s="772"/>
      <c r="AG391" s="772"/>
      <c r="AH391" s="772"/>
      <c r="AI391" s="772"/>
    </row>
    <row r="392" ht="15.75" customHeight="1">
      <c r="A392" s="815"/>
      <c r="B392" s="782"/>
      <c r="C392" s="782"/>
      <c r="D392" s="782"/>
      <c r="E392" s="816"/>
      <c r="F392" s="816"/>
      <c r="G392" s="816"/>
      <c r="H392" s="817"/>
      <c r="I392" s="817"/>
      <c r="J392" s="817"/>
      <c r="K392" s="818"/>
      <c r="L392" s="772"/>
      <c r="M392" s="772"/>
      <c r="N392" s="772"/>
      <c r="O392" s="772"/>
      <c r="P392" s="772"/>
      <c r="Q392" s="772"/>
      <c r="R392" s="772"/>
      <c r="S392" s="772"/>
      <c r="T392" s="772"/>
      <c r="U392" s="772"/>
      <c r="V392" s="772"/>
      <c r="W392" s="772"/>
      <c r="X392" s="772"/>
      <c r="Y392" s="772"/>
      <c r="Z392" s="772"/>
      <c r="AA392" s="772"/>
      <c r="AB392" s="772"/>
      <c r="AC392" s="772"/>
      <c r="AD392" s="772"/>
      <c r="AE392" s="772"/>
      <c r="AF392" s="772"/>
      <c r="AG392" s="772"/>
      <c r="AH392" s="772"/>
      <c r="AI392" s="772"/>
    </row>
    <row r="393" ht="15.75" customHeight="1">
      <c r="A393" s="815"/>
      <c r="B393" s="782"/>
      <c r="C393" s="782"/>
      <c r="D393" s="782"/>
      <c r="E393" s="816"/>
      <c r="F393" s="816"/>
      <c r="G393" s="816"/>
      <c r="H393" s="817"/>
      <c r="I393" s="817"/>
      <c r="J393" s="817"/>
      <c r="K393" s="818"/>
      <c r="L393" s="772"/>
      <c r="M393" s="772"/>
      <c r="N393" s="772"/>
      <c r="O393" s="772"/>
      <c r="P393" s="772"/>
      <c r="Q393" s="772"/>
      <c r="R393" s="772"/>
      <c r="S393" s="772"/>
      <c r="T393" s="772"/>
      <c r="U393" s="772"/>
      <c r="V393" s="772"/>
      <c r="W393" s="772"/>
      <c r="X393" s="772"/>
      <c r="Y393" s="772"/>
      <c r="Z393" s="772"/>
      <c r="AA393" s="772"/>
      <c r="AB393" s="772"/>
      <c r="AC393" s="772"/>
      <c r="AD393" s="772"/>
      <c r="AE393" s="772"/>
      <c r="AF393" s="772"/>
      <c r="AG393" s="772"/>
      <c r="AH393" s="772"/>
      <c r="AI393" s="772"/>
    </row>
    <row r="394" ht="15.75" customHeight="1">
      <c r="A394" s="815"/>
      <c r="B394" s="782"/>
      <c r="C394" s="782"/>
      <c r="D394" s="782"/>
      <c r="E394" s="816"/>
      <c r="F394" s="816"/>
      <c r="G394" s="816"/>
      <c r="H394" s="817"/>
      <c r="I394" s="817"/>
      <c r="J394" s="817"/>
      <c r="K394" s="818"/>
      <c r="L394" s="772"/>
      <c r="M394" s="772"/>
      <c r="N394" s="772"/>
      <c r="O394" s="772"/>
      <c r="P394" s="772"/>
      <c r="Q394" s="772"/>
      <c r="R394" s="772"/>
      <c r="S394" s="772"/>
      <c r="T394" s="772"/>
      <c r="U394" s="772"/>
      <c r="V394" s="772"/>
      <c r="W394" s="772"/>
      <c r="X394" s="772"/>
      <c r="Y394" s="772"/>
      <c r="Z394" s="772"/>
      <c r="AA394" s="772"/>
      <c r="AB394" s="772"/>
      <c r="AC394" s="772"/>
      <c r="AD394" s="772"/>
      <c r="AE394" s="772"/>
      <c r="AF394" s="772"/>
      <c r="AG394" s="772"/>
      <c r="AH394" s="772"/>
      <c r="AI394" s="772"/>
    </row>
    <row r="395" ht="15.75" customHeight="1">
      <c r="A395" s="815"/>
      <c r="B395" s="782"/>
      <c r="C395" s="782"/>
      <c r="D395" s="782"/>
      <c r="E395" s="816"/>
      <c r="F395" s="816"/>
      <c r="G395" s="816"/>
      <c r="H395" s="817"/>
      <c r="I395" s="817"/>
      <c r="J395" s="817"/>
      <c r="K395" s="818"/>
      <c r="L395" s="772"/>
      <c r="M395" s="772"/>
      <c r="N395" s="772"/>
      <c r="O395" s="772"/>
      <c r="P395" s="772"/>
      <c r="Q395" s="772"/>
      <c r="R395" s="772"/>
      <c r="S395" s="772"/>
      <c r="T395" s="772"/>
      <c r="U395" s="772"/>
      <c r="V395" s="772"/>
      <c r="W395" s="772"/>
      <c r="X395" s="772"/>
      <c r="Y395" s="772"/>
      <c r="Z395" s="772"/>
      <c r="AA395" s="772"/>
      <c r="AB395" s="772"/>
      <c r="AC395" s="772"/>
      <c r="AD395" s="772"/>
      <c r="AE395" s="772"/>
      <c r="AF395" s="772"/>
      <c r="AG395" s="772"/>
      <c r="AH395" s="772"/>
      <c r="AI395" s="772"/>
    </row>
    <row r="396" ht="15.75" customHeight="1">
      <c r="A396" s="815"/>
      <c r="B396" s="782"/>
      <c r="C396" s="782"/>
      <c r="D396" s="782"/>
      <c r="E396" s="816"/>
      <c r="F396" s="816"/>
      <c r="G396" s="816"/>
      <c r="H396" s="817"/>
      <c r="I396" s="817"/>
      <c r="J396" s="817"/>
      <c r="K396" s="818"/>
      <c r="L396" s="772"/>
      <c r="M396" s="772"/>
      <c r="N396" s="772"/>
      <c r="O396" s="772"/>
      <c r="P396" s="772"/>
      <c r="Q396" s="772"/>
      <c r="R396" s="772"/>
      <c r="S396" s="772"/>
      <c r="T396" s="772"/>
      <c r="U396" s="772"/>
      <c r="V396" s="772"/>
      <c r="W396" s="772"/>
      <c r="X396" s="772"/>
      <c r="Y396" s="772"/>
      <c r="Z396" s="772"/>
      <c r="AA396" s="772"/>
      <c r="AB396" s="772"/>
      <c r="AC396" s="772"/>
      <c r="AD396" s="772"/>
      <c r="AE396" s="772"/>
      <c r="AF396" s="772"/>
      <c r="AG396" s="772"/>
      <c r="AH396" s="772"/>
      <c r="AI396" s="772"/>
    </row>
    <row r="397" ht="15.75" customHeight="1">
      <c r="A397" s="815"/>
      <c r="B397" s="782"/>
      <c r="C397" s="782"/>
      <c r="D397" s="782"/>
      <c r="E397" s="816"/>
      <c r="F397" s="816"/>
      <c r="G397" s="816"/>
      <c r="H397" s="817"/>
      <c r="I397" s="817"/>
      <c r="J397" s="817"/>
      <c r="K397" s="818"/>
      <c r="L397" s="772"/>
      <c r="M397" s="772"/>
      <c r="N397" s="772"/>
      <c r="O397" s="772"/>
      <c r="P397" s="772"/>
      <c r="Q397" s="772"/>
      <c r="R397" s="772"/>
      <c r="S397" s="772"/>
      <c r="T397" s="772"/>
      <c r="U397" s="772"/>
      <c r="V397" s="772"/>
      <c r="W397" s="772"/>
      <c r="X397" s="772"/>
      <c r="Y397" s="772"/>
      <c r="Z397" s="772"/>
      <c r="AA397" s="772"/>
      <c r="AB397" s="772"/>
      <c r="AC397" s="772"/>
      <c r="AD397" s="772"/>
      <c r="AE397" s="772"/>
      <c r="AF397" s="772"/>
      <c r="AG397" s="772"/>
      <c r="AH397" s="772"/>
      <c r="AI397" s="772"/>
    </row>
    <row r="398" ht="15.75" customHeight="1">
      <c r="A398" s="815"/>
      <c r="B398" s="782"/>
      <c r="C398" s="782"/>
      <c r="D398" s="782"/>
      <c r="E398" s="816"/>
      <c r="F398" s="816"/>
      <c r="G398" s="816"/>
      <c r="H398" s="817"/>
      <c r="I398" s="817"/>
      <c r="J398" s="817"/>
      <c r="K398" s="818"/>
      <c r="L398" s="772"/>
      <c r="M398" s="772"/>
      <c r="N398" s="772"/>
      <c r="O398" s="772"/>
      <c r="P398" s="772"/>
      <c r="Q398" s="772"/>
      <c r="R398" s="772"/>
      <c r="S398" s="772"/>
      <c r="T398" s="772"/>
      <c r="U398" s="772"/>
      <c r="V398" s="772"/>
      <c r="W398" s="772"/>
      <c r="X398" s="772"/>
      <c r="Y398" s="772"/>
      <c r="Z398" s="772"/>
      <c r="AA398" s="772"/>
      <c r="AB398" s="772"/>
      <c r="AC398" s="772"/>
      <c r="AD398" s="772"/>
      <c r="AE398" s="772"/>
      <c r="AF398" s="772"/>
      <c r="AG398" s="772"/>
      <c r="AH398" s="772"/>
      <c r="AI398" s="772"/>
    </row>
    <row r="399" ht="15.75" customHeight="1">
      <c r="A399" s="815"/>
      <c r="B399" s="782"/>
      <c r="C399" s="782"/>
      <c r="D399" s="782"/>
      <c r="E399" s="816"/>
      <c r="F399" s="816"/>
      <c r="G399" s="816"/>
      <c r="H399" s="817"/>
      <c r="I399" s="817"/>
      <c r="J399" s="817"/>
      <c r="K399" s="818"/>
      <c r="L399" s="772"/>
      <c r="M399" s="772"/>
      <c r="N399" s="772"/>
      <c r="O399" s="772"/>
      <c r="P399" s="772"/>
      <c r="Q399" s="772"/>
      <c r="R399" s="772"/>
      <c r="S399" s="772"/>
      <c r="T399" s="772"/>
      <c r="U399" s="772"/>
      <c r="V399" s="772"/>
      <c r="W399" s="772"/>
      <c r="X399" s="772"/>
      <c r="Y399" s="772"/>
      <c r="Z399" s="772"/>
      <c r="AA399" s="772"/>
      <c r="AB399" s="772"/>
      <c r="AC399" s="772"/>
      <c r="AD399" s="772"/>
      <c r="AE399" s="772"/>
      <c r="AF399" s="772"/>
      <c r="AG399" s="772"/>
      <c r="AH399" s="772"/>
      <c r="AI399" s="772"/>
    </row>
    <row r="400" ht="15.75" customHeight="1">
      <c r="A400" s="815"/>
      <c r="B400" s="782"/>
      <c r="C400" s="782"/>
      <c r="D400" s="782"/>
      <c r="E400" s="816"/>
      <c r="F400" s="816"/>
      <c r="G400" s="816"/>
      <c r="H400" s="817"/>
      <c r="I400" s="817"/>
      <c r="J400" s="817"/>
      <c r="K400" s="818"/>
      <c r="L400" s="772"/>
      <c r="M400" s="772"/>
      <c r="N400" s="772"/>
      <c r="O400" s="772"/>
      <c r="P400" s="772"/>
      <c r="Q400" s="772"/>
      <c r="R400" s="772"/>
      <c r="S400" s="772"/>
      <c r="T400" s="772"/>
      <c r="U400" s="772"/>
      <c r="V400" s="772"/>
      <c r="W400" s="772"/>
      <c r="X400" s="772"/>
      <c r="Y400" s="772"/>
      <c r="Z400" s="772"/>
      <c r="AA400" s="772"/>
      <c r="AB400" s="772"/>
      <c r="AC400" s="772"/>
      <c r="AD400" s="772"/>
      <c r="AE400" s="772"/>
      <c r="AF400" s="772"/>
      <c r="AG400" s="772"/>
      <c r="AH400" s="772"/>
      <c r="AI400" s="772"/>
    </row>
    <row r="401" ht="15.75" customHeight="1">
      <c r="A401" s="815"/>
      <c r="B401" s="782"/>
      <c r="C401" s="782"/>
      <c r="D401" s="782"/>
      <c r="E401" s="816"/>
      <c r="F401" s="816"/>
      <c r="G401" s="816"/>
      <c r="H401" s="817"/>
      <c r="I401" s="817"/>
      <c r="J401" s="817"/>
      <c r="K401" s="818"/>
      <c r="L401" s="772"/>
      <c r="M401" s="772"/>
      <c r="N401" s="772"/>
      <c r="O401" s="772"/>
      <c r="P401" s="772"/>
      <c r="Q401" s="772"/>
      <c r="R401" s="772"/>
      <c r="S401" s="772"/>
      <c r="T401" s="772"/>
      <c r="U401" s="772"/>
      <c r="V401" s="772"/>
      <c r="W401" s="772"/>
      <c r="X401" s="772"/>
      <c r="Y401" s="772"/>
      <c r="Z401" s="772"/>
      <c r="AA401" s="772"/>
      <c r="AB401" s="772"/>
      <c r="AC401" s="772"/>
      <c r="AD401" s="772"/>
      <c r="AE401" s="772"/>
      <c r="AF401" s="772"/>
      <c r="AG401" s="772"/>
      <c r="AH401" s="772"/>
      <c r="AI401" s="772"/>
    </row>
    <row r="402" ht="15.75" customHeight="1">
      <c r="A402" s="815"/>
      <c r="B402" s="782"/>
      <c r="C402" s="782"/>
      <c r="D402" s="782"/>
      <c r="E402" s="816"/>
      <c r="F402" s="816"/>
      <c r="G402" s="816"/>
      <c r="H402" s="817"/>
      <c r="I402" s="817"/>
      <c r="J402" s="817"/>
      <c r="K402" s="818"/>
      <c r="L402" s="772"/>
      <c r="M402" s="772"/>
      <c r="N402" s="772"/>
      <c r="O402" s="772"/>
      <c r="P402" s="772"/>
      <c r="Q402" s="772"/>
      <c r="R402" s="772"/>
      <c r="S402" s="772"/>
      <c r="T402" s="772"/>
      <c r="U402" s="772"/>
      <c r="V402" s="772"/>
      <c r="W402" s="772"/>
      <c r="X402" s="772"/>
      <c r="Y402" s="772"/>
      <c r="Z402" s="772"/>
      <c r="AA402" s="772"/>
      <c r="AB402" s="772"/>
      <c r="AC402" s="772"/>
      <c r="AD402" s="772"/>
      <c r="AE402" s="772"/>
      <c r="AF402" s="772"/>
      <c r="AG402" s="772"/>
      <c r="AH402" s="772"/>
      <c r="AI402" s="772"/>
    </row>
    <row r="403" ht="15.75" customHeight="1">
      <c r="A403" s="815"/>
      <c r="B403" s="782"/>
      <c r="C403" s="782"/>
      <c r="D403" s="782"/>
      <c r="E403" s="816"/>
      <c r="F403" s="816"/>
      <c r="G403" s="816"/>
      <c r="H403" s="817"/>
      <c r="I403" s="817"/>
      <c r="J403" s="817"/>
      <c r="K403" s="818"/>
      <c r="L403" s="772"/>
      <c r="M403" s="772"/>
      <c r="N403" s="772"/>
      <c r="O403" s="772"/>
      <c r="P403" s="772"/>
      <c r="Q403" s="772"/>
      <c r="R403" s="772"/>
      <c r="S403" s="772"/>
      <c r="T403" s="772"/>
      <c r="U403" s="772"/>
      <c r="V403" s="772"/>
      <c r="W403" s="772"/>
      <c r="X403" s="772"/>
      <c r="Y403" s="772"/>
      <c r="Z403" s="772"/>
      <c r="AA403" s="772"/>
      <c r="AB403" s="772"/>
      <c r="AC403" s="772"/>
      <c r="AD403" s="772"/>
      <c r="AE403" s="772"/>
      <c r="AF403" s="772"/>
      <c r="AG403" s="772"/>
      <c r="AH403" s="772"/>
      <c r="AI403" s="772"/>
    </row>
    <row r="404" ht="15.75" customHeight="1">
      <c r="A404" s="815"/>
      <c r="B404" s="782"/>
      <c r="C404" s="782"/>
      <c r="D404" s="782"/>
      <c r="E404" s="816"/>
      <c r="F404" s="816"/>
      <c r="G404" s="816"/>
      <c r="H404" s="817"/>
      <c r="I404" s="817"/>
      <c r="J404" s="817"/>
      <c r="K404" s="818"/>
      <c r="L404" s="772"/>
      <c r="M404" s="772"/>
      <c r="N404" s="772"/>
      <c r="O404" s="772"/>
      <c r="P404" s="772"/>
      <c r="Q404" s="772"/>
      <c r="R404" s="772"/>
      <c r="S404" s="772"/>
      <c r="T404" s="772"/>
      <c r="U404" s="772"/>
      <c r="V404" s="772"/>
      <c r="W404" s="772"/>
      <c r="X404" s="772"/>
      <c r="Y404" s="772"/>
      <c r="Z404" s="772"/>
      <c r="AA404" s="772"/>
      <c r="AB404" s="772"/>
      <c r="AC404" s="772"/>
      <c r="AD404" s="772"/>
      <c r="AE404" s="772"/>
      <c r="AF404" s="772"/>
      <c r="AG404" s="772"/>
      <c r="AH404" s="772"/>
      <c r="AI404" s="772"/>
    </row>
    <row r="405" ht="15.75" customHeight="1">
      <c r="A405" s="815"/>
      <c r="B405" s="782"/>
      <c r="C405" s="782"/>
      <c r="D405" s="782"/>
      <c r="E405" s="816"/>
      <c r="F405" s="816"/>
      <c r="G405" s="816"/>
      <c r="H405" s="817"/>
      <c r="I405" s="817"/>
      <c r="J405" s="817"/>
      <c r="K405" s="818"/>
      <c r="L405" s="772"/>
      <c r="M405" s="772"/>
      <c r="N405" s="772"/>
      <c r="O405" s="772"/>
      <c r="P405" s="772"/>
      <c r="Q405" s="772"/>
      <c r="R405" s="772"/>
      <c r="S405" s="772"/>
      <c r="T405" s="772"/>
      <c r="U405" s="772"/>
      <c r="V405" s="772"/>
      <c r="W405" s="772"/>
      <c r="X405" s="772"/>
      <c r="Y405" s="772"/>
      <c r="Z405" s="772"/>
      <c r="AA405" s="772"/>
      <c r="AB405" s="772"/>
      <c r="AC405" s="772"/>
      <c r="AD405" s="772"/>
      <c r="AE405" s="772"/>
      <c r="AF405" s="772"/>
      <c r="AG405" s="772"/>
      <c r="AH405" s="772"/>
      <c r="AI405" s="772"/>
    </row>
    <row r="406" ht="15.75" customHeight="1">
      <c r="A406" s="815"/>
      <c r="B406" s="782"/>
      <c r="C406" s="782"/>
      <c r="D406" s="782"/>
      <c r="E406" s="816"/>
      <c r="F406" s="816"/>
      <c r="G406" s="816"/>
      <c r="H406" s="817"/>
      <c r="I406" s="817"/>
      <c r="J406" s="817"/>
      <c r="K406" s="818"/>
      <c r="L406" s="772"/>
      <c r="M406" s="772"/>
      <c r="N406" s="772"/>
      <c r="O406" s="772"/>
      <c r="P406" s="772"/>
      <c r="Q406" s="772"/>
      <c r="R406" s="772"/>
      <c r="S406" s="772"/>
      <c r="T406" s="772"/>
      <c r="U406" s="772"/>
      <c r="V406" s="772"/>
      <c r="W406" s="772"/>
      <c r="X406" s="772"/>
      <c r="Y406" s="772"/>
      <c r="Z406" s="772"/>
      <c r="AA406" s="772"/>
      <c r="AB406" s="772"/>
      <c r="AC406" s="772"/>
      <c r="AD406" s="772"/>
      <c r="AE406" s="772"/>
      <c r="AF406" s="772"/>
      <c r="AG406" s="772"/>
      <c r="AH406" s="772"/>
      <c r="AI406" s="772"/>
    </row>
    <row r="407" ht="15.75" customHeight="1">
      <c r="A407" s="815"/>
      <c r="B407" s="782"/>
      <c r="C407" s="782"/>
      <c r="D407" s="782"/>
      <c r="E407" s="816"/>
      <c r="F407" s="816"/>
      <c r="G407" s="816"/>
      <c r="H407" s="817"/>
      <c r="I407" s="817"/>
      <c r="J407" s="817"/>
      <c r="K407" s="818"/>
      <c r="L407" s="772"/>
      <c r="M407" s="772"/>
      <c r="N407" s="772"/>
      <c r="O407" s="772"/>
      <c r="P407" s="772"/>
      <c r="Q407" s="772"/>
      <c r="R407" s="772"/>
      <c r="S407" s="772"/>
      <c r="T407" s="772"/>
      <c r="U407" s="772"/>
      <c r="V407" s="772"/>
      <c r="W407" s="772"/>
      <c r="X407" s="772"/>
      <c r="Y407" s="772"/>
      <c r="Z407" s="772"/>
      <c r="AA407" s="772"/>
      <c r="AB407" s="772"/>
      <c r="AC407" s="772"/>
      <c r="AD407" s="772"/>
      <c r="AE407" s="772"/>
      <c r="AF407" s="772"/>
      <c r="AG407" s="772"/>
      <c r="AH407" s="772"/>
      <c r="AI407" s="772"/>
    </row>
    <row r="408" ht="15.75" customHeight="1">
      <c r="A408" s="815"/>
      <c r="B408" s="782"/>
      <c r="C408" s="782"/>
      <c r="D408" s="782"/>
      <c r="E408" s="816"/>
      <c r="F408" s="816"/>
      <c r="G408" s="816"/>
      <c r="H408" s="817"/>
      <c r="I408" s="817"/>
      <c r="J408" s="817"/>
      <c r="K408" s="818"/>
      <c r="L408" s="772"/>
      <c r="M408" s="772"/>
      <c r="N408" s="772"/>
      <c r="O408" s="772"/>
      <c r="P408" s="772"/>
      <c r="Q408" s="772"/>
      <c r="R408" s="772"/>
      <c r="S408" s="772"/>
      <c r="T408" s="772"/>
      <c r="U408" s="772"/>
      <c r="V408" s="772"/>
      <c r="W408" s="772"/>
      <c r="X408" s="772"/>
      <c r="Y408" s="772"/>
      <c r="Z408" s="772"/>
      <c r="AA408" s="772"/>
      <c r="AB408" s="772"/>
      <c r="AC408" s="772"/>
      <c r="AD408" s="772"/>
      <c r="AE408" s="772"/>
      <c r="AF408" s="772"/>
      <c r="AG408" s="772"/>
      <c r="AH408" s="772"/>
      <c r="AI408" s="772"/>
    </row>
    <row r="409" ht="15.75" customHeight="1">
      <c r="A409" s="815"/>
      <c r="B409" s="782"/>
      <c r="C409" s="782"/>
      <c r="D409" s="782"/>
      <c r="E409" s="816"/>
      <c r="F409" s="816"/>
      <c r="G409" s="816"/>
      <c r="H409" s="817"/>
      <c r="I409" s="817"/>
      <c r="J409" s="817"/>
      <c r="K409" s="818"/>
      <c r="L409" s="772"/>
      <c r="M409" s="772"/>
      <c r="N409" s="772"/>
      <c r="O409" s="772"/>
      <c r="P409" s="772"/>
      <c r="Q409" s="772"/>
      <c r="R409" s="772"/>
      <c r="S409" s="772"/>
      <c r="T409" s="772"/>
      <c r="U409" s="772"/>
      <c r="V409" s="772"/>
      <c r="W409" s="772"/>
      <c r="X409" s="772"/>
      <c r="Y409" s="772"/>
      <c r="Z409" s="772"/>
      <c r="AA409" s="772"/>
      <c r="AB409" s="772"/>
      <c r="AC409" s="772"/>
      <c r="AD409" s="772"/>
      <c r="AE409" s="772"/>
      <c r="AF409" s="772"/>
      <c r="AG409" s="772"/>
      <c r="AH409" s="772"/>
      <c r="AI409" s="772"/>
    </row>
    <row r="410" ht="15.75" customHeight="1">
      <c r="A410" s="815"/>
      <c r="B410" s="782"/>
      <c r="C410" s="782"/>
      <c r="D410" s="782"/>
      <c r="E410" s="816"/>
      <c r="F410" s="816"/>
      <c r="G410" s="816"/>
      <c r="H410" s="817"/>
      <c r="I410" s="817"/>
      <c r="J410" s="817"/>
      <c r="K410" s="818"/>
      <c r="L410" s="772"/>
      <c r="M410" s="772"/>
      <c r="N410" s="772"/>
      <c r="O410" s="772"/>
      <c r="P410" s="772"/>
      <c r="Q410" s="772"/>
      <c r="R410" s="772"/>
      <c r="S410" s="772"/>
      <c r="T410" s="772"/>
      <c r="U410" s="772"/>
      <c r="V410" s="772"/>
      <c r="W410" s="772"/>
      <c r="X410" s="772"/>
      <c r="Y410" s="772"/>
      <c r="Z410" s="772"/>
      <c r="AA410" s="772"/>
      <c r="AB410" s="772"/>
      <c r="AC410" s="772"/>
      <c r="AD410" s="772"/>
      <c r="AE410" s="772"/>
      <c r="AF410" s="772"/>
      <c r="AG410" s="772"/>
      <c r="AH410" s="772"/>
      <c r="AI410" s="772"/>
    </row>
    <row r="411" ht="15.75" customHeight="1">
      <c r="A411" s="815"/>
      <c r="B411" s="782"/>
      <c r="C411" s="782"/>
      <c r="D411" s="782"/>
      <c r="E411" s="816"/>
      <c r="F411" s="816"/>
      <c r="G411" s="816"/>
      <c r="H411" s="817"/>
      <c r="I411" s="817"/>
      <c r="J411" s="817"/>
      <c r="K411" s="818"/>
      <c r="L411" s="772"/>
      <c r="M411" s="772"/>
      <c r="N411" s="772"/>
      <c r="O411" s="772"/>
      <c r="P411" s="772"/>
      <c r="Q411" s="772"/>
      <c r="R411" s="772"/>
      <c r="S411" s="772"/>
      <c r="T411" s="772"/>
      <c r="U411" s="772"/>
      <c r="V411" s="772"/>
      <c r="W411" s="772"/>
      <c r="X411" s="772"/>
      <c r="Y411" s="772"/>
      <c r="Z411" s="772"/>
      <c r="AA411" s="772"/>
      <c r="AB411" s="772"/>
      <c r="AC411" s="772"/>
      <c r="AD411" s="772"/>
      <c r="AE411" s="772"/>
      <c r="AF411" s="772"/>
      <c r="AG411" s="772"/>
      <c r="AH411" s="772"/>
      <c r="AI411" s="772"/>
    </row>
    <row r="412" ht="15.75" customHeight="1">
      <c r="A412" s="815"/>
      <c r="B412" s="782"/>
      <c r="C412" s="782"/>
      <c r="D412" s="782"/>
      <c r="E412" s="816"/>
      <c r="F412" s="816"/>
      <c r="G412" s="816"/>
      <c r="H412" s="817"/>
      <c r="I412" s="817"/>
      <c r="J412" s="817"/>
      <c r="K412" s="818"/>
      <c r="L412" s="772"/>
      <c r="M412" s="772"/>
      <c r="N412" s="772"/>
      <c r="O412" s="772"/>
      <c r="P412" s="772"/>
      <c r="Q412" s="772"/>
      <c r="R412" s="772"/>
      <c r="S412" s="772"/>
      <c r="T412" s="772"/>
      <c r="U412" s="772"/>
      <c r="V412" s="772"/>
      <c r="W412" s="772"/>
      <c r="X412" s="772"/>
      <c r="Y412" s="772"/>
      <c r="Z412" s="772"/>
      <c r="AA412" s="772"/>
      <c r="AB412" s="772"/>
      <c r="AC412" s="772"/>
      <c r="AD412" s="772"/>
      <c r="AE412" s="772"/>
      <c r="AF412" s="772"/>
      <c r="AG412" s="772"/>
      <c r="AH412" s="772"/>
      <c r="AI412" s="772"/>
    </row>
    <row r="413" ht="15.75" customHeight="1">
      <c r="A413" s="815"/>
      <c r="B413" s="782"/>
      <c r="C413" s="782"/>
      <c r="D413" s="782"/>
      <c r="E413" s="816"/>
      <c r="F413" s="816"/>
      <c r="G413" s="816"/>
      <c r="H413" s="817"/>
      <c r="I413" s="817"/>
      <c r="J413" s="817"/>
      <c r="K413" s="818"/>
      <c r="L413" s="772"/>
      <c r="M413" s="772"/>
      <c r="N413" s="772"/>
      <c r="O413" s="772"/>
      <c r="P413" s="772"/>
      <c r="Q413" s="772"/>
      <c r="R413" s="772"/>
      <c r="S413" s="772"/>
      <c r="T413" s="772"/>
      <c r="U413" s="772"/>
      <c r="V413" s="772"/>
      <c r="W413" s="772"/>
      <c r="X413" s="772"/>
      <c r="Y413" s="772"/>
      <c r="Z413" s="772"/>
      <c r="AA413" s="772"/>
      <c r="AB413" s="772"/>
      <c r="AC413" s="772"/>
      <c r="AD413" s="772"/>
      <c r="AE413" s="772"/>
      <c r="AF413" s="772"/>
      <c r="AG413" s="772"/>
      <c r="AH413" s="772"/>
      <c r="AI413" s="772"/>
    </row>
    <row r="414" ht="15.75" customHeight="1">
      <c r="A414" s="815"/>
      <c r="B414" s="782"/>
      <c r="C414" s="782"/>
      <c r="D414" s="782"/>
      <c r="E414" s="816"/>
      <c r="F414" s="816"/>
      <c r="G414" s="816"/>
      <c r="H414" s="817"/>
      <c r="I414" s="817"/>
      <c r="J414" s="817"/>
      <c r="K414" s="818"/>
      <c r="L414" s="772"/>
      <c r="M414" s="772"/>
      <c r="N414" s="772"/>
      <c r="O414" s="772"/>
      <c r="P414" s="772"/>
      <c r="Q414" s="772"/>
      <c r="R414" s="772"/>
      <c r="S414" s="772"/>
      <c r="T414" s="772"/>
      <c r="U414" s="772"/>
      <c r="V414" s="772"/>
      <c r="W414" s="772"/>
      <c r="X414" s="772"/>
      <c r="Y414" s="772"/>
      <c r="Z414" s="772"/>
      <c r="AA414" s="772"/>
      <c r="AB414" s="772"/>
      <c r="AC414" s="772"/>
      <c r="AD414" s="772"/>
      <c r="AE414" s="772"/>
      <c r="AF414" s="772"/>
      <c r="AG414" s="772"/>
      <c r="AH414" s="772"/>
      <c r="AI414" s="772"/>
    </row>
    <row r="415" ht="15.75" customHeight="1">
      <c r="A415" s="815"/>
      <c r="B415" s="782"/>
      <c r="C415" s="782"/>
      <c r="D415" s="782"/>
      <c r="E415" s="816"/>
      <c r="F415" s="816"/>
      <c r="G415" s="816"/>
      <c r="H415" s="817"/>
      <c r="I415" s="817"/>
      <c r="J415" s="817"/>
      <c r="K415" s="818"/>
      <c r="L415" s="772"/>
      <c r="M415" s="772"/>
      <c r="N415" s="772"/>
      <c r="O415" s="772"/>
      <c r="P415" s="772"/>
      <c r="Q415" s="772"/>
      <c r="R415" s="772"/>
      <c r="S415" s="772"/>
      <c r="T415" s="772"/>
      <c r="U415" s="772"/>
      <c r="V415" s="772"/>
      <c r="W415" s="772"/>
      <c r="X415" s="772"/>
      <c r="Y415" s="772"/>
      <c r="Z415" s="772"/>
      <c r="AA415" s="772"/>
      <c r="AB415" s="772"/>
      <c r="AC415" s="772"/>
      <c r="AD415" s="772"/>
      <c r="AE415" s="772"/>
      <c r="AF415" s="772"/>
      <c r="AG415" s="772"/>
      <c r="AH415" s="772"/>
      <c r="AI415" s="772"/>
    </row>
    <row r="416" ht="15.75" customHeight="1">
      <c r="A416" s="815"/>
      <c r="B416" s="782"/>
      <c r="C416" s="782"/>
      <c r="D416" s="782"/>
      <c r="E416" s="816"/>
      <c r="F416" s="816"/>
      <c r="G416" s="816"/>
      <c r="H416" s="817"/>
      <c r="I416" s="817"/>
      <c r="J416" s="817"/>
      <c r="K416" s="818"/>
      <c r="L416" s="772"/>
      <c r="M416" s="772"/>
      <c r="N416" s="772"/>
      <c r="O416" s="772"/>
      <c r="P416" s="772"/>
      <c r="Q416" s="772"/>
      <c r="R416" s="772"/>
      <c r="S416" s="772"/>
      <c r="T416" s="772"/>
      <c r="U416" s="772"/>
      <c r="V416" s="772"/>
      <c r="W416" s="772"/>
      <c r="X416" s="772"/>
      <c r="Y416" s="772"/>
      <c r="Z416" s="772"/>
      <c r="AA416" s="772"/>
      <c r="AB416" s="772"/>
      <c r="AC416" s="772"/>
      <c r="AD416" s="772"/>
      <c r="AE416" s="772"/>
      <c r="AF416" s="772"/>
      <c r="AG416" s="772"/>
      <c r="AH416" s="772"/>
      <c r="AI416" s="772"/>
    </row>
    <row r="417" ht="15.75" customHeight="1">
      <c r="A417" s="815"/>
      <c r="B417" s="782"/>
      <c r="C417" s="782"/>
      <c r="D417" s="782"/>
      <c r="E417" s="816"/>
      <c r="F417" s="816"/>
      <c r="G417" s="816"/>
      <c r="H417" s="817"/>
      <c r="I417" s="817"/>
      <c r="J417" s="817"/>
      <c r="K417" s="818"/>
      <c r="L417" s="772"/>
      <c r="M417" s="772"/>
      <c r="N417" s="772"/>
      <c r="O417" s="772"/>
      <c r="P417" s="772"/>
      <c r="Q417" s="772"/>
      <c r="R417" s="772"/>
      <c r="S417" s="772"/>
      <c r="T417" s="772"/>
      <c r="U417" s="772"/>
      <c r="V417" s="772"/>
      <c r="W417" s="772"/>
      <c r="X417" s="772"/>
      <c r="Y417" s="772"/>
      <c r="Z417" s="772"/>
      <c r="AA417" s="772"/>
      <c r="AB417" s="772"/>
      <c r="AC417" s="772"/>
      <c r="AD417" s="772"/>
      <c r="AE417" s="772"/>
      <c r="AF417" s="772"/>
      <c r="AG417" s="772"/>
      <c r="AH417" s="772"/>
      <c r="AI417" s="772"/>
    </row>
    <row r="418" ht="15.75" customHeight="1">
      <c r="A418" s="815"/>
      <c r="B418" s="782"/>
      <c r="C418" s="782"/>
      <c r="D418" s="782"/>
      <c r="E418" s="816"/>
      <c r="F418" s="816"/>
      <c r="G418" s="816"/>
      <c r="H418" s="817"/>
      <c r="I418" s="817"/>
      <c r="J418" s="817"/>
      <c r="K418" s="818"/>
      <c r="L418" s="772"/>
      <c r="M418" s="772"/>
      <c r="N418" s="772"/>
      <c r="O418" s="772"/>
      <c r="P418" s="772"/>
      <c r="Q418" s="772"/>
      <c r="R418" s="772"/>
      <c r="S418" s="772"/>
      <c r="T418" s="772"/>
      <c r="U418" s="772"/>
      <c r="V418" s="772"/>
      <c r="W418" s="772"/>
      <c r="X418" s="772"/>
      <c r="Y418" s="772"/>
      <c r="Z418" s="772"/>
      <c r="AA418" s="772"/>
      <c r="AB418" s="772"/>
      <c r="AC418" s="772"/>
      <c r="AD418" s="772"/>
      <c r="AE418" s="772"/>
      <c r="AF418" s="772"/>
      <c r="AG418" s="772"/>
      <c r="AH418" s="772"/>
      <c r="AI418" s="772"/>
    </row>
    <row r="419" ht="15.75" customHeight="1">
      <c r="A419" s="815"/>
      <c r="B419" s="782"/>
      <c r="C419" s="782"/>
      <c r="D419" s="782"/>
      <c r="E419" s="816"/>
      <c r="F419" s="816"/>
      <c r="G419" s="816"/>
      <c r="H419" s="817"/>
      <c r="I419" s="817"/>
      <c r="J419" s="817"/>
      <c r="K419" s="818"/>
      <c r="L419" s="772"/>
      <c r="M419" s="772"/>
      <c r="N419" s="772"/>
      <c r="O419" s="772"/>
      <c r="P419" s="772"/>
      <c r="Q419" s="772"/>
      <c r="R419" s="772"/>
      <c r="S419" s="772"/>
      <c r="T419" s="772"/>
      <c r="U419" s="772"/>
      <c r="V419" s="772"/>
      <c r="W419" s="772"/>
      <c r="X419" s="772"/>
      <c r="Y419" s="772"/>
      <c r="Z419" s="772"/>
      <c r="AA419" s="772"/>
      <c r="AB419" s="772"/>
      <c r="AC419" s="772"/>
      <c r="AD419" s="772"/>
      <c r="AE419" s="772"/>
      <c r="AF419" s="772"/>
      <c r="AG419" s="772"/>
      <c r="AH419" s="772"/>
      <c r="AI419" s="772"/>
    </row>
    <row r="420" ht="15.75" customHeight="1">
      <c r="A420" s="815"/>
      <c r="B420" s="782"/>
      <c r="C420" s="782"/>
      <c r="D420" s="782"/>
      <c r="E420" s="816"/>
      <c r="F420" s="816"/>
      <c r="G420" s="816"/>
      <c r="H420" s="817"/>
      <c r="I420" s="817"/>
      <c r="J420" s="817"/>
      <c r="K420" s="818"/>
      <c r="L420" s="772"/>
      <c r="M420" s="772"/>
      <c r="N420" s="772"/>
      <c r="O420" s="772"/>
      <c r="P420" s="772"/>
      <c r="Q420" s="772"/>
      <c r="R420" s="772"/>
      <c r="S420" s="772"/>
      <c r="T420" s="772"/>
      <c r="U420" s="772"/>
      <c r="V420" s="772"/>
      <c r="W420" s="772"/>
      <c r="X420" s="772"/>
      <c r="Y420" s="772"/>
      <c r="Z420" s="772"/>
      <c r="AA420" s="772"/>
      <c r="AB420" s="772"/>
      <c r="AC420" s="772"/>
      <c r="AD420" s="772"/>
      <c r="AE420" s="772"/>
      <c r="AF420" s="772"/>
      <c r="AG420" s="772"/>
      <c r="AH420" s="772"/>
      <c r="AI420" s="772"/>
    </row>
    <row r="421" ht="15.75" customHeight="1">
      <c r="A421" s="815"/>
      <c r="B421" s="782"/>
      <c r="C421" s="782"/>
      <c r="D421" s="782"/>
      <c r="E421" s="816"/>
      <c r="F421" s="816"/>
      <c r="G421" s="816"/>
      <c r="H421" s="817"/>
      <c r="I421" s="817"/>
      <c r="J421" s="817"/>
      <c r="K421" s="818"/>
      <c r="L421" s="772"/>
      <c r="M421" s="772"/>
      <c r="N421" s="772"/>
      <c r="O421" s="772"/>
      <c r="P421" s="772"/>
      <c r="Q421" s="772"/>
      <c r="R421" s="772"/>
      <c r="S421" s="772"/>
      <c r="T421" s="772"/>
      <c r="U421" s="772"/>
      <c r="V421" s="772"/>
      <c r="W421" s="772"/>
      <c r="X421" s="772"/>
      <c r="Y421" s="772"/>
      <c r="Z421" s="772"/>
      <c r="AA421" s="772"/>
      <c r="AB421" s="772"/>
      <c r="AC421" s="772"/>
      <c r="AD421" s="772"/>
      <c r="AE421" s="772"/>
      <c r="AF421" s="772"/>
      <c r="AG421" s="772"/>
      <c r="AH421" s="772"/>
      <c r="AI421" s="772"/>
    </row>
    <row r="422" ht="15.75" customHeight="1">
      <c r="A422" s="815"/>
      <c r="B422" s="782"/>
      <c r="C422" s="782"/>
      <c r="D422" s="782"/>
      <c r="E422" s="816"/>
      <c r="F422" s="816"/>
      <c r="G422" s="816"/>
      <c r="H422" s="817"/>
      <c r="I422" s="817"/>
      <c r="J422" s="817"/>
      <c r="K422" s="818"/>
      <c r="L422" s="772"/>
      <c r="M422" s="772"/>
      <c r="N422" s="772"/>
      <c r="O422" s="772"/>
      <c r="P422" s="772"/>
      <c r="Q422" s="772"/>
      <c r="R422" s="772"/>
      <c r="S422" s="772"/>
      <c r="T422" s="772"/>
      <c r="U422" s="772"/>
      <c r="V422" s="772"/>
      <c r="W422" s="772"/>
      <c r="X422" s="772"/>
      <c r="Y422" s="772"/>
      <c r="Z422" s="772"/>
      <c r="AA422" s="772"/>
      <c r="AB422" s="772"/>
      <c r="AC422" s="772"/>
      <c r="AD422" s="772"/>
      <c r="AE422" s="772"/>
      <c r="AF422" s="772"/>
      <c r="AG422" s="772"/>
      <c r="AH422" s="772"/>
      <c r="AI422" s="772"/>
    </row>
    <row r="423" ht="15.75" customHeight="1">
      <c r="A423" s="815"/>
      <c r="B423" s="782"/>
      <c r="C423" s="782"/>
      <c r="D423" s="782"/>
      <c r="E423" s="816"/>
      <c r="F423" s="816"/>
      <c r="G423" s="816"/>
      <c r="H423" s="817"/>
      <c r="I423" s="817"/>
      <c r="J423" s="817"/>
      <c r="K423" s="818"/>
      <c r="L423" s="772"/>
      <c r="M423" s="772"/>
      <c r="N423" s="772"/>
      <c r="O423" s="772"/>
      <c r="P423" s="772"/>
      <c r="Q423" s="772"/>
      <c r="R423" s="772"/>
      <c r="S423" s="772"/>
      <c r="T423" s="772"/>
      <c r="U423" s="772"/>
      <c r="V423" s="772"/>
      <c r="W423" s="772"/>
      <c r="X423" s="772"/>
      <c r="Y423" s="772"/>
      <c r="Z423" s="772"/>
      <c r="AA423" s="772"/>
      <c r="AB423" s="772"/>
      <c r="AC423" s="772"/>
      <c r="AD423" s="772"/>
      <c r="AE423" s="772"/>
      <c r="AF423" s="772"/>
      <c r="AG423" s="772"/>
      <c r="AH423" s="772"/>
      <c r="AI423" s="772"/>
    </row>
    <row r="424" ht="15.75" customHeight="1">
      <c r="A424" s="815"/>
      <c r="B424" s="782"/>
      <c r="C424" s="782"/>
      <c r="D424" s="782"/>
      <c r="E424" s="816"/>
      <c r="F424" s="816"/>
      <c r="G424" s="816"/>
      <c r="H424" s="817"/>
      <c r="I424" s="817"/>
      <c r="J424" s="817"/>
      <c r="K424" s="818"/>
      <c r="L424" s="772"/>
      <c r="M424" s="772"/>
      <c r="N424" s="772"/>
      <c r="O424" s="772"/>
      <c r="P424" s="772"/>
      <c r="Q424" s="772"/>
      <c r="R424" s="772"/>
      <c r="S424" s="772"/>
      <c r="T424" s="772"/>
      <c r="U424" s="772"/>
      <c r="V424" s="772"/>
      <c r="W424" s="772"/>
      <c r="X424" s="772"/>
      <c r="Y424" s="772"/>
      <c r="Z424" s="772"/>
      <c r="AA424" s="772"/>
      <c r="AB424" s="772"/>
      <c r="AC424" s="772"/>
      <c r="AD424" s="772"/>
      <c r="AE424" s="772"/>
      <c r="AF424" s="772"/>
      <c r="AG424" s="772"/>
      <c r="AH424" s="772"/>
      <c r="AI424" s="772"/>
    </row>
    <row r="425" ht="15.75" customHeight="1">
      <c r="A425" s="815"/>
      <c r="B425" s="782"/>
      <c r="C425" s="782"/>
      <c r="D425" s="782"/>
      <c r="E425" s="816"/>
      <c r="F425" s="816"/>
      <c r="G425" s="816"/>
      <c r="H425" s="817"/>
      <c r="I425" s="817"/>
      <c r="J425" s="817"/>
      <c r="K425" s="818"/>
      <c r="L425" s="772"/>
      <c r="M425" s="772"/>
      <c r="N425" s="772"/>
      <c r="O425" s="772"/>
      <c r="P425" s="772"/>
      <c r="Q425" s="772"/>
      <c r="R425" s="772"/>
      <c r="S425" s="772"/>
      <c r="T425" s="772"/>
      <c r="U425" s="772"/>
      <c r="V425" s="772"/>
      <c r="W425" s="772"/>
      <c r="X425" s="772"/>
      <c r="Y425" s="772"/>
      <c r="Z425" s="772"/>
      <c r="AA425" s="772"/>
      <c r="AB425" s="772"/>
      <c r="AC425" s="772"/>
      <c r="AD425" s="772"/>
      <c r="AE425" s="772"/>
      <c r="AF425" s="772"/>
      <c r="AG425" s="772"/>
      <c r="AH425" s="772"/>
      <c r="AI425" s="772"/>
    </row>
    <row r="426" ht="15.75" customHeight="1">
      <c r="A426" s="815"/>
      <c r="B426" s="782"/>
      <c r="C426" s="782"/>
      <c r="D426" s="782"/>
      <c r="E426" s="816"/>
      <c r="F426" s="816"/>
      <c r="G426" s="816"/>
      <c r="H426" s="817"/>
      <c r="I426" s="817"/>
      <c r="J426" s="817"/>
      <c r="K426" s="818"/>
      <c r="L426" s="772"/>
      <c r="M426" s="772"/>
      <c r="N426" s="772"/>
      <c r="O426" s="772"/>
      <c r="P426" s="772"/>
      <c r="Q426" s="772"/>
      <c r="R426" s="772"/>
      <c r="S426" s="772"/>
      <c r="T426" s="772"/>
      <c r="U426" s="772"/>
      <c r="V426" s="772"/>
      <c r="W426" s="772"/>
      <c r="X426" s="772"/>
      <c r="Y426" s="772"/>
      <c r="Z426" s="772"/>
      <c r="AA426" s="772"/>
      <c r="AB426" s="772"/>
      <c r="AC426" s="772"/>
      <c r="AD426" s="772"/>
      <c r="AE426" s="772"/>
      <c r="AF426" s="772"/>
      <c r="AG426" s="772"/>
      <c r="AH426" s="772"/>
      <c r="AI426" s="772"/>
    </row>
    <row r="427" ht="15.75" customHeight="1">
      <c r="A427" s="815"/>
      <c r="B427" s="782"/>
      <c r="C427" s="782"/>
      <c r="D427" s="782"/>
      <c r="E427" s="816"/>
      <c r="F427" s="816"/>
      <c r="G427" s="816"/>
      <c r="H427" s="817"/>
      <c r="I427" s="817"/>
      <c r="J427" s="817"/>
      <c r="K427" s="818"/>
      <c r="L427" s="772"/>
      <c r="M427" s="772"/>
      <c r="N427" s="772"/>
      <c r="O427" s="772"/>
      <c r="P427" s="772"/>
      <c r="Q427" s="772"/>
      <c r="R427" s="772"/>
      <c r="S427" s="772"/>
      <c r="T427" s="772"/>
      <c r="U427" s="772"/>
      <c r="V427" s="772"/>
      <c r="W427" s="772"/>
      <c r="X427" s="772"/>
      <c r="Y427" s="772"/>
      <c r="Z427" s="772"/>
      <c r="AA427" s="772"/>
      <c r="AB427" s="772"/>
      <c r="AC427" s="772"/>
      <c r="AD427" s="772"/>
      <c r="AE427" s="772"/>
      <c r="AF427" s="772"/>
      <c r="AG427" s="772"/>
      <c r="AH427" s="772"/>
      <c r="AI427" s="772"/>
    </row>
    <row r="428" ht="15.75" customHeight="1">
      <c r="A428" s="815"/>
      <c r="B428" s="782"/>
      <c r="C428" s="782"/>
      <c r="D428" s="782"/>
      <c r="E428" s="816"/>
      <c r="F428" s="816"/>
      <c r="G428" s="816"/>
      <c r="H428" s="817"/>
      <c r="I428" s="817"/>
      <c r="J428" s="817"/>
      <c r="K428" s="818"/>
      <c r="L428" s="772"/>
      <c r="M428" s="772"/>
      <c r="N428" s="772"/>
      <c r="O428" s="772"/>
      <c r="P428" s="772"/>
      <c r="Q428" s="772"/>
      <c r="R428" s="772"/>
      <c r="S428" s="772"/>
      <c r="T428" s="772"/>
      <c r="U428" s="772"/>
      <c r="V428" s="772"/>
      <c r="W428" s="772"/>
      <c r="X428" s="772"/>
      <c r="Y428" s="772"/>
      <c r="Z428" s="772"/>
      <c r="AA428" s="772"/>
      <c r="AB428" s="772"/>
      <c r="AC428" s="772"/>
      <c r="AD428" s="772"/>
      <c r="AE428" s="772"/>
      <c r="AF428" s="772"/>
      <c r="AG428" s="772"/>
      <c r="AH428" s="772"/>
      <c r="AI428" s="772"/>
    </row>
    <row r="429" ht="15.75" customHeight="1">
      <c r="A429" s="815"/>
      <c r="B429" s="782"/>
      <c r="C429" s="782"/>
      <c r="D429" s="782"/>
      <c r="E429" s="816"/>
      <c r="F429" s="816"/>
      <c r="G429" s="816"/>
      <c r="H429" s="817"/>
      <c r="I429" s="817"/>
      <c r="J429" s="817"/>
      <c r="K429" s="818"/>
      <c r="L429" s="772"/>
      <c r="M429" s="772"/>
      <c r="N429" s="772"/>
      <c r="O429" s="772"/>
      <c r="P429" s="772"/>
      <c r="Q429" s="772"/>
      <c r="R429" s="772"/>
      <c r="S429" s="772"/>
      <c r="T429" s="772"/>
      <c r="U429" s="772"/>
      <c r="V429" s="772"/>
      <c r="W429" s="772"/>
      <c r="X429" s="772"/>
      <c r="Y429" s="772"/>
      <c r="Z429" s="772"/>
      <c r="AA429" s="772"/>
      <c r="AB429" s="772"/>
      <c r="AC429" s="772"/>
      <c r="AD429" s="772"/>
      <c r="AE429" s="772"/>
      <c r="AF429" s="772"/>
      <c r="AG429" s="772"/>
      <c r="AH429" s="772"/>
      <c r="AI429" s="772"/>
    </row>
    <row r="430" ht="15.75" customHeight="1">
      <c r="A430" s="815"/>
      <c r="B430" s="782"/>
      <c r="C430" s="782"/>
      <c r="D430" s="782"/>
      <c r="E430" s="816"/>
      <c r="F430" s="816"/>
      <c r="G430" s="816"/>
      <c r="H430" s="817"/>
      <c r="I430" s="817"/>
      <c r="J430" s="817"/>
      <c r="K430" s="818"/>
      <c r="L430" s="772"/>
      <c r="M430" s="772"/>
      <c r="N430" s="772"/>
      <c r="O430" s="772"/>
      <c r="P430" s="772"/>
      <c r="Q430" s="772"/>
      <c r="R430" s="772"/>
      <c r="S430" s="772"/>
      <c r="T430" s="772"/>
      <c r="U430" s="772"/>
      <c r="V430" s="772"/>
      <c r="W430" s="772"/>
      <c r="X430" s="772"/>
      <c r="Y430" s="772"/>
      <c r="Z430" s="772"/>
      <c r="AA430" s="772"/>
      <c r="AB430" s="772"/>
      <c r="AC430" s="772"/>
      <c r="AD430" s="772"/>
      <c r="AE430" s="772"/>
      <c r="AF430" s="772"/>
      <c r="AG430" s="772"/>
      <c r="AH430" s="772"/>
      <c r="AI430" s="772"/>
    </row>
    <row r="431" ht="15.75" customHeight="1">
      <c r="A431" s="815"/>
      <c r="B431" s="782"/>
      <c r="C431" s="782"/>
      <c r="D431" s="782"/>
      <c r="E431" s="816"/>
      <c r="F431" s="816"/>
      <c r="G431" s="816"/>
      <c r="H431" s="817"/>
      <c r="I431" s="817"/>
      <c r="J431" s="817"/>
      <c r="K431" s="818"/>
      <c r="L431" s="772"/>
      <c r="M431" s="772"/>
      <c r="N431" s="772"/>
      <c r="O431" s="772"/>
      <c r="P431" s="772"/>
      <c r="Q431" s="772"/>
      <c r="R431" s="772"/>
      <c r="S431" s="772"/>
      <c r="T431" s="772"/>
      <c r="U431" s="772"/>
      <c r="V431" s="772"/>
      <c r="W431" s="772"/>
      <c r="X431" s="772"/>
      <c r="Y431" s="772"/>
      <c r="Z431" s="772"/>
      <c r="AA431" s="772"/>
      <c r="AB431" s="772"/>
      <c r="AC431" s="772"/>
      <c r="AD431" s="772"/>
      <c r="AE431" s="772"/>
      <c r="AF431" s="772"/>
      <c r="AG431" s="772"/>
      <c r="AH431" s="772"/>
      <c r="AI431" s="772"/>
    </row>
    <row r="432" ht="15.75" customHeight="1">
      <c r="A432" s="815"/>
      <c r="B432" s="782"/>
      <c r="C432" s="782"/>
      <c r="D432" s="782"/>
      <c r="E432" s="816"/>
      <c r="F432" s="816"/>
      <c r="G432" s="816"/>
      <c r="H432" s="817"/>
      <c r="I432" s="817"/>
      <c r="J432" s="817"/>
      <c r="K432" s="818"/>
      <c r="L432" s="772"/>
      <c r="M432" s="772"/>
      <c r="N432" s="772"/>
      <c r="O432" s="772"/>
      <c r="P432" s="772"/>
      <c r="Q432" s="772"/>
      <c r="R432" s="772"/>
      <c r="S432" s="772"/>
      <c r="T432" s="772"/>
      <c r="U432" s="772"/>
      <c r="V432" s="772"/>
      <c r="W432" s="772"/>
      <c r="X432" s="772"/>
      <c r="Y432" s="772"/>
      <c r="Z432" s="772"/>
      <c r="AA432" s="772"/>
      <c r="AB432" s="772"/>
      <c r="AC432" s="772"/>
      <c r="AD432" s="772"/>
      <c r="AE432" s="772"/>
      <c r="AF432" s="772"/>
      <c r="AG432" s="772"/>
      <c r="AH432" s="772"/>
      <c r="AI432" s="772"/>
    </row>
    <row r="433" ht="15.75" customHeight="1">
      <c r="A433" s="815"/>
      <c r="B433" s="782"/>
      <c r="C433" s="782"/>
      <c r="D433" s="782"/>
      <c r="E433" s="816"/>
      <c r="F433" s="816"/>
      <c r="G433" s="816"/>
      <c r="H433" s="817"/>
      <c r="I433" s="817"/>
      <c r="J433" s="817"/>
      <c r="K433" s="818"/>
      <c r="L433" s="772"/>
      <c r="M433" s="772"/>
      <c r="N433" s="772"/>
      <c r="O433" s="772"/>
      <c r="P433" s="772"/>
      <c r="Q433" s="772"/>
      <c r="R433" s="772"/>
      <c r="S433" s="772"/>
      <c r="T433" s="772"/>
      <c r="U433" s="772"/>
      <c r="V433" s="772"/>
      <c r="W433" s="772"/>
      <c r="X433" s="772"/>
      <c r="Y433" s="772"/>
      <c r="Z433" s="772"/>
      <c r="AA433" s="772"/>
      <c r="AB433" s="772"/>
      <c r="AC433" s="772"/>
      <c r="AD433" s="772"/>
      <c r="AE433" s="772"/>
      <c r="AF433" s="772"/>
      <c r="AG433" s="772"/>
      <c r="AH433" s="772"/>
      <c r="AI433" s="772"/>
    </row>
    <row r="434" ht="15.75" customHeight="1">
      <c r="A434" s="815"/>
      <c r="B434" s="782"/>
      <c r="C434" s="782"/>
      <c r="D434" s="782"/>
      <c r="E434" s="816"/>
      <c r="F434" s="816"/>
      <c r="G434" s="816"/>
      <c r="H434" s="817"/>
      <c r="I434" s="817"/>
      <c r="J434" s="817"/>
      <c r="K434" s="818"/>
      <c r="L434" s="772"/>
      <c r="M434" s="772"/>
      <c r="N434" s="772"/>
      <c r="O434" s="772"/>
      <c r="P434" s="772"/>
      <c r="Q434" s="772"/>
      <c r="R434" s="772"/>
      <c r="S434" s="772"/>
      <c r="T434" s="772"/>
      <c r="U434" s="772"/>
      <c r="V434" s="772"/>
      <c r="W434" s="772"/>
      <c r="X434" s="772"/>
      <c r="Y434" s="772"/>
      <c r="Z434" s="772"/>
      <c r="AA434" s="772"/>
      <c r="AB434" s="772"/>
      <c r="AC434" s="772"/>
      <c r="AD434" s="772"/>
      <c r="AE434" s="772"/>
      <c r="AF434" s="772"/>
      <c r="AG434" s="772"/>
      <c r="AH434" s="772"/>
      <c r="AI434" s="772"/>
    </row>
    <row r="435" ht="15.75" customHeight="1">
      <c r="A435" s="815"/>
      <c r="B435" s="782"/>
      <c r="C435" s="782"/>
      <c r="D435" s="782"/>
      <c r="E435" s="816"/>
      <c r="F435" s="816"/>
      <c r="G435" s="816"/>
      <c r="H435" s="817"/>
      <c r="I435" s="817"/>
      <c r="J435" s="817"/>
      <c r="K435" s="818"/>
      <c r="L435" s="772"/>
      <c r="M435" s="772"/>
      <c r="N435" s="772"/>
      <c r="O435" s="772"/>
      <c r="P435" s="772"/>
      <c r="Q435" s="772"/>
      <c r="R435" s="772"/>
      <c r="S435" s="772"/>
      <c r="T435" s="772"/>
      <c r="U435" s="772"/>
      <c r="V435" s="772"/>
      <c r="W435" s="772"/>
      <c r="X435" s="772"/>
      <c r="Y435" s="772"/>
      <c r="Z435" s="772"/>
      <c r="AA435" s="772"/>
      <c r="AB435" s="772"/>
      <c r="AC435" s="772"/>
      <c r="AD435" s="772"/>
      <c r="AE435" s="772"/>
      <c r="AF435" s="772"/>
      <c r="AG435" s="772"/>
      <c r="AH435" s="772"/>
      <c r="AI435" s="772"/>
    </row>
    <row r="436" ht="15.75" customHeight="1">
      <c r="A436" s="815"/>
      <c r="B436" s="782"/>
      <c r="C436" s="782"/>
      <c r="D436" s="782"/>
      <c r="E436" s="816"/>
      <c r="F436" s="816"/>
      <c r="G436" s="816"/>
      <c r="H436" s="817"/>
      <c r="I436" s="817"/>
      <c r="J436" s="817"/>
      <c r="K436" s="818"/>
      <c r="L436" s="772"/>
      <c r="M436" s="772"/>
      <c r="N436" s="772"/>
      <c r="O436" s="772"/>
      <c r="P436" s="772"/>
      <c r="Q436" s="772"/>
      <c r="R436" s="772"/>
      <c r="S436" s="772"/>
      <c r="T436" s="772"/>
      <c r="U436" s="772"/>
      <c r="V436" s="772"/>
      <c r="W436" s="772"/>
      <c r="X436" s="772"/>
      <c r="Y436" s="772"/>
      <c r="Z436" s="772"/>
      <c r="AA436" s="772"/>
      <c r="AB436" s="772"/>
      <c r="AC436" s="772"/>
      <c r="AD436" s="772"/>
      <c r="AE436" s="772"/>
      <c r="AF436" s="772"/>
      <c r="AG436" s="772"/>
      <c r="AH436" s="772"/>
      <c r="AI436" s="772"/>
    </row>
    <row r="437" ht="15.75" customHeight="1">
      <c r="A437" s="815"/>
      <c r="B437" s="782"/>
      <c r="C437" s="782"/>
      <c r="D437" s="782"/>
      <c r="E437" s="816"/>
      <c r="F437" s="816"/>
      <c r="G437" s="816"/>
      <c r="H437" s="817"/>
      <c r="I437" s="817"/>
      <c r="J437" s="817"/>
      <c r="K437" s="818"/>
      <c r="L437" s="772"/>
      <c r="M437" s="772"/>
      <c r="N437" s="772"/>
      <c r="O437" s="772"/>
      <c r="P437" s="772"/>
      <c r="Q437" s="772"/>
      <c r="R437" s="772"/>
      <c r="S437" s="772"/>
      <c r="T437" s="772"/>
      <c r="U437" s="772"/>
      <c r="V437" s="772"/>
      <c r="W437" s="772"/>
      <c r="X437" s="772"/>
      <c r="Y437" s="772"/>
      <c r="Z437" s="772"/>
      <c r="AA437" s="772"/>
      <c r="AB437" s="772"/>
      <c r="AC437" s="772"/>
      <c r="AD437" s="772"/>
      <c r="AE437" s="772"/>
      <c r="AF437" s="772"/>
      <c r="AG437" s="772"/>
      <c r="AH437" s="772"/>
      <c r="AI437" s="772"/>
    </row>
    <row r="438" ht="15.75" customHeight="1">
      <c r="A438" s="815"/>
      <c r="B438" s="782"/>
      <c r="C438" s="782"/>
      <c r="D438" s="782"/>
      <c r="E438" s="816"/>
      <c r="F438" s="816"/>
      <c r="G438" s="816"/>
      <c r="H438" s="817"/>
      <c r="I438" s="817"/>
      <c r="J438" s="817"/>
      <c r="K438" s="818"/>
      <c r="L438" s="772"/>
      <c r="M438" s="772"/>
      <c r="N438" s="772"/>
      <c r="O438" s="772"/>
      <c r="P438" s="772"/>
      <c r="Q438" s="772"/>
      <c r="R438" s="772"/>
      <c r="S438" s="772"/>
      <c r="T438" s="772"/>
      <c r="U438" s="772"/>
      <c r="V438" s="772"/>
      <c r="W438" s="772"/>
      <c r="X438" s="772"/>
      <c r="Y438" s="772"/>
      <c r="Z438" s="772"/>
      <c r="AA438" s="772"/>
      <c r="AB438" s="772"/>
      <c r="AC438" s="772"/>
      <c r="AD438" s="772"/>
      <c r="AE438" s="772"/>
      <c r="AF438" s="772"/>
      <c r="AG438" s="772"/>
      <c r="AH438" s="772"/>
      <c r="AI438" s="772"/>
    </row>
    <row r="439" ht="15.75" customHeight="1">
      <c r="A439" s="815"/>
      <c r="B439" s="782"/>
      <c r="C439" s="782"/>
      <c r="D439" s="782"/>
      <c r="E439" s="816"/>
      <c r="F439" s="816"/>
      <c r="G439" s="816"/>
      <c r="H439" s="817"/>
      <c r="I439" s="817"/>
      <c r="J439" s="817"/>
      <c r="K439" s="818"/>
      <c r="L439" s="772"/>
      <c r="M439" s="772"/>
      <c r="N439" s="772"/>
      <c r="O439" s="772"/>
      <c r="P439" s="772"/>
      <c r="Q439" s="772"/>
      <c r="R439" s="772"/>
      <c r="S439" s="772"/>
      <c r="T439" s="772"/>
      <c r="U439" s="772"/>
      <c r="V439" s="772"/>
      <c r="W439" s="772"/>
      <c r="X439" s="772"/>
      <c r="Y439" s="772"/>
      <c r="Z439" s="772"/>
      <c r="AA439" s="772"/>
      <c r="AB439" s="772"/>
      <c r="AC439" s="772"/>
      <c r="AD439" s="772"/>
      <c r="AE439" s="772"/>
      <c r="AF439" s="772"/>
      <c r="AG439" s="772"/>
      <c r="AH439" s="772"/>
      <c r="AI439" s="772"/>
    </row>
    <row r="440" ht="15.75" customHeight="1">
      <c r="A440" s="815"/>
      <c r="B440" s="782"/>
      <c r="C440" s="782"/>
      <c r="D440" s="782"/>
      <c r="E440" s="816"/>
      <c r="F440" s="816"/>
      <c r="G440" s="816"/>
      <c r="H440" s="817"/>
      <c r="I440" s="817"/>
      <c r="J440" s="817"/>
      <c r="K440" s="818"/>
      <c r="L440" s="772"/>
      <c r="M440" s="772"/>
      <c r="N440" s="772"/>
      <c r="O440" s="772"/>
      <c r="P440" s="772"/>
      <c r="Q440" s="772"/>
      <c r="R440" s="772"/>
      <c r="S440" s="772"/>
      <c r="T440" s="772"/>
      <c r="U440" s="772"/>
      <c r="V440" s="772"/>
      <c r="W440" s="772"/>
      <c r="X440" s="772"/>
      <c r="Y440" s="772"/>
      <c r="Z440" s="772"/>
      <c r="AA440" s="772"/>
      <c r="AB440" s="772"/>
      <c r="AC440" s="772"/>
      <c r="AD440" s="772"/>
      <c r="AE440" s="772"/>
      <c r="AF440" s="772"/>
      <c r="AG440" s="772"/>
      <c r="AH440" s="772"/>
      <c r="AI440" s="772"/>
    </row>
    <row r="441" ht="15.75" customHeight="1">
      <c r="A441" s="815"/>
      <c r="B441" s="782"/>
      <c r="C441" s="782"/>
      <c r="D441" s="782"/>
      <c r="E441" s="816"/>
      <c r="F441" s="816"/>
      <c r="G441" s="816"/>
      <c r="H441" s="817"/>
      <c r="I441" s="817"/>
      <c r="J441" s="817"/>
      <c r="K441" s="818"/>
      <c r="L441" s="772"/>
      <c r="M441" s="772"/>
      <c r="N441" s="772"/>
      <c r="O441" s="772"/>
      <c r="P441" s="772"/>
      <c r="Q441" s="772"/>
      <c r="R441" s="772"/>
      <c r="S441" s="772"/>
      <c r="T441" s="772"/>
      <c r="U441" s="772"/>
      <c r="V441" s="772"/>
      <c r="W441" s="772"/>
      <c r="X441" s="772"/>
      <c r="Y441" s="772"/>
      <c r="Z441" s="772"/>
      <c r="AA441" s="772"/>
      <c r="AB441" s="772"/>
      <c r="AC441" s="772"/>
      <c r="AD441" s="772"/>
      <c r="AE441" s="772"/>
      <c r="AF441" s="772"/>
      <c r="AG441" s="772"/>
      <c r="AH441" s="772"/>
      <c r="AI441" s="772"/>
    </row>
    <row r="442" ht="15.75" customHeight="1">
      <c r="A442" s="815"/>
      <c r="B442" s="782"/>
      <c r="C442" s="782"/>
      <c r="D442" s="782"/>
      <c r="E442" s="816"/>
      <c r="F442" s="816"/>
      <c r="G442" s="816"/>
      <c r="H442" s="817"/>
      <c r="I442" s="817"/>
      <c r="J442" s="817"/>
      <c r="K442" s="818"/>
      <c r="L442" s="772"/>
      <c r="M442" s="772"/>
      <c r="N442" s="772"/>
      <c r="O442" s="772"/>
      <c r="P442" s="772"/>
      <c r="Q442" s="772"/>
      <c r="R442" s="772"/>
      <c r="S442" s="772"/>
      <c r="T442" s="772"/>
      <c r="U442" s="772"/>
      <c r="V442" s="772"/>
      <c r="W442" s="772"/>
      <c r="X442" s="772"/>
      <c r="Y442" s="772"/>
      <c r="Z442" s="772"/>
      <c r="AA442" s="772"/>
      <c r="AB442" s="772"/>
      <c r="AC442" s="772"/>
      <c r="AD442" s="772"/>
      <c r="AE442" s="772"/>
      <c r="AF442" s="772"/>
      <c r="AG442" s="772"/>
      <c r="AH442" s="772"/>
      <c r="AI442" s="772"/>
    </row>
    <row r="443" ht="15.75" customHeight="1">
      <c r="A443" s="815"/>
      <c r="B443" s="782"/>
      <c r="C443" s="782"/>
      <c r="D443" s="782"/>
      <c r="E443" s="816"/>
      <c r="F443" s="816"/>
      <c r="G443" s="816"/>
      <c r="H443" s="817"/>
      <c r="I443" s="817"/>
      <c r="J443" s="817"/>
      <c r="K443" s="818"/>
      <c r="L443" s="772"/>
      <c r="M443" s="772"/>
      <c r="N443" s="772"/>
      <c r="O443" s="772"/>
      <c r="P443" s="772"/>
      <c r="Q443" s="772"/>
      <c r="R443" s="772"/>
      <c r="S443" s="772"/>
      <c r="T443" s="772"/>
      <c r="U443" s="772"/>
      <c r="V443" s="772"/>
      <c r="W443" s="772"/>
      <c r="X443" s="772"/>
      <c r="Y443" s="772"/>
      <c r="Z443" s="772"/>
      <c r="AA443" s="772"/>
      <c r="AB443" s="772"/>
      <c r="AC443" s="772"/>
      <c r="AD443" s="772"/>
      <c r="AE443" s="772"/>
      <c r="AF443" s="772"/>
      <c r="AG443" s="772"/>
      <c r="AH443" s="772"/>
      <c r="AI443" s="772"/>
    </row>
    <row r="444" ht="15.75" customHeight="1">
      <c r="A444" s="815"/>
      <c r="B444" s="782"/>
      <c r="C444" s="782"/>
      <c r="D444" s="782"/>
      <c r="E444" s="816"/>
      <c r="F444" s="816"/>
      <c r="G444" s="816"/>
      <c r="H444" s="817"/>
      <c r="I444" s="817"/>
      <c r="J444" s="817"/>
      <c r="K444" s="818"/>
      <c r="L444" s="772"/>
      <c r="M444" s="772"/>
      <c r="N444" s="772"/>
      <c r="O444" s="772"/>
      <c r="P444" s="772"/>
      <c r="Q444" s="772"/>
      <c r="R444" s="772"/>
      <c r="S444" s="772"/>
      <c r="T444" s="772"/>
      <c r="U444" s="772"/>
      <c r="V444" s="772"/>
      <c r="W444" s="772"/>
      <c r="X444" s="772"/>
      <c r="Y444" s="772"/>
      <c r="Z444" s="772"/>
      <c r="AA444" s="772"/>
      <c r="AB444" s="772"/>
      <c r="AC444" s="772"/>
      <c r="AD444" s="772"/>
      <c r="AE444" s="772"/>
      <c r="AF444" s="772"/>
      <c r="AG444" s="772"/>
      <c r="AH444" s="772"/>
      <c r="AI444" s="772"/>
    </row>
    <row r="445" ht="15.75" customHeight="1">
      <c r="A445" s="815"/>
      <c r="B445" s="782"/>
      <c r="C445" s="782"/>
      <c r="D445" s="782"/>
      <c r="E445" s="816"/>
      <c r="F445" s="816"/>
      <c r="G445" s="816"/>
      <c r="H445" s="817"/>
      <c r="I445" s="817"/>
      <c r="J445" s="817"/>
      <c r="K445" s="818"/>
      <c r="L445" s="772"/>
      <c r="M445" s="772"/>
      <c r="N445" s="772"/>
      <c r="O445" s="772"/>
      <c r="P445" s="772"/>
      <c r="Q445" s="772"/>
      <c r="R445" s="772"/>
      <c r="S445" s="772"/>
      <c r="T445" s="772"/>
      <c r="U445" s="772"/>
      <c r="V445" s="772"/>
      <c r="W445" s="772"/>
      <c r="X445" s="772"/>
      <c r="Y445" s="772"/>
      <c r="Z445" s="772"/>
      <c r="AA445" s="772"/>
      <c r="AB445" s="772"/>
      <c r="AC445" s="772"/>
      <c r="AD445" s="772"/>
      <c r="AE445" s="772"/>
      <c r="AF445" s="772"/>
      <c r="AG445" s="772"/>
      <c r="AH445" s="772"/>
      <c r="AI445" s="772"/>
    </row>
    <row r="446" ht="15.75" customHeight="1">
      <c r="A446" s="815"/>
      <c r="B446" s="782"/>
      <c r="C446" s="782"/>
      <c r="D446" s="782"/>
      <c r="E446" s="816"/>
      <c r="F446" s="816"/>
      <c r="G446" s="816"/>
      <c r="H446" s="817"/>
      <c r="I446" s="817"/>
      <c r="J446" s="817"/>
      <c r="K446" s="818"/>
      <c r="L446" s="772"/>
      <c r="M446" s="772"/>
      <c r="N446" s="772"/>
      <c r="O446" s="772"/>
      <c r="P446" s="772"/>
      <c r="Q446" s="772"/>
      <c r="R446" s="772"/>
      <c r="S446" s="772"/>
      <c r="T446" s="772"/>
      <c r="U446" s="772"/>
      <c r="V446" s="772"/>
      <c r="W446" s="772"/>
      <c r="X446" s="772"/>
      <c r="Y446" s="772"/>
      <c r="Z446" s="772"/>
      <c r="AA446" s="772"/>
      <c r="AB446" s="772"/>
      <c r="AC446" s="772"/>
      <c r="AD446" s="772"/>
      <c r="AE446" s="772"/>
      <c r="AF446" s="772"/>
      <c r="AG446" s="772"/>
      <c r="AH446" s="772"/>
      <c r="AI446" s="772"/>
    </row>
    <row r="447" ht="15.75" customHeight="1">
      <c r="A447" s="815"/>
      <c r="B447" s="782"/>
      <c r="C447" s="782"/>
      <c r="D447" s="782"/>
      <c r="E447" s="816"/>
      <c r="F447" s="816"/>
      <c r="G447" s="816"/>
      <c r="H447" s="817"/>
      <c r="I447" s="817"/>
      <c r="J447" s="817"/>
      <c r="K447" s="818"/>
      <c r="L447" s="772"/>
      <c r="M447" s="772"/>
      <c r="N447" s="772"/>
      <c r="O447" s="772"/>
      <c r="P447" s="772"/>
      <c r="Q447" s="772"/>
      <c r="R447" s="772"/>
      <c r="S447" s="772"/>
      <c r="T447" s="772"/>
      <c r="U447" s="772"/>
      <c r="V447" s="772"/>
      <c r="W447" s="772"/>
      <c r="X447" s="772"/>
      <c r="Y447" s="772"/>
      <c r="Z447" s="772"/>
      <c r="AA447" s="772"/>
      <c r="AB447" s="772"/>
      <c r="AC447" s="772"/>
      <c r="AD447" s="772"/>
      <c r="AE447" s="772"/>
      <c r="AF447" s="772"/>
      <c r="AG447" s="772"/>
      <c r="AH447" s="772"/>
      <c r="AI447" s="772"/>
    </row>
    <row r="448" ht="15.75" customHeight="1">
      <c r="A448" s="815"/>
      <c r="B448" s="782"/>
      <c r="C448" s="782"/>
      <c r="D448" s="782"/>
      <c r="E448" s="816"/>
      <c r="F448" s="816"/>
      <c r="G448" s="816"/>
      <c r="H448" s="817"/>
      <c r="I448" s="817"/>
      <c r="J448" s="817"/>
      <c r="K448" s="818"/>
      <c r="L448" s="772"/>
      <c r="M448" s="772"/>
      <c r="N448" s="772"/>
      <c r="O448" s="772"/>
      <c r="P448" s="772"/>
      <c r="Q448" s="772"/>
      <c r="R448" s="772"/>
      <c r="S448" s="772"/>
      <c r="T448" s="772"/>
      <c r="U448" s="772"/>
      <c r="V448" s="772"/>
      <c r="W448" s="772"/>
      <c r="X448" s="772"/>
      <c r="Y448" s="772"/>
      <c r="Z448" s="772"/>
      <c r="AA448" s="772"/>
      <c r="AB448" s="772"/>
      <c r="AC448" s="772"/>
      <c r="AD448" s="772"/>
      <c r="AE448" s="772"/>
      <c r="AF448" s="772"/>
      <c r="AG448" s="772"/>
      <c r="AH448" s="772"/>
      <c r="AI448" s="772"/>
    </row>
    <row r="449" ht="15.75" customHeight="1">
      <c r="A449" s="815"/>
      <c r="B449" s="782"/>
      <c r="C449" s="782"/>
      <c r="D449" s="782"/>
      <c r="E449" s="816"/>
      <c r="F449" s="816"/>
      <c r="G449" s="816"/>
      <c r="H449" s="817"/>
      <c r="I449" s="817"/>
      <c r="J449" s="817"/>
      <c r="K449" s="818"/>
      <c r="L449" s="772"/>
      <c r="M449" s="772"/>
      <c r="N449" s="772"/>
      <c r="O449" s="772"/>
      <c r="P449" s="772"/>
      <c r="Q449" s="772"/>
      <c r="R449" s="772"/>
      <c r="S449" s="772"/>
      <c r="T449" s="772"/>
      <c r="U449" s="772"/>
      <c r="V449" s="772"/>
      <c r="W449" s="772"/>
      <c r="X449" s="772"/>
      <c r="Y449" s="772"/>
      <c r="Z449" s="772"/>
      <c r="AA449" s="772"/>
      <c r="AB449" s="772"/>
      <c r="AC449" s="772"/>
      <c r="AD449" s="772"/>
      <c r="AE449" s="772"/>
      <c r="AF449" s="772"/>
      <c r="AG449" s="772"/>
      <c r="AH449" s="772"/>
      <c r="AI449" s="772"/>
    </row>
    <row r="450" ht="15.75" customHeight="1">
      <c r="A450" s="815"/>
      <c r="B450" s="782"/>
      <c r="C450" s="782"/>
      <c r="D450" s="782"/>
      <c r="E450" s="816"/>
      <c r="F450" s="816"/>
      <c r="G450" s="816"/>
      <c r="H450" s="817"/>
      <c r="I450" s="817"/>
      <c r="J450" s="817"/>
      <c r="K450" s="818"/>
      <c r="L450" s="772"/>
      <c r="M450" s="772"/>
      <c r="N450" s="772"/>
      <c r="O450" s="772"/>
      <c r="P450" s="772"/>
      <c r="Q450" s="772"/>
      <c r="R450" s="772"/>
      <c r="S450" s="772"/>
      <c r="T450" s="772"/>
      <c r="U450" s="772"/>
      <c r="V450" s="772"/>
      <c r="W450" s="772"/>
      <c r="X450" s="772"/>
      <c r="Y450" s="772"/>
      <c r="Z450" s="772"/>
      <c r="AA450" s="772"/>
      <c r="AB450" s="772"/>
      <c r="AC450" s="772"/>
      <c r="AD450" s="772"/>
      <c r="AE450" s="772"/>
      <c r="AF450" s="772"/>
      <c r="AG450" s="772"/>
      <c r="AH450" s="772"/>
      <c r="AI450" s="772"/>
    </row>
    <row r="451" ht="15.75" customHeight="1">
      <c r="A451" s="815"/>
      <c r="B451" s="782"/>
      <c r="C451" s="782"/>
      <c r="D451" s="782"/>
      <c r="E451" s="816"/>
      <c r="F451" s="816"/>
      <c r="G451" s="816"/>
      <c r="H451" s="817"/>
      <c r="I451" s="817"/>
      <c r="J451" s="817"/>
      <c r="K451" s="818"/>
      <c r="L451" s="772"/>
      <c r="M451" s="772"/>
      <c r="N451" s="772"/>
      <c r="O451" s="772"/>
      <c r="P451" s="772"/>
      <c r="Q451" s="772"/>
      <c r="R451" s="772"/>
      <c r="S451" s="772"/>
      <c r="T451" s="772"/>
      <c r="U451" s="772"/>
      <c r="V451" s="772"/>
      <c r="W451" s="772"/>
      <c r="X451" s="772"/>
      <c r="Y451" s="772"/>
      <c r="Z451" s="772"/>
      <c r="AA451" s="772"/>
      <c r="AB451" s="772"/>
      <c r="AC451" s="772"/>
      <c r="AD451" s="772"/>
      <c r="AE451" s="772"/>
      <c r="AF451" s="772"/>
      <c r="AG451" s="772"/>
      <c r="AH451" s="772"/>
      <c r="AI451" s="772"/>
    </row>
    <row r="452" ht="15.75" customHeight="1">
      <c r="A452" s="815"/>
      <c r="B452" s="782"/>
      <c r="C452" s="782"/>
      <c r="D452" s="782"/>
      <c r="E452" s="816"/>
      <c r="F452" s="816"/>
      <c r="G452" s="816"/>
      <c r="H452" s="817"/>
      <c r="I452" s="817"/>
      <c r="J452" s="817"/>
      <c r="K452" s="818"/>
      <c r="L452" s="772"/>
      <c r="M452" s="772"/>
      <c r="N452" s="772"/>
      <c r="O452" s="772"/>
      <c r="P452" s="772"/>
      <c r="Q452" s="772"/>
      <c r="R452" s="772"/>
      <c r="S452" s="772"/>
      <c r="T452" s="772"/>
      <c r="U452" s="772"/>
      <c r="V452" s="772"/>
      <c r="W452" s="772"/>
      <c r="X452" s="772"/>
      <c r="Y452" s="772"/>
      <c r="Z452" s="772"/>
      <c r="AA452" s="772"/>
      <c r="AB452" s="772"/>
      <c r="AC452" s="772"/>
      <c r="AD452" s="772"/>
      <c r="AE452" s="772"/>
      <c r="AF452" s="772"/>
      <c r="AG452" s="772"/>
      <c r="AH452" s="772"/>
      <c r="AI452" s="772"/>
    </row>
    <row r="453" ht="15.75" customHeight="1">
      <c r="A453" s="815"/>
      <c r="B453" s="782"/>
      <c r="C453" s="782"/>
      <c r="D453" s="782"/>
      <c r="E453" s="816"/>
      <c r="F453" s="816"/>
      <c r="G453" s="816"/>
      <c r="H453" s="817"/>
      <c r="I453" s="817"/>
      <c r="J453" s="817"/>
      <c r="K453" s="818"/>
      <c r="L453" s="772"/>
      <c r="M453" s="772"/>
      <c r="N453" s="772"/>
      <c r="O453" s="772"/>
      <c r="P453" s="772"/>
      <c r="Q453" s="772"/>
      <c r="R453" s="772"/>
      <c r="S453" s="772"/>
      <c r="T453" s="772"/>
      <c r="U453" s="772"/>
      <c r="V453" s="772"/>
      <c r="W453" s="772"/>
      <c r="X453" s="772"/>
      <c r="Y453" s="772"/>
      <c r="Z453" s="772"/>
      <c r="AA453" s="772"/>
      <c r="AB453" s="772"/>
      <c r="AC453" s="772"/>
      <c r="AD453" s="772"/>
      <c r="AE453" s="772"/>
      <c r="AF453" s="772"/>
      <c r="AG453" s="772"/>
      <c r="AH453" s="772"/>
      <c r="AI453" s="772"/>
    </row>
    <row r="454" ht="15.75" customHeight="1">
      <c r="A454" s="815"/>
      <c r="B454" s="782"/>
      <c r="C454" s="782"/>
      <c r="D454" s="782"/>
      <c r="E454" s="816"/>
      <c r="F454" s="816"/>
      <c r="G454" s="816"/>
      <c r="H454" s="817"/>
      <c r="I454" s="817"/>
      <c r="J454" s="817"/>
      <c r="K454" s="818"/>
      <c r="L454" s="772"/>
      <c r="M454" s="772"/>
      <c r="N454" s="772"/>
      <c r="O454" s="772"/>
      <c r="P454" s="772"/>
      <c r="Q454" s="772"/>
      <c r="R454" s="772"/>
      <c r="S454" s="772"/>
      <c r="T454" s="772"/>
      <c r="U454" s="772"/>
      <c r="V454" s="772"/>
      <c r="W454" s="772"/>
      <c r="X454" s="772"/>
      <c r="Y454" s="772"/>
      <c r="Z454" s="772"/>
      <c r="AA454" s="772"/>
      <c r="AB454" s="772"/>
      <c r="AC454" s="772"/>
      <c r="AD454" s="772"/>
      <c r="AE454" s="772"/>
      <c r="AF454" s="772"/>
      <c r="AG454" s="772"/>
      <c r="AH454" s="772"/>
      <c r="AI454" s="772"/>
    </row>
    <row r="455" ht="15.75" customHeight="1">
      <c r="A455" s="815"/>
      <c r="B455" s="782"/>
      <c r="C455" s="782"/>
      <c r="D455" s="782"/>
      <c r="E455" s="816"/>
      <c r="F455" s="816"/>
      <c r="G455" s="816"/>
      <c r="H455" s="817"/>
      <c r="I455" s="817"/>
      <c r="J455" s="817"/>
      <c r="K455" s="818"/>
      <c r="L455" s="772"/>
      <c r="M455" s="772"/>
      <c r="N455" s="772"/>
      <c r="O455" s="772"/>
      <c r="P455" s="772"/>
      <c r="Q455" s="772"/>
      <c r="R455" s="772"/>
      <c r="S455" s="772"/>
      <c r="T455" s="772"/>
      <c r="U455" s="772"/>
      <c r="V455" s="772"/>
      <c r="W455" s="772"/>
      <c r="X455" s="772"/>
      <c r="Y455" s="772"/>
      <c r="Z455" s="772"/>
      <c r="AA455" s="772"/>
      <c r="AB455" s="772"/>
      <c r="AC455" s="772"/>
      <c r="AD455" s="772"/>
      <c r="AE455" s="772"/>
      <c r="AF455" s="772"/>
      <c r="AG455" s="772"/>
      <c r="AH455" s="772"/>
      <c r="AI455" s="772"/>
    </row>
    <row r="456" ht="15.75" customHeight="1">
      <c r="A456" s="815"/>
      <c r="B456" s="782"/>
      <c r="C456" s="782"/>
      <c r="D456" s="782"/>
      <c r="E456" s="816"/>
      <c r="F456" s="816"/>
      <c r="G456" s="816"/>
      <c r="H456" s="817"/>
      <c r="I456" s="817"/>
      <c r="J456" s="817"/>
      <c r="K456" s="818"/>
      <c r="L456" s="772"/>
      <c r="M456" s="772"/>
      <c r="N456" s="772"/>
      <c r="O456" s="772"/>
      <c r="P456" s="772"/>
      <c r="Q456" s="772"/>
      <c r="R456" s="772"/>
      <c r="S456" s="772"/>
      <c r="T456" s="772"/>
      <c r="U456" s="772"/>
      <c r="V456" s="772"/>
      <c r="W456" s="772"/>
      <c r="X456" s="772"/>
      <c r="Y456" s="772"/>
      <c r="Z456" s="772"/>
      <c r="AA456" s="772"/>
      <c r="AB456" s="772"/>
      <c r="AC456" s="772"/>
      <c r="AD456" s="772"/>
      <c r="AE456" s="772"/>
      <c r="AF456" s="772"/>
      <c r="AG456" s="772"/>
      <c r="AH456" s="772"/>
      <c r="AI456" s="772"/>
    </row>
    <row r="457" ht="15.75" customHeight="1">
      <c r="A457" s="815"/>
      <c r="B457" s="782"/>
      <c r="C457" s="782"/>
      <c r="D457" s="782"/>
      <c r="E457" s="816"/>
      <c r="F457" s="816"/>
      <c r="G457" s="816"/>
      <c r="H457" s="817"/>
      <c r="I457" s="817"/>
      <c r="J457" s="817"/>
      <c r="K457" s="818"/>
      <c r="L457" s="772"/>
      <c r="M457" s="772"/>
      <c r="N457" s="772"/>
      <c r="O457" s="772"/>
      <c r="P457" s="772"/>
      <c r="Q457" s="772"/>
      <c r="R457" s="772"/>
      <c r="S457" s="772"/>
      <c r="T457" s="772"/>
      <c r="U457" s="772"/>
      <c r="V457" s="772"/>
      <c r="W457" s="772"/>
      <c r="X457" s="772"/>
      <c r="Y457" s="772"/>
      <c r="Z457" s="772"/>
      <c r="AA457" s="772"/>
      <c r="AB457" s="772"/>
      <c r="AC457" s="772"/>
      <c r="AD457" s="772"/>
      <c r="AE457" s="772"/>
      <c r="AF457" s="772"/>
      <c r="AG457" s="772"/>
      <c r="AH457" s="772"/>
      <c r="AI457" s="772"/>
    </row>
    <row r="458" ht="15.75" customHeight="1">
      <c r="A458" s="815"/>
      <c r="B458" s="782"/>
      <c r="C458" s="782"/>
      <c r="D458" s="782"/>
      <c r="E458" s="816"/>
      <c r="F458" s="816"/>
      <c r="G458" s="816"/>
      <c r="H458" s="817"/>
      <c r="I458" s="817"/>
      <c r="J458" s="817"/>
      <c r="K458" s="818"/>
      <c r="L458" s="772"/>
      <c r="M458" s="772"/>
      <c r="N458" s="772"/>
      <c r="O458" s="772"/>
      <c r="P458" s="772"/>
      <c r="Q458" s="772"/>
      <c r="R458" s="772"/>
      <c r="S458" s="772"/>
      <c r="T458" s="772"/>
      <c r="U458" s="772"/>
      <c r="V458" s="772"/>
      <c r="W458" s="772"/>
      <c r="X458" s="772"/>
      <c r="Y458" s="772"/>
      <c r="Z458" s="772"/>
      <c r="AA458" s="772"/>
      <c r="AB458" s="772"/>
      <c r="AC458" s="772"/>
      <c r="AD458" s="772"/>
      <c r="AE458" s="772"/>
      <c r="AF458" s="772"/>
      <c r="AG458" s="772"/>
      <c r="AH458" s="772"/>
      <c r="AI458" s="772"/>
    </row>
    <row r="459" ht="15.75" customHeight="1">
      <c r="A459" s="815"/>
      <c r="B459" s="782"/>
      <c r="C459" s="782"/>
      <c r="D459" s="782"/>
      <c r="E459" s="816"/>
      <c r="F459" s="816"/>
      <c r="G459" s="816"/>
      <c r="H459" s="817"/>
      <c r="I459" s="817"/>
      <c r="J459" s="817"/>
      <c r="K459" s="818"/>
      <c r="L459" s="772"/>
      <c r="M459" s="772"/>
      <c r="N459" s="772"/>
      <c r="O459" s="772"/>
      <c r="P459" s="772"/>
      <c r="Q459" s="772"/>
      <c r="R459" s="772"/>
      <c r="S459" s="772"/>
      <c r="T459" s="772"/>
      <c r="U459" s="772"/>
      <c r="V459" s="772"/>
      <c r="W459" s="772"/>
      <c r="X459" s="772"/>
      <c r="Y459" s="772"/>
      <c r="Z459" s="772"/>
      <c r="AA459" s="772"/>
      <c r="AB459" s="772"/>
      <c r="AC459" s="772"/>
      <c r="AD459" s="772"/>
      <c r="AE459" s="772"/>
      <c r="AF459" s="772"/>
      <c r="AG459" s="772"/>
      <c r="AH459" s="772"/>
      <c r="AI459" s="772"/>
    </row>
    <row r="460" ht="15.75" customHeight="1">
      <c r="A460" s="815"/>
      <c r="B460" s="782"/>
      <c r="C460" s="782"/>
      <c r="D460" s="782"/>
      <c r="E460" s="816"/>
      <c r="F460" s="816"/>
      <c r="G460" s="816"/>
      <c r="H460" s="817"/>
      <c r="I460" s="817"/>
      <c r="J460" s="817"/>
      <c r="K460" s="818"/>
      <c r="L460" s="772"/>
      <c r="M460" s="772"/>
      <c r="N460" s="772"/>
      <c r="O460" s="772"/>
      <c r="P460" s="772"/>
      <c r="Q460" s="772"/>
      <c r="R460" s="772"/>
      <c r="S460" s="772"/>
      <c r="T460" s="772"/>
      <c r="U460" s="772"/>
      <c r="V460" s="772"/>
      <c r="W460" s="772"/>
      <c r="X460" s="772"/>
      <c r="Y460" s="772"/>
      <c r="Z460" s="772"/>
      <c r="AA460" s="772"/>
      <c r="AB460" s="772"/>
      <c r="AC460" s="772"/>
      <c r="AD460" s="772"/>
      <c r="AE460" s="772"/>
      <c r="AF460" s="772"/>
      <c r="AG460" s="772"/>
      <c r="AH460" s="772"/>
      <c r="AI460" s="772"/>
    </row>
    <row r="461" ht="15.75" customHeight="1">
      <c r="A461" s="815"/>
      <c r="B461" s="782"/>
      <c r="C461" s="782"/>
      <c r="D461" s="782"/>
      <c r="E461" s="816"/>
      <c r="F461" s="816"/>
      <c r="G461" s="816"/>
      <c r="H461" s="817"/>
      <c r="I461" s="817"/>
      <c r="J461" s="817"/>
      <c r="K461" s="818"/>
      <c r="L461" s="772"/>
      <c r="M461" s="772"/>
      <c r="N461" s="772"/>
      <c r="O461" s="772"/>
      <c r="P461" s="772"/>
      <c r="Q461" s="772"/>
      <c r="R461" s="772"/>
      <c r="S461" s="772"/>
      <c r="T461" s="772"/>
      <c r="U461" s="772"/>
      <c r="V461" s="772"/>
      <c r="W461" s="772"/>
      <c r="X461" s="772"/>
      <c r="Y461" s="772"/>
      <c r="Z461" s="772"/>
      <c r="AA461" s="772"/>
      <c r="AB461" s="772"/>
      <c r="AC461" s="772"/>
      <c r="AD461" s="772"/>
      <c r="AE461" s="772"/>
      <c r="AF461" s="772"/>
      <c r="AG461" s="772"/>
      <c r="AH461" s="772"/>
      <c r="AI461" s="772"/>
    </row>
    <row r="462" ht="15.75" customHeight="1">
      <c r="A462" s="815"/>
      <c r="B462" s="782"/>
      <c r="C462" s="782"/>
      <c r="D462" s="782"/>
      <c r="E462" s="816"/>
      <c r="F462" s="816"/>
      <c r="G462" s="816"/>
      <c r="H462" s="817"/>
      <c r="I462" s="817"/>
      <c r="J462" s="817"/>
      <c r="K462" s="818"/>
      <c r="L462" s="772"/>
      <c r="M462" s="772"/>
      <c r="N462" s="772"/>
      <c r="O462" s="772"/>
      <c r="P462" s="772"/>
      <c r="Q462" s="772"/>
      <c r="R462" s="772"/>
      <c r="S462" s="772"/>
      <c r="T462" s="772"/>
      <c r="U462" s="772"/>
      <c r="V462" s="772"/>
      <c r="W462" s="772"/>
      <c r="X462" s="772"/>
      <c r="Y462" s="772"/>
      <c r="Z462" s="772"/>
      <c r="AA462" s="772"/>
      <c r="AB462" s="772"/>
      <c r="AC462" s="772"/>
      <c r="AD462" s="772"/>
      <c r="AE462" s="772"/>
      <c r="AF462" s="772"/>
      <c r="AG462" s="772"/>
      <c r="AH462" s="772"/>
      <c r="AI462" s="772"/>
    </row>
    <row r="463" ht="15.75" customHeight="1">
      <c r="A463" s="815"/>
      <c r="B463" s="782"/>
      <c r="C463" s="782"/>
      <c r="D463" s="782"/>
      <c r="E463" s="816"/>
      <c r="F463" s="816"/>
      <c r="G463" s="816"/>
      <c r="H463" s="817"/>
      <c r="I463" s="817"/>
      <c r="J463" s="817"/>
      <c r="K463" s="818"/>
      <c r="L463" s="772"/>
      <c r="M463" s="772"/>
      <c r="N463" s="772"/>
      <c r="O463" s="772"/>
      <c r="P463" s="772"/>
      <c r="Q463" s="772"/>
      <c r="R463" s="772"/>
      <c r="S463" s="772"/>
      <c r="T463" s="772"/>
      <c r="U463" s="772"/>
      <c r="V463" s="772"/>
      <c r="W463" s="772"/>
      <c r="X463" s="772"/>
      <c r="Y463" s="772"/>
      <c r="Z463" s="772"/>
      <c r="AA463" s="772"/>
      <c r="AB463" s="772"/>
      <c r="AC463" s="772"/>
      <c r="AD463" s="772"/>
      <c r="AE463" s="772"/>
      <c r="AF463" s="772"/>
      <c r="AG463" s="772"/>
      <c r="AH463" s="772"/>
      <c r="AI463" s="772"/>
    </row>
    <row r="464" ht="15.75" customHeight="1">
      <c r="A464" s="815"/>
      <c r="B464" s="782"/>
      <c r="C464" s="782"/>
      <c r="D464" s="782"/>
      <c r="E464" s="816"/>
      <c r="F464" s="816"/>
      <c r="G464" s="816"/>
      <c r="H464" s="817"/>
      <c r="I464" s="817"/>
      <c r="J464" s="817"/>
      <c r="K464" s="818"/>
      <c r="L464" s="772"/>
      <c r="M464" s="772"/>
      <c r="N464" s="772"/>
      <c r="O464" s="772"/>
      <c r="P464" s="772"/>
      <c r="Q464" s="772"/>
      <c r="R464" s="772"/>
      <c r="S464" s="772"/>
      <c r="T464" s="772"/>
      <c r="U464" s="772"/>
      <c r="V464" s="772"/>
      <c r="W464" s="772"/>
      <c r="X464" s="772"/>
      <c r="Y464" s="772"/>
      <c r="Z464" s="772"/>
      <c r="AA464" s="772"/>
      <c r="AB464" s="772"/>
      <c r="AC464" s="772"/>
      <c r="AD464" s="772"/>
      <c r="AE464" s="772"/>
      <c r="AF464" s="772"/>
      <c r="AG464" s="772"/>
      <c r="AH464" s="772"/>
      <c r="AI464" s="772"/>
    </row>
    <row r="465" ht="15.75" customHeight="1">
      <c r="A465" s="815"/>
      <c r="B465" s="782"/>
      <c r="C465" s="782"/>
      <c r="D465" s="782"/>
      <c r="E465" s="816"/>
      <c r="F465" s="816"/>
      <c r="G465" s="816"/>
      <c r="H465" s="817"/>
      <c r="I465" s="817"/>
      <c r="J465" s="817"/>
      <c r="K465" s="818"/>
      <c r="L465" s="772"/>
      <c r="M465" s="772"/>
      <c r="N465" s="772"/>
      <c r="O465" s="772"/>
      <c r="P465" s="772"/>
      <c r="Q465" s="772"/>
      <c r="R465" s="772"/>
      <c r="S465" s="772"/>
      <c r="T465" s="772"/>
      <c r="U465" s="772"/>
      <c r="V465" s="772"/>
      <c r="W465" s="772"/>
      <c r="X465" s="772"/>
      <c r="Y465" s="772"/>
      <c r="Z465" s="772"/>
      <c r="AA465" s="772"/>
      <c r="AB465" s="772"/>
      <c r="AC465" s="772"/>
      <c r="AD465" s="772"/>
      <c r="AE465" s="772"/>
      <c r="AF465" s="772"/>
      <c r="AG465" s="772"/>
      <c r="AH465" s="772"/>
      <c r="AI465" s="772"/>
    </row>
    <row r="466" ht="15.75" customHeight="1">
      <c r="A466" s="815"/>
      <c r="B466" s="782"/>
      <c r="C466" s="782"/>
      <c r="D466" s="782"/>
      <c r="E466" s="816"/>
      <c r="F466" s="816"/>
      <c r="G466" s="816"/>
      <c r="H466" s="817"/>
      <c r="I466" s="817"/>
      <c r="J466" s="817"/>
      <c r="K466" s="818"/>
      <c r="L466" s="772"/>
      <c r="M466" s="772"/>
      <c r="N466" s="772"/>
      <c r="O466" s="772"/>
      <c r="P466" s="772"/>
      <c r="Q466" s="772"/>
      <c r="R466" s="772"/>
      <c r="S466" s="772"/>
      <c r="T466" s="772"/>
      <c r="U466" s="772"/>
      <c r="V466" s="772"/>
      <c r="W466" s="772"/>
      <c r="X466" s="772"/>
      <c r="Y466" s="772"/>
      <c r="Z466" s="772"/>
      <c r="AA466" s="772"/>
      <c r="AB466" s="772"/>
      <c r="AC466" s="772"/>
      <c r="AD466" s="772"/>
      <c r="AE466" s="772"/>
      <c r="AF466" s="772"/>
      <c r="AG466" s="772"/>
      <c r="AH466" s="772"/>
      <c r="AI466" s="772"/>
    </row>
    <row r="467" ht="15.75" customHeight="1">
      <c r="A467" s="815"/>
      <c r="B467" s="782"/>
      <c r="C467" s="782"/>
      <c r="D467" s="782"/>
      <c r="E467" s="816"/>
      <c r="F467" s="816"/>
      <c r="G467" s="816"/>
      <c r="H467" s="817"/>
      <c r="I467" s="817"/>
      <c r="J467" s="817"/>
      <c r="K467" s="818"/>
      <c r="L467" s="772"/>
      <c r="M467" s="772"/>
      <c r="N467" s="772"/>
      <c r="O467" s="772"/>
      <c r="P467" s="772"/>
      <c r="Q467" s="772"/>
      <c r="R467" s="772"/>
      <c r="S467" s="772"/>
      <c r="T467" s="772"/>
      <c r="U467" s="772"/>
      <c r="V467" s="772"/>
      <c r="W467" s="772"/>
      <c r="X467" s="772"/>
      <c r="Y467" s="772"/>
      <c r="Z467" s="772"/>
      <c r="AA467" s="772"/>
      <c r="AB467" s="772"/>
      <c r="AC467" s="772"/>
      <c r="AD467" s="772"/>
      <c r="AE467" s="772"/>
      <c r="AF467" s="772"/>
      <c r="AG467" s="772"/>
      <c r="AH467" s="772"/>
      <c r="AI467" s="772"/>
    </row>
    <row r="468" ht="15.75" customHeight="1">
      <c r="A468" s="815"/>
      <c r="B468" s="782"/>
      <c r="C468" s="782"/>
      <c r="D468" s="782"/>
      <c r="E468" s="816"/>
      <c r="F468" s="816"/>
      <c r="G468" s="816"/>
      <c r="H468" s="817"/>
      <c r="I468" s="817"/>
      <c r="J468" s="817"/>
      <c r="K468" s="818"/>
      <c r="L468" s="772"/>
      <c r="M468" s="772"/>
      <c r="N468" s="772"/>
      <c r="O468" s="772"/>
      <c r="P468" s="772"/>
      <c r="Q468" s="772"/>
      <c r="R468" s="772"/>
      <c r="S468" s="772"/>
      <c r="T468" s="772"/>
      <c r="U468" s="772"/>
      <c r="V468" s="772"/>
      <c r="W468" s="772"/>
      <c r="X468" s="772"/>
      <c r="Y468" s="772"/>
      <c r="Z468" s="772"/>
      <c r="AA468" s="772"/>
      <c r="AB468" s="772"/>
      <c r="AC468" s="772"/>
      <c r="AD468" s="772"/>
      <c r="AE468" s="772"/>
      <c r="AF468" s="772"/>
      <c r="AG468" s="772"/>
      <c r="AH468" s="772"/>
      <c r="AI468" s="772"/>
    </row>
    <row r="469" ht="15.75" customHeight="1">
      <c r="A469" s="815"/>
      <c r="B469" s="782"/>
      <c r="C469" s="782"/>
      <c r="D469" s="782"/>
      <c r="E469" s="816"/>
      <c r="F469" s="816"/>
      <c r="G469" s="816"/>
      <c r="H469" s="817"/>
      <c r="I469" s="817"/>
      <c r="J469" s="817"/>
      <c r="K469" s="818"/>
      <c r="L469" s="772"/>
      <c r="M469" s="772"/>
      <c r="N469" s="772"/>
      <c r="O469" s="772"/>
      <c r="P469" s="772"/>
      <c r="Q469" s="772"/>
      <c r="R469" s="772"/>
      <c r="S469" s="772"/>
      <c r="T469" s="772"/>
      <c r="U469" s="772"/>
      <c r="V469" s="772"/>
      <c r="W469" s="772"/>
      <c r="X469" s="772"/>
      <c r="Y469" s="772"/>
      <c r="Z469" s="772"/>
      <c r="AA469" s="772"/>
      <c r="AB469" s="772"/>
      <c r="AC469" s="772"/>
      <c r="AD469" s="772"/>
      <c r="AE469" s="772"/>
      <c r="AF469" s="772"/>
      <c r="AG469" s="772"/>
      <c r="AH469" s="772"/>
      <c r="AI469" s="772"/>
    </row>
    <row r="470" ht="15.75" customHeight="1">
      <c r="A470" s="815"/>
      <c r="B470" s="782"/>
      <c r="C470" s="782"/>
      <c r="D470" s="782"/>
      <c r="E470" s="816"/>
      <c r="F470" s="816"/>
      <c r="G470" s="816"/>
      <c r="H470" s="817"/>
      <c r="I470" s="817"/>
      <c r="J470" s="817"/>
      <c r="K470" s="818"/>
      <c r="L470" s="772"/>
      <c r="M470" s="772"/>
      <c r="N470" s="772"/>
      <c r="O470" s="772"/>
      <c r="P470" s="772"/>
      <c r="Q470" s="772"/>
      <c r="R470" s="772"/>
      <c r="S470" s="772"/>
      <c r="T470" s="772"/>
      <c r="U470" s="772"/>
      <c r="V470" s="772"/>
      <c r="W470" s="772"/>
      <c r="X470" s="772"/>
      <c r="Y470" s="772"/>
      <c r="Z470" s="772"/>
      <c r="AA470" s="772"/>
      <c r="AB470" s="772"/>
      <c r="AC470" s="772"/>
      <c r="AD470" s="772"/>
      <c r="AE470" s="772"/>
      <c r="AF470" s="772"/>
      <c r="AG470" s="772"/>
      <c r="AH470" s="772"/>
      <c r="AI470" s="772"/>
    </row>
    <row r="471" ht="15.75" customHeight="1">
      <c r="A471" s="815"/>
      <c r="B471" s="782"/>
      <c r="C471" s="782"/>
      <c r="D471" s="782"/>
      <c r="E471" s="816"/>
      <c r="F471" s="816"/>
      <c r="G471" s="816"/>
      <c r="H471" s="817"/>
      <c r="I471" s="817"/>
      <c r="J471" s="817"/>
      <c r="K471" s="818"/>
      <c r="L471" s="772"/>
      <c r="M471" s="772"/>
      <c r="N471" s="772"/>
      <c r="O471" s="772"/>
      <c r="P471" s="772"/>
      <c r="Q471" s="772"/>
      <c r="R471" s="772"/>
      <c r="S471" s="772"/>
      <c r="T471" s="772"/>
      <c r="U471" s="772"/>
      <c r="V471" s="772"/>
      <c r="W471" s="772"/>
      <c r="X471" s="772"/>
      <c r="Y471" s="772"/>
      <c r="Z471" s="772"/>
      <c r="AA471" s="772"/>
      <c r="AB471" s="772"/>
      <c r="AC471" s="772"/>
      <c r="AD471" s="772"/>
      <c r="AE471" s="772"/>
      <c r="AF471" s="772"/>
      <c r="AG471" s="772"/>
      <c r="AH471" s="772"/>
      <c r="AI471" s="772"/>
    </row>
    <row r="472" ht="15.75" customHeight="1">
      <c r="A472" s="815"/>
      <c r="B472" s="782"/>
      <c r="C472" s="782"/>
      <c r="D472" s="782"/>
      <c r="E472" s="816"/>
      <c r="F472" s="816"/>
      <c r="G472" s="816"/>
      <c r="H472" s="817"/>
      <c r="I472" s="817"/>
      <c r="J472" s="817"/>
      <c r="K472" s="818"/>
      <c r="L472" s="772"/>
      <c r="M472" s="772"/>
      <c r="N472" s="772"/>
      <c r="O472" s="772"/>
      <c r="P472" s="772"/>
      <c r="Q472" s="772"/>
      <c r="R472" s="772"/>
      <c r="S472" s="772"/>
      <c r="T472" s="772"/>
      <c r="U472" s="772"/>
      <c r="V472" s="772"/>
      <c r="W472" s="772"/>
      <c r="X472" s="772"/>
      <c r="Y472" s="772"/>
      <c r="Z472" s="772"/>
      <c r="AA472" s="772"/>
      <c r="AB472" s="772"/>
      <c r="AC472" s="772"/>
      <c r="AD472" s="772"/>
      <c r="AE472" s="772"/>
      <c r="AF472" s="772"/>
      <c r="AG472" s="772"/>
      <c r="AH472" s="772"/>
      <c r="AI472" s="772"/>
    </row>
    <row r="473" ht="15.75" customHeight="1">
      <c r="A473" s="815"/>
      <c r="B473" s="782"/>
      <c r="C473" s="782"/>
      <c r="D473" s="782"/>
      <c r="E473" s="816"/>
      <c r="F473" s="816"/>
      <c r="G473" s="816"/>
      <c r="H473" s="817"/>
      <c r="I473" s="817"/>
      <c r="J473" s="817"/>
      <c r="K473" s="818"/>
      <c r="L473" s="772"/>
      <c r="M473" s="772"/>
      <c r="N473" s="772"/>
      <c r="O473" s="772"/>
      <c r="P473" s="772"/>
      <c r="Q473" s="772"/>
      <c r="R473" s="772"/>
      <c r="S473" s="772"/>
      <c r="T473" s="772"/>
      <c r="U473" s="772"/>
      <c r="V473" s="772"/>
      <c r="W473" s="772"/>
      <c r="X473" s="772"/>
      <c r="Y473" s="772"/>
      <c r="Z473" s="772"/>
      <c r="AA473" s="772"/>
      <c r="AB473" s="772"/>
      <c r="AC473" s="772"/>
      <c r="AD473" s="772"/>
      <c r="AE473" s="772"/>
      <c r="AF473" s="772"/>
      <c r="AG473" s="772"/>
      <c r="AH473" s="772"/>
      <c r="AI473" s="772"/>
    </row>
    <row r="474" ht="15.75" customHeight="1">
      <c r="A474" s="815"/>
      <c r="B474" s="782"/>
      <c r="C474" s="782"/>
      <c r="D474" s="782"/>
      <c r="E474" s="816"/>
      <c r="F474" s="816"/>
      <c r="G474" s="816"/>
      <c r="H474" s="817"/>
      <c r="I474" s="817"/>
      <c r="J474" s="817"/>
      <c r="K474" s="818"/>
      <c r="L474" s="772"/>
      <c r="M474" s="772"/>
      <c r="N474" s="772"/>
      <c r="O474" s="772"/>
      <c r="P474" s="772"/>
      <c r="Q474" s="772"/>
      <c r="R474" s="772"/>
      <c r="S474" s="772"/>
      <c r="T474" s="772"/>
      <c r="U474" s="772"/>
      <c r="V474" s="772"/>
      <c r="W474" s="772"/>
      <c r="X474" s="772"/>
      <c r="Y474" s="772"/>
      <c r="Z474" s="772"/>
      <c r="AA474" s="772"/>
      <c r="AB474" s="772"/>
      <c r="AC474" s="772"/>
      <c r="AD474" s="772"/>
      <c r="AE474" s="772"/>
      <c r="AF474" s="772"/>
      <c r="AG474" s="772"/>
      <c r="AH474" s="772"/>
      <c r="AI474" s="772"/>
    </row>
    <row r="475" ht="15.75" customHeight="1">
      <c r="A475" s="815"/>
      <c r="B475" s="782"/>
      <c r="C475" s="782"/>
      <c r="D475" s="782"/>
      <c r="E475" s="816"/>
      <c r="F475" s="816"/>
      <c r="G475" s="816"/>
      <c r="H475" s="817"/>
      <c r="I475" s="817"/>
      <c r="J475" s="817"/>
      <c r="K475" s="818"/>
      <c r="L475" s="772"/>
      <c r="M475" s="772"/>
      <c r="N475" s="772"/>
      <c r="O475" s="772"/>
      <c r="P475" s="772"/>
      <c r="Q475" s="772"/>
      <c r="R475" s="772"/>
      <c r="S475" s="772"/>
      <c r="T475" s="772"/>
      <c r="U475" s="772"/>
      <c r="V475" s="772"/>
      <c r="W475" s="772"/>
      <c r="X475" s="772"/>
      <c r="Y475" s="772"/>
      <c r="Z475" s="772"/>
      <c r="AA475" s="772"/>
      <c r="AB475" s="772"/>
      <c r="AC475" s="772"/>
      <c r="AD475" s="772"/>
      <c r="AE475" s="772"/>
      <c r="AF475" s="772"/>
      <c r="AG475" s="772"/>
      <c r="AH475" s="772"/>
      <c r="AI475" s="772"/>
    </row>
    <row r="476" ht="15.75" customHeight="1">
      <c r="A476" s="815"/>
      <c r="B476" s="782"/>
      <c r="C476" s="782"/>
      <c r="D476" s="782"/>
      <c r="E476" s="816"/>
      <c r="F476" s="816"/>
      <c r="G476" s="816"/>
      <c r="H476" s="817"/>
      <c r="I476" s="817"/>
      <c r="J476" s="817"/>
      <c r="K476" s="818"/>
      <c r="L476" s="772"/>
      <c r="M476" s="772"/>
      <c r="N476" s="772"/>
      <c r="O476" s="772"/>
      <c r="P476" s="772"/>
      <c r="Q476" s="772"/>
      <c r="R476" s="772"/>
      <c r="S476" s="772"/>
      <c r="T476" s="772"/>
      <c r="U476" s="772"/>
      <c r="V476" s="772"/>
      <c r="W476" s="772"/>
      <c r="X476" s="772"/>
      <c r="Y476" s="772"/>
      <c r="Z476" s="772"/>
      <c r="AA476" s="772"/>
      <c r="AB476" s="772"/>
      <c r="AC476" s="772"/>
      <c r="AD476" s="772"/>
      <c r="AE476" s="772"/>
      <c r="AF476" s="772"/>
      <c r="AG476" s="772"/>
      <c r="AH476" s="772"/>
      <c r="AI476" s="772"/>
    </row>
    <row r="477" ht="15.75" customHeight="1">
      <c r="A477" s="815"/>
      <c r="B477" s="782"/>
      <c r="C477" s="782"/>
      <c r="D477" s="782"/>
      <c r="E477" s="816"/>
      <c r="F477" s="816"/>
      <c r="G477" s="816"/>
      <c r="H477" s="817"/>
      <c r="I477" s="817"/>
      <c r="J477" s="817"/>
      <c r="K477" s="818"/>
      <c r="L477" s="772"/>
      <c r="M477" s="772"/>
      <c r="N477" s="772"/>
      <c r="O477" s="772"/>
      <c r="P477" s="772"/>
      <c r="Q477" s="772"/>
      <c r="R477" s="772"/>
      <c r="S477" s="772"/>
      <c r="T477" s="772"/>
      <c r="U477" s="772"/>
      <c r="V477" s="772"/>
      <c r="W477" s="772"/>
      <c r="X477" s="772"/>
      <c r="Y477" s="772"/>
      <c r="Z477" s="772"/>
      <c r="AA477" s="772"/>
      <c r="AB477" s="772"/>
      <c r="AC477" s="772"/>
      <c r="AD477" s="772"/>
      <c r="AE477" s="772"/>
      <c r="AF477" s="772"/>
      <c r="AG477" s="772"/>
      <c r="AH477" s="772"/>
      <c r="AI477" s="772"/>
    </row>
    <row r="478" ht="15.75" customHeight="1">
      <c r="A478" s="815"/>
      <c r="B478" s="782"/>
      <c r="C478" s="782"/>
      <c r="D478" s="782"/>
      <c r="E478" s="816"/>
      <c r="F478" s="816"/>
      <c r="G478" s="816"/>
      <c r="H478" s="817"/>
      <c r="I478" s="817"/>
      <c r="J478" s="817"/>
      <c r="K478" s="818"/>
      <c r="L478" s="772"/>
      <c r="M478" s="772"/>
      <c r="N478" s="772"/>
      <c r="O478" s="772"/>
      <c r="P478" s="772"/>
      <c r="Q478" s="772"/>
      <c r="R478" s="772"/>
      <c r="S478" s="772"/>
      <c r="T478" s="772"/>
      <c r="U478" s="772"/>
      <c r="V478" s="772"/>
      <c r="W478" s="772"/>
      <c r="X478" s="772"/>
      <c r="Y478" s="772"/>
      <c r="Z478" s="772"/>
      <c r="AA478" s="772"/>
      <c r="AB478" s="772"/>
      <c r="AC478" s="772"/>
      <c r="AD478" s="772"/>
      <c r="AE478" s="772"/>
      <c r="AF478" s="772"/>
      <c r="AG478" s="772"/>
      <c r="AH478" s="772"/>
      <c r="AI478" s="772"/>
    </row>
    <row r="479" ht="15.75" customHeight="1">
      <c r="A479" s="815"/>
      <c r="B479" s="782"/>
      <c r="C479" s="782"/>
      <c r="D479" s="782"/>
      <c r="E479" s="816"/>
      <c r="F479" s="816"/>
      <c r="G479" s="816"/>
      <c r="H479" s="817"/>
      <c r="I479" s="817"/>
      <c r="J479" s="817"/>
      <c r="K479" s="818"/>
      <c r="L479" s="772"/>
      <c r="M479" s="772"/>
      <c r="N479" s="772"/>
      <c r="O479" s="772"/>
      <c r="P479" s="772"/>
      <c r="Q479" s="772"/>
      <c r="R479" s="772"/>
      <c r="S479" s="772"/>
      <c r="T479" s="772"/>
      <c r="U479" s="772"/>
      <c r="V479" s="772"/>
      <c r="W479" s="772"/>
      <c r="X479" s="772"/>
      <c r="Y479" s="772"/>
      <c r="Z479" s="772"/>
      <c r="AA479" s="772"/>
      <c r="AB479" s="772"/>
      <c r="AC479" s="772"/>
      <c r="AD479" s="772"/>
      <c r="AE479" s="772"/>
      <c r="AF479" s="772"/>
      <c r="AG479" s="772"/>
      <c r="AH479" s="772"/>
      <c r="AI479" s="772"/>
    </row>
    <row r="480" ht="15.75" customHeight="1">
      <c r="A480" s="815"/>
      <c r="B480" s="782"/>
      <c r="C480" s="782"/>
      <c r="D480" s="782"/>
      <c r="E480" s="816"/>
      <c r="F480" s="816"/>
      <c r="G480" s="816"/>
      <c r="H480" s="817"/>
      <c r="I480" s="817"/>
      <c r="J480" s="817"/>
      <c r="K480" s="818"/>
      <c r="L480" s="772"/>
      <c r="M480" s="772"/>
      <c r="N480" s="772"/>
      <c r="O480" s="772"/>
      <c r="P480" s="772"/>
      <c r="Q480" s="772"/>
      <c r="R480" s="772"/>
      <c r="S480" s="772"/>
      <c r="T480" s="772"/>
      <c r="U480" s="772"/>
      <c r="V480" s="772"/>
      <c r="W480" s="772"/>
      <c r="X480" s="772"/>
      <c r="Y480" s="772"/>
      <c r="Z480" s="772"/>
      <c r="AA480" s="772"/>
      <c r="AB480" s="772"/>
      <c r="AC480" s="772"/>
      <c r="AD480" s="772"/>
      <c r="AE480" s="772"/>
      <c r="AF480" s="772"/>
      <c r="AG480" s="772"/>
      <c r="AH480" s="772"/>
      <c r="AI480" s="772"/>
    </row>
    <row r="481" ht="15.75" customHeight="1">
      <c r="A481" s="815"/>
      <c r="B481" s="782"/>
      <c r="C481" s="782"/>
      <c r="D481" s="782"/>
      <c r="E481" s="816"/>
      <c r="F481" s="816"/>
      <c r="G481" s="816"/>
      <c r="H481" s="817"/>
      <c r="I481" s="817"/>
      <c r="J481" s="817"/>
      <c r="K481" s="818"/>
      <c r="L481" s="772"/>
      <c r="M481" s="772"/>
      <c r="N481" s="772"/>
      <c r="O481" s="772"/>
      <c r="P481" s="772"/>
      <c r="Q481" s="772"/>
      <c r="R481" s="772"/>
      <c r="S481" s="772"/>
      <c r="T481" s="772"/>
      <c r="U481" s="772"/>
      <c r="V481" s="772"/>
      <c r="W481" s="772"/>
      <c r="X481" s="772"/>
      <c r="Y481" s="772"/>
      <c r="Z481" s="772"/>
      <c r="AA481" s="772"/>
      <c r="AB481" s="772"/>
      <c r="AC481" s="772"/>
      <c r="AD481" s="772"/>
      <c r="AE481" s="772"/>
      <c r="AF481" s="772"/>
      <c r="AG481" s="772"/>
      <c r="AH481" s="772"/>
      <c r="AI481" s="772"/>
    </row>
    <row r="482" ht="15.75" customHeight="1">
      <c r="A482" s="815"/>
      <c r="B482" s="782"/>
      <c r="C482" s="782"/>
      <c r="D482" s="782"/>
      <c r="E482" s="816"/>
      <c r="F482" s="816"/>
      <c r="G482" s="816"/>
      <c r="H482" s="817"/>
      <c r="I482" s="817"/>
      <c r="J482" s="817"/>
      <c r="K482" s="818"/>
      <c r="L482" s="772"/>
      <c r="M482" s="772"/>
      <c r="N482" s="772"/>
      <c r="O482" s="772"/>
      <c r="P482" s="772"/>
      <c r="Q482" s="772"/>
      <c r="R482" s="772"/>
      <c r="S482" s="772"/>
      <c r="T482" s="772"/>
      <c r="U482" s="772"/>
      <c r="V482" s="772"/>
      <c r="W482" s="772"/>
      <c r="X482" s="772"/>
      <c r="Y482" s="772"/>
      <c r="Z482" s="772"/>
      <c r="AA482" s="772"/>
      <c r="AB482" s="772"/>
      <c r="AC482" s="772"/>
      <c r="AD482" s="772"/>
      <c r="AE482" s="772"/>
      <c r="AF482" s="772"/>
      <c r="AG482" s="772"/>
      <c r="AH482" s="772"/>
      <c r="AI482" s="772"/>
    </row>
    <row r="483" ht="15.75" customHeight="1">
      <c r="A483" s="815"/>
      <c r="B483" s="782"/>
      <c r="C483" s="782"/>
      <c r="D483" s="782"/>
      <c r="E483" s="816"/>
      <c r="F483" s="816"/>
      <c r="G483" s="816"/>
      <c r="H483" s="817"/>
      <c r="I483" s="817"/>
      <c r="J483" s="817"/>
      <c r="K483" s="818"/>
      <c r="L483" s="772"/>
      <c r="M483" s="772"/>
      <c r="N483" s="772"/>
      <c r="O483" s="772"/>
      <c r="P483" s="772"/>
      <c r="Q483" s="772"/>
      <c r="R483" s="772"/>
      <c r="S483" s="772"/>
      <c r="T483" s="772"/>
      <c r="U483" s="772"/>
      <c r="V483" s="772"/>
      <c r="W483" s="772"/>
      <c r="X483" s="772"/>
      <c r="Y483" s="772"/>
      <c r="Z483" s="772"/>
      <c r="AA483" s="772"/>
      <c r="AB483" s="772"/>
      <c r="AC483" s="772"/>
      <c r="AD483" s="772"/>
      <c r="AE483" s="772"/>
      <c r="AF483" s="772"/>
      <c r="AG483" s="772"/>
      <c r="AH483" s="772"/>
      <c r="AI483" s="772"/>
    </row>
    <row r="484" ht="15.75" customHeight="1">
      <c r="A484" s="815"/>
      <c r="B484" s="782"/>
      <c r="C484" s="782"/>
      <c r="D484" s="782"/>
      <c r="E484" s="816"/>
      <c r="F484" s="816"/>
      <c r="G484" s="816"/>
      <c r="H484" s="817"/>
      <c r="I484" s="817"/>
      <c r="J484" s="817"/>
      <c r="K484" s="818"/>
      <c r="L484" s="772"/>
      <c r="M484" s="772"/>
      <c r="N484" s="772"/>
      <c r="O484" s="772"/>
      <c r="P484" s="772"/>
      <c r="Q484" s="772"/>
      <c r="R484" s="772"/>
      <c r="S484" s="772"/>
      <c r="T484" s="772"/>
      <c r="U484" s="772"/>
      <c r="V484" s="772"/>
      <c r="W484" s="772"/>
      <c r="X484" s="772"/>
      <c r="Y484" s="772"/>
      <c r="Z484" s="772"/>
      <c r="AA484" s="772"/>
      <c r="AB484" s="772"/>
      <c r="AC484" s="772"/>
      <c r="AD484" s="772"/>
      <c r="AE484" s="772"/>
      <c r="AF484" s="772"/>
      <c r="AG484" s="772"/>
      <c r="AH484" s="772"/>
      <c r="AI484" s="772"/>
    </row>
    <row r="485" ht="15.75" customHeight="1">
      <c r="A485" s="815"/>
      <c r="B485" s="782"/>
      <c r="C485" s="782"/>
      <c r="D485" s="782"/>
      <c r="E485" s="816"/>
      <c r="F485" s="816"/>
      <c r="G485" s="816"/>
      <c r="H485" s="817"/>
      <c r="I485" s="817"/>
      <c r="J485" s="817"/>
      <c r="K485" s="818"/>
      <c r="L485" s="772"/>
      <c r="M485" s="772"/>
      <c r="N485" s="772"/>
      <c r="O485" s="772"/>
      <c r="P485" s="772"/>
      <c r="Q485" s="772"/>
      <c r="R485" s="772"/>
      <c r="S485" s="772"/>
      <c r="T485" s="772"/>
      <c r="U485" s="772"/>
      <c r="V485" s="772"/>
      <c r="W485" s="772"/>
      <c r="X485" s="772"/>
      <c r="Y485" s="772"/>
      <c r="Z485" s="772"/>
      <c r="AA485" s="772"/>
      <c r="AB485" s="772"/>
      <c r="AC485" s="772"/>
      <c r="AD485" s="772"/>
      <c r="AE485" s="772"/>
      <c r="AF485" s="772"/>
      <c r="AG485" s="772"/>
      <c r="AH485" s="772"/>
      <c r="AI485" s="772"/>
    </row>
    <row r="486" ht="15.75" customHeight="1">
      <c r="A486" s="815"/>
      <c r="B486" s="782"/>
      <c r="C486" s="782"/>
      <c r="D486" s="782"/>
      <c r="E486" s="816"/>
      <c r="F486" s="816"/>
      <c r="G486" s="816"/>
      <c r="H486" s="817"/>
      <c r="I486" s="817"/>
      <c r="J486" s="817"/>
      <c r="K486" s="818"/>
      <c r="L486" s="772"/>
      <c r="M486" s="772"/>
      <c r="N486" s="772"/>
      <c r="O486" s="772"/>
      <c r="P486" s="772"/>
      <c r="Q486" s="772"/>
      <c r="R486" s="772"/>
      <c r="S486" s="772"/>
      <c r="T486" s="772"/>
      <c r="U486" s="772"/>
      <c r="V486" s="772"/>
      <c r="W486" s="772"/>
      <c r="X486" s="772"/>
      <c r="Y486" s="772"/>
      <c r="Z486" s="772"/>
      <c r="AA486" s="772"/>
      <c r="AB486" s="772"/>
      <c r="AC486" s="772"/>
      <c r="AD486" s="772"/>
      <c r="AE486" s="772"/>
      <c r="AF486" s="772"/>
      <c r="AG486" s="772"/>
      <c r="AH486" s="772"/>
      <c r="AI486" s="772"/>
    </row>
    <row r="487" ht="15.75" customHeight="1">
      <c r="A487" s="815"/>
      <c r="B487" s="782"/>
      <c r="C487" s="782"/>
      <c r="D487" s="782"/>
      <c r="E487" s="816"/>
      <c r="F487" s="816"/>
      <c r="G487" s="816"/>
      <c r="H487" s="817"/>
      <c r="I487" s="817"/>
      <c r="J487" s="817"/>
      <c r="K487" s="818"/>
      <c r="L487" s="772"/>
      <c r="M487" s="772"/>
      <c r="N487" s="772"/>
      <c r="O487" s="772"/>
      <c r="P487" s="772"/>
      <c r="Q487" s="772"/>
      <c r="R487" s="772"/>
      <c r="S487" s="772"/>
      <c r="T487" s="772"/>
      <c r="U487" s="772"/>
      <c r="V487" s="772"/>
      <c r="W487" s="772"/>
      <c r="X487" s="772"/>
      <c r="Y487" s="772"/>
      <c r="Z487" s="772"/>
      <c r="AA487" s="772"/>
      <c r="AB487" s="772"/>
      <c r="AC487" s="772"/>
      <c r="AD487" s="772"/>
      <c r="AE487" s="772"/>
      <c r="AF487" s="772"/>
      <c r="AG487" s="772"/>
      <c r="AH487" s="772"/>
      <c r="AI487" s="772"/>
    </row>
    <row r="488" ht="15.75" customHeight="1">
      <c r="A488" s="815"/>
      <c r="B488" s="782"/>
      <c r="C488" s="782"/>
      <c r="D488" s="782"/>
      <c r="E488" s="816"/>
      <c r="F488" s="816"/>
      <c r="G488" s="816"/>
      <c r="H488" s="817"/>
      <c r="I488" s="817"/>
      <c r="J488" s="817"/>
      <c r="K488" s="818"/>
      <c r="L488" s="772"/>
      <c r="M488" s="772"/>
      <c r="N488" s="772"/>
      <c r="O488" s="772"/>
      <c r="P488" s="772"/>
      <c r="Q488" s="772"/>
      <c r="R488" s="772"/>
      <c r="S488" s="772"/>
      <c r="T488" s="772"/>
      <c r="U488" s="772"/>
      <c r="V488" s="772"/>
      <c r="W488" s="772"/>
      <c r="X488" s="772"/>
      <c r="Y488" s="772"/>
      <c r="Z488" s="772"/>
      <c r="AA488" s="772"/>
      <c r="AB488" s="772"/>
      <c r="AC488" s="772"/>
      <c r="AD488" s="772"/>
      <c r="AE488" s="772"/>
      <c r="AF488" s="772"/>
      <c r="AG488" s="772"/>
      <c r="AH488" s="772"/>
      <c r="AI488" s="772"/>
    </row>
    <row r="489" ht="15.75" customHeight="1">
      <c r="A489" s="815"/>
      <c r="B489" s="782"/>
      <c r="C489" s="782"/>
      <c r="D489" s="782"/>
      <c r="E489" s="816"/>
      <c r="F489" s="816"/>
      <c r="G489" s="816"/>
      <c r="H489" s="817"/>
      <c r="I489" s="817"/>
      <c r="J489" s="817"/>
      <c r="K489" s="818"/>
      <c r="L489" s="772"/>
      <c r="M489" s="772"/>
      <c r="N489" s="772"/>
      <c r="O489" s="772"/>
      <c r="P489" s="772"/>
      <c r="Q489" s="772"/>
      <c r="R489" s="772"/>
      <c r="S489" s="772"/>
      <c r="T489" s="772"/>
      <c r="U489" s="772"/>
      <c r="V489" s="772"/>
      <c r="W489" s="772"/>
      <c r="X489" s="772"/>
      <c r="Y489" s="772"/>
      <c r="Z489" s="772"/>
      <c r="AA489" s="772"/>
      <c r="AB489" s="772"/>
      <c r="AC489" s="772"/>
      <c r="AD489" s="772"/>
      <c r="AE489" s="772"/>
      <c r="AF489" s="772"/>
      <c r="AG489" s="772"/>
      <c r="AH489" s="772"/>
      <c r="AI489" s="772"/>
    </row>
    <row r="490" ht="15.75" customHeight="1">
      <c r="A490" s="815"/>
      <c r="B490" s="782"/>
      <c r="C490" s="782"/>
      <c r="D490" s="782"/>
      <c r="E490" s="816"/>
      <c r="F490" s="816"/>
      <c r="G490" s="816"/>
      <c r="H490" s="817"/>
      <c r="I490" s="817"/>
      <c r="J490" s="817"/>
      <c r="K490" s="818"/>
      <c r="L490" s="772"/>
      <c r="M490" s="772"/>
      <c r="N490" s="772"/>
      <c r="O490" s="772"/>
      <c r="P490" s="772"/>
      <c r="Q490" s="772"/>
      <c r="R490" s="772"/>
      <c r="S490" s="772"/>
      <c r="T490" s="772"/>
      <c r="U490" s="772"/>
      <c r="V490" s="772"/>
      <c r="W490" s="772"/>
      <c r="X490" s="772"/>
      <c r="Y490" s="772"/>
      <c r="Z490" s="772"/>
      <c r="AA490" s="772"/>
      <c r="AB490" s="772"/>
      <c r="AC490" s="772"/>
      <c r="AD490" s="772"/>
      <c r="AE490" s="772"/>
      <c r="AF490" s="772"/>
      <c r="AG490" s="772"/>
      <c r="AH490" s="772"/>
      <c r="AI490" s="772"/>
    </row>
    <row r="491" ht="15.75" customHeight="1">
      <c r="A491" s="815"/>
      <c r="B491" s="782"/>
      <c r="C491" s="782"/>
      <c r="D491" s="782"/>
      <c r="E491" s="816"/>
      <c r="F491" s="816"/>
      <c r="G491" s="816"/>
      <c r="H491" s="817"/>
      <c r="I491" s="817"/>
      <c r="J491" s="817"/>
      <c r="K491" s="818"/>
      <c r="L491" s="772"/>
      <c r="M491" s="772"/>
      <c r="N491" s="772"/>
      <c r="O491" s="772"/>
      <c r="P491" s="772"/>
      <c r="Q491" s="772"/>
      <c r="R491" s="772"/>
      <c r="S491" s="772"/>
      <c r="T491" s="772"/>
      <c r="U491" s="772"/>
      <c r="V491" s="772"/>
      <c r="W491" s="772"/>
      <c r="X491" s="772"/>
      <c r="Y491" s="772"/>
      <c r="Z491" s="772"/>
      <c r="AA491" s="772"/>
      <c r="AB491" s="772"/>
      <c r="AC491" s="772"/>
      <c r="AD491" s="772"/>
      <c r="AE491" s="772"/>
      <c r="AF491" s="772"/>
      <c r="AG491" s="772"/>
      <c r="AH491" s="772"/>
      <c r="AI491" s="772"/>
    </row>
    <row r="492" ht="15.75" customHeight="1">
      <c r="A492" s="815"/>
      <c r="B492" s="782"/>
      <c r="C492" s="782"/>
      <c r="D492" s="782"/>
      <c r="E492" s="816"/>
      <c r="F492" s="816"/>
      <c r="G492" s="816"/>
      <c r="H492" s="817"/>
      <c r="I492" s="817"/>
      <c r="J492" s="817"/>
      <c r="K492" s="818"/>
      <c r="L492" s="772"/>
      <c r="M492" s="772"/>
      <c r="N492" s="772"/>
      <c r="O492" s="772"/>
      <c r="P492" s="772"/>
      <c r="Q492" s="772"/>
      <c r="R492" s="772"/>
      <c r="S492" s="772"/>
      <c r="T492" s="772"/>
      <c r="U492" s="772"/>
      <c r="V492" s="772"/>
      <c r="W492" s="772"/>
      <c r="X492" s="772"/>
      <c r="Y492" s="772"/>
      <c r="Z492" s="772"/>
      <c r="AA492" s="772"/>
      <c r="AB492" s="772"/>
      <c r="AC492" s="772"/>
      <c r="AD492" s="772"/>
      <c r="AE492" s="772"/>
      <c r="AF492" s="772"/>
      <c r="AG492" s="772"/>
      <c r="AH492" s="772"/>
      <c r="AI492" s="772"/>
    </row>
    <row r="493" ht="15.75" customHeight="1">
      <c r="A493" s="815"/>
      <c r="B493" s="782"/>
      <c r="C493" s="782"/>
      <c r="D493" s="782"/>
      <c r="E493" s="816"/>
      <c r="F493" s="816"/>
      <c r="G493" s="816"/>
      <c r="H493" s="817"/>
      <c r="I493" s="817"/>
      <c r="J493" s="817"/>
      <c r="K493" s="818"/>
      <c r="L493" s="772"/>
      <c r="M493" s="772"/>
      <c r="N493" s="772"/>
      <c r="O493" s="772"/>
      <c r="P493" s="772"/>
      <c r="Q493" s="772"/>
      <c r="R493" s="772"/>
      <c r="S493" s="772"/>
      <c r="T493" s="772"/>
      <c r="U493" s="772"/>
      <c r="V493" s="772"/>
      <c r="W493" s="772"/>
      <c r="X493" s="772"/>
      <c r="Y493" s="772"/>
      <c r="Z493" s="772"/>
      <c r="AA493" s="772"/>
      <c r="AB493" s="772"/>
      <c r="AC493" s="772"/>
      <c r="AD493" s="772"/>
      <c r="AE493" s="772"/>
      <c r="AF493" s="772"/>
      <c r="AG493" s="772"/>
      <c r="AH493" s="772"/>
      <c r="AI493" s="772"/>
    </row>
    <row r="494" ht="15.75" customHeight="1">
      <c r="A494" s="815"/>
      <c r="B494" s="782"/>
      <c r="C494" s="782"/>
      <c r="D494" s="782"/>
      <c r="E494" s="816"/>
      <c r="F494" s="816"/>
      <c r="G494" s="816"/>
      <c r="H494" s="817"/>
      <c r="I494" s="817"/>
      <c r="J494" s="817"/>
      <c r="K494" s="818"/>
      <c r="L494" s="772"/>
      <c r="M494" s="772"/>
      <c r="N494" s="772"/>
      <c r="O494" s="772"/>
      <c r="P494" s="772"/>
      <c r="Q494" s="772"/>
      <c r="R494" s="772"/>
      <c r="S494" s="772"/>
      <c r="T494" s="772"/>
      <c r="U494" s="772"/>
      <c r="V494" s="772"/>
      <c r="W494" s="772"/>
      <c r="X494" s="772"/>
      <c r="Y494" s="772"/>
      <c r="Z494" s="772"/>
      <c r="AA494" s="772"/>
      <c r="AB494" s="772"/>
      <c r="AC494" s="772"/>
      <c r="AD494" s="772"/>
      <c r="AE494" s="772"/>
      <c r="AF494" s="772"/>
      <c r="AG494" s="772"/>
      <c r="AH494" s="772"/>
      <c r="AI494" s="772"/>
    </row>
    <row r="495" ht="15.75" customHeight="1">
      <c r="A495" s="815"/>
      <c r="B495" s="782"/>
      <c r="C495" s="782"/>
      <c r="D495" s="782"/>
      <c r="E495" s="816"/>
      <c r="F495" s="816"/>
      <c r="G495" s="816"/>
      <c r="H495" s="817"/>
      <c r="I495" s="817"/>
      <c r="J495" s="817"/>
      <c r="K495" s="818"/>
      <c r="L495" s="772"/>
      <c r="M495" s="772"/>
      <c r="N495" s="772"/>
      <c r="O495" s="772"/>
      <c r="P495" s="772"/>
      <c r="Q495" s="772"/>
      <c r="R495" s="772"/>
      <c r="S495" s="772"/>
      <c r="T495" s="772"/>
      <c r="U495" s="772"/>
      <c r="V495" s="772"/>
      <c r="W495" s="772"/>
      <c r="X495" s="772"/>
      <c r="Y495" s="772"/>
      <c r="Z495" s="772"/>
      <c r="AA495" s="772"/>
      <c r="AB495" s="772"/>
      <c r="AC495" s="772"/>
      <c r="AD495" s="772"/>
      <c r="AE495" s="772"/>
      <c r="AF495" s="772"/>
      <c r="AG495" s="772"/>
      <c r="AH495" s="772"/>
      <c r="AI495" s="772"/>
    </row>
    <row r="496" ht="15.75" customHeight="1">
      <c r="A496" s="815"/>
      <c r="B496" s="782"/>
      <c r="C496" s="782"/>
      <c r="D496" s="782"/>
      <c r="E496" s="816"/>
      <c r="F496" s="816"/>
      <c r="G496" s="816"/>
      <c r="H496" s="817"/>
      <c r="I496" s="817"/>
      <c r="J496" s="817"/>
      <c r="K496" s="818"/>
      <c r="L496" s="772"/>
      <c r="M496" s="772"/>
      <c r="N496" s="772"/>
      <c r="O496" s="772"/>
      <c r="P496" s="772"/>
      <c r="Q496" s="772"/>
      <c r="R496" s="772"/>
      <c r="S496" s="772"/>
      <c r="T496" s="772"/>
      <c r="U496" s="772"/>
      <c r="V496" s="772"/>
      <c r="W496" s="772"/>
      <c r="X496" s="772"/>
      <c r="Y496" s="772"/>
      <c r="Z496" s="772"/>
      <c r="AA496" s="772"/>
      <c r="AB496" s="772"/>
      <c r="AC496" s="772"/>
      <c r="AD496" s="772"/>
      <c r="AE496" s="772"/>
      <c r="AF496" s="772"/>
      <c r="AG496" s="772"/>
      <c r="AH496" s="772"/>
      <c r="AI496" s="772"/>
    </row>
    <row r="497" ht="15.75" customHeight="1">
      <c r="A497" s="815"/>
      <c r="B497" s="782"/>
      <c r="C497" s="782"/>
      <c r="D497" s="782"/>
      <c r="E497" s="816"/>
      <c r="F497" s="816"/>
      <c r="G497" s="816"/>
      <c r="H497" s="817"/>
      <c r="I497" s="817"/>
      <c r="J497" s="817"/>
      <c r="K497" s="818"/>
      <c r="L497" s="772"/>
      <c r="M497" s="772"/>
      <c r="N497" s="772"/>
      <c r="O497" s="772"/>
      <c r="P497" s="772"/>
      <c r="Q497" s="772"/>
      <c r="R497" s="772"/>
      <c r="S497" s="772"/>
      <c r="T497" s="772"/>
      <c r="U497" s="772"/>
      <c r="V497" s="772"/>
      <c r="W497" s="772"/>
      <c r="X497" s="772"/>
      <c r="Y497" s="772"/>
      <c r="Z497" s="772"/>
      <c r="AA497" s="772"/>
      <c r="AB497" s="772"/>
      <c r="AC497" s="772"/>
      <c r="AD497" s="772"/>
      <c r="AE497" s="772"/>
      <c r="AF497" s="772"/>
      <c r="AG497" s="772"/>
      <c r="AH497" s="772"/>
      <c r="AI497" s="772"/>
    </row>
    <row r="498" ht="15.75" customHeight="1">
      <c r="A498" s="815"/>
      <c r="B498" s="782"/>
      <c r="C498" s="782"/>
      <c r="D498" s="782"/>
      <c r="E498" s="816"/>
      <c r="F498" s="816"/>
      <c r="G498" s="816"/>
      <c r="H498" s="817"/>
      <c r="I498" s="817"/>
      <c r="J498" s="817"/>
      <c r="K498" s="818"/>
      <c r="L498" s="772"/>
      <c r="M498" s="772"/>
      <c r="N498" s="772"/>
      <c r="O498" s="772"/>
      <c r="P498" s="772"/>
      <c r="Q498" s="772"/>
      <c r="R498" s="772"/>
      <c r="S498" s="772"/>
      <c r="T498" s="772"/>
      <c r="U498" s="772"/>
      <c r="V498" s="772"/>
      <c r="W498" s="772"/>
      <c r="X498" s="772"/>
      <c r="Y498" s="772"/>
      <c r="Z498" s="772"/>
      <c r="AA498" s="772"/>
      <c r="AB498" s="772"/>
      <c r="AC498" s="772"/>
      <c r="AD498" s="772"/>
      <c r="AE498" s="772"/>
      <c r="AF498" s="772"/>
      <c r="AG498" s="772"/>
      <c r="AH498" s="772"/>
      <c r="AI498" s="772"/>
    </row>
    <row r="499" ht="15.75" customHeight="1">
      <c r="A499" s="815"/>
      <c r="B499" s="782"/>
      <c r="C499" s="782"/>
      <c r="D499" s="782"/>
      <c r="E499" s="816"/>
      <c r="F499" s="816"/>
      <c r="G499" s="816"/>
      <c r="H499" s="817"/>
      <c r="I499" s="817"/>
      <c r="J499" s="817"/>
      <c r="K499" s="818"/>
      <c r="L499" s="772"/>
      <c r="M499" s="772"/>
      <c r="N499" s="772"/>
      <c r="O499" s="772"/>
      <c r="P499" s="772"/>
      <c r="Q499" s="772"/>
      <c r="R499" s="772"/>
      <c r="S499" s="772"/>
      <c r="T499" s="772"/>
      <c r="U499" s="772"/>
      <c r="V499" s="772"/>
      <c r="W499" s="772"/>
      <c r="X499" s="772"/>
      <c r="Y499" s="772"/>
      <c r="Z499" s="772"/>
      <c r="AA499" s="772"/>
      <c r="AB499" s="772"/>
      <c r="AC499" s="772"/>
      <c r="AD499" s="772"/>
      <c r="AE499" s="772"/>
      <c r="AF499" s="772"/>
      <c r="AG499" s="772"/>
      <c r="AH499" s="772"/>
      <c r="AI499" s="772"/>
    </row>
    <row r="500" ht="15.75" customHeight="1">
      <c r="A500" s="815"/>
      <c r="B500" s="782"/>
      <c r="C500" s="782"/>
      <c r="D500" s="782"/>
      <c r="E500" s="816"/>
      <c r="F500" s="816"/>
      <c r="G500" s="816"/>
      <c r="H500" s="817"/>
      <c r="I500" s="817"/>
      <c r="J500" s="817"/>
      <c r="K500" s="818"/>
      <c r="L500" s="772"/>
      <c r="M500" s="772"/>
      <c r="N500" s="772"/>
      <c r="O500" s="772"/>
      <c r="P500" s="772"/>
      <c r="Q500" s="772"/>
      <c r="R500" s="772"/>
      <c r="S500" s="772"/>
      <c r="T500" s="772"/>
      <c r="U500" s="772"/>
      <c r="V500" s="772"/>
      <c r="W500" s="772"/>
      <c r="X500" s="772"/>
      <c r="Y500" s="772"/>
      <c r="Z500" s="772"/>
      <c r="AA500" s="772"/>
      <c r="AB500" s="772"/>
      <c r="AC500" s="772"/>
      <c r="AD500" s="772"/>
      <c r="AE500" s="772"/>
      <c r="AF500" s="772"/>
      <c r="AG500" s="772"/>
      <c r="AH500" s="772"/>
      <c r="AI500" s="772"/>
    </row>
    <row r="501" ht="15.75" customHeight="1">
      <c r="A501" s="815"/>
      <c r="B501" s="782"/>
      <c r="C501" s="782"/>
      <c r="D501" s="782"/>
      <c r="E501" s="816"/>
      <c r="F501" s="816"/>
      <c r="G501" s="816"/>
      <c r="H501" s="817"/>
      <c r="I501" s="817"/>
      <c r="J501" s="817"/>
      <c r="K501" s="818"/>
      <c r="L501" s="772"/>
      <c r="M501" s="772"/>
      <c r="N501" s="772"/>
      <c r="O501" s="772"/>
      <c r="P501" s="772"/>
      <c r="Q501" s="772"/>
      <c r="R501" s="772"/>
      <c r="S501" s="772"/>
      <c r="T501" s="772"/>
      <c r="U501" s="772"/>
      <c r="V501" s="772"/>
      <c r="W501" s="772"/>
      <c r="X501" s="772"/>
      <c r="Y501" s="772"/>
      <c r="Z501" s="772"/>
      <c r="AA501" s="772"/>
      <c r="AB501" s="772"/>
      <c r="AC501" s="772"/>
      <c r="AD501" s="772"/>
      <c r="AE501" s="772"/>
      <c r="AF501" s="772"/>
      <c r="AG501" s="772"/>
      <c r="AH501" s="772"/>
      <c r="AI501" s="772"/>
    </row>
    <row r="502" ht="15.75" customHeight="1">
      <c r="A502" s="815"/>
      <c r="B502" s="782"/>
      <c r="C502" s="782"/>
      <c r="D502" s="782"/>
      <c r="E502" s="816"/>
      <c r="F502" s="816"/>
      <c r="G502" s="816"/>
      <c r="H502" s="817"/>
      <c r="I502" s="817"/>
      <c r="J502" s="817"/>
      <c r="K502" s="818"/>
      <c r="L502" s="772"/>
      <c r="M502" s="772"/>
      <c r="N502" s="772"/>
      <c r="O502" s="772"/>
      <c r="P502" s="772"/>
      <c r="Q502" s="772"/>
      <c r="R502" s="772"/>
      <c r="S502" s="772"/>
      <c r="T502" s="772"/>
      <c r="U502" s="772"/>
      <c r="V502" s="772"/>
      <c r="W502" s="772"/>
      <c r="X502" s="772"/>
      <c r="Y502" s="772"/>
      <c r="Z502" s="772"/>
      <c r="AA502" s="772"/>
      <c r="AB502" s="772"/>
      <c r="AC502" s="772"/>
      <c r="AD502" s="772"/>
      <c r="AE502" s="772"/>
      <c r="AF502" s="772"/>
      <c r="AG502" s="772"/>
      <c r="AH502" s="772"/>
      <c r="AI502" s="772"/>
    </row>
    <row r="503" ht="15.75" customHeight="1">
      <c r="A503" s="815"/>
      <c r="B503" s="782"/>
      <c r="C503" s="782"/>
      <c r="D503" s="782"/>
      <c r="E503" s="816"/>
      <c r="F503" s="816"/>
      <c r="G503" s="816"/>
      <c r="H503" s="817"/>
      <c r="I503" s="817"/>
      <c r="J503" s="817"/>
      <c r="K503" s="818"/>
      <c r="L503" s="772"/>
      <c r="M503" s="772"/>
      <c r="N503" s="772"/>
      <c r="O503" s="772"/>
      <c r="P503" s="772"/>
      <c r="Q503" s="772"/>
      <c r="R503" s="772"/>
      <c r="S503" s="772"/>
      <c r="T503" s="772"/>
      <c r="U503" s="772"/>
      <c r="V503" s="772"/>
      <c r="W503" s="772"/>
      <c r="X503" s="772"/>
      <c r="Y503" s="772"/>
      <c r="Z503" s="772"/>
      <c r="AA503" s="772"/>
      <c r="AB503" s="772"/>
      <c r="AC503" s="772"/>
      <c r="AD503" s="772"/>
      <c r="AE503" s="772"/>
      <c r="AF503" s="772"/>
      <c r="AG503" s="772"/>
      <c r="AH503" s="772"/>
      <c r="AI503" s="772"/>
    </row>
    <row r="504" ht="15.75" customHeight="1">
      <c r="A504" s="815"/>
      <c r="B504" s="782"/>
      <c r="C504" s="782"/>
      <c r="D504" s="782"/>
      <c r="E504" s="816"/>
      <c r="F504" s="816"/>
      <c r="G504" s="816"/>
      <c r="H504" s="817"/>
      <c r="I504" s="817"/>
      <c r="J504" s="817"/>
      <c r="K504" s="818"/>
      <c r="L504" s="772"/>
      <c r="M504" s="772"/>
      <c r="N504" s="772"/>
      <c r="O504" s="772"/>
      <c r="P504" s="772"/>
      <c r="Q504" s="772"/>
      <c r="R504" s="772"/>
      <c r="S504" s="772"/>
      <c r="T504" s="772"/>
      <c r="U504" s="772"/>
      <c r="V504" s="772"/>
      <c r="W504" s="772"/>
      <c r="X504" s="772"/>
      <c r="Y504" s="772"/>
      <c r="Z504" s="772"/>
      <c r="AA504" s="772"/>
      <c r="AB504" s="772"/>
      <c r="AC504" s="772"/>
      <c r="AD504" s="772"/>
      <c r="AE504" s="772"/>
      <c r="AF504" s="772"/>
      <c r="AG504" s="772"/>
      <c r="AH504" s="772"/>
      <c r="AI504" s="772"/>
    </row>
    <row r="505" ht="15.75" customHeight="1">
      <c r="A505" s="815"/>
      <c r="B505" s="782"/>
      <c r="C505" s="782"/>
      <c r="D505" s="782"/>
      <c r="E505" s="816"/>
      <c r="F505" s="816"/>
      <c r="G505" s="816"/>
      <c r="H505" s="817"/>
      <c r="I505" s="817"/>
      <c r="J505" s="817"/>
      <c r="K505" s="818"/>
      <c r="L505" s="772"/>
      <c r="M505" s="772"/>
      <c r="N505" s="772"/>
      <c r="O505" s="772"/>
      <c r="P505" s="772"/>
      <c r="Q505" s="772"/>
      <c r="R505" s="772"/>
      <c r="S505" s="772"/>
      <c r="T505" s="772"/>
      <c r="U505" s="772"/>
      <c r="V505" s="772"/>
      <c r="W505" s="772"/>
      <c r="X505" s="772"/>
      <c r="Y505" s="772"/>
      <c r="Z505" s="772"/>
      <c r="AA505" s="772"/>
      <c r="AB505" s="772"/>
      <c r="AC505" s="772"/>
      <c r="AD505" s="772"/>
      <c r="AE505" s="772"/>
      <c r="AF505" s="772"/>
      <c r="AG505" s="772"/>
      <c r="AH505" s="772"/>
      <c r="AI505" s="772"/>
    </row>
    <row r="506" ht="15.75" customHeight="1">
      <c r="A506" s="815"/>
      <c r="B506" s="782"/>
      <c r="C506" s="782"/>
      <c r="D506" s="782"/>
      <c r="E506" s="816"/>
      <c r="F506" s="816"/>
      <c r="G506" s="816"/>
      <c r="H506" s="817"/>
      <c r="I506" s="817"/>
      <c r="J506" s="817"/>
      <c r="K506" s="818"/>
      <c r="L506" s="772"/>
      <c r="M506" s="772"/>
      <c r="N506" s="772"/>
      <c r="O506" s="772"/>
      <c r="P506" s="772"/>
      <c r="Q506" s="772"/>
      <c r="R506" s="772"/>
      <c r="S506" s="772"/>
      <c r="T506" s="772"/>
      <c r="U506" s="772"/>
      <c r="V506" s="772"/>
      <c r="W506" s="772"/>
      <c r="X506" s="772"/>
      <c r="Y506" s="772"/>
      <c r="Z506" s="772"/>
      <c r="AA506" s="772"/>
      <c r="AB506" s="772"/>
      <c r="AC506" s="772"/>
      <c r="AD506" s="772"/>
      <c r="AE506" s="772"/>
      <c r="AF506" s="772"/>
      <c r="AG506" s="772"/>
      <c r="AH506" s="772"/>
      <c r="AI506" s="772"/>
    </row>
    <row r="507" ht="15.75" customHeight="1">
      <c r="A507" s="815"/>
      <c r="B507" s="782"/>
      <c r="C507" s="782"/>
      <c r="D507" s="782"/>
      <c r="E507" s="816"/>
      <c r="F507" s="816"/>
      <c r="G507" s="816"/>
      <c r="H507" s="817"/>
      <c r="I507" s="817"/>
      <c r="J507" s="817"/>
      <c r="K507" s="818"/>
      <c r="L507" s="772"/>
      <c r="M507" s="772"/>
      <c r="N507" s="772"/>
      <c r="O507" s="772"/>
      <c r="P507" s="772"/>
      <c r="Q507" s="772"/>
      <c r="R507" s="772"/>
      <c r="S507" s="772"/>
      <c r="T507" s="772"/>
      <c r="U507" s="772"/>
      <c r="V507" s="772"/>
      <c r="W507" s="772"/>
      <c r="X507" s="772"/>
      <c r="Y507" s="772"/>
      <c r="Z507" s="772"/>
      <c r="AA507" s="772"/>
      <c r="AB507" s="772"/>
      <c r="AC507" s="772"/>
      <c r="AD507" s="772"/>
      <c r="AE507" s="772"/>
      <c r="AF507" s="772"/>
      <c r="AG507" s="772"/>
      <c r="AH507" s="772"/>
      <c r="AI507" s="772"/>
    </row>
    <row r="508" ht="15.75" customHeight="1">
      <c r="A508" s="815"/>
      <c r="B508" s="782"/>
      <c r="C508" s="782"/>
      <c r="D508" s="782"/>
      <c r="E508" s="816"/>
      <c r="F508" s="816"/>
      <c r="G508" s="816"/>
      <c r="H508" s="817"/>
      <c r="I508" s="817"/>
      <c r="J508" s="817"/>
      <c r="K508" s="818"/>
      <c r="L508" s="772"/>
      <c r="M508" s="772"/>
      <c r="N508" s="772"/>
      <c r="O508" s="772"/>
      <c r="P508" s="772"/>
      <c r="Q508" s="772"/>
      <c r="R508" s="772"/>
      <c r="S508" s="772"/>
      <c r="T508" s="772"/>
      <c r="U508" s="772"/>
      <c r="V508" s="772"/>
      <c r="W508" s="772"/>
      <c r="X508" s="772"/>
      <c r="Y508" s="772"/>
      <c r="Z508" s="772"/>
      <c r="AA508" s="772"/>
      <c r="AB508" s="772"/>
      <c r="AC508" s="772"/>
      <c r="AD508" s="772"/>
      <c r="AE508" s="772"/>
      <c r="AF508" s="772"/>
      <c r="AG508" s="772"/>
      <c r="AH508" s="772"/>
      <c r="AI508" s="772"/>
    </row>
    <row r="509" ht="15.75" customHeight="1">
      <c r="A509" s="815"/>
      <c r="B509" s="782"/>
      <c r="C509" s="782"/>
      <c r="D509" s="782"/>
      <c r="E509" s="816"/>
      <c r="F509" s="816"/>
      <c r="G509" s="816"/>
      <c r="H509" s="817"/>
      <c r="I509" s="817"/>
      <c r="J509" s="817"/>
      <c r="K509" s="818"/>
      <c r="L509" s="772"/>
      <c r="M509" s="772"/>
      <c r="N509" s="772"/>
      <c r="O509" s="772"/>
      <c r="P509" s="772"/>
      <c r="Q509" s="772"/>
      <c r="R509" s="772"/>
      <c r="S509" s="772"/>
      <c r="T509" s="772"/>
      <c r="U509" s="772"/>
      <c r="V509" s="772"/>
      <c r="W509" s="772"/>
      <c r="X509" s="772"/>
      <c r="Y509" s="772"/>
      <c r="Z509" s="772"/>
      <c r="AA509" s="772"/>
      <c r="AB509" s="772"/>
      <c r="AC509" s="772"/>
      <c r="AD509" s="772"/>
      <c r="AE509" s="772"/>
      <c r="AF509" s="772"/>
      <c r="AG509" s="772"/>
      <c r="AH509" s="772"/>
      <c r="AI509" s="772"/>
    </row>
    <row r="510" ht="15.75" customHeight="1">
      <c r="A510" s="815"/>
      <c r="B510" s="782"/>
      <c r="C510" s="782"/>
      <c r="D510" s="782"/>
      <c r="E510" s="816"/>
      <c r="F510" s="816"/>
      <c r="G510" s="816"/>
      <c r="H510" s="817"/>
      <c r="I510" s="817"/>
      <c r="J510" s="817"/>
      <c r="K510" s="818"/>
      <c r="L510" s="772"/>
      <c r="M510" s="772"/>
      <c r="N510" s="772"/>
      <c r="O510" s="772"/>
      <c r="P510" s="772"/>
      <c r="Q510" s="772"/>
      <c r="R510" s="772"/>
      <c r="S510" s="772"/>
      <c r="T510" s="772"/>
      <c r="U510" s="772"/>
      <c r="V510" s="772"/>
      <c r="W510" s="772"/>
      <c r="X510" s="772"/>
      <c r="Y510" s="772"/>
      <c r="Z510" s="772"/>
      <c r="AA510" s="772"/>
      <c r="AB510" s="772"/>
      <c r="AC510" s="772"/>
      <c r="AD510" s="772"/>
      <c r="AE510" s="772"/>
      <c r="AF510" s="772"/>
      <c r="AG510" s="772"/>
      <c r="AH510" s="772"/>
      <c r="AI510" s="772"/>
    </row>
    <row r="511" ht="15.75" customHeight="1">
      <c r="A511" s="815"/>
      <c r="B511" s="782"/>
      <c r="C511" s="782"/>
      <c r="D511" s="782"/>
      <c r="E511" s="816"/>
      <c r="F511" s="816"/>
      <c r="G511" s="816"/>
      <c r="H511" s="817"/>
      <c r="I511" s="817"/>
      <c r="J511" s="817"/>
      <c r="K511" s="818"/>
      <c r="L511" s="772"/>
      <c r="M511" s="772"/>
      <c r="N511" s="772"/>
      <c r="O511" s="772"/>
      <c r="P511" s="772"/>
      <c r="Q511" s="772"/>
      <c r="R511" s="772"/>
      <c r="S511" s="772"/>
      <c r="T511" s="772"/>
      <c r="U511" s="772"/>
      <c r="V511" s="772"/>
      <c r="W511" s="772"/>
      <c r="X511" s="772"/>
      <c r="Y511" s="772"/>
      <c r="Z511" s="772"/>
      <c r="AA511" s="772"/>
      <c r="AB511" s="772"/>
      <c r="AC511" s="772"/>
      <c r="AD511" s="772"/>
      <c r="AE511" s="772"/>
      <c r="AF511" s="772"/>
      <c r="AG511" s="772"/>
      <c r="AH511" s="772"/>
      <c r="AI511" s="772"/>
    </row>
    <row r="512" ht="15.75" customHeight="1">
      <c r="A512" s="815"/>
      <c r="B512" s="782"/>
      <c r="C512" s="782"/>
      <c r="D512" s="782"/>
      <c r="E512" s="816"/>
      <c r="F512" s="816"/>
      <c r="G512" s="816"/>
      <c r="H512" s="817"/>
      <c r="I512" s="817"/>
      <c r="J512" s="817"/>
      <c r="K512" s="818"/>
      <c r="L512" s="772"/>
      <c r="M512" s="772"/>
      <c r="N512" s="772"/>
      <c r="O512" s="772"/>
      <c r="P512" s="772"/>
      <c r="Q512" s="772"/>
      <c r="R512" s="772"/>
      <c r="S512" s="772"/>
      <c r="T512" s="772"/>
      <c r="U512" s="772"/>
      <c r="V512" s="772"/>
      <c r="W512" s="772"/>
      <c r="X512" s="772"/>
      <c r="Y512" s="772"/>
      <c r="Z512" s="772"/>
      <c r="AA512" s="772"/>
      <c r="AB512" s="772"/>
      <c r="AC512" s="772"/>
      <c r="AD512" s="772"/>
      <c r="AE512" s="772"/>
      <c r="AF512" s="772"/>
      <c r="AG512" s="772"/>
      <c r="AH512" s="772"/>
      <c r="AI512" s="772"/>
    </row>
    <row r="513" ht="15.75" customHeight="1">
      <c r="A513" s="815"/>
      <c r="B513" s="782"/>
      <c r="C513" s="782"/>
      <c r="D513" s="782"/>
      <c r="E513" s="816"/>
      <c r="F513" s="816"/>
      <c r="G513" s="816"/>
      <c r="H513" s="817"/>
      <c r="I513" s="817"/>
      <c r="J513" s="817"/>
      <c r="K513" s="818"/>
      <c r="L513" s="772"/>
      <c r="M513" s="772"/>
      <c r="N513" s="772"/>
      <c r="O513" s="772"/>
      <c r="P513" s="772"/>
      <c r="Q513" s="772"/>
      <c r="R513" s="772"/>
      <c r="S513" s="772"/>
      <c r="T513" s="772"/>
      <c r="U513" s="772"/>
      <c r="V513" s="772"/>
      <c r="W513" s="772"/>
      <c r="X513" s="772"/>
      <c r="Y513" s="772"/>
      <c r="Z513" s="772"/>
      <c r="AA513" s="772"/>
      <c r="AB513" s="772"/>
      <c r="AC513" s="772"/>
      <c r="AD513" s="772"/>
      <c r="AE513" s="772"/>
      <c r="AF513" s="772"/>
      <c r="AG513" s="772"/>
      <c r="AH513" s="772"/>
      <c r="AI513" s="772"/>
    </row>
    <row r="514" ht="15.75" customHeight="1">
      <c r="A514" s="815"/>
      <c r="B514" s="782"/>
      <c r="C514" s="782"/>
      <c r="D514" s="782"/>
      <c r="E514" s="816"/>
      <c r="F514" s="816"/>
      <c r="G514" s="816"/>
      <c r="H514" s="817"/>
      <c r="I514" s="817"/>
      <c r="J514" s="817"/>
      <c r="K514" s="818"/>
      <c r="L514" s="772"/>
      <c r="M514" s="772"/>
      <c r="N514" s="772"/>
      <c r="O514" s="772"/>
      <c r="P514" s="772"/>
      <c r="Q514" s="772"/>
      <c r="R514" s="772"/>
      <c r="S514" s="772"/>
      <c r="T514" s="772"/>
      <c r="U514" s="772"/>
      <c r="V514" s="772"/>
      <c r="W514" s="772"/>
      <c r="X514" s="772"/>
      <c r="Y514" s="772"/>
      <c r="Z514" s="772"/>
      <c r="AA514" s="772"/>
      <c r="AB514" s="772"/>
      <c r="AC514" s="772"/>
      <c r="AD514" s="772"/>
      <c r="AE514" s="772"/>
      <c r="AF514" s="772"/>
      <c r="AG514" s="772"/>
      <c r="AH514" s="772"/>
      <c r="AI514" s="772"/>
    </row>
    <row r="515" ht="15.75" customHeight="1">
      <c r="A515" s="815"/>
      <c r="B515" s="782"/>
      <c r="C515" s="782"/>
      <c r="D515" s="782"/>
      <c r="E515" s="816"/>
      <c r="F515" s="816"/>
      <c r="G515" s="816"/>
      <c r="H515" s="817"/>
      <c r="I515" s="817"/>
      <c r="J515" s="817"/>
      <c r="K515" s="818"/>
      <c r="L515" s="772"/>
      <c r="M515" s="772"/>
      <c r="N515" s="772"/>
      <c r="O515" s="772"/>
      <c r="P515" s="772"/>
      <c r="Q515" s="772"/>
      <c r="R515" s="772"/>
      <c r="S515" s="772"/>
      <c r="T515" s="772"/>
      <c r="U515" s="772"/>
      <c r="V515" s="772"/>
      <c r="W515" s="772"/>
      <c r="X515" s="772"/>
      <c r="Y515" s="772"/>
      <c r="Z515" s="772"/>
      <c r="AA515" s="772"/>
      <c r="AB515" s="772"/>
      <c r="AC515" s="772"/>
      <c r="AD515" s="772"/>
      <c r="AE515" s="772"/>
      <c r="AF515" s="772"/>
      <c r="AG515" s="772"/>
      <c r="AH515" s="772"/>
      <c r="AI515" s="772"/>
    </row>
    <row r="516" ht="15.75" customHeight="1">
      <c r="A516" s="815"/>
      <c r="B516" s="782"/>
      <c r="C516" s="782"/>
      <c r="D516" s="782"/>
      <c r="E516" s="816"/>
      <c r="F516" s="816"/>
      <c r="G516" s="816"/>
      <c r="H516" s="817"/>
      <c r="I516" s="817"/>
      <c r="J516" s="817"/>
      <c r="K516" s="818"/>
      <c r="L516" s="772"/>
      <c r="M516" s="772"/>
      <c r="N516" s="772"/>
      <c r="O516" s="772"/>
      <c r="P516" s="772"/>
      <c r="Q516" s="772"/>
      <c r="R516" s="772"/>
      <c r="S516" s="772"/>
      <c r="T516" s="772"/>
      <c r="U516" s="772"/>
      <c r="V516" s="772"/>
      <c r="W516" s="772"/>
      <c r="X516" s="772"/>
      <c r="Y516" s="772"/>
      <c r="Z516" s="772"/>
      <c r="AA516" s="772"/>
      <c r="AB516" s="772"/>
      <c r="AC516" s="772"/>
      <c r="AD516" s="772"/>
      <c r="AE516" s="772"/>
      <c r="AF516" s="772"/>
      <c r="AG516" s="772"/>
      <c r="AH516" s="772"/>
      <c r="AI516" s="772"/>
    </row>
    <row r="517" ht="15.75" customHeight="1">
      <c r="A517" s="815"/>
      <c r="B517" s="782"/>
      <c r="C517" s="782"/>
      <c r="D517" s="782"/>
      <c r="E517" s="816"/>
      <c r="F517" s="816"/>
      <c r="G517" s="816"/>
      <c r="H517" s="817"/>
      <c r="I517" s="817"/>
      <c r="J517" s="817"/>
      <c r="K517" s="818"/>
      <c r="L517" s="772"/>
      <c r="M517" s="772"/>
      <c r="N517" s="772"/>
      <c r="O517" s="772"/>
      <c r="P517" s="772"/>
      <c r="Q517" s="772"/>
      <c r="R517" s="772"/>
      <c r="S517" s="772"/>
      <c r="T517" s="772"/>
      <c r="U517" s="772"/>
      <c r="V517" s="772"/>
      <c r="W517" s="772"/>
      <c r="X517" s="772"/>
      <c r="Y517" s="772"/>
      <c r="Z517" s="772"/>
      <c r="AA517" s="772"/>
      <c r="AB517" s="772"/>
      <c r="AC517" s="772"/>
      <c r="AD517" s="772"/>
      <c r="AE517" s="772"/>
      <c r="AF517" s="772"/>
      <c r="AG517" s="772"/>
      <c r="AH517" s="772"/>
      <c r="AI517" s="772"/>
    </row>
    <row r="518" ht="15.75" customHeight="1">
      <c r="A518" s="815"/>
      <c r="B518" s="782"/>
      <c r="C518" s="782"/>
      <c r="D518" s="782"/>
      <c r="E518" s="816"/>
      <c r="F518" s="816"/>
      <c r="G518" s="816"/>
      <c r="H518" s="817"/>
      <c r="I518" s="817"/>
      <c r="J518" s="817"/>
      <c r="K518" s="818"/>
      <c r="L518" s="772"/>
      <c r="M518" s="772"/>
      <c r="N518" s="772"/>
      <c r="O518" s="772"/>
      <c r="P518" s="772"/>
      <c r="Q518" s="772"/>
      <c r="R518" s="772"/>
      <c r="S518" s="772"/>
      <c r="T518" s="772"/>
      <c r="U518" s="772"/>
      <c r="V518" s="772"/>
      <c r="W518" s="772"/>
      <c r="X518" s="772"/>
      <c r="Y518" s="772"/>
      <c r="Z518" s="772"/>
      <c r="AA518" s="772"/>
      <c r="AB518" s="772"/>
      <c r="AC518" s="772"/>
      <c r="AD518" s="772"/>
      <c r="AE518" s="772"/>
      <c r="AF518" s="772"/>
      <c r="AG518" s="772"/>
      <c r="AH518" s="772"/>
      <c r="AI518" s="772"/>
    </row>
    <row r="519" ht="15.75" customHeight="1">
      <c r="A519" s="815"/>
      <c r="B519" s="782"/>
      <c r="C519" s="782"/>
      <c r="D519" s="782"/>
      <c r="E519" s="816"/>
      <c r="F519" s="816"/>
      <c r="G519" s="816"/>
      <c r="H519" s="817"/>
      <c r="I519" s="817"/>
      <c r="J519" s="817"/>
      <c r="K519" s="818"/>
      <c r="L519" s="772"/>
      <c r="M519" s="772"/>
      <c r="N519" s="772"/>
      <c r="O519" s="772"/>
      <c r="P519" s="772"/>
      <c r="Q519" s="772"/>
      <c r="R519" s="772"/>
      <c r="S519" s="772"/>
      <c r="T519" s="772"/>
      <c r="U519" s="772"/>
      <c r="V519" s="772"/>
      <c r="W519" s="772"/>
      <c r="X519" s="772"/>
      <c r="Y519" s="772"/>
      <c r="Z519" s="772"/>
      <c r="AA519" s="772"/>
      <c r="AB519" s="772"/>
      <c r="AC519" s="772"/>
      <c r="AD519" s="772"/>
      <c r="AE519" s="772"/>
      <c r="AF519" s="772"/>
      <c r="AG519" s="772"/>
      <c r="AH519" s="772"/>
      <c r="AI519" s="772"/>
    </row>
    <row r="520" ht="15.75" customHeight="1">
      <c r="A520" s="815"/>
      <c r="B520" s="782"/>
      <c r="C520" s="782"/>
      <c r="D520" s="782"/>
      <c r="E520" s="816"/>
      <c r="F520" s="816"/>
      <c r="G520" s="816"/>
      <c r="H520" s="817"/>
      <c r="I520" s="817"/>
      <c r="J520" s="817"/>
      <c r="K520" s="818"/>
      <c r="L520" s="772"/>
      <c r="M520" s="772"/>
      <c r="N520" s="772"/>
      <c r="O520" s="772"/>
      <c r="P520" s="772"/>
      <c r="Q520" s="772"/>
      <c r="R520" s="772"/>
      <c r="S520" s="772"/>
      <c r="T520" s="772"/>
      <c r="U520" s="772"/>
      <c r="V520" s="772"/>
      <c r="W520" s="772"/>
      <c r="X520" s="772"/>
      <c r="Y520" s="772"/>
      <c r="Z520" s="772"/>
      <c r="AA520" s="772"/>
      <c r="AB520" s="772"/>
      <c r="AC520" s="772"/>
      <c r="AD520" s="772"/>
      <c r="AE520" s="772"/>
      <c r="AF520" s="772"/>
      <c r="AG520" s="772"/>
      <c r="AH520" s="772"/>
      <c r="AI520" s="772"/>
    </row>
    <row r="521" ht="15.75" customHeight="1">
      <c r="A521" s="815"/>
      <c r="B521" s="782"/>
      <c r="C521" s="782"/>
      <c r="D521" s="782"/>
      <c r="E521" s="816"/>
      <c r="F521" s="816"/>
      <c r="G521" s="816"/>
      <c r="H521" s="817"/>
      <c r="I521" s="817"/>
      <c r="J521" s="817"/>
      <c r="K521" s="818"/>
      <c r="L521" s="772"/>
      <c r="M521" s="772"/>
      <c r="N521" s="772"/>
      <c r="O521" s="772"/>
      <c r="P521" s="772"/>
      <c r="Q521" s="772"/>
      <c r="R521" s="772"/>
      <c r="S521" s="772"/>
      <c r="T521" s="772"/>
      <c r="U521" s="772"/>
      <c r="V521" s="772"/>
      <c r="W521" s="772"/>
      <c r="X521" s="772"/>
      <c r="Y521" s="772"/>
      <c r="Z521" s="772"/>
      <c r="AA521" s="772"/>
      <c r="AB521" s="772"/>
      <c r="AC521" s="772"/>
      <c r="AD521" s="772"/>
      <c r="AE521" s="772"/>
      <c r="AF521" s="772"/>
      <c r="AG521" s="772"/>
      <c r="AH521" s="772"/>
      <c r="AI521" s="772"/>
    </row>
    <row r="522" ht="15.75" customHeight="1">
      <c r="A522" s="815"/>
      <c r="B522" s="782"/>
      <c r="C522" s="782"/>
      <c r="D522" s="782"/>
      <c r="E522" s="816"/>
      <c r="F522" s="816"/>
      <c r="G522" s="816"/>
      <c r="H522" s="817"/>
      <c r="I522" s="817"/>
      <c r="J522" s="817"/>
      <c r="K522" s="818"/>
      <c r="L522" s="772"/>
      <c r="M522" s="772"/>
      <c r="N522" s="772"/>
      <c r="O522" s="772"/>
      <c r="P522" s="772"/>
      <c r="Q522" s="772"/>
      <c r="R522" s="772"/>
      <c r="S522" s="772"/>
      <c r="T522" s="772"/>
      <c r="U522" s="772"/>
      <c r="V522" s="772"/>
      <c r="W522" s="772"/>
      <c r="X522" s="772"/>
      <c r="Y522" s="772"/>
      <c r="Z522" s="772"/>
      <c r="AA522" s="772"/>
      <c r="AB522" s="772"/>
      <c r="AC522" s="772"/>
      <c r="AD522" s="772"/>
      <c r="AE522" s="772"/>
      <c r="AF522" s="772"/>
      <c r="AG522" s="772"/>
      <c r="AH522" s="772"/>
      <c r="AI522" s="772"/>
    </row>
    <row r="523" ht="15.75" customHeight="1">
      <c r="A523" s="815"/>
      <c r="B523" s="782"/>
      <c r="C523" s="782"/>
      <c r="D523" s="782"/>
      <c r="E523" s="816"/>
      <c r="F523" s="816"/>
      <c r="G523" s="816"/>
      <c r="H523" s="817"/>
      <c r="I523" s="817"/>
      <c r="J523" s="817"/>
      <c r="K523" s="818"/>
      <c r="L523" s="772"/>
      <c r="M523" s="772"/>
      <c r="N523" s="772"/>
      <c r="O523" s="772"/>
      <c r="P523" s="772"/>
      <c r="Q523" s="772"/>
      <c r="R523" s="772"/>
      <c r="S523" s="772"/>
      <c r="T523" s="772"/>
      <c r="U523" s="772"/>
      <c r="V523" s="772"/>
      <c r="W523" s="772"/>
      <c r="X523" s="772"/>
      <c r="Y523" s="772"/>
      <c r="Z523" s="772"/>
      <c r="AA523" s="772"/>
      <c r="AB523" s="772"/>
      <c r="AC523" s="772"/>
      <c r="AD523" s="772"/>
      <c r="AE523" s="772"/>
      <c r="AF523" s="772"/>
      <c r="AG523" s="772"/>
      <c r="AH523" s="772"/>
      <c r="AI523" s="772"/>
    </row>
    <row r="524" ht="15.75" customHeight="1">
      <c r="A524" s="815"/>
      <c r="B524" s="782"/>
      <c r="C524" s="782"/>
      <c r="D524" s="782"/>
      <c r="E524" s="816"/>
      <c r="F524" s="816"/>
      <c r="G524" s="816"/>
      <c r="H524" s="817"/>
      <c r="I524" s="817"/>
      <c r="J524" s="817"/>
      <c r="K524" s="818"/>
      <c r="L524" s="772"/>
      <c r="M524" s="772"/>
      <c r="N524" s="772"/>
      <c r="O524" s="772"/>
      <c r="P524" s="772"/>
      <c r="Q524" s="772"/>
      <c r="R524" s="772"/>
      <c r="S524" s="772"/>
      <c r="T524" s="772"/>
      <c r="U524" s="772"/>
      <c r="V524" s="772"/>
      <c r="W524" s="772"/>
      <c r="X524" s="772"/>
      <c r="Y524" s="772"/>
      <c r="Z524" s="772"/>
      <c r="AA524" s="772"/>
      <c r="AB524" s="772"/>
      <c r="AC524" s="772"/>
      <c r="AD524" s="772"/>
      <c r="AE524" s="772"/>
      <c r="AF524" s="772"/>
      <c r="AG524" s="772"/>
      <c r="AH524" s="772"/>
      <c r="AI524" s="772"/>
    </row>
    <row r="525" ht="15.75" customHeight="1">
      <c r="A525" s="815"/>
      <c r="B525" s="782"/>
      <c r="C525" s="782"/>
      <c r="D525" s="782"/>
      <c r="E525" s="816"/>
      <c r="F525" s="816"/>
      <c r="G525" s="816"/>
      <c r="H525" s="817"/>
      <c r="I525" s="817"/>
      <c r="J525" s="817"/>
      <c r="K525" s="818"/>
      <c r="L525" s="772"/>
      <c r="M525" s="772"/>
      <c r="N525" s="772"/>
      <c r="O525" s="772"/>
      <c r="P525" s="772"/>
      <c r="Q525" s="772"/>
      <c r="R525" s="772"/>
      <c r="S525" s="772"/>
      <c r="T525" s="772"/>
      <c r="U525" s="772"/>
      <c r="V525" s="772"/>
      <c r="W525" s="772"/>
      <c r="X525" s="772"/>
      <c r="Y525" s="772"/>
      <c r="Z525" s="772"/>
      <c r="AA525" s="772"/>
      <c r="AB525" s="772"/>
      <c r="AC525" s="772"/>
      <c r="AD525" s="772"/>
      <c r="AE525" s="772"/>
      <c r="AF525" s="772"/>
      <c r="AG525" s="772"/>
      <c r="AH525" s="772"/>
      <c r="AI525" s="772"/>
    </row>
    <row r="526" ht="15.75" customHeight="1">
      <c r="A526" s="815"/>
      <c r="B526" s="782"/>
      <c r="C526" s="782"/>
      <c r="D526" s="782"/>
      <c r="E526" s="816"/>
      <c r="F526" s="816"/>
      <c r="G526" s="816"/>
      <c r="H526" s="817"/>
      <c r="I526" s="817"/>
      <c r="J526" s="817"/>
      <c r="K526" s="818"/>
      <c r="L526" s="772"/>
      <c r="M526" s="772"/>
      <c r="N526" s="772"/>
      <c r="O526" s="772"/>
      <c r="P526" s="772"/>
      <c r="Q526" s="772"/>
      <c r="R526" s="772"/>
      <c r="S526" s="772"/>
      <c r="T526" s="772"/>
      <c r="U526" s="772"/>
      <c r="V526" s="772"/>
      <c r="W526" s="772"/>
      <c r="X526" s="772"/>
      <c r="Y526" s="772"/>
      <c r="Z526" s="772"/>
      <c r="AA526" s="772"/>
      <c r="AB526" s="772"/>
      <c r="AC526" s="772"/>
      <c r="AD526" s="772"/>
      <c r="AE526" s="772"/>
      <c r="AF526" s="772"/>
      <c r="AG526" s="772"/>
      <c r="AH526" s="772"/>
      <c r="AI526" s="772"/>
    </row>
    <row r="527" ht="15.75" customHeight="1">
      <c r="A527" s="815"/>
      <c r="B527" s="782"/>
      <c r="C527" s="782"/>
      <c r="D527" s="782"/>
      <c r="E527" s="816"/>
      <c r="F527" s="816"/>
      <c r="G527" s="816"/>
      <c r="H527" s="817"/>
      <c r="I527" s="817"/>
      <c r="J527" s="817"/>
      <c r="K527" s="818"/>
      <c r="L527" s="772"/>
      <c r="M527" s="772"/>
      <c r="N527" s="772"/>
      <c r="O527" s="772"/>
      <c r="P527" s="772"/>
      <c r="Q527" s="772"/>
      <c r="R527" s="772"/>
      <c r="S527" s="772"/>
      <c r="T527" s="772"/>
      <c r="U527" s="772"/>
      <c r="V527" s="772"/>
      <c r="W527" s="772"/>
      <c r="X527" s="772"/>
      <c r="Y527" s="772"/>
      <c r="Z527" s="772"/>
      <c r="AA527" s="772"/>
      <c r="AB527" s="772"/>
      <c r="AC527" s="772"/>
      <c r="AD527" s="772"/>
      <c r="AE527" s="772"/>
      <c r="AF527" s="772"/>
      <c r="AG527" s="772"/>
      <c r="AH527" s="772"/>
      <c r="AI527" s="772"/>
    </row>
    <row r="528" ht="15.75" customHeight="1">
      <c r="A528" s="815"/>
      <c r="B528" s="782"/>
      <c r="C528" s="782"/>
      <c r="D528" s="782"/>
      <c r="E528" s="816"/>
      <c r="F528" s="816"/>
      <c r="G528" s="816"/>
      <c r="H528" s="817"/>
      <c r="I528" s="817"/>
      <c r="J528" s="817"/>
      <c r="K528" s="818"/>
      <c r="L528" s="772"/>
      <c r="M528" s="772"/>
      <c r="N528" s="772"/>
      <c r="O528" s="772"/>
      <c r="P528" s="772"/>
      <c r="Q528" s="772"/>
      <c r="R528" s="772"/>
      <c r="S528" s="772"/>
      <c r="T528" s="772"/>
      <c r="U528" s="772"/>
      <c r="V528" s="772"/>
      <c r="W528" s="772"/>
      <c r="X528" s="772"/>
      <c r="Y528" s="772"/>
      <c r="Z528" s="772"/>
      <c r="AA528" s="772"/>
      <c r="AB528" s="772"/>
      <c r="AC528" s="772"/>
      <c r="AD528" s="772"/>
      <c r="AE528" s="772"/>
      <c r="AF528" s="772"/>
      <c r="AG528" s="772"/>
      <c r="AH528" s="772"/>
      <c r="AI528" s="772"/>
    </row>
    <row r="529" ht="15.75" customHeight="1">
      <c r="A529" s="815"/>
      <c r="B529" s="782"/>
      <c r="C529" s="782"/>
      <c r="D529" s="782"/>
      <c r="E529" s="816"/>
      <c r="F529" s="816"/>
      <c r="G529" s="816"/>
      <c r="H529" s="817"/>
      <c r="I529" s="817"/>
      <c r="J529" s="817"/>
      <c r="K529" s="818"/>
      <c r="L529" s="772"/>
      <c r="M529" s="772"/>
      <c r="N529" s="772"/>
      <c r="O529" s="772"/>
      <c r="P529" s="772"/>
      <c r="Q529" s="772"/>
      <c r="R529" s="772"/>
      <c r="S529" s="772"/>
      <c r="T529" s="772"/>
      <c r="U529" s="772"/>
      <c r="V529" s="772"/>
      <c r="W529" s="772"/>
      <c r="X529" s="772"/>
      <c r="Y529" s="772"/>
      <c r="Z529" s="772"/>
      <c r="AA529" s="772"/>
      <c r="AB529" s="772"/>
      <c r="AC529" s="772"/>
      <c r="AD529" s="772"/>
      <c r="AE529" s="772"/>
      <c r="AF529" s="772"/>
      <c r="AG529" s="772"/>
      <c r="AH529" s="772"/>
      <c r="AI529" s="772"/>
    </row>
    <row r="530" ht="15.75" customHeight="1">
      <c r="A530" s="815"/>
      <c r="B530" s="782"/>
      <c r="C530" s="782"/>
      <c r="D530" s="782"/>
      <c r="E530" s="816"/>
      <c r="F530" s="816"/>
      <c r="G530" s="816"/>
      <c r="H530" s="817"/>
      <c r="I530" s="817"/>
      <c r="J530" s="817"/>
      <c r="K530" s="818"/>
      <c r="L530" s="772"/>
      <c r="M530" s="772"/>
      <c r="N530" s="772"/>
      <c r="O530" s="772"/>
      <c r="P530" s="772"/>
      <c r="Q530" s="772"/>
      <c r="R530" s="772"/>
      <c r="S530" s="772"/>
      <c r="T530" s="772"/>
      <c r="U530" s="772"/>
      <c r="V530" s="772"/>
      <c r="W530" s="772"/>
      <c r="X530" s="772"/>
      <c r="Y530" s="772"/>
      <c r="Z530" s="772"/>
      <c r="AA530" s="772"/>
      <c r="AB530" s="772"/>
      <c r="AC530" s="772"/>
      <c r="AD530" s="772"/>
      <c r="AE530" s="772"/>
      <c r="AF530" s="772"/>
      <c r="AG530" s="772"/>
      <c r="AH530" s="772"/>
      <c r="AI530" s="772"/>
    </row>
    <row r="531" ht="15.75" customHeight="1">
      <c r="A531" s="815"/>
      <c r="B531" s="782"/>
      <c r="C531" s="782"/>
      <c r="D531" s="782"/>
      <c r="E531" s="816"/>
      <c r="F531" s="816"/>
      <c r="G531" s="816"/>
      <c r="H531" s="817"/>
      <c r="I531" s="817"/>
      <c r="J531" s="817"/>
      <c r="K531" s="818"/>
      <c r="L531" s="772"/>
      <c r="M531" s="772"/>
      <c r="N531" s="772"/>
      <c r="O531" s="772"/>
      <c r="P531" s="772"/>
      <c r="Q531" s="772"/>
      <c r="R531" s="772"/>
      <c r="S531" s="772"/>
      <c r="T531" s="772"/>
      <c r="U531" s="772"/>
      <c r="V531" s="772"/>
      <c r="W531" s="772"/>
      <c r="X531" s="772"/>
      <c r="Y531" s="772"/>
      <c r="Z531" s="772"/>
      <c r="AA531" s="772"/>
      <c r="AB531" s="772"/>
      <c r="AC531" s="772"/>
      <c r="AD531" s="772"/>
      <c r="AE531" s="772"/>
      <c r="AF531" s="772"/>
      <c r="AG531" s="772"/>
      <c r="AH531" s="772"/>
      <c r="AI531" s="772"/>
    </row>
    <row r="532" ht="15.75" customHeight="1">
      <c r="A532" s="815"/>
      <c r="B532" s="782"/>
      <c r="C532" s="782"/>
      <c r="D532" s="782"/>
      <c r="E532" s="816"/>
      <c r="F532" s="816"/>
      <c r="G532" s="816"/>
      <c r="H532" s="817"/>
      <c r="I532" s="817"/>
      <c r="J532" s="817"/>
      <c r="K532" s="818"/>
      <c r="L532" s="772"/>
      <c r="M532" s="772"/>
      <c r="N532" s="772"/>
      <c r="O532" s="772"/>
      <c r="P532" s="772"/>
      <c r="Q532" s="772"/>
      <c r="R532" s="772"/>
      <c r="S532" s="772"/>
      <c r="T532" s="772"/>
      <c r="U532" s="772"/>
      <c r="V532" s="772"/>
      <c r="W532" s="772"/>
      <c r="X532" s="772"/>
      <c r="Y532" s="772"/>
      <c r="Z532" s="772"/>
      <c r="AA532" s="772"/>
      <c r="AB532" s="772"/>
      <c r="AC532" s="772"/>
      <c r="AD532" s="772"/>
      <c r="AE532" s="772"/>
      <c r="AF532" s="772"/>
      <c r="AG532" s="772"/>
      <c r="AH532" s="772"/>
      <c r="AI532" s="772"/>
    </row>
    <row r="533" ht="15.75" customHeight="1">
      <c r="A533" s="815"/>
      <c r="B533" s="782"/>
      <c r="C533" s="782"/>
      <c r="D533" s="782"/>
      <c r="E533" s="816"/>
      <c r="F533" s="816"/>
      <c r="G533" s="816"/>
      <c r="H533" s="817"/>
      <c r="I533" s="817"/>
      <c r="J533" s="817"/>
      <c r="K533" s="818"/>
      <c r="L533" s="772"/>
      <c r="M533" s="772"/>
      <c r="N533" s="772"/>
      <c r="O533" s="772"/>
      <c r="P533" s="772"/>
      <c r="Q533" s="772"/>
      <c r="R533" s="772"/>
      <c r="S533" s="772"/>
      <c r="T533" s="772"/>
      <c r="U533" s="772"/>
      <c r="V533" s="772"/>
      <c r="W533" s="772"/>
      <c r="X533" s="772"/>
      <c r="Y533" s="772"/>
      <c r="Z533" s="772"/>
      <c r="AA533" s="772"/>
      <c r="AB533" s="772"/>
      <c r="AC533" s="772"/>
      <c r="AD533" s="772"/>
      <c r="AE533" s="772"/>
      <c r="AF533" s="772"/>
      <c r="AG533" s="772"/>
      <c r="AH533" s="772"/>
      <c r="AI533" s="772"/>
    </row>
    <row r="534" ht="15.75" customHeight="1">
      <c r="A534" s="815"/>
      <c r="B534" s="782"/>
      <c r="C534" s="782"/>
      <c r="D534" s="782"/>
      <c r="E534" s="816"/>
      <c r="F534" s="816"/>
      <c r="G534" s="816"/>
      <c r="H534" s="817"/>
      <c r="I534" s="817"/>
      <c r="J534" s="817"/>
      <c r="K534" s="818"/>
      <c r="L534" s="772"/>
      <c r="M534" s="772"/>
      <c r="N534" s="772"/>
      <c r="O534" s="772"/>
      <c r="P534" s="772"/>
      <c r="Q534" s="772"/>
      <c r="R534" s="772"/>
      <c r="S534" s="772"/>
      <c r="T534" s="772"/>
      <c r="U534" s="772"/>
      <c r="V534" s="772"/>
      <c r="W534" s="772"/>
      <c r="X534" s="772"/>
      <c r="Y534" s="772"/>
      <c r="Z534" s="772"/>
      <c r="AA534" s="772"/>
      <c r="AB534" s="772"/>
      <c r="AC534" s="772"/>
      <c r="AD534" s="772"/>
      <c r="AE534" s="772"/>
      <c r="AF534" s="772"/>
      <c r="AG534" s="772"/>
      <c r="AH534" s="772"/>
      <c r="AI534" s="772"/>
    </row>
    <row r="535" ht="15.75" customHeight="1">
      <c r="A535" s="815"/>
      <c r="B535" s="782"/>
      <c r="C535" s="782"/>
      <c r="D535" s="782"/>
      <c r="E535" s="816"/>
      <c r="F535" s="816"/>
      <c r="G535" s="816"/>
      <c r="H535" s="817"/>
      <c r="I535" s="817"/>
      <c r="J535" s="817"/>
      <c r="K535" s="818"/>
      <c r="L535" s="772"/>
      <c r="M535" s="772"/>
      <c r="N535" s="772"/>
      <c r="O535" s="772"/>
      <c r="P535" s="772"/>
      <c r="Q535" s="772"/>
      <c r="R535" s="772"/>
      <c r="S535" s="772"/>
      <c r="T535" s="772"/>
      <c r="U535" s="772"/>
      <c r="V535" s="772"/>
      <c r="W535" s="772"/>
      <c r="X535" s="772"/>
      <c r="Y535" s="772"/>
      <c r="Z535" s="772"/>
      <c r="AA535" s="772"/>
      <c r="AB535" s="772"/>
      <c r="AC535" s="772"/>
      <c r="AD535" s="772"/>
      <c r="AE535" s="772"/>
      <c r="AF535" s="772"/>
      <c r="AG535" s="772"/>
      <c r="AH535" s="772"/>
      <c r="AI535" s="772"/>
    </row>
    <row r="536" ht="15.75" customHeight="1">
      <c r="A536" s="815"/>
      <c r="B536" s="782"/>
      <c r="C536" s="782"/>
      <c r="D536" s="782"/>
      <c r="E536" s="816"/>
      <c r="F536" s="816"/>
      <c r="G536" s="816"/>
      <c r="H536" s="817"/>
      <c r="I536" s="817"/>
      <c r="J536" s="817"/>
      <c r="K536" s="818"/>
      <c r="L536" s="772"/>
      <c r="M536" s="772"/>
      <c r="N536" s="772"/>
      <c r="O536" s="772"/>
      <c r="P536" s="772"/>
      <c r="Q536" s="772"/>
      <c r="R536" s="772"/>
      <c r="S536" s="772"/>
      <c r="T536" s="772"/>
      <c r="U536" s="772"/>
      <c r="V536" s="772"/>
      <c r="W536" s="772"/>
      <c r="X536" s="772"/>
      <c r="Y536" s="772"/>
      <c r="Z536" s="772"/>
      <c r="AA536" s="772"/>
      <c r="AB536" s="772"/>
      <c r="AC536" s="772"/>
      <c r="AD536" s="772"/>
      <c r="AE536" s="772"/>
      <c r="AF536" s="772"/>
      <c r="AG536" s="772"/>
      <c r="AH536" s="772"/>
      <c r="AI536" s="772"/>
    </row>
    <row r="537" ht="15.75" customHeight="1">
      <c r="A537" s="815"/>
      <c r="B537" s="782"/>
      <c r="C537" s="782"/>
      <c r="D537" s="782"/>
      <c r="E537" s="816"/>
      <c r="F537" s="816"/>
      <c r="G537" s="816"/>
      <c r="H537" s="817"/>
      <c r="I537" s="817"/>
      <c r="J537" s="817"/>
      <c r="K537" s="818"/>
      <c r="L537" s="772"/>
      <c r="M537" s="772"/>
      <c r="N537" s="772"/>
      <c r="O537" s="772"/>
      <c r="P537" s="772"/>
      <c r="Q537" s="772"/>
      <c r="R537" s="772"/>
      <c r="S537" s="772"/>
      <c r="T537" s="772"/>
      <c r="U537" s="772"/>
      <c r="V537" s="772"/>
      <c r="W537" s="772"/>
      <c r="X537" s="772"/>
      <c r="Y537" s="772"/>
      <c r="Z537" s="772"/>
      <c r="AA537" s="772"/>
      <c r="AB537" s="772"/>
      <c r="AC537" s="772"/>
      <c r="AD537" s="772"/>
      <c r="AE537" s="772"/>
      <c r="AF537" s="772"/>
      <c r="AG537" s="772"/>
      <c r="AH537" s="772"/>
      <c r="AI537" s="772"/>
    </row>
    <row r="538" ht="15.75" customHeight="1">
      <c r="A538" s="815"/>
      <c r="B538" s="782"/>
      <c r="C538" s="782"/>
      <c r="D538" s="782"/>
      <c r="E538" s="816"/>
      <c r="F538" s="816"/>
      <c r="G538" s="816"/>
      <c r="H538" s="817"/>
      <c r="I538" s="817"/>
      <c r="J538" s="817"/>
      <c r="K538" s="818"/>
      <c r="L538" s="772"/>
      <c r="M538" s="772"/>
      <c r="N538" s="772"/>
      <c r="O538" s="772"/>
      <c r="P538" s="772"/>
      <c r="Q538" s="772"/>
      <c r="R538" s="772"/>
      <c r="S538" s="772"/>
      <c r="T538" s="772"/>
      <c r="U538" s="772"/>
      <c r="V538" s="772"/>
      <c r="W538" s="772"/>
      <c r="X538" s="772"/>
      <c r="Y538" s="772"/>
      <c r="Z538" s="772"/>
      <c r="AA538" s="772"/>
      <c r="AB538" s="772"/>
      <c r="AC538" s="772"/>
      <c r="AD538" s="772"/>
      <c r="AE538" s="772"/>
      <c r="AF538" s="772"/>
      <c r="AG538" s="772"/>
      <c r="AH538" s="772"/>
      <c r="AI538" s="772"/>
    </row>
    <row r="539" ht="15.75" customHeight="1">
      <c r="A539" s="815"/>
      <c r="B539" s="782"/>
      <c r="C539" s="782"/>
      <c r="D539" s="782"/>
      <c r="E539" s="816"/>
      <c r="F539" s="816"/>
      <c r="G539" s="816"/>
      <c r="H539" s="817"/>
      <c r="I539" s="817"/>
      <c r="J539" s="817"/>
      <c r="K539" s="818"/>
      <c r="L539" s="772"/>
      <c r="M539" s="772"/>
      <c r="N539" s="772"/>
      <c r="O539" s="772"/>
      <c r="P539" s="772"/>
      <c r="Q539" s="772"/>
      <c r="R539" s="772"/>
      <c r="S539" s="772"/>
      <c r="T539" s="772"/>
      <c r="U539" s="772"/>
      <c r="V539" s="772"/>
      <c r="W539" s="772"/>
      <c r="X539" s="772"/>
      <c r="Y539" s="772"/>
      <c r="Z539" s="772"/>
      <c r="AA539" s="772"/>
      <c r="AB539" s="772"/>
      <c r="AC539" s="772"/>
      <c r="AD539" s="772"/>
      <c r="AE539" s="772"/>
      <c r="AF539" s="772"/>
      <c r="AG539" s="772"/>
      <c r="AH539" s="772"/>
      <c r="AI539" s="772"/>
    </row>
    <row r="540" ht="15.75" customHeight="1">
      <c r="A540" s="815"/>
      <c r="B540" s="782"/>
      <c r="C540" s="782"/>
      <c r="D540" s="782"/>
      <c r="E540" s="816"/>
      <c r="F540" s="816"/>
      <c r="G540" s="816"/>
      <c r="H540" s="817"/>
      <c r="I540" s="817"/>
      <c r="J540" s="817"/>
      <c r="K540" s="818"/>
      <c r="L540" s="772"/>
      <c r="M540" s="772"/>
      <c r="N540" s="772"/>
      <c r="O540" s="772"/>
      <c r="P540" s="772"/>
      <c r="Q540" s="772"/>
      <c r="R540" s="772"/>
      <c r="S540" s="772"/>
      <c r="T540" s="772"/>
      <c r="U540" s="772"/>
      <c r="V540" s="772"/>
      <c r="W540" s="772"/>
      <c r="X540" s="772"/>
      <c r="Y540" s="772"/>
      <c r="Z540" s="772"/>
      <c r="AA540" s="772"/>
      <c r="AB540" s="772"/>
      <c r="AC540" s="772"/>
      <c r="AD540" s="772"/>
      <c r="AE540" s="772"/>
      <c r="AF540" s="772"/>
      <c r="AG540" s="772"/>
      <c r="AH540" s="772"/>
      <c r="AI540" s="772"/>
    </row>
    <row r="541" ht="15.75" customHeight="1">
      <c r="A541" s="815"/>
      <c r="B541" s="782"/>
      <c r="C541" s="782"/>
      <c r="D541" s="782"/>
      <c r="E541" s="816"/>
      <c r="F541" s="816"/>
      <c r="G541" s="816"/>
      <c r="H541" s="817"/>
      <c r="I541" s="817"/>
      <c r="J541" s="817"/>
      <c r="K541" s="818"/>
      <c r="L541" s="772"/>
      <c r="M541" s="772"/>
      <c r="N541" s="772"/>
      <c r="O541" s="772"/>
      <c r="P541" s="772"/>
      <c r="Q541" s="772"/>
      <c r="R541" s="772"/>
      <c r="S541" s="772"/>
      <c r="T541" s="772"/>
      <c r="U541" s="772"/>
      <c r="V541" s="772"/>
      <c r="W541" s="772"/>
      <c r="X541" s="772"/>
      <c r="Y541" s="772"/>
      <c r="Z541" s="772"/>
      <c r="AA541" s="772"/>
      <c r="AB541" s="772"/>
      <c r="AC541" s="772"/>
      <c r="AD541" s="772"/>
      <c r="AE541" s="772"/>
      <c r="AF541" s="772"/>
      <c r="AG541" s="772"/>
      <c r="AH541" s="772"/>
      <c r="AI541" s="772"/>
    </row>
    <row r="542" ht="15.75" customHeight="1">
      <c r="A542" s="815"/>
      <c r="B542" s="782"/>
      <c r="C542" s="782"/>
      <c r="D542" s="782"/>
      <c r="E542" s="816"/>
      <c r="F542" s="816"/>
      <c r="G542" s="816"/>
      <c r="H542" s="817"/>
      <c r="I542" s="817"/>
      <c r="J542" s="817"/>
      <c r="K542" s="818"/>
      <c r="L542" s="772"/>
      <c r="M542" s="772"/>
      <c r="N542" s="772"/>
      <c r="O542" s="772"/>
      <c r="P542" s="772"/>
      <c r="Q542" s="772"/>
      <c r="R542" s="772"/>
      <c r="S542" s="772"/>
      <c r="T542" s="772"/>
      <c r="U542" s="772"/>
      <c r="V542" s="772"/>
      <c r="W542" s="772"/>
      <c r="X542" s="772"/>
      <c r="Y542" s="772"/>
      <c r="Z542" s="772"/>
      <c r="AA542" s="772"/>
      <c r="AB542" s="772"/>
      <c r="AC542" s="772"/>
      <c r="AD542" s="772"/>
      <c r="AE542" s="772"/>
      <c r="AF542" s="772"/>
      <c r="AG542" s="772"/>
      <c r="AH542" s="772"/>
      <c r="AI542" s="772"/>
    </row>
    <row r="543" ht="15.75" customHeight="1">
      <c r="A543" s="815"/>
      <c r="B543" s="782"/>
      <c r="C543" s="782"/>
      <c r="D543" s="782"/>
      <c r="E543" s="816"/>
      <c r="F543" s="816"/>
      <c r="G543" s="816"/>
      <c r="H543" s="817"/>
      <c r="I543" s="817"/>
      <c r="J543" s="817"/>
      <c r="K543" s="818"/>
      <c r="L543" s="772"/>
      <c r="M543" s="772"/>
      <c r="N543" s="772"/>
      <c r="O543" s="772"/>
      <c r="P543" s="772"/>
      <c r="Q543" s="772"/>
      <c r="R543" s="772"/>
      <c r="S543" s="772"/>
      <c r="T543" s="772"/>
      <c r="U543" s="772"/>
      <c r="V543" s="772"/>
      <c r="W543" s="772"/>
      <c r="X543" s="772"/>
      <c r="Y543" s="772"/>
      <c r="Z543" s="772"/>
      <c r="AA543" s="772"/>
      <c r="AB543" s="772"/>
      <c r="AC543" s="772"/>
      <c r="AD543" s="772"/>
      <c r="AE543" s="772"/>
      <c r="AF543" s="772"/>
      <c r="AG543" s="772"/>
      <c r="AH543" s="772"/>
      <c r="AI543" s="772"/>
    </row>
    <row r="544" ht="15.75" customHeight="1">
      <c r="A544" s="815"/>
      <c r="B544" s="782"/>
      <c r="C544" s="782"/>
      <c r="D544" s="782"/>
      <c r="E544" s="816"/>
      <c r="F544" s="816"/>
      <c r="G544" s="816"/>
      <c r="H544" s="817"/>
      <c r="I544" s="817"/>
      <c r="J544" s="817"/>
      <c r="K544" s="818"/>
      <c r="L544" s="772"/>
      <c r="M544" s="772"/>
      <c r="N544" s="772"/>
      <c r="O544" s="772"/>
      <c r="P544" s="772"/>
      <c r="Q544" s="772"/>
      <c r="R544" s="772"/>
      <c r="S544" s="772"/>
      <c r="T544" s="772"/>
      <c r="U544" s="772"/>
      <c r="V544" s="772"/>
      <c r="W544" s="772"/>
      <c r="X544" s="772"/>
      <c r="Y544" s="772"/>
      <c r="Z544" s="772"/>
      <c r="AA544" s="772"/>
      <c r="AB544" s="772"/>
      <c r="AC544" s="772"/>
      <c r="AD544" s="772"/>
      <c r="AE544" s="772"/>
      <c r="AF544" s="772"/>
      <c r="AG544" s="772"/>
      <c r="AH544" s="772"/>
      <c r="AI544" s="772"/>
    </row>
    <row r="545" ht="15.75" customHeight="1">
      <c r="A545" s="815"/>
      <c r="B545" s="782"/>
      <c r="C545" s="782"/>
      <c r="D545" s="782"/>
      <c r="E545" s="816"/>
      <c r="F545" s="816"/>
      <c r="G545" s="816"/>
      <c r="H545" s="817"/>
      <c r="I545" s="817"/>
      <c r="J545" s="817"/>
      <c r="K545" s="818"/>
      <c r="L545" s="772"/>
      <c r="M545" s="772"/>
      <c r="N545" s="772"/>
      <c r="O545" s="772"/>
      <c r="P545" s="772"/>
      <c r="Q545" s="772"/>
      <c r="R545" s="772"/>
      <c r="S545" s="772"/>
      <c r="T545" s="772"/>
      <c r="U545" s="772"/>
      <c r="V545" s="772"/>
      <c r="W545" s="772"/>
      <c r="X545" s="772"/>
      <c r="Y545" s="772"/>
      <c r="Z545" s="772"/>
      <c r="AA545" s="772"/>
      <c r="AB545" s="772"/>
      <c r="AC545" s="772"/>
      <c r="AD545" s="772"/>
      <c r="AE545" s="772"/>
      <c r="AF545" s="772"/>
      <c r="AG545" s="772"/>
      <c r="AH545" s="772"/>
      <c r="AI545" s="772"/>
    </row>
    <row r="546" ht="15.75" customHeight="1">
      <c r="A546" s="815"/>
      <c r="B546" s="782"/>
      <c r="C546" s="782"/>
      <c r="D546" s="782"/>
      <c r="E546" s="816"/>
      <c r="F546" s="816"/>
      <c r="G546" s="816"/>
      <c r="H546" s="817"/>
      <c r="I546" s="817"/>
      <c r="J546" s="817"/>
      <c r="K546" s="818"/>
      <c r="L546" s="772"/>
      <c r="M546" s="772"/>
      <c r="N546" s="772"/>
      <c r="O546" s="772"/>
      <c r="P546" s="772"/>
      <c r="Q546" s="772"/>
      <c r="R546" s="772"/>
      <c r="S546" s="772"/>
      <c r="T546" s="772"/>
      <c r="U546" s="772"/>
      <c r="V546" s="772"/>
      <c r="W546" s="772"/>
      <c r="X546" s="772"/>
      <c r="Y546" s="772"/>
      <c r="Z546" s="772"/>
      <c r="AA546" s="772"/>
      <c r="AB546" s="772"/>
      <c r="AC546" s="772"/>
      <c r="AD546" s="772"/>
      <c r="AE546" s="772"/>
      <c r="AF546" s="772"/>
      <c r="AG546" s="772"/>
      <c r="AH546" s="772"/>
      <c r="AI546" s="772"/>
    </row>
    <row r="547" ht="15.75" customHeight="1">
      <c r="A547" s="815"/>
      <c r="B547" s="782"/>
      <c r="C547" s="782"/>
      <c r="D547" s="782"/>
      <c r="E547" s="816"/>
      <c r="F547" s="816"/>
      <c r="G547" s="816"/>
      <c r="H547" s="817"/>
      <c r="I547" s="817"/>
      <c r="J547" s="817"/>
      <c r="K547" s="818"/>
      <c r="L547" s="772"/>
      <c r="M547" s="772"/>
      <c r="N547" s="772"/>
      <c r="O547" s="772"/>
      <c r="P547" s="772"/>
      <c r="Q547" s="772"/>
      <c r="R547" s="772"/>
      <c r="S547" s="772"/>
      <c r="T547" s="772"/>
      <c r="U547" s="772"/>
      <c r="V547" s="772"/>
      <c r="W547" s="772"/>
      <c r="X547" s="772"/>
      <c r="Y547" s="772"/>
      <c r="Z547" s="772"/>
      <c r="AA547" s="772"/>
      <c r="AB547" s="772"/>
      <c r="AC547" s="772"/>
      <c r="AD547" s="772"/>
      <c r="AE547" s="772"/>
      <c r="AF547" s="772"/>
      <c r="AG547" s="772"/>
      <c r="AH547" s="772"/>
      <c r="AI547" s="772"/>
    </row>
    <row r="548" ht="15.75" customHeight="1">
      <c r="A548" s="815"/>
      <c r="B548" s="782"/>
      <c r="C548" s="782"/>
      <c r="D548" s="782"/>
      <c r="E548" s="816"/>
      <c r="F548" s="816"/>
      <c r="G548" s="816"/>
      <c r="H548" s="817"/>
      <c r="I548" s="817"/>
      <c r="J548" s="817"/>
      <c r="K548" s="818"/>
      <c r="L548" s="772"/>
      <c r="M548" s="772"/>
      <c r="N548" s="772"/>
      <c r="O548" s="772"/>
      <c r="P548" s="772"/>
      <c r="Q548" s="772"/>
      <c r="R548" s="772"/>
      <c r="S548" s="772"/>
      <c r="T548" s="772"/>
      <c r="U548" s="772"/>
      <c r="V548" s="772"/>
      <c r="W548" s="772"/>
      <c r="X548" s="772"/>
      <c r="Y548" s="772"/>
      <c r="Z548" s="772"/>
      <c r="AA548" s="772"/>
      <c r="AB548" s="772"/>
      <c r="AC548" s="772"/>
      <c r="AD548" s="772"/>
      <c r="AE548" s="772"/>
      <c r="AF548" s="772"/>
      <c r="AG548" s="772"/>
      <c r="AH548" s="772"/>
      <c r="AI548" s="772"/>
    </row>
    <row r="549" ht="15.75" customHeight="1">
      <c r="A549" s="815"/>
      <c r="B549" s="782"/>
      <c r="C549" s="782"/>
      <c r="D549" s="782"/>
      <c r="E549" s="816"/>
      <c r="F549" s="816"/>
      <c r="G549" s="816"/>
      <c r="H549" s="817"/>
      <c r="I549" s="817"/>
      <c r="J549" s="817"/>
      <c r="K549" s="818"/>
      <c r="L549" s="772"/>
      <c r="M549" s="772"/>
      <c r="N549" s="772"/>
      <c r="O549" s="772"/>
      <c r="P549" s="772"/>
      <c r="Q549" s="772"/>
      <c r="R549" s="772"/>
      <c r="S549" s="772"/>
      <c r="T549" s="772"/>
      <c r="U549" s="772"/>
      <c r="V549" s="772"/>
      <c r="W549" s="772"/>
      <c r="X549" s="772"/>
      <c r="Y549" s="772"/>
      <c r="Z549" s="772"/>
      <c r="AA549" s="772"/>
      <c r="AB549" s="772"/>
      <c r="AC549" s="772"/>
      <c r="AD549" s="772"/>
      <c r="AE549" s="772"/>
      <c r="AF549" s="772"/>
      <c r="AG549" s="772"/>
      <c r="AH549" s="772"/>
      <c r="AI549" s="772"/>
    </row>
    <row r="550" ht="15.75" customHeight="1">
      <c r="A550" s="815"/>
      <c r="B550" s="782"/>
      <c r="C550" s="782"/>
      <c r="D550" s="782"/>
      <c r="E550" s="816"/>
      <c r="F550" s="816"/>
      <c r="G550" s="816"/>
      <c r="H550" s="817"/>
      <c r="I550" s="817"/>
      <c r="J550" s="817"/>
      <c r="K550" s="818"/>
      <c r="L550" s="772"/>
      <c r="M550" s="772"/>
      <c r="N550" s="772"/>
      <c r="O550" s="772"/>
      <c r="P550" s="772"/>
      <c r="Q550" s="772"/>
      <c r="R550" s="772"/>
      <c r="S550" s="772"/>
      <c r="T550" s="772"/>
      <c r="U550" s="772"/>
      <c r="V550" s="772"/>
      <c r="W550" s="772"/>
      <c r="X550" s="772"/>
      <c r="Y550" s="772"/>
      <c r="Z550" s="772"/>
      <c r="AA550" s="772"/>
      <c r="AB550" s="772"/>
      <c r="AC550" s="772"/>
      <c r="AD550" s="772"/>
      <c r="AE550" s="772"/>
      <c r="AF550" s="772"/>
      <c r="AG550" s="772"/>
      <c r="AH550" s="772"/>
      <c r="AI550" s="772"/>
    </row>
    <row r="551" ht="15.75" customHeight="1">
      <c r="A551" s="815"/>
      <c r="B551" s="782"/>
      <c r="C551" s="782"/>
      <c r="D551" s="782"/>
      <c r="E551" s="816"/>
      <c r="F551" s="816"/>
      <c r="G551" s="816"/>
      <c r="H551" s="817"/>
      <c r="I551" s="817"/>
      <c r="J551" s="817"/>
      <c r="K551" s="818"/>
      <c r="L551" s="772"/>
      <c r="M551" s="772"/>
      <c r="N551" s="772"/>
      <c r="O551" s="772"/>
      <c r="P551" s="772"/>
      <c r="Q551" s="772"/>
      <c r="R551" s="772"/>
      <c r="S551" s="772"/>
      <c r="T551" s="772"/>
      <c r="U551" s="772"/>
      <c r="V551" s="772"/>
      <c r="W551" s="772"/>
      <c r="X551" s="772"/>
      <c r="Y551" s="772"/>
      <c r="Z551" s="772"/>
      <c r="AA551" s="772"/>
      <c r="AB551" s="772"/>
      <c r="AC551" s="772"/>
      <c r="AD551" s="772"/>
      <c r="AE551" s="772"/>
      <c r="AF551" s="772"/>
      <c r="AG551" s="772"/>
      <c r="AH551" s="772"/>
      <c r="AI551" s="772"/>
    </row>
    <row r="552" ht="15.75" customHeight="1">
      <c r="A552" s="815"/>
      <c r="B552" s="782"/>
      <c r="C552" s="782"/>
      <c r="D552" s="782"/>
      <c r="E552" s="816"/>
      <c r="F552" s="816"/>
      <c r="G552" s="816"/>
      <c r="H552" s="817"/>
      <c r="I552" s="817"/>
      <c r="J552" s="817"/>
      <c r="K552" s="818"/>
      <c r="L552" s="772"/>
      <c r="M552" s="772"/>
      <c r="N552" s="772"/>
      <c r="O552" s="772"/>
      <c r="P552" s="772"/>
      <c r="Q552" s="772"/>
      <c r="R552" s="772"/>
      <c r="S552" s="772"/>
      <c r="T552" s="772"/>
      <c r="U552" s="772"/>
      <c r="V552" s="772"/>
      <c r="W552" s="772"/>
      <c r="X552" s="772"/>
      <c r="Y552" s="772"/>
      <c r="Z552" s="772"/>
      <c r="AA552" s="772"/>
      <c r="AB552" s="772"/>
      <c r="AC552" s="772"/>
      <c r="AD552" s="772"/>
      <c r="AE552" s="772"/>
      <c r="AF552" s="772"/>
      <c r="AG552" s="772"/>
      <c r="AH552" s="772"/>
      <c r="AI552" s="772"/>
    </row>
    <row r="553" ht="15.75" customHeight="1">
      <c r="A553" s="815"/>
      <c r="B553" s="782"/>
      <c r="C553" s="782"/>
      <c r="D553" s="782"/>
      <c r="E553" s="816"/>
      <c r="F553" s="816"/>
      <c r="G553" s="816"/>
      <c r="H553" s="817"/>
      <c r="I553" s="817"/>
      <c r="J553" s="817"/>
      <c r="K553" s="818"/>
      <c r="L553" s="772"/>
      <c r="M553" s="772"/>
      <c r="N553" s="772"/>
      <c r="O553" s="772"/>
      <c r="P553" s="772"/>
      <c r="Q553" s="772"/>
      <c r="R553" s="772"/>
      <c r="S553" s="772"/>
      <c r="T553" s="772"/>
      <c r="U553" s="772"/>
      <c r="V553" s="772"/>
      <c r="W553" s="772"/>
      <c r="X553" s="772"/>
      <c r="Y553" s="772"/>
      <c r="Z553" s="772"/>
      <c r="AA553" s="772"/>
      <c r="AB553" s="772"/>
      <c r="AC553" s="772"/>
      <c r="AD553" s="772"/>
      <c r="AE553" s="772"/>
      <c r="AF553" s="772"/>
      <c r="AG553" s="772"/>
      <c r="AH553" s="772"/>
      <c r="AI553" s="772"/>
    </row>
    <row r="554" ht="15.75" customHeight="1">
      <c r="A554" s="815"/>
      <c r="B554" s="782"/>
      <c r="C554" s="782"/>
      <c r="D554" s="782"/>
      <c r="E554" s="816"/>
      <c r="F554" s="816"/>
      <c r="G554" s="816"/>
      <c r="H554" s="817"/>
      <c r="I554" s="817"/>
      <c r="J554" s="817"/>
      <c r="K554" s="818"/>
      <c r="L554" s="772"/>
      <c r="M554" s="772"/>
      <c r="N554" s="772"/>
      <c r="O554" s="772"/>
      <c r="P554" s="772"/>
      <c r="Q554" s="772"/>
      <c r="R554" s="772"/>
      <c r="S554" s="772"/>
      <c r="T554" s="772"/>
      <c r="U554" s="772"/>
      <c r="V554" s="772"/>
      <c r="W554" s="772"/>
      <c r="X554" s="772"/>
      <c r="Y554" s="772"/>
      <c r="Z554" s="772"/>
      <c r="AA554" s="772"/>
      <c r="AB554" s="772"/>
      <c r="AC554" s="772"/>
      <c r="AD554" s="772"/>
      <c r="AE554" s="772"/>
      <c r="AF554" s="772"/>
      <c r="AG554" s="772"/>
      <c r="AH554" s="772"/>
      <c r="AI554" s="772"/>
    </row>
    <row r="555" ht="15.75" customHeight="1">
      <c r="A555" s="815"/>
      <c r="B555" s="782"/>
      <c r="C555" s="782"/>
      <c r="D555" s="782"/>
      <c r="E555" s="816"/>
      <c r="F555" s="816"/>
      <c r="G555" s="816"/>
      <c r="H555" s="817"/>
      <c r="I555" s="817"/>
      <c r="J555" s="817"/>
      <c r="K555" s="818"/>
      <c r="L555" s="772"/>
      <c r="M555" s="772"/>
      <c r="N555" s="772"/>
      <c r="O555" s="772"/>
      <c r="P555" s="772"/>
      <c r="Q555" s="772"/>
      <c r="R555" s="772"/>
      <c r="S555" s="772"/>
      <c r="T555" s="772"/>
      <c r="U555" s="772"/>
      <c r="V555" s="772"/>
      <c r="W555" s="772"/>
      <c r="X555" s="772"/>
      <c r="Y555" s="772"/>
      <c r="Z555" s="772"/>
      <c r="AA555" s="772"/>
      <c r="AB555" s="772"/>
      <c r="AC555" s="772"/>
      <c r="AD555" s="772"/>
      <c r="AE555" s="772"/>
      <c r="AF555" s="772"/>
      <c r="AG555" s="772"/>
      <c r="AH555" s="772"/>
      <c r="AI555" s="772"/>
    </row>
    <row r="556" ht="15.75" customHeight="1">
      <c r="A556" s="815"/>
      <c r="B556" s="782"/>
      <c r="C556" s="782"/>
      <c r="D556" s="782"/>
      <c r="E556" s="816"/>
      <c r="F556" s="816"/>
      <c r="G556" s="816"/>
      <c r="H556" s="817"/>
      <c r="I556" s="817"/>
      <c r="J556" s="817"/>
      <c r="K556" s="818"/>
      <c r="L556" s="772"/>
      <c r="M556" s="772"/>
      <c r="N556" s="772"/>
      <c r="O556" s="772"/>
      <c r="P556" s="772"/>
      <c r="Q556" s="772"/>
      <c r="R556" s="772"/>
      <c r="S556" s="772"/>
      <c r="T556" s="772"/>
      <c r="U556" s="772"/>
      <c r="V556" s="772"/>
      <c r="W556" s="772"/>
      <c r="X556" s="772"/>
      <c r="Y556" s="772"/>
      <c r="Z556" s="772"/>
      <c r="AA556" s="772"/>
      <c r="AB556" s="772"/>
      <c r="AC556" s="772"/>
      <c r="AD556" s="772"/>
      <c r="AE556" s="772"/>
      <c r="AF556" s="772"/>
      <c r="AG556" s="772"/>
      <c r="AH556" s="772"/>
      <c r="AI556" s="772"/>
    </row>
    <row r="557" ht="15.75" customHeight="1">
      <c r="A557" s="815"/>
      <c r="B557" s="782"/>
      <c r="C557" s="782"/>
      <c r="D557" s="782"/>
      <c r="E557" s="816"/>
      <c r="F557" s="816"/>
      <c r="G557" s="816"/>
      <c r="H557" s="817"/>
      <c r="I557" s="817"/>
      <c r="J557" s="817"/>
      <c r="K557" s="818"/>
      <c r="L557" s="772"/>
      <c r="M557" s="772"/>
      <c r="N557" s="772"/>
      <c r="O557" s="772"/>
      <c r="P557" s="772"/>
      <c r="Q557" s="772"/>
      <c r="R557" s="772"/>
      <c r="S557" s="772"/>
      <c r="T557" s="772"/>
      <c r="U557" s="772"/>
      <c r="V557" s="772"/>
      <c r="W557" s="772"/>
      <c r="X557" s="772"/>
      <c r="Y557" s="772"/>
      <c r="Z557" s="772"/>
      <c r="AA557" s="772"/>
      <c r="AB557" s="772"/>
      <c r="AC557" s="772"/>
      <c r="AD557" s="772"/>
      <c r="AE557" s="772"/>
      <c r="AF557" s="772"/>
      <c r="AG557" s="772"/>
      <c r="AH557" s="772"/>
      <c r="AI557" s="772"/>
    </row>
    <row r="558" ht="15.75" customHeight="1">
      <c r="A558" s="815"/>
      <c r="B558" s="782"/>
      <c r="C558" s="782"/>
      <c r="D558" s="782"/>
      <c r="E558" s="816"/>
      <c r="F558" s="816"/>
      <c r="G558" s="816"/>
      <c r="H558" s="817"/>
      <c r="I558" s="817"/>
      <c r="J558" s="817"/>
      <c r="K558" s="818"/>
      <c r="L558" s="772"/>
      <c r="M558" s="772"/>
      <c r="N558" s="772"/>
      <c r="O558" s="772"/>
      <c r="P558" s="772"/>
      <c r="Q558" s="772"/>
      <c r="R558" s="772"/>
      <c r="S558" s="772"/>
      <c r="T558" s="772"/>
      <c r="U558" s="772"/>
      <c r="V558" s="772"/>
      <c r="W558" s="772"/>
      <c r="X558" s="772"/>
      <c r="Y558" s="772"/>
      <c r="Z558" s="772"/>
      <c r="AA558" s="772"/>
      <c r="AB558" s="772"/>
      <c r="AC558" s="772"/>
      <c r="AD558" s="772"/>
      <c r="AE558" s="772"/>
      <c r="AF558" s="772"/>
      <c r="AG558" s="772"/>
      <c r="AH558" s="772"/>
      <c r="AI558" s="772"/>
    </row>
    <row r="559" ht="15.75" customHeight="1">
      <c r="A559" s="815"/>
      <c r="B559" s="782"/>
      <c r="C559" s="782"/>
      <c r="D559" s="782"/>
      <c r="E559" s="816"/>
      <c r="F559" s="816"/>
      <c r="G559" s="816"/>
      <c r="H559" s="817"/>
      <c r="I559" s="817"/>
      <c r="J559" s="817"/>
      <c r="K559" s="818"/>
      <c r="L559" s="772"/>
      <c r="M559" s="772"/>
      <c r="N559" s="772"/>
      <c r="O559" s="772"/>
      <c r="P559" s="772"/>
      <c r="Q559" s="772"/>
      <c r="R559" s="772"/>
      <c r="S559" s="772"/>
      <c r="T559" s="772"/>
      <c r="U559" s="772"/>
      <c r="V559" s="772"/>
      <c r="W559" s="772"/>
      <c r="X559" s="772"/>
      <c r="Y559" s="772"/>
      <c r="Z559" s="772"/>
      <c r="AA559" s="772"/>
      <c r="AB559" s="772"/>
      <c r="AC559" s="772"/>
      <c r="AD559" s="772"/>
      <c r="AE559" s="772"/>
      <c r="AF559" s="772"/>
      <c r="AG559" s="772"/>
      <c r="AH559" s="772"/>
      <c r="AI559" s="772"/>
    </row>
    <row r="560" ht="15.75" customHeight="1">
      <c r="A560" s="815"/>
      <c r="B560" s="782"/>
      <c r="C560" s="782"/>
      <c r="D560" s="782"/>
      <c r="E560" s="816"/>
      <c r="F560" s="816"/>
      <c r="G560" s="816"/>
      <c r="H560" s="817"/>
      <c r="I560" s="817"/>
      <c r="J560" s="817"/>
      <c r="K560" s="818"/>
      <c r="L560" s="772"/>
      <c r="M560" s="772"/>
      <c r="N560" s="772"/>
      <c r="O560" s="772"/>
      <c r="P560" s="772"/>
      <c r="Q560" s="772"/>
      <c r="R560" s="772"/>
      <c r="S560" s="772"/>
      <c r="T560" s="772"/>
      <c r="U560" s="772"/>
      <c r="V560" s="772"/>
      <c r="W560" s="772"/>
      <c r="X560" s="772"/>
      <c r="Y560" s="772"/>
      <c r="Z560" s="772"/>
      <c r="AA560" s="772"/>
      <c r="AB560" s="772"/>
      <c r="AC560" s="772"/>
      <c r="AD560" s="772"/>
      <c r="AE560" s="772"/>
      <c r="AF560" s="772"/>
      <c r="AG560" s="772"/>
      <c r="AH560" s="772"/>
      <c r="AI560" s="772"/>
    </row>
    <row r="561" ht="15.75" customHeight="1">
      <c r="A561" s="815"/>
      <c r="B561" s="782"/>
      <c r="C561" s="782"/>
      <c r="D561" s="782"/>
      <c r="E561" s="816"/>
      <c r="F561" s="816"/>
      <c r="G561" s="816"/>
      <c r="H561" s="817"/>
      <c r="I561" s="817"/>
      <c r="J561" s="817"/>
      <c r="K561" s="818"/>
      <c r="L561" s="772"/>
      <c r="M561" s="772"/>
      <c r="N561" s="772"/>
      <c r="O561" s="772"/>
      <c r="P561" s="772"/>
      <c r="Q561" s="772"/>
      <c r="R561" s="772"/>
      <c r="S561" s="772"/>
      <c r="T561" s="772"/>
      <c r="U561" s="772"/>
      <c r="V561" s="772"/>
      <c r="W561" s="772"/>
      <c r="X561" s="772"/>
      <c r="Y561" s="772"/>
      <c r="Z561" s="772"/>
      <c r="AA561" s="772"/>
      <c r="AB561" s="772"/>
      <c r="AC561" s="772"/>
      <c r="AD561" s="772"/>
      <c r="AE561" s="772"/>
      <c r="AF561" s="772"/>
      <c r="AG561" s="772"/>
      <c r="AH561" s="772"/>
      <c r="AI561" s="772"/>
    </row>
    <row r="562" ht="15.75" customHeight="1">
      <c r="A562" s="815"/>
      <c r="B562" s="782"/>
      <c r="C562" s="782"/>
      <c r="D562" s="782"/>
      <c r="E562" s="816"/>
      <c r="F562" s="816"/>
      <c r="G562" s="816"/>
      <c r="H562" s="817"/>
      <c r="I562" s="817"/>
      <c r="J562" s="817"/>
      <c r="K562" s="818"/>
      <c r="L562" s="772"/>
      <c r="M562" s="772"/>
      <c r="N562" s="772"/>
      <c r="O562" s="772"/>
      <c r="P562" s="772"/>
      <c r="Q562" s="772"/>
      <c r="R562" s="772"/>
      <c r="S562" s="772"/>
      <c r="T562" s="772"/>
      <c r="U562" s="772"/>
      <c r="V562" s="772"/>
      <c r="W562" s="772"/>
      <c r="X562" s="772"/>
      <c r="Y562" s="772"/>
      <c r="Z562" s="772"/>
      <c r="AA562" s="772"/>
      <c r="AB562" s="772"/>
      <c r="AC562" s="772"/>
      <c r="AD562" s="772"/>
      <c r="AE562" s="772"/>
      <c r="AF562" s="772"/>
      <c r="AG562" s="772"/>
      <c r="AH562" s="772"/>
      <c r="AI562" s="772"/>
    </row>
    <row r="563" ht="15.75" customHeight="1">
      <c r="A563" s="815"/>
      <c r="B563" s="782"/>
      <c r="C563" s="782"/>
      <c r="D563" s="782"/>
      <c r="E563" s="816"/>
      <c r="F563" s="816"/>
      <c r="G563" s="816"/>
      <c r="H563" s="817"/>
      <c r="I563" s="817"/>
      <c r="J563" s="817"/>
      <c r="K563" s="818"/>
      <c r="L563" s="772"/>
      <c r="M563" s="772"/>
      <c r="N563" s="772"/>
      <c r="O563" s="772"/>
      <c r="P563" s="772"/>
      <c r="Q563" s="772"/>
      <c r="R563" s="772"/>
      <c r="S563" s="772"/>
      <c r="T563" s="772"/>
      <c r="U563" s="772"/>
      <c r="V563" s="772"/>
      <c r="W563" s="772"/>
      <c r="X563" s="772"/>
      <c r="Y563" s="772"/>
      <c r="Z563" s="772"/>
      <c r="AA563" s="772"/>
      <c r="AB563" s="772"/>
      <c r="AC563" s="772"/>
      <c r="AD563" s="772"/>
      <c r="AE563" s="772"/>
      <c r="AF563" s="772"/>
      <c r="AG563" s="772"/>
      <c r="AH563" s="772"/>
      <c r="AI563" s="772"/>
    </row>
    <row r="564" ht="15.75" customHeight="1">
      <c r="A564" s="815"/>
      <c r="B564" s="782"/>
      <c r="C564" s="782"/>
      <c r="D564" s="782"/>
      <c r="E564" s="816"/>
      <c r="F564" s="816"/>
      <c r="G564" s="816"/>
      <c r="H564" s="817"/>
      <c r="I564" s="817"/>
      <c r="J564" s="817"/>
      <c r="K564" s="818"/>
      <c r="L564" s="772"/>
      <c r="M564" s="772"/>
      <c r="N564" s="772"/>
      <c r="O564" s="772"/>
      <c r="P564" s="772"/>
      <c r="Q564" s="772"/>
      <c r="R564" s="772"/>
      <c r="S564" s="772"/>
      <c r="T564" s="772"/>
      <c r="U564" s="772"/>
      <c r="V564" s="772"/>
      <c r="W564" s="772"/>
      <c r="X564" s="772"/>
      <c r="Y564" s="772"/>
      <c r="Z564" s="772"/>
      <c r="AA564" s="772"/>
      <c r="AB564" s="772"/>
      <c r="AC564" s="772"/>
      <c r="AD564" s="772"/>
      <c r="AE564" s="772"/>
      <c r="AF564" s="772"/>
      <c r="AG564" s="772"/>
      <c r="AH564" s="772"/>
      <c r="AI564" s="772"/>
    </row>
    <row r="565" ht="15.75" customHeight="1">
      <c r="A565" s="815"/>
      <c r="B565" s="782"/>
      <c r="C565" s="782"/>
      <c r="D565" s="782"/>
      <c r="E565" s="816"/>
      <c r="F565" s="816"/>
      <c r="G565" s="816"/>
      <c r="H565" s="817"/>
      <c r="I565" s="817"/>
      <c r="J565" s="817"/>
      <c r="K565" s="818"/>
      <c r="L565" s="772"/>
      <c r="M565" s="772"/>
      <c r="N565" s="772"/>
      <c r="O565" s="772"/>
      <c r="P565" s="772"/>
      <c r="Q565" s="772"/>
      <c r="R565" s="772"/>
      <c r="S565" s="772"/>
      <c r="T565" s="772"/>
      <c r="U565" s="772"/>
      <c r="V565" s="772"/>
      <c r="W565" s="772"/>
      <c r="X565" s="772"/>
      <c r="Y565" s="772"/>
      <c r="Z565" s="772"/>
      <c r="AA565" s="772"/>
      <c r="AB565" s="772"/>
      <c r="AC565" s="772"/>
      <c r="AD565" s="772"/>
      <c r="AE565" s="772"/>
      <c r="AF565" s="772"/>
      <c r="AG565" s="772"/>
      <c r="AH565" s="772"/>
      <c r="AI565" s="772"/>
    </row>
    <row r="566" ht="15.75" customHeight="1">
      <c r="A566" s="815"/>
      <c r="B566" s="782"/>
      <c r="C566" s="782"/>
      <c r="D566" s="782"/>
      <c r="E566" s="816"/>
      <c r="F566" s="816"/>
      <c r="G566" s="816"/>
      <c r="H566" s="817"/>
      <c r="I566" s="817"/>
      <c r="J566" s="817"/>
      <c r="K566" s="818"/>
      <c r="L566" s="772"/>
      <c r="M566" s="772"/>
      <c r="N566" s="772"/>
      <c r="O566" s="772"/>
      <c r="P566" s="772"/>
      <c r="Q566" s="772"/>
      <c r="R566" s="772"/>
      <c r="S566" s="772"/>
      <c r="T566" s="772"/>
      <c r="U566" s="772"/>
      <c r="V566" s="772"/>
      <c r="W566" s="772"/>
      <c r="X566" s="772"/>
      <c r="Y566" s="772"/>
      <c r="Z566" s="772"/>
      <c r="AA566" s="772"/>
      <c r="AB566" s="772"/>
      <c r="AC566" s="772"/>
      <c r="AD566" s="772"/>
      <c r="AE566" s="772"/>
      <c r="AF566" s="772"/>
      <c r="AG566" s="772"/>
      <c r="AH566" s="772"/>
      <c r="AI566" s="772"/>
    </row>
    <row r="567" ht="15.75" customHeight="1">
      <c r="A567" s="815"/>
      <c r="B567" s="782"/>
      <c r="C567" s="782"/>
      <c r="D567" s="782"/>
      <c r="E567" s="816"/>
      <c r="F567" s="816"/>
      <c r="G567" s="816"/>
      <c r="H567" s="817"/>
      <c r="I567" s="817"/>
      <c r="J567" s="817"/>
      <c r="K567" s="818"/>
      <c r="L567" s="772"/>
      <c r="M567" s="772"/>
      <c r="N567" s="772"/>
      <c r="O567" s="772"/>
      <c r="P567" s="772"/>
      <c r="Q567" s="772"/>
      <c r="R567" s="772"/>
      <c r="S567" s="772"/>
      <c r="T567" s="772"/>
      <c r="U567" s="772"/>
      <c r="V567" s="772"/>
      <c r="W567" s="772"/>
      <c r="X567" s="772"/>
      <c r="Y567" s="772"/>
      <c r="Z567" s="772"/>
      <c r="AA567" s="772"/>
      <c r="AB567" s="772"/>
      <c r="AC567" s="772"/>
      <c r="AD567" s="772"/>
      <c r="AE567" s="772"/>
      <c r="AF567" s="772"/>
      <c r="AG567" s="772"/>
      <c r="AH567" s="772"/>
      <c r="AI567" s="772"/>
    </row>
    <row r="568" ht="15.75" customHeight="1">
      <c r="A568" s="815"/>
      <c r="B568" s="782"/>
      <c r="C568" s="782"/>
      <c r="D568" s="782"/>
      <c r="E568" s="816"/>
      <c r="F568" s="816"/>
      <c r="G568" s="816"/>
      <c r="H568" s="817"/>
      <c r="I568" s="817"/>
      <c r="J568" s="817"/>
      <c r="K568" s="818"/>
      <c r="L568" s="772"/>
      <c r="M568" s="772"/>
      <c r="N568" s="772"/>
      <c r="O568" s="772"/>
      <c r="P568" s="772"/>
      <c r="Q568" s="772"/>
      <c r="R568" s="772"/>
      <c r="S568" s="772"/>
      <c r="T568" s="772"/>
      <c r="U568" s="772"/>
      <c r="V568" s="772"/>
      <c r="W568" s="772"/>
      <c r="X568" s="772"/>
      <c r="Y568" s="772"/>
      <c r="Z568" s="772"/>
      <c r="AA568" s="772"/>
      <c r="AB568" s="772"/>
      <c r="AC568" s="772"/>
      <c r="AD568" s="772"/>
      <c r="AE568" s="772"/>
      <c r="AF568" s="772"/>
      <c r="AG568" s="772"/>
      <c r="AH568" s="772"/>
      <c r="AI568" s="772"/>
    </row>
    <row r="569" ht="15.75" customHeight="1">
      <c r="A569" s="815"/>
      <c r="B569" s="782"/>
      <c r="C569" s="782"/>
      <c r="D569" s="782"/>
      <c r="E569" s="816"/>
      <c r="F569" s="816"/>
      <c r="G569" s="816"/>
      <c r="H569" s="817"/>
      <c r="I569" s="817"/>
      <c r="J569" s="817"/>
      <c r="K569" s="818"/>
      <c r="L569" s="772"/>
      <c r="M569" s="772"/>
      <c r="N569" s="772"/>
      <c r="O569" s="772"/>
      <c r="P569" s="772"/>
      <c r="Q569" s="772"/>
      <c r="R569" s="772"/>
      <c r="S569" s="772"/>
      <c r="T569" s="772"/>
      <c r="U569" s="772"/>
      <c r="V569" s="772"/>
      <c r="W569" s="772"/>
      <c r="X569" s="772"/>
      <c r="Y569" s="772"/>
      <c r="Z569" s="772"/>
      <c r="AA569" s="772"/>
      <c r="AB569" s="772"/>
      <c r="AC569" s="772"/>
      <c r="AD569" s="772"/>
      <c r="AE569" s="772"/>
      <c r="AF569" s="772"/>
      <c r="AG569" s="772"/>
      <c r="AH569" s="772"/>
      <c r="AI569" s="772"/>
    </row>
    <row r="570" ht="15.75" customHeight="1">
      <c r="A570" s="815"/>
      <c r="B570" s="782"/>
      <c r="C570" s="782"/>
      <c r="D570" s="782"/>
      <c r="E570" s="816"/>
      <c r="F570" s="816"/>
      <c r="G570" s="816"/>
      <c r="H570" s="817"/>
      <c r="I570" s="817"/>
      <c r="J570" s="817"/>
      <c r="K570" s="818"/>
      <c r="L570" s="772"/>
      <c r="M570" s="772"/>
      <c r="N570" s="772"/>
      <c r="O570" s="772"/>
      <c r="P570" s="772"/>
      <c r="Q570" s="772"/>
      <c r="R570" s="772"/>
      <c r="S570" s="772"/>
      <c r="T570" s="772"/>
      <c r="U570" s="772"/>
      <c r="V570" s="772"/>
      <c r="W570" s="772"/>
      <c r="X570" s="772"/>
      <c r="Y570" s="772"/>
      <c r="Z570" s="772"/>
      <c r="AA570" s="772"/>
      <c r="AB570" s="772"/>
      <c r="AC570" s="772"/>
      <c r="AD570" s="772"/>
      <c r="AE570" s="772"/>
      <c r="AF570" s="772"/>
      <c r="AG570" s="772"/>
      <c r="AH570" s="772"/>
      <c r="AI570" s="772"/>
    </row>
    <row r="571" ht="15.75" customHeight="1">
      <c r="A571" s="815"/>
      <c r="B571" s="782"/>
      <c r="C571" s="782"/>
      <c r="D571" s="782"/>
      <c r="E571" s="816"/>
      <c r="F571" s="816"/>
      <c r="G571" s="816"/>
      <c r="H571" s="817"/>
      <c r="I571" s="817"/>
      <c r="J571" s="817"/>
      <c r="K571" s="818"/>
      <c r="L571" s="772"/>
      <c r="M571" s="772"/>
      <c r="N571" s="772"/>
      <c r="O571" s="772"/>
      <c r="P571" s="772"/>
      <c r="Q571" s="772"/>
      <c r="R571" s="772"/>
      <c r="S571" s="772"/>
      <c r="T571" s="772"/>
      <c r="U571" s="772"/>
      <c r="V571" s="772"/>
      <c r="W571" s="772"/>
      <c r="X571" s="772"/>
      <c r="Y571" s="772"/>
      <c r="Z571" s="772"/>
      <c r="AA571" s="772"/>
      <c r="AB571" s="772"/>
      <c r="AC571" s="772"/>
      <c r="AD571" s="772"/>
      <c r="AE571" s="772"/>
      <c r="AF571" s="772"/>
      <c r="AG571" s="772"/>
      <c r="AH571" s="772"/>
      <c r="AI571" s="772"/>
    </row>
    <row r="572" ht="15.75" customHeight="1">
      <c r="A572" s="815"/>
      <c r="B572" s="782"/>
      <c r="C572" s="782"/>
      <c r="D572" s="782"/>
      <c r="E572" s="816"/>
      <c r="F572" s="816"/>
      <c r="G572" s="816"/>
      <c r="H572" s="817"/>
      <c r="I572" s="817"/>
      <c r="J572" s="817"/>
      <c r="K572" s="818"/>
      <c r="L572" s="772"/>
      <c r="M572" s="772"/>
      <c r="N572" s="772"/>
      <c r="O572" s="772"/>
      <c r="P572" s="772"/>
      <c r="Q572" s="772"/>
      <c r="R572" s="772"/>
      <c r="S572" s="772"/>
      <c r="T572" s="772"/>
      <c r="U572" s="772"/>
      <c r="V572" s="772"/>
      <c r="W572" s="772"/>
      <c r="X572" s="772"/>
      <c r="Y572" s="772"/>
      <c r="Z572" s="772"/>
      <c r="AA572" s="772"/>
      <c r="AB572" s="772"/>
      <c r="AC572" s="772"/>
      <c r="AD572" s="772"/>
      <c r="AE572" s="772"/>
      <c r="AF572" s="772"/>
      <c r="AG572" s="772"/>
      <c r="AH572" s="772"/>
      <c r="AI572" s="772"/>
    </row>
    <row r="573" ht="15.75" customHeight="1">
      <c r="A573" s="815"/>
      <c r="B573" s="782"/>
      <c r="C573" s="782"/>
      <c r="D573" s="782"/>
      <c r="E573" s="816"/>
      <c r="F573" s="816"/>
      <c r="G573" s="816"/>
      <c r="H573" s="817"/>
      <c r="I573" s="817"/>
      <c r="J573" s="817"/>
      <c r="K573" s="818"/>
      <c r="L573" s="772"/>
      <c r="M573" s="772"/>
      <c r="N573" s="772"/>
      <c r="O573" s="772"/>
      <c r="P573" s="772"/>
      <c r="Q573" s="772"/>
      <c r="R573" s="772"/>
      <c r="S573" s="772"/>
      <c r="T573" s="772"/>
      <c r="U573" s="772"/>
      <c r="V573" s="772"/>
      <c r="W573" s="772"/>
      <c r="X573" s="772"/>
      <c r="Y573" s="772"/>
      <c r="Z573" s="772"/>
      <c r="AA573" s="772"/>
      <c r="AB573" s="772"/>
      <c r="AC573" s="772"/>
      <c r="AD573" s="772"/>
      <c r="AE573" s="772"/>
      <c r="AF573" s="772"/>
      <c r="AG573" s="772"/>
      <c r="AH573" s="772"/>
      <c r="AI573" s="772"/>
    </row>
    <row r="574" ht="15.75" customHeight="1">
      <c r="A574" s="815"/>
      <c r="B574" s="782"/>
      <c r="C574" s="782"/>
      <c r="D574" s="782"/>
      <c r="E574" s="816"/>
      <c r="F574" s="816"/>
      <c r="G574" s="816"/>
      <c r="H574" s="817"/>
      <c r="I574" s="817"/>
      <c r="J574" s="817"/>
      <c r="K574" s="818"/>
      <c r="L574" s="772"/>
      <c r="M574" s="772"/>
      <c r="N574" s="772"/>
      <c r="O574" s="772"/>
      <c r="P574" s="772"/>
      <c r="Q574" s="772"/>
      <c r="R574" s="772"/>
      <c r="S574" s="772"/>
      <c r="T574" s="772"/>
      <c r="U574" s="772"/>
      <c r="V574" s="772"/>
      <c r="W574" s="772"/>
      <c r="X574" s="772"/>
      <c r="Y574" s="772"/>
      <c r="Z574" s="772"/>
      <c r="AA574" s="772"/>
      <c r="AB574" s="772"/>
      <c r="AC574" s="772"/>
      <c r="AD574" s="772"/>
      <c r="AE574" s="772"/>
      <c r="AF574" s="772"/>
      <c r="AG574" s="772"/>
      <c r="AH574" s="772"/>
      <c r="AI574" s="772"/>
    </row>
    <row r="575" ht="15.75" customHeight="1">
      <c r="A575" s="815"/>
      <c r="B575" s="782"/>
      <c r="C575" s="782"/>
      <c r="D575" s="782"/>
      <c r="E575" s="816"/>
      <c r="F575" s="816"/>
      <c r="G575" s="816"/>
      <c r="H575" s="817"/>
      <c r="I575" s="817"/>
      <c r="J575" s="817"/>
      <c r="K575" s="818"/>
      <c r="L575" s="772"/>
      <c r="M575" s="772"/>
      <c r="N575" s="772"/>
      <c r="O575" s="772"/>
      <c r="P575" s="772"/>
      <c r="Q575" s="772"/>
      <c r="R575" s="772"/>
      <c r="S575" s="772"/>
      <c r="T575" s="772"/>
      <c r="U575" s="772"/>
      <c r="V575" s="772"/>
      <c r="W575" s="772"/>
      <c r="X575" s="772"/>
      <c r="Y575" s="772"/>
      <c r="Z575" s="772"/>
      <c r="AA575" s="772"/>
      <c r="AB575" s="772"/>
      <c r="AC575" s="772"/>
      <c r="AD575" s="772"/>
      <c r="AE575" s="772"/>
      <c r="AF575" s="772"/>
      <c r="AG575" s="772"/>
      <c r="AH575" s="772"/>
      <c r="AI575" s="772"/>
    </row>
    <row r="576" ht="15.75" customHeight="1">
      <c r="A576" s="815"/>
      <c r="B576" s="782"/>
      <c r="C576" s="782"/>
      <c r="D576" s="782"/>
      <c r="E576" s="816"/>
      <c r="F576" s="816"/>
      <c r="G576" s="816"/>
      <c r="H576" s="817"/>
      <c r="I576" s="817"/>
      <c r="J576" s="817"/>
      <c r="K576" s="818"/>
      <c r="L576" s="772"/>
      <c r="M576" s="772"/>
      <c r="N576" s="772"/>
      <c r="O576" s="772"/>
      <c r="P576" s="772"/>
      <c r="Q576" s="772"/>
      <c r="R576" s="772"/>
      <c r="S576" s="772"/>
      <c r="T576" s="772"/>
      <c r="U576" s="772"/>
      <c r="V576" s="772"/>
      <c r="W576" s="772"/>
      <c r="X576" s="772"/>
      <c r="Y576" s="772"/>
      <c r="Z576" s="772"/>
      <c r="AA576" s="772"/>
      <c r="AB576" s="772"/>
      <c r="AC576" s="772"/>
      <c r="AD576" s="772"/>
      <c r="AE576" s="772"/>
      <c r="AF576" s="772"/>
      <c r="AG576" s="772"/>
      <c r="AH576" s="772"/>
      <c r="AI576" s="772"/>
    </row>
    <row r="577" ht="15.75" customHeight="1">
      <c r="A577" s="815"/>
      <c r="B577" s="782"/>
      <c r="C577" s="782"/>
      <c r="D577" s="782"/>
      <c r="E577" s="816"/>
      <c r="F577" s="816"/>
      <c r="G577" s="816"/>
      <c r="H577" s="817"/>
      <c r="I577" s="817"/>
      <c r="J577" s="817"/>
      <c r="K577" s="818"/>
      <c r="L577" s="772"/>
      <c r="M577" s="772"/>
      <c r="N577" s="772"/>
      <c r="O577" s="772"/>
      <c r="P577" s="772"/>
      <c r="Q577" s="772"/>
      <c r="R577" s="772"/>
      <c r="S577" s="772"/>
      <c r="T577" s="772"/>
      <c r="U577" s="772"/>
      <c r="V577" s="772"/>
      <c r="W577" s="772"/>
      <c r="X577" s="772"/>
      <c r="Y577" s="772"/>
      <c r="Z577" s="772"/>
      <c r="AA577" s="772"/>
      <c r="AB577" s="772"/>
      <c r="AC577" s="772"/>
      <c r="AD577" s="772"/>
      <c r="AE577" s="772"/>
      <c r="AF577" s="772"/>
      <c r="AG577" s="772"/>
      <c r="AH577" s="772"/>
      <c r="AI577" s="772"/>
    </row>
    <row r="578" ht="15.75" customHeight="1">
      <c r="A578" s="815"/>
      <c r="B578" s="782"/>
      <c r="C578" s="782"/>
      <c r="D578" s="782"/>
      <c r="E578" s="816"/>
      <c r="F578" s="816"/>
      <c r="G578" s="816"/>
      <c r="H578" s="817"/>
      <c r="I578" s="817"/>
      <c r="J578" s="817"/>
      <c r="K578" s="818"/>
      <c r="L578" s="772"/>
      <c r="M578" s="772"/>
      <c r="N578" s="772"/>
      <c r="O578" s="772"/>
      <c r="P578" s="772"/>
      <c r="Q578" s="772"/>
      <c r="R578" s="772"/>
      <c r="S578" s="772"/>
      <c r="T578" s="772"/>
      <c r="U578" s="772"/>
      <c r="V578" s="772"/>
      <c r="W578" s="772"/>
      <c r="X578" s="772"/>
      <c r="Y578" s="772"/>
      <c r="Z578" s="772"/>
      <c r="AA578" s="772"/>
      <c r="AB578" s="772"/>
      <c r="AC578" s="772"/>
      <c r="AD578" s="772"/>
      <c r="AE578" s="772"/>
      <c r="AF578" s="772"/>
      <c r="AG578" s="772"/>
      <c r="AH578" s="772"/>
      <c r="AI578" s="772"/>
    </row>
    <row r="579" ht="15.75" customHeight="1">
      <c r="A579" s="815"/>
      <c r="B579" s="782"/>
      <c r="C579" s="782"/>
      <c r="D579" s="782"/>
      <c r="E579" s="816"/>
      <c r="F579" s="816"/>
      <c r="G579" s="816"/>
      <c r="H579" s="817"/>
      <c r="I579" s="817"/>
      <c r="J579" s="817"/>
      <c r="K579" s="818"/>
      <c r="L579" s="772"/>
      <c r="M579" s="772"/>
      <c r="N579" s="772"/>
      <c r="O579" s="772"/>
      <c r="P579" s="772"/>
      <c r="Q579" s="772"/>
      <c r="R579" s="772"/>
      <c r="S579" s="772"/>
      <c r="T579" s="772"/>
      <c r="U579" s="772"/>
      <c r="V579" s="772"/>
      <c r="W579" s="772"/>
      <c r="X579" s="772"/>
      <c r="Y579" s="772"/>
      <c r="Z579" s="772"/>
      <c r="AA579" s="772"/>
      <c r="AB579" s="772"/>
      <c r="AC579" s="772"/>
      <c r="AD579" s="772"/>
      <c r="AE579" s="772"/>
      <c r="AF579" s="772"/>
      <c r="AG579" s="772"/>
      <c r="AH579" s="772"/>
      <c r="AI579" s="772"/>
    </row>
    <row r="580" ht="15.75" customHeight="1">
      <c r="A580" s="815"/>
      <c r="B580" s="782"/>
      <c r="C580" s="782"/>
      <c r="D580" s="782"/>
      <c r="E580" s="816"/>
      <c r="F580" s="816"/>
      <c r="G580" s="816"/>
      <c r="H580" s="817"/>
      <c r="I580" s="817"/>
      <c r="J580" s="817"/>
      <c r="K580" s="818"/>
      <c r="L580" s="772"/>
      <c r="M580" s="772"/>
      <c r="N580" s="772"/>
      <c r="O580" s="772"/>
      <c r="P580" s="772"/>
      <c r="Q580" s="772"/>
      <c r="R580" s="772"/>
      <c r="S580" s="772"/>
      <c r="T580" s="772"/>
      <c r="U580" s="772"/>
      <c r="V580" s="772"/>
      <c r="W580" s="772"/>
      <c r="X580" s="772"/>
      <c r="Y580" s="772"/>
      <c r="Z580" s="772"/>
      <c r="AA580" s="772"/>
      <c r="AB580" s="772"/>
      <c r="AC580" s="772"/>
      <c r="AD580" s="772"/>
      <c r="AE580" s="772"/>
      <c r="AF580" s="772"/>
      <c r="AG580" s="772"/>
      <c r="AH580" s="772"/>
      <c r="AI580" s="772"/>
    </row>
    <row r="581" ht="15.75" customHeight="1">
      <c r="A581" s="815"/>
      <c r="B581" s="782"/>
      <c r="C581" s="782"/>
      <c r="D581" s="782"/>
      <c r="E581" s="816"/>
      <c r="F581" s="816"/>
      <c r="G581" s="816"/>
      <c r="H581" s="817"/>
      <c r="I581" s="817"/>
      <c r="J581" s="817"/>
      <c r="K581" s="818"/>
      <c r="L581" s="772"/>
      <c r="M581" s="772"/>
      <c r="N581" s="772"/>
      <c r="O581" s="772"/>
      <c r="P581" s="772"/>
      <c r="Q581" s="772"/>
      <c r="R581" s="772"/>
      <c r="S581" s="772"/>
      <c r="T581" s="772"/>
      <c r="U581" s="772"/>
      <c r="V581" s="772"/>
      <c r="W581" s="772"/>
      <c r="X581" s="772"/>
      <c r="Y581" s="772"/>
      <c r="Z581" s="772"/>
      <c r="AA581" s="772"/>
      <c r="AB581" s="772"/>
      <c r="AC581" s="772"/>
      <c r="AD581" s="772"/>
      <c r="AE581" s="772"/>
      <c r="AF581" s="772"/>
      <c r="AG581" s="772"/>
      <c r="AH581" s="772"/>
      <c r="AI581" s="772"/>
    </row>
    <row r="582" ht="15.75" customHeight="1">
      <c r="A582" s="815"/>
      <c r="B582" s="782"/>
      <c r="C582" s="782"/>
      <c r="D582" s="782"/>
      <c r="E582" s="816"/>
      <c r="F582" s="816"/>
      <c r="G582" s="816"/>
      <c r="H582" s="817"/>
      <c r="I582" s="817"/>
      <c r="J582" s="817"/>
      <c r="K582" s="818"/>
      <c r="L582" s="772"/>
      <c r="M582" s="772"/>
      <c r="N582" s="772"/>
      <c r="O582" s="772"/>
      <c r="P582" s="772"/>
      <c r="Q582" s="772"/>
      <c r="R582" s="772"/>
      <c r="S582" s="772"/>
      <c r="T582" s="772"/>
      <c r="U582" s="772"/>
      <c r="V582" s="772"/>
      <c r="W582" s="772"/>
      <c r="X582" s="772"/>
      <c r="Y582" s="772"/>
      <c r="Z582" s="772"/>
      <c r="AA582" s="772"/>
      <c r="AB582" s="772"/>
      <c r="AC582" s="772"/>
      <c r="AD582" s="772"/>
      <c r="AE582" s="772"/>
      <c r="AF582" s="772"/>
      <c r="AG582" s="772"/>
      <c r="AH582" s="772"/>
      <c r="AI582" s="772"/>
    </row>
    <row r="583" ht="15.75" customHeight="1">
      <c r="A583" s="815"/>
      <c r="B583" s="782"/>
      <c r="C583" s="782"/>
      <c r="D583" s="782"/>
      <c r="E583" s="816"/>
      <c r="F583" s="816"/>
      <c r="G583" s="816"/>
      <c r="H583" s="817"/>
      <c r="I583" s="817"/>
      <c r="J583" s="817"/>
      <c r="K583" s="818"/>
      <c r="L583" s="772"/>
      <c r="M583" s="772"/>
      <c r="N583" s="772"/>
      <c r="O583" s="772"/>
      <c r="P583" s="772"/>
      <c r="Q583" s="772"/>
      <c r="R583" s="772"/>
      <c r="S583" s="772"/>
      <c r="T583" s="772"/>
      <c r="U583" s="772"/>
      <c r="V583" s="772"/>
      <c r="W583" s="772"/>
      <c r="X583" s="772"/>
      <c r="Y583" s="772"/>
      <c r="Z583" s="772"/>
      <c r="AA583" s="772"/>
      <c r="AB583" s="772"/>
      <c r="AC583" s="772"/>
      <c r="AD583" s="772"/>
      <c r="AE583" s="772"/>
      <c r="AF583" s="772"/>
      <c r="AG583" s="772"/>
      <c r="AH583" s="772"/>
      <c r="AI583" s="772"/>
    </row>
    <row r="584" ht="15.75" customHeight="1">
      <c r="A584" s="815"/>
      <c r="B584" s="782"/>
      <c r="C584" s="782"/>
      <c r="D584" s="782"/>
      <c r="E584" s="816"/>
      <c r="F584" s="816"/>
      <c r="G584" s="816"/>
      <c r="H584" s="817"/>
      <c r="I584" s="817"/>
      <c r="J584" s="817"/>
      <c r="K584" s="818"/>
      <c r="L584" s="772"/>
      <c r="M584" s="772"/>
      <c r="N584" s="772"/>
      <c r="O584" s="772"/>
      <c r="P584" s="772"/>
      <c r="Q584" s="772"/>
      <c r="R584" s="772"/>
      <c r="S584" s="772"/>
      <c r="T584" s="772"/>
      <c r="U584" s="772"/>
      <c r="V584" s="772"/>
      <c r="W584" s="772"/>
      <c r="X584" s="772"/>
      <c r="Y584" s="772"/>
      <c r="Z584" s="772"/>
      <c r="AA584" s="772"/>
      <c r="AB584" s="772"/>
      <c r="AC584" s="772"/>
      <c r="AD584" s="772"/>
      <c r="AE584" s="772"/>
      <c r="AF584" s="772"/>
      <c r="AG584" s="772"/>
      <c r="AH584" s="772"/>
      <c r="AI584" s="772"/>
    </row>
    <row r="585" ht="15.75" customHeight="1">
      <c r="A585" s="815"/>
      <c r="B585" s="782"/>
      <c r="C585" s="782"/>
      <c r="D585" s="782"/>
      <c r="E585" s="816"/>
      <c r="F585" s="816"/>
      <c r="G585" s="816"/>
      <c r="H585" s="817"/>
      <c r="I585" s="817"/>
      <c r="J585" s="817"/>
      <c r="K585" s="818"/>
      <c r="L585" s="772"/>
      <c r="M585" s="772"/>
      <c r="N585" s="772"/>
      <c r="O585" s="772"/>
      <c r="P585" s="772"/>
      <c r="Q585" s="772"/>
      <c r="R585" s="772"/>
      <c r="S585" s="772"/>
      <c r="T585" s="772"/>
      <c r="U585" s="772"/>
      <c r="V585" s="772"/>
      <c r="W585" s="772"/>
      <c r="X585" s="772"/>
      <c r="Y585" s="772"/>
      <c r="Z585" s="772"/>
      <c r="AA585" s="772"/>
      <c r="AB585" s="772"/>
      <c r="AC585" s="772"/>
      <c r="AD585" s="772"/>
      <c r="AE585" s="772"/>
      <c r="AF585" s="772"/>
      <c r="AG585" s="772"/>
      <c r="AH585" s="772"/>
      <c r="AI585" s="772"/>
    </row>
    <row r="586" ht="15.75" customHeight="1">
      <c r="A586" s="815"/>
      <c r="B586" s="782"/>
      <c r="C586" s="782"/>
      <c r="D586" s="782"/>
      <c r="E586" s="816"/>
      <c r="F586" s="816"/>
      <c r="G586" s="816"/>
      <c r="H586" s="817"/>
      <c r="I586" s="817"/>
      <c r="J586" s="817"/>
      <c r="K586" s="818"/>
      <c r="L586" s="772"/>
      <c r="M586" s="772"/>
      <c r="N586" s="772"/>
      <c r="O586" s="772"/>
      <c r="P586" s="772"/>
      <c r="Q586" s="772"/>
      <c r="R586" s="772"/>
      <c r="S586" s="772"/>
      <c r="T586" s="772"/>
      <c r="U586" s="772"/>
      <c r="V586" s="772"/>
      <c r="W586" s="772"/>
      <c r="X586" s="772"/>
      <c r="Y586" s="772"/>
      <c r="Z586" s="772"/>
      <c r="AA586" s="772"/>
      <c r="AB586" s="772"/>
      <c r="AC586" s="772"/>
      <c r="AD586" s="772"/>
      <c r="AE586" s="772"/>
      <c r="AF586" s="772"/>
      <c r="AG586" s="772"/>
      <c r="AH586" s="772"/>
      <c r="AI586" s="772"/>
    </row>
    <row r="587" ht="15.75" customHeight="1">
      <c r="A587" s="815"/>
      <c r="B587" s="782"/>
      <c r="C587" s="782"/>
      <c r="D587" s="782"/>
      <c r="E587" s="816"/>
      <c r="F587" s="816"/>
      <c r="G587" s="816"/>
      <c r="H587" s="817"/>
      <c r="I587" s="817"/>
      <c r="J587" s="817"/>
      <c r="K587" s="818"/>
      <c r="L587" s="772"/>
      <c r="M587" s="772"/>
      <c r="N587" s="772"/>
      <c r="O587" s="772"/>
      <c r="P587" s="772"/>
      <c r="Q587" s="772"/>
      <c r="R587" s="772"/>
      <c r="S587" s="772"/>
      <c r="T587" s="772"/>
      <c r="U587" s="772"/>
      <c r="V587" s="772"/>
      <c r="W587" s="772"/>
      <c r="X587" s="772"/>
      <c r="Y587" s="772"/>
      <c r="Z587" s="772"/>
      <c r="AA587" s="772"/>
      <c r="AB587" s="772"/>
      <c r="AC587" s="772"/>
      <c r="AD587" s="772"/>
      <c r="AE587" s="772"/>
      <c r="AF587" s="772"/>
      <c r="AG587" s="772"/>
      <c r="AH587" s="772"/>
      <c r="AI587" s="772"/>
    </row>
    <row r="588" ht="15.75" customHeight="1">
      <c r="A588" s="815"/>
      <c r="B588" s="782"/>
      <c r="C588" s="782"/>
      <c r="D588" s="782"/>
      <c r="E588" s="816"/>
      <c r="F588" s="816"/>
      <c r="G588" s="816"/>
      <c r="H588" s="817"/>
      <c r="I588" s="817"/>
      <c r="J588" s="817"/>
      <c r="K588" s="818"/>
      <c r="L588" s="772"/>
      <c r="M588" s="772"/>
      <c r="N588" s="772"/>
      <c r="O588" s="772"/>
      <c r="P588" s="772"/>
      <c r="Q588" s="772"/>
      <c r="R588" s="772"/>
      <c r="S588" s="772"/>
      <c r="T588" s="772"/>
      <c r="U588" s="772"/>
      <c r="V588" s="772"/>
      <c r="W588" s="772"/>
      <c r="X588" s="772"/>
      <c r="Y588" s="772"/>
      <c r="Z588" s="772"/>
      <c r="AA588" s="772"/>
      <c r="AB588" s="772"/>
      <c r="AC588" s="772"/>
      <c r="AD588" s="772"/>
      <c r="AE588" s="772"/>
      <c r="AF588" s="772"/>
      <c r="AG588" s="772"/>
      <c r="AH588" s="772"/>
      <c r="AI588" s="772"/>
    </row>
    <row r="589" ht="15.75" customHeight="1">
      <c r="A589" s="815"/>
      <c r="B589" s="782"/>
      <c r="C589" s="782"/>
      <c r="D589" s="782"/>
      <c r="E589" s="816"/>
      <c r="F589" s="816"/>
      <c r="G589" s="816"/>
      <c r="H589" s="817"/>
      <c r="I589" s="817"/>
      <c r="J589" s="817"/>
      <c r="K589" s="818"/>
      <c r="L589" s="772"/>
      <c r="M589" s="772"/>
      <c r="N589" s="772"/>
      <c r="O589" s="772"/>
      <c r="P589" s="772"/>
      <c r="Q589" s="772"/>
      <c r="R589" s="772"/>
      <c r="S589" s="772"/>
      <c r="T589" s="772"/>
      <c r="U589" s="772"/>
      <c r="V589" s="772"/>
      <c r="W589" s="772"/>
      <c r="X589" s="772"/>
      <c r="Y589" s="772"/>
      <c r="Z589" s="772"/>
      <c r="AA589" s="772"/>
      <c r="AB589" s="772"/>
      <c r="AC589" s="772"/>
      <c r="AD589" s="772"/>
      <c r="AE589" s="772"/>
      <c r="AF589" s="772"/>
      <c r="AG589" s="772"/>
      <c r="AH589" s="772"/>
      <c r="AI589" s="772"/>
    </row>
    <row r="590" ht="15.75" customHeight="1">
      <c r="A590" s="815"/>
      <c r="B590" s="782"/>
      <c r="C590" s="782"/>
      <c r="D590" s="782"/>
      <c r="E590" s="816"/>
      <c r="F590" s="816"/>
      <c r="G590" s="816"/>
      <c r="H590" s="817"/>
      <c r="I590" s="817"/>
      <c r="J590" s="817"/>
      <c r="K590" s="818"/>
      <c r="L590" s="772"/>
      <c r="M590" s="772"/>
      <c r="N590" s="772"/>
      <c r="O590" s="772"/>
      <c r="P590" s="772"/>
      <c r="Q590" s="772"/>
      <c r="R590" s="772"/>
      <c r="S590" s="772"/>
      <c r="T590" s="772"/>
      <c r="U590" s="772"/>
      <c r="V590" s="772"/>
      <c r="W590" s="772"/>
      <c r="X590" s="772"/>
      <c r="Y590" s="772"/>
      <c r="Z590" s="772"/>
      <c r="AA590" s="772"/>
      <c r="AB590" s="772"/>
      <c r="AC590" s="772"/>
      <c r="AD590" s="772"/>
      <c r="AE590" s="772"/>
      <c r="AF590" s="772"/>
      <c r="AG590" s="772"/>
      <c r="AH590" s="772"/>
      <c r="AI590" s="772"/>
    </row>
    <row r="591" ht="15.75" customHeight="1">
      <c r="A591" s="815"/>
      <c r="B591" s="782"/>
      <c r="C591" s="782"/>
      <c r="D591" s="782"/>
      <c r="E591" s="816"/>
      <c r="F591" s="816"/>
      <c r="G591" s="816"/>
      <c r="H591" s="817"/>
      <c r="I591" s="817"/>
      <c r="J591" s="817"/>
      <c r="K591" s="818"/>
      <c r="L591" s="772"/>
      <c r="M591" s="772"/>
      <c r="N591" s="772"/>
      <c r="O591" s="772"/>
      <c r="P591" s="772"/>
      <c r="Q591" s="772"/>
      <c r="R591" s="772"/>
      <c r="S591" s="772"/>
      <c r="T591" s="772"/>
      <c r="U591" s="772"/>
      <c r="V591" s="772"/>
      <c r="W591" s="772"/>
      <c r="X591" s="772"/>
      <c r="Y591" s="772"/>
      <c r="Z591" s="772"/>
      <c r="AA591" s="772"/>
      <c r="AB591" s="772"/>
      <c r="AC591" s="772"/>
      <c r="AD591" s="772"/>
      <c r="AE591" s="772"/>
      <c r="AF591" s="772"/>
      <c r="AG591" s="772"/>
      <c r="AH591" s="772"/>
      <c r="AI591" s="772"/>
    </row>
    <row r="592" ht="15.75" customHeight="1">
      <c r="A592" s="815"/>
      <c r="B592" s="782"/>
      <c r="C592" s="782"/>
      <c r="D592" s="782"/>
      <c r="E592" s="816"/>
      <c r="F592" s="816"/>
      <c r="G592" s="816"/>
      <c r="H592" s="817"/>
      <c r="I592" s="817"/>
      <c r="J592" s="817"/>
      <c r="K592" s="818"/>
      <c r="L592" s="772"/>
      <c r="M592" s="772"/>
      <c r="N592" s="772"/>
      <c r="O592" s="772"/>
      <c r="P592" s="772"/>
      <c r="Q592" s="772"/>
      <c r="R592" s="772"/>
      <c r="S592" s="772"/>
      <c r="T592" s="772"/>
      <c r="U592" s="772"/>
      <c r="V592" s="772"/>
      <c r="W592" s="772"/>
      <c r="X592" s="772"/>
      <c r="Y592" s="772"/>
      <c r="Z592" s="772"/>
      <c r="AA592" s="772"/>
      <c r="AB592" s="772"/>
      <c r="AC592" s="772"/>
      <c r="AD592" s="772"/>
      <c r="AE592" s="772"/>
      <c r="AF592" s="772"/>
      <c r="AG592" s="772"/>
      <c r="AH592" s="772"/>
      <c r="AI592" s="772"/>
    </row>
    <row r="593" ht="15.75" customHeight="1">
      <c r="A593" s="815"/>
      <c r="B593" s="782"/>
      <c r="C593" s="782"/>
      <c r="D593" s="782"/>
      <c r="E593" s="816"/>
      <c r="F593" s="816"/>
      <c r="G593" s="816"/>
      <c r="H593" s="817"/>
      <c r="I593" s="817"/>
      <c r="J593" s="817"/>
      <c r="K593" s="818"/>
      <c r="L593" s="772"/>
      <c r="M593" s="772"/>
      <c r="N593" s="772"/>
      <c r="O593" s="772"/>
      <c r="P593" s="772"/>
      <c r="Q593" s="772"/>
      <c r="R593" s="772"/>
      <c r="S593" s="772"/>
      <c r="T593" s="772"/>
      <c r="U593" s="772"/>
      <c r="V593" s="772"/>
      <c r="W593" s="772"/>
      <c r="X593" s="772"/>
      <c r="Y593" s="772"/>
      <c r="Z593" s="772"/>
      <c r="AA593" s="772"/>
      <c r="AB593" s="772"/>
      <c r="AC593" s="772"/>
      <c r="AD593" s="772"/>
      <c r="AE593" s="772"/>
      <c r="AF593" s="772"/>
      <c r="AG593" s="772"/>
      <c r="AH593" s="772"/>
      <c r="AI593" s="772"/>
    </row>
    <row r="594" ht="15.75" customHeight="1">
      <c r="A594" s="815"/>
      <c r="B594" s="782"/>
      <c r="C594" s="782"/>
      <c r="D594" s="782"/>
      <c r="E594" s="816"/>
      <c r="F594" s="816"/>
      <c r="G594" s="816"/>
      <c r="H594" s="817"/>
      <c r="I594" s="817"/>
      <c r="J594" s="817"/>
      <c r="K594" s="818"/>
      <c r="L594" s="772"/>
      <c r="M594" s="772"/>
      <c r="N594" s="772"/>
      <c r="O594" s="772"/>
      <c r="P594" s="772"/>
      <c r="Q594" s="772"/>
      <c r="R594" s="772"/>
      <c r="S594" s="772"/>
      <c r="T594" s="772"/>
      <c r="U594" s="772"/>
      <c r="V594" s="772"/>
      <c r="W594" s="772"/>
      <c r="X594" s="772"/>
      <c r="Y594" s="772"/>
      <c r="Z594" s="772"/>
      <c r="AA594" s="772"/>
      <c r="AB594" s="772"/>
      <c r="AC594" s="772"/>
      <c r="AD594" s="772"/>
      <c r="AE594" s="772"/>
      <c r="AF594" s="772"/>
      <c r="AG594" s="772"/>
      <c r="AH594" s="772"/>
      <c r="AI594" s="772"/>
    </row>
    <row r="595" ht="15.75" customHeight="1">
      <c r="A595" s="815"/>
      <c r="B595" s="782"/>
      <c r="C595" s="782"/>
      <c r="D595" s="782"/>
      <c r="E595" s="816"/>
      <c r="F595" s="816"/>
      <c r="G595" s="816"/>
      <c r="H595" s="817"/>
      <c r="I595" s="817"/>
      <c r="J595" s="817"/>
      <c r="K595" s="818"/>
      <c r="L595" s="772"/>
      <c r="M595" s="772"/>
      <c r="N595" s="772"/>
      <c r="O595" s="772"/>
      <c r="P595" s="772"/>
      <c r="Q595" s="772"/>
      <c r="R595" s="772"/>
      <c r="S595" s="772"/>
      <c r="T595" s="772"/>
      <c r="U595" s="772"/>
      <c r="V595" s="772"/>
      <c r="W595" s="772"/>
      <c r="X595" s="772"/>
      <c r="Y595" s="772"/>
      <c r="Z595" s="772"/>
      <c r="AA595" s="772"/>
      <c r="AB595" s="772"/>
      <c r="AC595" s="772"/>
      <c r="AD595" s="772"/>
      <c r="AE595" s="772"/>
      <c r="AF595" s="772"/>
      <c r="AG595" s="772"/>
      <c r="AH595" s="772"/>
      <c r="AI595" s="772"/>
    </row>
    <row r="596" ht="15.75" customHeight="1">
      <c r="A596" s="815"/>
      <c r="B596" s="782"/>
      <c r="C596" s="782"/>
      <c r="D596" s="782"/>
      <c r="E596" s="816"/>
      <c r="F596" s="816"/>
      <c r="G596" s="816"/>
      <c r="H596" s="817"/>
      <c r="I596" s="817"/>
      <c r="J596" s="817"/>
      <c r="K596" s="818"/>
      <c r="L596" s="772"/>
      <c r="M596" s="772"/>
      <c r="N596" s="772"/>
      <c r="O596" s="772"/>
      <c r="P596" s="772"/>
      <c r="Q596" s="772"/>
      <c r="R596" s="772"/>
      <c r="S596" s="772"/>
      <c r="T596" s="772"/>
      <c r="U596" s="772"/>
      <c r="V596" s="772"/>
      <c r="W596" s="772"/>
      <c r="X596" s="772"/>
      <c r="Y596" s="772"/>
      <c r="Z596" s="772"/>
      <c r="AA596" s="772"/>
      <c r="AB596" s="772"/>
      <c r="AC596" s="772"/>
      <c r="AD596" s="772"/>
      <c r="AE596" s="772"/>
      <c r="AF596" s="772"/>
      <c r="AG596" s="772"/>
      <c r="AH596" s="772"/>
      <c r="AI596" s="772"/>
    </row>
    <row r="597" ht="15.75" customHeight="1">
      <c r="A597" s="815"/>
      <c r="B597" s="782"/>
      <c r="C597" s="782"/>
      <c r="D597" s="782"/>
      <c r="E597" s="816"/>
      <c r="F597" s="816"/>
      <c r="G597" s="816"/>
      <c r="H597" s="817"/>
      <c r="I597" s="817"/>
      <c r="J597" s="817"/>
      <c r="K597" s="818"/>
      <c r="L597" s="772"/>
      <c r="M597" s="772"/>
      <c r="N597" s="772"/>
      <c r="O597" s="772"/>
      <c r="P597" s="772"/>
      <c r="Q597" s="772"/>
      <c r="R597" s="772"/>
      <c r="S597" s="772"/>
      <c r="T597" s="772"/>
      <c r="U597" s="772"/>
      <c r="V597" s="772"/>
      <c r="W597" s="772"/>
      <c r="X597" s="772"/>
      <c r="Y597" s="772"/>
      <c r="Z597" s="772"/>
      <c r="AA597" s="772"/>
      <c r="AB597" s="772"/>
      <c r="AC597" s="772"/>
      <c r="AD597" s="772"/>
      <c r="AE597" s="772"/>
      <c r="AF597" s="772"/>
      <c r="AG597" s="772"/>
      <c r="AH597" s="772"/>
      <c r="AI597" s="772"/>
    </row>
    <row r="598" ht="15.75" customHeight="1">
      <c r="A598" s="815"/>
      <c r="B598" s="782"/>
      <c r="C598" s="782"/>
      <c r="D598" s="782"/>
      <c r="E598" s="816"/>
      <c r="F598" s="816"/>
      <c r="G598" s="816"/>
      <c r="H598" s="817"/>
      <c r="I598" s="817"/>
      <c r="J598" s="817"/>
      <c r="K598" s="818"/>
      <c r="L598" s="772"/>
      <c r="M598" s="772"/>
      <c r="N598" s="772"/>
      <c r="O598" s="772"/>
      <c r="P598" s="772"/>
      <c r="Q598" s="772"/>
      <c r="R598" s="772"/>
      <c r="S598" s="772"/>
      <c r="T598" s="772"/>
      <c r="U598" s="772"/>
      <c r="V598" s="772"/>
      <c r="W598" s="772"/>
      <c r="X598" s="772"/>
      <c r="Y598" s="772"/>
      <c r="Z598" s="772"/>
      <c r="AA598" s="772"/>
      <c r="AB598" s="772"/>
      <c r="AC598" s="772"/>
      <c r="AD598" s="772"/>
      <c r="AE598" s="772"/>
      <c r="AF598" s="772"/>
      <c r="AG598" s="772"/>
      <c r="AH598" s="772"/>
      <c r="AI598" s="772"/>
    </row>
    <row r="599" ht="15.75" customHeight="1">
      <c r="A599" s="815"/>
      <c r="B599" s="782"/>
      <c r="C599" s="782"/>
      <c r="D599" s="782"/>
      <c r="E599" s="816"/>
      <c r="F599" s="816"/>
      <c r="G599" s="816"/>
      <c r="H599" s="817"/>
      <c r="I599" s="817"/>
      <c r="J599" s="817"/>
      <c r="K599" s="818"/>
      <c r="L599" s="772"/>
      <c r="M599" s="772"/>
      <c r="N599" s="772"/>
      <c r="O599" s="772"/>
      <c r="P599" s="772"/>
      <c r="Q599" s="772"/>
      <c r="R599" s="772"/>
      <c r="S599" s="772"/>
      <c r="T599" s="772"/>
      <c r="U599" s="772"/>
      <c r="V599" s="772"/>
      <c r="W599" s="772"/>
      <c r="X599" s="772"/>
      <c r="Y599" s="772"/>
      <c r="Z599" s="772"/>
      <c r="AA599" s="772"/>
      <c r="AB599" s="772"/>
      <c r="AC599" s="772"/>
      <c r="AD599" s="772"/>
      <c r="AE599" s="772"/>
      <c r="AF599" s="772"/>
      <c r="AG599" s="772"/>
      <c r="AH599" s="772"/>
      <c r="AI599" s="772"/>
    </row>
    <row r="600" ht="15.75" customHeight="1">
      <c r="A600" s="815"/>
      <c r="B600" s="782"/>
      <c r="C600" s="782"/>
      <c r="D600" s="782"/>
      <c r="E600" s="816"/>
      <c r="F600" s="816"/>
      <c r="G600" s="816"/>
      <c r="H600" s="817"/>
      <c r="I600" s="817"/>
      <c r="J600" s="817"/>
      <c r="K600" s="818"/>
      <c r="L600" s="772"/>
      <c r="M600" s="772"/>
      <c r="N600" s="772"/>
      <c r="O600" s="772"/>
      <c r="P600" s="772"/>
      <c r="Q600" s="772"/>
      <c r="R600" s="772"/>
      <c r="S600" s="772"/>
      <c r="T600" s="772"/>
      <c r="U600" s="772"/>
      <c r="V600" s="772"/>
      <c r="W600" s="772"/>
      <c r="X600" s="772"/>
      <c r="Y600" s="772"/>
      <c r="Z600" s="772"/>
      <c r="AA600" s="772"/>
      <c r="AB600" s="772"/>
      <c r="AC600" s="772"/>
      <c r="AD600" s="772"/>
      <c r="AE600" s="772"/>
      <c r="AF600" s="772"/>
      <c r="AG600" s="772"/>
      <c r="AH600" s="772"/>
      <c r="AI600" s="772"/>
    </row>
    <row r="601" ht="15.75" customHeight="1">
      <c r="A601" s="815"/>
      <c r="B601" s="782"/>
      <c r="C601" s="782"/>
      <c r="D601" s="782"/>
      <c r="E601" s="816"/>
      <c r="F601" s="816"/>
      <c r="G601" s="816"/>
      <c r="H601" s="817"/>
      <c r="I601" s="817"/>
      <c r="J601" s="817"/>
      <c r="K601" s="818"/>
      <c r="L601" s="772"/>
      <c r="M601" s="772"/>
      <c r="N601" s="772"/>
      <c r="O601" s="772"/>
      <c r="P601" s="772"/>
      <c r="Q601" s="772"/>
      <c r="R601" s="772"/>
      <c r="S601" s="772"/>
      <c r="T601" s="772"/>
      <c r="U601" s="772"/>
      <c r="V601" s="772"/>
      <c r="W601" s="772"/>
      <c r="X601" s="772"/>
      <c r="Y601" s="772"/>
      <c r="Z601" s="772"/>
      <c r="AA601" s="772"/>
      <c r="AB601" s="772"/>
      <c r="AC601" s="772"/>
      <c r="AD601" s="772"/>
      <c r="AE601" s="772"/>
      <c r="AF601" s="772"/>
      <c r="AG601" s="772"/>
      <c r="AH601" s="772"/>
      <c r="AI601" s="772"/>
    </row>
    <row r="602" ht="15.75" customHeight="1">
      <c r="A602" s="815"/>
      <c r="B602" s="782"/>
      <c r="C602" s="782"/>
      <c r="D602" s="782"/>
      <c r="E602" s="816"/>
      <c r="F602" s="816"/>
      <c r="G602" s="816"/>
      <c r="H602" s="817"/>
      <c r="I602" s="817"/>
      <c r="J602" s="817"/>
      <c r="K602" s="818"/>
      <c r="L602" s="772"/>
      <c r="M602" s="772"/>
      <c r="N602" s="772"/>
      <c r="O602" s="772"/>
      <c r="P602" s="772"/>
      <c r="Q602" s="772"/>
      <c r="R602" s="772"/>
      <c r="S602" s="772"/>
      <c r="T602" s="772"/>
      <c r="U602" s="772"/>
      <c r="V602" s="772"/>
      <c r="W602" s="772"/>
      <c r="X602" s="772"/>
      <c r="Y602" s="772"/>
      <c r="Z602" s="772"/>
      <c r="AA602" s="772"/>
      <c r="AB602" s="772"/>
      <c r="AC602" s="772"/>
      <c r="AD602" s="772"/>
      <c r="AE602" s="772"/>
      <c r="AF602" s="772"/>
      <c r="AG602" s="772"/>
      <c r="AH602" s="772"/>
      <c r="AI602" s="772"/>
    </row>
    <row r="603" ht="15.75" customHeight="1">
      <c r="A603" s="815"/>
      <c r="B603" s="782"/>
      <c r="C603" s="782"/>
      <c r="D603" s="782"/>
      <c r="E603" s="816"/>
      <c r="F603" s="816"/>
      <c r="G603" s="816"/>
      <c r="H603" s="817"/>
      <c r="I603" s="817"/>
      <c r="J603" s="817"/>
      <c r="K603" s="818"/>
      <c r="L603" s="772"/>
      <c r="M603" s="772"/>
      <c r="N603" s="772"/>
      <c r="O603" s="772"/>
      <c r="P603" s="772"/>
      <c r="Q603" s="772"/>
      <c r="R603" s="772"/>
      <c r="S603" s="772"/>
      <c r="T603" s="772"/>
      <c r="U603" s="772"/>
      <c r="V603" s="772"/>
      <c r="W603" s="772"/>
      <c r="X603" s="772"/>
      <c r="Y603" s="772"/>
      <c r="Z603" s="772"/>
      <c r="AA603" s="772"/>
      <c r="AB603" s="772"/>
      <c r="AC603" s="772"/>
      <c r="AD603" s="772"/>
      <c r="AE603" s="772"/>
      <c r="AF603" s="772"/>
      <c r="AG603" s="772"/>
      <c r="AH603" s="772"/>
      <c r="AI603" s="772"/>
    </row>
    <row r="604" ht="15.75" customHeight="1">
      <c r="A604" s="815"/>
      <c r="B604" s="782"/>
      <c r="C604" s="782"/>
      <c r="D604" s="782"/>
      <c r="E604" s="816"/>
      <c r="F604" s="816"/>
      <c r="G604" s="816"/>
      <c r="H604" s="817"/>
      <c r="I604" s="817"/>
      <c r="J604" s="817"/>
      <c r="K604" s="818"/>
      <c r="L604" s="772"/>
      <c r="M604" s="772"/>
      <c r="N604" s="772"/>
      <c r="O604" s="772"/>
      <c r="P604" s="772"/>
      <c r="Q604" s="772"/>
      <c r="R604" s="772"/>
      <c r="S604" s="772"/>
      <c r="T604" s="772"/>
      <c r="U604" s="772"/>
      <c r="V604" s="772"/>
      <c r="W604" s="772"/>
      <c r="X604" s="772"/>
      <c r="Y604" s="772"/>
      <c r="Z604" s="772"/>
      <c r="AA604" s="772"/>
      <c r="AB604" s="772"/>
      <c r="AC604" s="772"/>
      <c r="AD604" s="772"/>
      <c r="AE604" s="772"/>
      <c r="AF604" s="772"/>
      <c r="AG604" s="772"/>
      <c r="AH604" s="772"/>
      <c r="AI604" s="772"/>
    </row>
    <row r="605" ht="15.75" customHeight="1">
      <c r="A605" s="815"/>
      <c r="B605" s="782"/>
      <c r="C605" s="782"/>
      <c r="D605" s="782"/>
      <c r="E605" s="816"/>
      <c r="F605" s="816"/>
      <c r="G605" s="816"/>
      <c r="H605" s="817"/>
      <c r="I605" s="817"/>
      <c r="J605" s="817"/>
      <c r="K605" s="818"/>
      <c r="L605" s="772"/>
      <c r="M605" s="772"/>
      <c r="N605" s="772"/>
      <c r="O605" s="772"/>
      <c r="P605" s="772"/>
      <c r="Q605" s="772"/>
      <c r="R605" s="772"/>
      <c r="S605" s="772"/>
      <c r="T605" s="772"/>
      <c r="U605" s="772"/>
      <c r="V605" s="772"/>
      <c r="W605" s="772"/>
      <c r="X605" s="772"/>
      <c r="Y605" s="772"/>
      <c r="Z605" s="772"/>
      <c r="AA605" s="772"/>
      <c r="AB605" s="772"/>
      <c r="AC605" s="772"/>
      <c r="AD605" s="772"/>
      <c r="AE605" s="772"/>
      <c r="AF605" s="772"/>
      <c r="AG605" s="772"/>
      <c r="AH605" s="772"/>
      <c r="AI605" s="772"/>
    </row>
    <row r="606" ht="15.75" customHeight="1">
      <c r="A606" s="815"/>
      <c r="B606" s="782"/>
      <c r="C606" s="782"/>
      <c r="D606" s="782"/>
      <c r="E606" s="816"/>
      <c r="F606" s="816"/>
      <c r="G606" s="816"/>
      <c r="H606" s="817"/>
      <c r="I606" s="817"/>
      <c r="J606" s="817"/>
      <c r="K606" s="818"/>
      <c r="L606" s="772"/>
      <c r="M606" s="772"/>
      <c r="N606" s="772"/>
      <c r="O606" s="772"/>
      <c r="P606" s="772"/>
      <c r="Q606" s="772"/>
      <c r="R606" s="772"/>
      <c r="S606" s="772"/>
      <c r="T606" s="772"/>
      <c r="U606" s="772"/>
      <c r="V606" s="772"/>
      <c r="W606" s="772"/>
      <c r="X606" s="772"/>
      <c r="Y606" s="772"/>
      <c r="Z606" s="772"/>
      <c r="AA606" s="772"/>
      <c r="AB606" s="772"/>
      <c r="AC606" s="772"/>
      <c r="AD606" s="772"/>
      <c r="AE606" s="772"/>
      <c r="AF606" s="772"/>
      <c r="AG606" s="772"/>
      <c r="AH606" s="772"/>
      <c r="AI606" s="772"/>
    </row>
    <row r="607" ht="15.75" customHeight="1">
      <c r="A607" s="815"/>
      <c r="B607" s="782"/>
      <c r="C607" s="782"/>
      <c r="D607" s="782"/>
      <c r="E607" s="816"/>
      <c r="F607" s="816"/>
      <c r="G607" s="816"/>
      <c r="H607" s="817"/>
      <c r="I607" s="817"/>
      <c r="J607" s="817"/>
      <c r="K607" s="818"/>
      <c r="L607" s="772"/>
      <c r="M607" s="772"/>
      <c r="N607" s="772"/>
      <c r="O607" s="772"/>
      <c r="P607" s="772"/>
      <c r="Q607" s="772"/>
      <c r="R607" s="772"/>
      <c r="S607" s="772"/>
      <c r="T607" s="772"/>
      <c r="U607" s="772"/>
      <c r="V607" s="772"/>
      <c r="W607" s="772"/>
      <c r="X607" s="772"/>
      <c r="Y607" s="772"/>
      <c r="Z607" s="772"/>
      <c r="AA607" s="772"/>
      <c r="AB607" s="772"/>
      <c r="AC607" s="772"/>
      <c r="AD607" s="772"/>
      <c r="AE607" s="772"/>
      <c r="AF607" s="772"/>
      <c r="AG607" s="772"/>
      <c r="AH607" s="772"/>
      <c r="AI607" s="772"/>
    </row>
    <row r="608" ht="15.75" customHeight="1">
      <c r="A608" s="815"/>
      <c r="B608" s="782"/>
      <c r="C608" s="782"/>
      <c r="D608" s="782"/>
      <c r="E608" s="816"/>
      <c r="F608" s="816"/>
      <c r="G608" s="816"/>
      <c r="H608" s="817"/>
      <c r="I608" s="817"/>
      <c r="J608" s="817"/>
      <c r="K608" s="818"/>
      <c r="L608" s="772"/>
      <c r="M608" s="772"/>
      <c r="N608" s="772"/>
      <c r="O608" s="772"/>
      <c r="P608" s="772"/>
      <c r="Q608" s="772"/>
      <c r="R608" s="772"/>
      <c r="S608" s="772"/>
      <c r="T608" s="772"/>
      <c r="U608" s="772"/>
      <c r="V608" s="772"/>
      <c r="W608" s="772"/>
      <c r="X608" s="772"/>
      <c r="Y608" s="772"/>
      <c r="Z608" s="772"/>
      <c r="AA608" s="772"/>
      <c r="AB608" s="772"/>
      <c r="AC608" s="772"/>
      <c r="AD608" s="772"/>
      <c r="AE608" s="772"/>
      <c r="AF608" s="772"/>
      <c r="AG608" s="772"/>
      <c r="AH608" s="772"/>
      <c r="AI608" s="772"/>
    </row>
    <row r="609" ht="15.75" customHeight="1">
      <c r="A609" s="815"/>
      <c r="B609" s="782"/>
      <c r="C609" s="782"/>
      <c r="D609" s="782"/>
      <c r="E609" s="816"/>
      <c r="F609" s="816"/>
      <c r="G609" s="816"/>
      <c r="H609" s="817"/>
      <c r="I609" s="817"/>
      <c r="J609" s="817"/>
      <c r="K609" s="818"/>
      <c r="L609" s="772"/>
      <c r="M609" s="772"/>
      <c r="N609" s="772"/>
      <c r="O609" s="772"/>
      <c r="P609" s="772"/>
      <c r="Q609" s="772"/>
      <c r="R609" s="772"/>
      <c r="S609" s="772"/>
      <c r="T609" s="772"/>
      <c r="U609" s="772"/>
      <c r="V609" s="772"/>
      <c r="W609" s="772"/>
      <c r="X609" s="772"/>
      <c r="Y609" s="772"/>
      <c r="Z609" s="772"/>
      <c r="AA609" s="772"/>
      <c r="AB609" s="772"/>
      <c r="AC609" s="772"/>
      <c r="AD609" s="772"/>
      <c r="AE609" s="772"/>
      <c r="AF609" s="772"/>
      <c r="AG609" s="772"/>
      <c r="AH609" s="772"/>
      <c r="AI609" s="772"/>
    </row>
    <row r="610" ht="15.75" customHeight="1">
      <c r="A610" s="815"/>
      <c r="B610" s="782"/>
      <c r="C610" s="782"/>
      <c r="D610" s="782"/>
      <c r="E610" s="816"/>
      <c r="F610" s="816"/>
      <c r="G610" s="816"/>
      <c r="H610" s="817"/>
      <c r="I610" s="817"/>
      <c r="J610" s="817"/>
      <c r="K610" s="818"/>
      <c r="L610" s="772"/>
      <c r="M610" s="772"/>
      <c r="N610" s="772"/>
      <c r="O610" s="772"/>
      <c r="P610" s="772"/>
      <c r="Q610" s="772"/>
      <c r="R610" s="772"/>
      <c r="S610" s="772"/>
      <c r="T610" s="772"/>
      <c r="U610" s="772"/>
      <c r="V610" s="772"/>
      <c r="W610" s="772"/>
      <c r="X610" s="772"/>
      <c r="Y610" s="772"/>
      <c r="Z610" s="772"/>
      <c r="AA610" s="772"/>
      <c r="AB610" s="772"/>
      <c r="AC610" s="772"/>
      <c r="AD610" s="772"/>
      <c r="AE610" s="772"/>
      <c r="AF610" s="772"/>
      <c r="AG610" s="772"/>
      <c r="AH610" s="772"/>
      <c r="AI610" s="772"/>
    </row>
    <row r="611" ht="15.75" customHeight="1">
      <c r="A611" s="815"/>
      <c r="B611" s="782"/>
      <c r="C611" s="782"/>
      <c r="D611" s="782"/>
      <c r="E611" s="816"/>
      <c r="F611" s="816"/>
      <c r="G611" s="816"/>
      <c r="H611" s="817"/>
      <c r="I611" s="817"/>
      <c r="J611" s="817"/>
      <c r="K611" s="818"/>
      <c r="L611" s="772"/>
      <c r="M611" s="772"/>
      <c r="N611" s="772"/>
      <c r="O611" s="772"/>
      <c r="P611" s="772"/>
      <c r="Q611" s="772"/>
      <c r="R611" s="772"/>
      <c r="S611" s="772"/>
      <c r="T611" s="772"/>
      <c r="U611" s="772"/>
      <c r="V611" s="772"/>
      <c r="W611" s="772"/>
      <c r="X611" s="772"/>
      <c r="Y611" s="772"/>
      <c r="Z611" s="772"/>
      <c r="AA611" s="772"/>
      <c r="AB611" s="772"/>
      <c r="AC611" s="772"/>
      <c r="AD611" s="772"/>
      <c r="AE611" s="772"/>
      <c r="AF611" s="772"/>
      <c r="AG611" s="772"/>
      <c r="AH611" s="772"/>
      <c r="AI611" s="772"/>
    </row>
    <row r="612" ht="15.75" customHeight="1">
      <c r="A612" s="815"/>
      <c r="B612" s="782"/>
      <c r="C612" s="782"/>
      <c r="D612" s="782"/>
      <c r="E612" s="816"/>
      <c r="F612" s="816"/>
      <c r="G612" s="816"/>
      <c r="H612" s="817"/>
      <c r="I612" s="817"/>
      <c r="J612" s="817"/>
      <c r="K612" s="818"/>
      <c r="L612" s="772"/>
      <c r="M612" s="772"/>
      <c r="N612" s="772"/>
      <c r="O612" s="772"/>
      <c r="P612" s="772"/>
      <c r="Q612" s="772"/>
      <c r="R612" s="772"/>
      <c r="S612" s="772"/>
      <c r="T612" s="772"/>
      <c r="U612" s="772"/>
      <c r="V612" s="772"/>
      <c r="W612" s="772"/>
      <c r="X612" s="772"/>
      <c r="Y612" s="772"/>
      <c r="Z612" s="772"/>
      <c r="AA612" s="772"/>
      <c r="AB612" s="772"/>
      <c r="AC612" s="772"/>
      <c r="AD612" s="772"/>
      <c r="AE612" s="772"/>
      <c r="AF612" s="772"/>
      <c r="AG612" s="772"/>
      <c r="AH612" s="772"/>
      <c r="AI612" s="772"/>
    </row>
    <row r="613" ht="15.75" customHeight="1">
      <c r="A613" s="815"/>
      <c r="B613" s="782"/>
      <c r="C613" s="782"/>
      <c r="D613" s="782"/>
      <c r="E613" s="816"/>
      <c r="F613" s="816"/>
      <c r="G613" s="816"/>
      <c r="H613" s="817"/>
      <c r="I613" s="817"/>
      <c r="J613" s="817"/>
      <c r="K613" s="818"/>
      <c r="L613" s="772"/>
      <c r="M613" s="772"/>
      <c r="N613" s="772"/>
      <c r="O613" s="772"/>
      <c r="P613" s="772"/>
      <c r="Q613" s="772"/>
      <c r="R613" s="772"/>
      <c r="S613" s="772"/>
      <c r="T613" s="772"/>
      <c r="U613" s="772"/>
      <c r="V613" s="772"/>
      <c r="W613" s="772"/>
      <c r="X613" s="772"/>
      <c r="Y613" s="772"/>
      <c r="Z613" s="772"/>
      <c r="AA613" s="772"/>
      <c r="AB613" s="772"/>
      <c r="AC613" s="772"/>
      <c r="AD613" s="772"/>
      <c r="AE613" s="772"/>
      <c r="AF613" s="772"/>
      <c r="AG613" s="772"/>
      <c r="AH613" s="772"/>
      <c r="AI613" s="772"/>
    </row>
    <row r="614" ht="15.75" customHeight="1">
      <c r="A614" s="815"/>
      <c r="B614" s="782"/>
      <c r="C614" s="782"/>
      <c r="D614" s="782"/>
      <c r="E614" s="816"/>
      <c r="F614" s="816"/>
      <c r="G614" s="816"/>
      <c r="H614" s="817"/>
      <c r="I614" s="817"/>
      <c r="J614" s="817"/>
      <c r="K614" s="818"/>
      <c r="L614" s="772"/>
      <c r="M614" s="772"/>
      <c r="N614" s="772"/>
      <c r="O614" s="772"/>
      <c r="P614" s="772"/>
      <c r="Q614" s="772"/>
      <c r="R614" s="772"/>
      <c r="S614" s="772"/>
      <c r="T614" s="772"/>
      <c r="U614" s="772"/>
      <c r="V614" s="772"/>
      <c r="W614" s="772"/>
      <c r="X614" s="772"/>
      <c r="Y614" s="772"/>
      <c r="Z614" s="772"/>
      <c r="AA614" s="772"/>
      <c r="AB614" s="772"/>
      <c r="AC614" s="772"/>
      <c r="AD614" s="772"/>
      <c r="AE614" s="772"/>
      <c r="AF614" s="772"/>
      <c r="AG614" s="772"/>
      <c r="AH614" s="772"/>
      <c r="AI614" s="772"/>
    </row>
    <row r="615" ht="15.75" customHeight="1">
      <c r="A615" s="815"/>
      <c r="B615" s="782"/>
      <c r="C615" s="782"/>
      <c r="D615" s="782"/>
      <c r="E615" s="816"/>
      <c r="F615" s="816"/>
      <c r="G615" s="816"/>
      <c r="H615" s="817"/>
      <c r="I615" s="817"/>
      <c r="J615" s="817"/>
      <c r="K615" s="818"/>
      <c r="L615" s="772"/>
      <c r="M615" s="772"/>
      <c r="N615" s="772"/>
      <c r="O615" s="772"/>
      <c r="P615" s="772"/>
      <c r="Q615" s="772"/>
      <c r="R615" s="772"/>
      <c r="S615" s="772"/>
      <c r="T615" s="772"/>
      <c r="U615" s="772"/>
      <c r="V615" s="772"/>
      <c r="W615" s="772"/>
      <c r="X615" s="772"/>
      <c r="Y615" s="772"/>
      <c r="Z615" s="772"/>
      <c r="AA615" s="772"/>
      <c r="AB615" s="772"/>
      <c r="AC615" s="772"/>
      <c r="AD615" s="772"/>
      <c r="AE615" s="772"/>
      <c r="AF615" s="772"/>
      <c r="AG615" s="772"/>
      <c r="AH615" s="772"/>
      <c r="AI615" s="772"/>
    </row>
    <row r="616" ht="15.75" customHeight="1">
      <c r="A616" s="815"/>
      <c r="B616" s="782"/>
      <c r="C616" s="782"/>
      <c r="D616" s="782"/>
      <c r="E616" s="816"/>
      <c r="F616" s="816"/>
      <c r="G616" s="816"/>
      <c r="H616" s="817"/>
      <c r="I616" s="817"/>
      <c r="J616" s="817"/>
      <c r="K616" s="818"/>
      <c r="L616" s="772"/>
      <c r="M616" s="772"/>
      <c r="N616" s="772"/>
      <c r="O616" s="772"/>
      <c r="P616" s="772"/>
      <c r="Q616" s="772"/>
      <c r="R616" s="772"/>
      <c r="S616" s="772"/>
      <c r="T616" s="772"/>
      <c r="U616" s="772"/>
      <c r="V616" s="772"/>
      <c r="W616" s="772"/>
      <c r="X616" s="772"/>
      <c r="Y616" s="772"/>
      <c r="Z616" s="772"/>
      <c r="AA616" s="772"/>
      <c r="AB616" s="772"/>
      <c r="AC616" s="772"/>
      <c r="AD616" s="772"/>
      <c r="AE616" s="772"/>
      <c r="AF616" s="772"/>
      <c r="AG616" s="772"/>
      <c r="AH616" s="772"/>
      <c r="AI616" s="772"/>
    </row>
    <row r="617" ht="15.75" customHeight="1">
      <c r="A617" s="815"/>
      <c r="B617" s="782"/>
      <c r="C617" s="782"/>
      <c r="D617" s="782"/>
      <c r="E617" s="816"/>
      <c r="F617" s="816"/>
      <c r="G617" s="816"/>
      <c r="H617" s="817"/>
      <c r="I617" s="817"/>
      <c r="J617" s="817"/>
      <c r="K617" s="818"/>
      <c r="L617" s="772"/>
      <c r="M617" s="772"/>
      <c r="N617" s="772"/>
      <c r="O617" s="772"/>
      <c r="P617" s="772"/>
      <c r="Q617" s="772"/>
      <c r="R617" s="772"/>
      <c r="S617" s="772"/>
      <c r="T617" s="772"/>
      <c r="U617" s="772"/>
      <c r="V617" s="772"/>
      <c r="W617" s="772"/>
      <c r="X617" s="772"/>
      <c r="Y617" s="772"/>
      <c r="Z617" s="772"/>
      <c r="AA617" s="772"/>
      <c r="AB617" s="772"/>
      <c r="AC617" s="772"/>
      <c r="AD617" s="772"/>
      <c r="AE617" s="772"/>
      <c r="AF617" s="772"/>
      <c r="AG617" s="772"/>
      <c r="AH617" s="772"/>
      <c r="AI617" s="772"/>
    </row>
    <row r="618" ht="15.75" customHeight="1">
      <c r="A618" s="815"/>
      <c r="B618" s="782"/>
      <c r="C618" s="782"/>
      <c r="D618" s="782"/>
      <c r="E618" s="816"/>
      <c r="F618" s="816"/>
      <c r="G618" s="816"/>
      <c r="H618" s="817"/>
      <c r="I618" s="817"/>
      <c r="J618" s="817"/>
      <c r="K618" s="818"/>
      <c r="L618" s="772"/>
      <c r="M618" s="772"/>
      <c r="N618" s="772"/>
      <c r="O618" s="772"/>
      <c r="P618" s="772"/>
      <c r="Q618" s="772"/>
      <c r="R618" s="772"/>
      <c r="S618" s="772"/>
      <c r="T618" s="772"/>
      <c r="U618" s="772"/>
      <c r="V618" s="772"/>
      <c r="W618" s="772"/>
      <c r="X618" s="772"/>
      <c r="Y618" s="772"/>
      <c r="Z618" s="772"/>
      <c r="AA618" s="772"/>
      <c r="AB618" s="772"/>
      <c r="AC618" s="772"/>
      <c r="AD618" s="772"/>
      <c r="AE618" s="772"/>
      <c r="AF618" s="772"/>
      <c r="AG618" s="772"/>
      <c r="AH618" s="772"/>
      <c r="AI618" s="772"/>
    </row>
    <row r="619" ht="15.75" customHeight="1">
      <c r="A619" s="815"/>
      <c r="B619" s="782"/>
      <c r="C619" s="782"/>
      <c r="D619" s="782"/>
      <c r="E619" s="816"/>
      <c r="F619" s="816"/>
      <c r="G619" s="816"/>
      <c r="H619" s="817"/>
      <c r="I619" s="817"/>
      <c r="J619" s="817"/>
      <c r="K619" s="818"/>
      <c r="L619" s="772"/>
      <c r="M619" s="772"/>
      <c r="N619" s="772"/>
      <c r="O619" s="772"/>
      <c r="P619" s="772"/>
      <c r="Q619" s="772"/>
      <c r="R619" s="772"/>
      <c r="S619" s="772"/>
      <c r="T619" s="772"/>
      <c r="U619" s="772"/>
      <c r="V619" s="772"/>
      <c r="W619" s="772"/>
      <c r="X619" s="772"/>
      <c r="Y619" s="772"/>
      <c r="Z619" s="772"/>
      <c r="AA619" s="772"/>
      <c r="AB619" s="772"/>
      <c r="AC619" s="772"/>
      <c r="AD619" s="772"/>
      <c r="AE619" s="772"/>
      <c r="AF619" s="772"/>
      <c r="AG619" s="772"/>
      <c r="AH619" s="772"/>
      <c r="AI619" s="772"/>
    </row>
    <row r="620" ht="15.75" customHeight="1">
      <c r="A620" s="815"/>
      <c r="B620" s="782"/>
      <c r="C620" s="782"/>
      <c r="D620" s="782"/>
      <c r="E620" s="816"/>
      <c r="F620" s="816"/>
      <c r="G620" s="816"/>
      <c r="H620" s="817"/>
      <c r="I620" s="817"/>
      <c r="J620" s="817"/>
      <c r="K620" s="818"/>
      <c r="L620" s="772"/>
      <c r="M620" s="772"/>
      <c r="N620" s="772"/>
      <c r="O620" s="772"/>
      <c r="P620" s="772"/>
      <c r="Q620" s="772"/>
      <c r="R620" s="772"/>
      <c r="S620" s="772"/>
      <c r="T620" s="772"/>
      <c r="U620" s="772"/>
      <c r="V620" s="772"/>
      <c r="W620" s="772"/>
      <c r="X620" s="772"/>
      <c r="Y620" s="772"/>
      <c r="Z620" s="772"/>
      <c r="AA620" s="772"/>
      <c r="AB620" s="772"/>
      <c r="AC620" s="772"/>
      <c r="AD620" s="772"/>
      <c r="AE620" s="772"/>
      <c r="AF620" s="772"/>
      <c r="AG620" s="772"/>
      <c r="AH620" s="772"/>
      <c r="AI620" s="772"/>
    </row>
    <row r="621" ht="15.75" customHeight="1">
      <c r="A621" s="815"/>
      <c r="B621" s="782"/>
      <c r="C621" s="782"/>
      <c r="D621" s="782"/>
      <c r="E621" s="816"/>
      <c r="F621" s="816"/>
      <c r="G621" s="816"/>
      <c r="H621" s="817"/>
      <c r="I621" s="817"/>
      <c r="J621" s="817"/>
      <c r="K621" s="818"/>
      <c r="L621" s="772"/>
      <c r="M621" s="772"/>
      <c r="N621" s="772"/>
      <c r="O621" s="772"/>
      <c r="P621" s="772"/>
      <c r="Q621" s="772"/>
      <c r="R621" s="772"/>
      <c r="S621" s="772"/>
      <c r="T621" s="772"/>
      <c r="U621" s="772"/>
      <c r="V621" s="772"/>
      <c r="W621" s="772"/>
      <c r="X621" s="772"/>
      <c r="Y621" s="772"/>
      <c r="Z621" s="772"/>
      <c r="AA621" s="772"/>
      <c r="AB621" s="772"/>
      <c r="AC621" s="772"/>
      <c r="AD621" s="772"/>
      <c r="AE621" s="772"/>
      <c r="AF621" s="772"/>
      <c r="AG621" s="772"/>
      <c r="AH621" s="772"/>
      <c r="AI621" s="772"/>
    </row>
    <row r="622" ht="15.75" customHeight="1">
      <c r="A622" s="815"/>
      <c r="B622" s="782"/>
      <c r="C622" s="782"/>
      <c r="D622" s="782"/>
      <c r="E622" s="816"/>
      <c r="F622" s="816"/>
      <c r="G622" s="816"/>
      <c r="H622" s="817"/>
      <c r="I622" s="817"/>
      <c r="J622" s="817"/>
      <c r="K622" s="818"/>
      <c r="L622" s="772"/>
      <c r="M622" s="772"/>
      <c r="N622" s="772"/>
      <c r="O622" s="772"/>
      <c r="P622" s="772"/>
      <c r="Q622" s="772"/>
      <c r="R622" s="772"/>
      <c r="S622" s="772"/>
      <c r="T622" s="772"/>
      <c r="U622" s="772"/>
      <c r="V622" s="772"/>
      <c r="W622" s="772"/>
      <c r="X622" s="772"/>
      <c r="Y622" s="772"/>
      <c r="Z622" s="772"/>
      <c r="AA622" s="772"/>
      <c r="AB622" s="772"/>
      <c r="AC622" s="772"/>
      <c r="AD622" s="772"/>
      <c r="AE622" s="772"/>
      <c r="AF622" s="772"/>
      <c r="AG622" s="772"/>
      <c r="AH622" s="772"/>
      <c r="AI622" s="772"/>
    </row>
    <row r="623" ht="15.75" customHeight="1">
      <c r="A623" s="815"/>
      <c r="B623" s="782"/>
      <c r="C623" s="782"/>
      <c r="D623" s="782"/>
      <c r="E623" s="816"/>
      <c r="F623" s="816"/>
      <c r="G623" s="816"/>
      <c r="H623" s="817"/>
      <c r="I623" s="817"/>
      <c r="J623" s="817"/>
      <c r="K623" s="818"/>
      <c r="L623" s="772"/>
      <c r="M623" s="772"/>
      <c r="N623" s="772"/>
      <c r="O623" s="772"/>
      <c r="P623" s="772"/>
      <c r="Q623" s="772"/>
      <c r="R623" s="772"/>
      <c r="S623" s="772"/>
      <c r="T623" s="772"/>
      <c r="U623" s="772"/>
      <c r="V623" s="772"/>
      <c r="W623" s="772"/>
      <c r="X623" s="772"/>
      <c r="Y623" s="772"/>
      <c r="Z623" s="772"/>
      <c r="AA623" s="772"/>
      <c r="AB623" s="772"/>
      <c r="AC623" s="772"/>
      <c r="AD623" s="772"/>
      <c r="AE623" s="772"/>
      <c r="AF623" s="772"/>
      <c r="AG623" s="772"/>
      <c r="AH623" s="772"/>
      <c r="AI623" s="772"/>
    </row>
    <row r="624" ht="15.75" customHeight="1">
      <c r="A624" s="815"/>
      <c r="B624" s="782"/>
      <c r="C624" s="782"/>
      <c r="D624" s="782"/>
      <c r="E624" s="816"/>
      <c r="F624" s="816"/>
      <c r="G624" s="816"/>
      <c r="H624" s="817"/>
      <c r="I624" s="817"/>
      <c r="J624" s="817"/>
      <c r="K624" s="818"/>
      <c r="L624" s="772"/>
      <c r="M624" s="772"/>
      <c r="N624" s="772"/>
      <c r="O624" s="772"/>
      <c r="P624" s="772"/>
      <c r="Q624" s="772"/>
      <c r="R624" s="772"/>
      <c r="S624" s="772"/>
      <c r="T624" s="772"/>
      <c r="U624" s="772"/>
      <c r="V624" s="772"/>
      <c r="W624" s="772"/>
      <c r="X624" s="772"/>
      <c r="Y624" s="772"/>
      <c r="Z624" s="772"/>
      <c r="AA624" s="772"/>
      <c r="AB624" s="772"/>
      <c r="AC624" s="772"/>
      <c r="AD624" s="772"/>
      <c r="AE624" s="772"/>
      <c r="AF624" s="772"/>
      <c r="AG624" s="772"/>
      <c r="AH624" s="772"/>
      <c r="AI624" s="772"/>
    </row>
    <row r="625" ht="15.75" customHeight="1">
      <c r="A625" s="815"/>
      <c r="B625" s="782"/>
      <c r="C625" s="782"/>
      <c r="D625" s="782"/>
      <c r="E625" s="816"/>
      <c r="F625" s="816"/>
      <c r="G625" s="816"/>
      <c r="H625" s="817"/>
      <c r="I625" s="817"/>
      <c r="J625" s="817"/>
      <c r="K625" s="818"/>
      <c r="L625" s="772"/>
      <c r="M625" s="772"/>
      <c r="N625" s="772"/>
      <c r="O625" s="772"/>
      <c r="P625" s="772"/>
      <c r="Q625" s="772"/>
      <c r="R625" s="772"/>
      <c r="S625" s="772"/>
      <c r="T625" s="772"/>
      <c r="U625" s="772"/>
      <c r="V625" s="772"/>
      <c r="W625" s="772"/>
      <c r="X625" s="772"/>
      <c r="Y625" s="772"/>
      <c r="Z625" s="772"/>
      <c r="AA625" s="772"/>
      <c r="AB625" s="772"/>
      <c r="AC625" s="772"/>
      <c r="AD625" s="772"/>
      <c r="AE625" s="772"/>
      <c r="AF625" s="772"/>
      <c r="AG625" s="772"/>
      <c r="AH625" s="772"/>
      <c r="AI625" s="772"/>
    </row>
    <row r="626" ht="15.75" customHeight="1">
      <c r="A626" s="815"/>
      <c r="B626" s="782"/>
      <c r="C626" s="782"/>
      <c r="D626" s="782"/>
      <c r="E626" s="816"/>
      <c r="F626" s="816"/>
      <c r="G626" s="816"/>
      <c r="H626" s="817"/>
      <c r="I626" s="817"/>
      <c r="J626" s="817"/>
      <c r="K626" s="818"/>
      <c r="L626" s="772"/>
      <c r="M626" s="772"/>
      <c r="N626" s="772"/>
      <c r="O626" s="772"/>
      <c r="P626" s="772"/>
      <c r="Q626" s="772"/>
      <c r="R626" s="772"/>
      <c r="S626" s="772"/>
      <c r="T626" s="772"/>
      <c r="U626" s="772"/>
      <c r="V626" s="772"/>
      <c r="W626" s="772"/>
      <c r="X626" s="772"/>
      <c r="Y626" s="772"/>
      <c r="Z626" s="772"/>
      <c r="AA626" s="772"/>
      <c r="AB626" s="772"/>
      <c r="AC626" s="772"/>
      <c r="AD626" s="772"/>
      <c r="AE626" s="772"/>
      <c r="AF626" s="772"/>
      <c r="AG626" s="772"/>
      <c r="AH626" s="772"/>
      <c r="AI626" s="772"/>
    </row>
    <row r="627" ht="15.75" customHeight="1">
      <c r="A627" s="815"/>
      <c r="B627" s="782"/>
      <c r="C627" s="782"/>
      <c r="D627" s="782"/>
      <c r="E627" s="816"/>
      <c r="F627" s="816"/>
      <c r="G627" s="816"/>
      <c r="H627" s="817"/>
      <c r="I627" s="817"/>
      <c r="J627" s="817"/>
      <c r="K627" s="818"/>
      <c r="L627" s="772"/>
      <c r="M627" s="772"/>
      <c r="N627" s="772"/>
      <c r="O627" s="772"/>
      <c r="P627" s="772"/>
      <c r="Q627" s="772"/>
      <c r="R627" s="772"/>
      <c r="S627" s="772"/>
      <c r="T627" s="772"/>
      <c r="U627" s="772"/>
      <c r="V627" s="772"/>
      <c r="W627" s="772"/>
      <c r="X627" s="772"/>
      <c r="Y627" s="772"/>
      <c r="Z627" s="772"/>
      <c r="AA627" s="772"/>
      <c r="AB627" s="772"/>
      <c r="AC627" s="772"/>
      <c r="AD627" s="772"/>
      <c r="AE627" s="772"/>
      <c r="AF627" s="772"/>
      <c r="AG627" s="772"/>
      <c r="AH627" s="772"/>
      <c r="AI627" s="772"/>
    </row>
    <row r="628" ht="15.75" customHeight="1">
      <c r="A628" s="815"/>
      <c r="B628" s="782"/>
      <c r="C628" s="782"/>
      <c r="D628" s="782"/>
      <c r="E628" s="816"/>
      <c r="F628" s="816"/>
      <c r="G628" s="816"/>
      <c r="H628" s="817"/>
      <c r="I628" s="817"/>
      <c r="J628" s="817"/>
      <c r="K628" s="818"/>
      <c r="L628" s="772"/>
      <c r="M628" s="772"/>
      <c r="N628" s="772"/>
      <c r="O628" s="772"/>
      <c r="P628" s="772"/>
      <c r="Q628" s="772"/>
      <c r="R628" s="772"/>
      <c r="S628" s="772"/>
      <c r="T628" s="772"/>
      <c r="U628" s="772"/>
      <c r="V628" s="772"/>
      <c r="W628" s="772"/>
      <c r="X628" s="772"/>
      <c r="Y628" s="772"/>
      <c r="Z628" s="772"/>
      <c r="AA628" s="772"/>
      <c r="AB628" s="772"/>
      <c r="AC628" s="772"/>
      <c r="AD628" s="772"/>
      <c r="AE628" s="772"/>
      <c r="AF628" s="772"/>
      <c r="AG628" s="772"/>
      <c r="AH628" s="772"/>
      <c r="AI628" s="772"/>
    </row>
    <row r="629" ht="15.75" customHeight="1">
      <c r="A629" s="815"/>
      <c r="B629" s="782"/>
      <c r="C629" s="782"/>
      <c r="D629" s="782"/>
      <c r="E629" s="816"/>
      <c r="F629" s="816"/>
      <c r="G629" s="816"/>
      <c r="H629" s="817"/>
      <c r="I629" s="817"/>
      <c r="J629" s="817"/>
      <c r="K629" s="818"/>
      <c r="L629" s="772"/>
      <c r="M629" s="772"/>
      <c r="N629" s="772"/>
      <c r="O629" s="772"/>
      <c r="P629" s="772"/>
      <c r="Q629" s="772"/>
      <c r="R629" s="772"/>
      <c r="S629" s="772"/>
      <c r="T629" s="772"/>
      <c r="U629" s="772"/>
      <c r="V629" s="772"/>
      <c r="W629" s="772"/>
      <c r="X629" s="772"/>
      <c r="Y629" s="772"/>
      <c r="Z629" s="772"/>
      <c r="AA629" s="772"/>
      <c r="AB629" s="772"/>
      <c r="AC629" s="772"/>
      <c r="AD629" s="772"/>
      <c r="AE629" s="772"/>
      <c r="AF629" s="772"/>
      <c r="AG629" s="772"/>
      <c r="AH629" s="772"/>
      <c r="AI629" s="772"/>
    </row>
    <row r="630" ht="15.75" customHeight="1">
      <c r="A630" s="815"/>
      <c r="B630" s="782"/>
      <c r="C630" s="782"/>
      <c r="D630" s="782"/>
      <c r="E630" s="816"/>
      <c r="F630" s="816"/>
      <c r="G630" s="816"/>
      <c r="H630" s="817"/>
      <c r="I630" s="817"/>
      <c r="J630" s="817"/>
      <c r="K630" s="818"/>
      <c r="L630" s="772"/>
      <c r="M630" s="772"/>
      <c r="N630" s="772"/>
      <c r="O630" s="772"/>
      <c r="P630" s="772"/>
      <c r="Q630" s="772"/>
      <c r="R630" s="772"/>
      <c r="S630" s="772"/>
      <c r="T630" s="772"/>
      <c r="U630" s="772"/>
      <c r="V630" s="772"/>
      <c r="W630" s="772"/>
      <c r="X630" s="772"/>
      <c r="Y630" s="772"/>
      <c r="Z630" s="772"/>
      <c r="AA630" s="772"/>
      <c r="AB630" s="772"/>
      <c r="AC630" s="772"/>
      <c r="AD630" s="772"/>
      <c r="AE630" s="772"/>
      <c r="AF630" s="772"/>
      <c r="AG630" s="772"/>
      <c r="AH630" s="772"/>
      <c r="AI630" s="772"/>
    </row>
    <row r="631" ht="15.75" customHeight="1">
      <c r="A631" s="815"/>
      <c r="B631" s="782"/>
      <c r="C631" s="782"/>
      <c r="D631" s="782"/>
      <c r="E631" s="816"/>
      <c r="F631" s="816"/>
      <c r="G631" s="816"/>
      <c r="H631" s="817"/>
      <c r="I631" s="817"/>
      <c r="J631" s="817"/>
      <c r="K631" s="818"/>
      <c r="L631" s="772"/>
      <c r="M631" s="772"/>
      <c r="N631" s="772"/>
      <c r="O631" s="772"/>
      <c r="P631" s="772"/>
      <c r="Q631" s="772"/>
      <c r="R631" s="772"/>
      <c r="S631" s="772"/>
      <c r="T631" s="772"/>
      <c r="U631" s="772"/>
      <c r="V631" s="772"/>
      <c r="W631" s="772"/>
      <c r="X631" s="772"/>
      <c r="Y631" s="772"/>
      <c r="Z631" s="772"/>
      <c r="AA631" s="772"/>
      <c r="AB631" s="772"/>
      <c r="AC631" s="772"/>
      <c r="AD631" s="772"/>
      <c r="AE631" s="772"/>
      <c r="AF631" s="772"/>
      <c r="AG631" s="772"/>
      <c r="AH631" s="772"/>
      <c r="AI631" s="772"/>
    </row>
    <row r="632" ht="15.75" customHeight="1">
      <c r="A632" s="815"/>
      <c r="B632" s="782"/>
      <c r="C632" s="782"/>
      <c r="D632" s="782"/>
      <c r="E632" s="816"/>
      <c r="F632" s="816"/>
      <c r="G632" s="816"/>
      <c r="H632" s="817"/>
      <c r="I632" s="817"/>
      <c r="J632" s="817"/>
      <c r="K632" s="818"/>
      <c r="L632" s="772"/>
      <c r="M632" s="772"/>
      <c r="N632" s="772"/>
      <c r="O632" s="772"/>
      <c r="P632" s="772"/>
      <c r="Q632" s="772"/>
      <c r="R632" s="772"/>
      <c r="S632" s="772"/>
      <c r="T632" s="772"/>
      <c r="U632" s="772"/>
      <c r="V632" s="772"/>
      <c r="W632" s="772"/>
      <c r="X632" s="772"/>
      <c r="Y632" s="772"/>
      <c r="Z632" s="772"/>
      <c r="AA632" s="772"/>
      <c r="AB632" s="772"/>
      <c r="AC632" s="772"/>
      <c r="AD632" s="772"/>
      <c r="AE632" s="772"/>
      <c r="AF632" s="772"/>
      <c r="AG632" s="772"/>
      <c r="AH632" s="772"/>
      <c r="AI632" s="772"/>
    </row>
    <row r="633" ht="15.75" customHeight="1">
      <c r="A633" s="815"/>
      <c r="B633" s="782"/>
      <c r="C633" s="782"/>
      <c r="D633" s="782"/>
      <c r="E633" s="816"/>
      <c r="F633" s="816"/>
      <c r="G633" s="816"/>
      <c r="H633" s="817"/>
      <c r="I633" s="817"/>
      <c r="J633" s="817"/>
      <c r="K633" s="818"/>
      <c r="L633" s="772"/>
      <c r="M633" s="772"/>
      <c r="N633" s="772"/>
      <c r="O633" s="772"/>
      <c r="P633" s="772"/>
      <c r="Q633" s="772"/>
      <c r="R633" s="772"/>
      <c r="S633" s="772"/>
      <c r="T633" s="772"/>
      <c r="U633" s="772"/>
      <c r="V633" s="772"/>
      <c r="W633" s="772"/>
      <c r="X633" s="772"/>
      <c r="Y633" s="772"/>
      <c r="Z633" s="772"/>
      <c r="AA633" s="772"/>
      <c r="AB633" s="772"/>
      <c r="AC633" s="772"/>
      <c r="AD633" s="772"/>
      <c r="AE633" s="772"/>
      <c r="AF633" s="772"/>
      <c r="AG633" s="772"/>
      <c r="AH633" s="772"/>
      <c r="AI633" s="772"/>
    </row>
    <row r="634" ht="15.75" customHeight="1">
      <c r="A634" s="815"/>
      <c r="B634" s="782"/>
      <c r="C634" s="782"/>
      <c r="D634" s="782"/>
      <c r="E634" s="816"/>
      <c r="F634" s="816"/>
      <c r="G634" s="816"/>
      <c r="H634" s="817"/>
      <c r="I634" s="817"/>
      <c r="J634" s="817"/>
      <c r="K634" s="818"/>
      <c r="L634" s="772"/>
      <c r="M634" s="772"/>
      <c r="N634" s="772"/>
      <c r="O634" s="772"/>
      <c r="P634" s="772"/>
      <c r="Q634" s="772"/>
      <c r="R634" s="772"/>
      <c r="S634" s="772"/>
      <c r="T634" s="772"/>
      <c r="U634" s="772"/>
      <c r="V634" s="772"/>
      <c r="W634" s="772"/>
      <c r="X634" s="772"/>
      <c r="Y634" s="772"/>
      <c r="Z634" s="772"/>
      <c r="AA634" s="772"/>
      <c r="AB634" s="772"/>
      <c r="AC634" s="772"/>
      <c r="AD634" s="772"/>
      <c r="AE634" s="772"/>
      <c r="AF634" s="772"/>
      <c r="AG634" s="772"/>
      <c r="AH634" s="772"/>
      <c r="AI634" s="772"/>
    </row>
    <row r="635" ht="15.75" customHeight="1">
      <c r="A635" s="815"/>
      <c r="B635" s="782"/>
      <c r="C635" s="782"/>
      <c r="D635" s="782"/>
      <c r="E635" s="816"/>
      <c r="F635" s="816"/>
      <c r="G635" s="816"/>
      <c r="H635" s="817"/>
      <c r="I635" s="817"/>
      <c r="J635" s="817"/>
      <c r="K635" s="818"/>
      <c r="L635" s="772"/>
      <c r="M635" s="772"/>
      <c r="N635" s="772"/>
      <c r="O635" s="772"/>
      <c r="P635" s="772"/>
      <c r="Q635" s="772"/>
      <c r="R635" s="772"/>
      <c r="S635" s="772"/>
      <c r="T635" s="772"/>
      <c r="U635" s="772"/>
      <c r="V635" s="772"/>
      <c r="W635" s="772"/>
      <c r="X635" s="772"/>
      <c r="Y635" s="772"/>
      <c r="Z635" s="772"/>
      <c r="AA635" s="772"/>
      <c r="AB635" s="772"/>
      <c r="AC635" s="772"/>
      <c r="AD635" s="772"/>
      <c r="AE635" s="772"/>
      <c r="AF635" s="772"/>
      <c r="AG635" s="772"/>
      <c r="AH635" s="772"/>
      <c r="AI635" s="772"/>
    </row>
    <row r="636" ht="15.75" customHeight="1">
      <c r="A636" s="815"/>
      <c r="B636" s="782"/>
      <c r="C636" s="782"/>
      <c r="D636" s="782"/>
      <c r="E636" s="816"/>
      <c r="F636" s="816"/>
      <c r="G636" s="816"/>
      <c r="H636" s="817"/>
      <c r="I636" s="817"/>
      <c r="J636" s="817"/>
      <c r="K636" s="818"/>
      <c r="L636" s="772"/>
      <c r="M636" s="772"/>
      <c r="N636" s="772"/>
      <c r="O636" s="772"/>
      <c r="P636" s="772"/>
      <c r="Q636" s="772"/>
      <c r="R636" s="772"/>
      <c r="S636" s="772"/>
      <c r="T636" s="772"/>
      <c r="U636" s="772"/>
      <c r="V636" s="772"/>
      <c r="W636" s="772"/>
      <c r="X636" s="772"/>
      <c r="Y636" s="772"/>
      <c r="Z636" s="772"/>
      <c r="AA636" s="772"/>
      <c r="AB636" s="772"/>
      <c r="AC636" s="772"/>
      <c r="AD636" s="772"/>
      <c r="AE636" s="772"/>
      <c r="AF636" s="772"/>
      <c r="AG636" s="772"/>
      <c r="AH636" s="772"/>
      <c r="AI636" s="772"/>
    </row>
    <row r="637" ht="15.75" customHeight="1">
      <c r="A637" s="815"/>
      <c r="B637" s="782"/>
      <c r="C637" s="782"/>
      <c r="D637" s="782"/>
      <c r="E637" s="816"/>
      <c r="F637" s="816"/>
      <c r="G637" s="816"/>
      <c r="H637" s="817"/>
      <c r="I637" s="817"/>
      <c r="J637" s="817"/>
      <c r="K637" s="818"/>
      <c r="L637" s="772"/>
      <c r="M637" s="772"/>
      <c r="N637" s="772"/>
      <c r="O637" s="772"/>
      <c r="P637" s="772"/>
      <c r="Q637" s="772"/>
      <c r="R637" s="772"/>
      <c r="S637" s="772"/>
      <c r="T637" s="772"/>
      <c r="U637" s="772"/>
      <c r="V637" s="772"/>
      <c r="W637" s="772"/>
      <c r="X637" s="772"/>
      <c r="Y637" s="772"/>
      <c r="Z637" s="772"/>
      <c r="AA637" s="772"/>
      <c r="AB637" s="772"/>
      <c r="AC637" s="772"/>
      <c r="AD637" s="772"/>
      <c r="AE637" s="772"/>
      <c r="AF637" s="772"/>
      <c r="AG637" s="772"/>
      <c r="AH637" s="772"/>
      <c r="AI637" s="772"/>
    </row>
    <row r="638" ht="15.75" customHeight="1">
      <c r="A638" s="815"/>
      <c r="B638" s="782"/>
      <c r="C638" s="782"/>
      <c r="D638" s="782"/>
      <c r="E638" s="816"/>
      <c r="F638" s="816"/>
      <c r="G638" s="816"/>
      <c r="H638" s="817"/>
      <c r="I638" s="817"/>
      <c r="J638" s="817"/>
      <c r="K638" s="818"/>
      <c r="L638" s="772"/>
      <c r="M638" s="772"/>
      <c r="N638" s="772"/>
      <c r="O638" s="772"/>
      <c r="P638" s="772"/>
      <c r="Q638" s="772"/>
      <c r="R638" s="772"/>
      <c r="S638" s="772"/>
      <c r="T638" s="772"/>
      <c r="U638" s="772"/>
      <c r="V638" s="772"/>
      <c r="W638" s="772"/>
      <c r="X638" s="772"/>
      <c r="Y638" s="772"/>
      <c r="Z638" s="772"/>
      <c r="AA638" s="772"/>
      <c r="AB638" s="772"/>
      <c r="AC638" s="772"/>
      <c r="AD638" s="772"/>
      <c r="AE638" s="772"/>
      <c r="AF638" s="772"/>
      <c r="AG638" s="772"/>
      <c r="AH638" s="772"/>
      <c r="AI638" s="772"/>
    </row>
    <row r="639" ht="15.75" customHeight="1">
      <c r="A639" s="815"/>
      <c r="B639" s="782"/>
      <c r="C639" s="782"/>
      <c r="D639" s="782"/>
      <c r="E639" s="816"/>
      <c r="F639" s="816"/>
      <c r="G639" s="816"/>
      <c r="H639" s="817"/>
      <c r="I639" s="817"/>
      <c r="J639" s="817"/>
      <c r="K639" s="818"/>
      <c r="L639" s="772"/>
      <c r="M639" s="772"/>
      <c r="N639" s="772"/>
      <c r="O639" s="772"/>
      <c r="P639" s="772"/>
      <c r="Q639" s="772"/>
      <c r="R639" s="772"/>
      <c r="S639" s="772"/>
      <c r="T639" s="772"/>
      <c r="U639" s="772"/>
      <c r="V639" s="772"/>
      <c r="W639" s="772"/>
      <c r="X639" s="772"/>
      <c r="Y639" s="772"/>
      <c r="Z639" s="772"/>
      <c r="AA639" s="772"/>
      <c r="AB639" s="772"/>
      <c r="AC639" s="772"/>
      <c r="AD639" s="772"/>
      <c r="AE639" s="772"/>
      <c r="AF639" s="772"/>
      <c r="AG639" s="772"/>
      <c r="AH639" s="772"/>
      <c r="AI639" s="772"/>
    </row>
    <row r="640" ht="15.75" customHeight="1">
      <c r="A640" s="815"/>
      <c r="B640" s="782"/>
      <c r="C640" s="782"/>
      <c r="D640" s="782"/>
      <c r="E640" s="816"/>
      <c r="F640" s="816"/>
      <c r="G640" s="816"/>
      <c r="H640" s="817"/>
      <c r="I640" s="817"/>
      <c r="J640" s="817"/>
      <c r="K640" s="818"/>
      <c r="L640" s="772"/>
      <c r="M640" s="772"/>
      <c r="N640" s="772"/>
      <c r="O640" s="772"/>
      <c r="P640" s="772"/>
      <c r="Q640" s="772"/>
      <c r="R640" s="772"/>
      <c r="S640" s="772"/>
      <c r="T640" s="772"/>
      <c r="U640" s="772"/>
      <c r="V640" s="772"/>
      <c r="W640" s="772"/>
      <c r="X640" s="772"/>
      <c r="Y640" s="772"/>
      <c r="Z640" s="772"/>
      <c r="AA640" s="772"/>
      <c r="AB640" s="772"/>
      <c r="AC640" s="772"/>
      <c r="AD640" s="772"/>
      <c r="AE640" s="772"/>
      <c r="AF640" s="772"/>
      <c r="AG640" s="772"/>
      <c r="AH640" s="772"/>
      <c r="AI640" s="772"/>
    </row>
    <row r="641" ht="15.75" customHeight="1">
      <c r="A641" s="815"/>
      <c r="B641" s="782"/>
      <c r="C641" s="782"/>
      <c r="D641" s="782"/>
      <c r="E641" s="816"/>
      <c r="F641" s="816"/>
      <c r="G641" s="816"/>
      <c r="H641" s="817"/>
      <c r="I641" s="817"/>
      <c r="J641" s="817"/>
      <c r="K641" s="818"/>
      <c r="L641" s="772"/>
      <c r="M641" s="772"/>
      <c r="N641" s="772"/>
      <c r="O641" s="772"/>
      <c r="P641" s="772"/>
      <c r="Q641" s="772"/>
      <c r="R641" s="772"/>
      <c r="S641" s="772"/>
      <c r="T641" s="772"/>
      <c r="U641" s="772"/>
      <c r="V641" s="772"/>
      <c r="W641" s="772"/>
      <c r="X641" s="772"/>
      <c r="Y641" s="772"/>
      <c r="Z641" s="772"/>
      <c r="AA641" s="772"/>
      <c r="AB641" s="772"/>
      <c r="AC641" s="772"/>
      <c r="AD641" s="772"/>
      <c r="AE641" s="772"/>
      <c r="AF641" s="772"/>
      <c r="AG641" s="772"/>
      <c r="AH641" s="772"/>
      <c r="AI641" s="772"/>
    </row>
    <row r="642" ht="15.75" customHeight="1">
      <c r="A642" s="815"/>
      <c r="B642" s="782"/>
      <c r="C642" s="782"/>
      <c r="D642" s="782"/>
      <c r="E642" s="816"/>
      <c r="F642" s="816"/>
      <c r="G642" s="816"/>
      <c r="H642" s="817"/>
      <c r="I642" s="817"/>
      <c r="J642" s="817"/>
      <c r="K642" s="818"/>
      <c r="L642" s="772"/>
      <c r="M642" s="772"/>
      <c r="N642" s="772"/>
      <c r="O642" s="772"/>
      <c r="P642" s="772"/>
      <c r="Q642" s="772"/>
      <c r="R642" s="772"/>
      <c r="S642" s="772"/>
      <c r="T642" s="772"/>
      <c r="U642" s="772"/>
      <c r="V642" s="772"/>
      <c r="W642" s="772"/>
      <c r="X642" s="772"/>
      <c r="Y642" s="772"/>
      <c r="Z642" s="772"/>
      <c r="AA642" s="772"/>
      <c r="AB642" s="772"/>
      <c r="AC642" s="772"/>
      <c r="AD642" s="772"/>
      <c r="AE642" s="772"/>
      <c r="AF642" s="772"/>
      <c r="AG642" s="772"/>
      <c r="AH642" s="772"/>
      <c r="AI642" s="772"/>
    </row>
    <row r="643" ht="15.75" customHeight="1">
      <c r="A643" s="815"/>
      <c r="B643" s="782"/>
      <c r="C643" s="782"/>
      <c r="D643" s="782"/>
      <c r="E643" s="816"/>
      <c r="F643" s="816"/>
      <c r="G643" s="816"/>
      <c r="H643" s="817"/>
      <c r="I643" s="817"/>
      <c r="J643" s="817"/>
      <c r="K643" s="818"/>
      <c r="L643" s="772"/>
      <c r="M643" s="772"/>
      <c r="N643" s="772"/>
      <c r="O643" s="772"/>
      <c r="P643" s="772"/>
      <c r="Q643" s="772"/>
      <c r="R643" s="772"/>
      <c r="S643" s="772"/>
      <c r="T643" s="772"/>
      <c r="U643" s="772"/>
      <c r="V643" s="772"/>
      <c r="W643" s="772"/>
      <c r="X643" s="772"/>
      <c r="Y643" s="772"/>
      <c r="Z643" s="772"/>
      <c r="AA643" s="772"/>
      <c r="AB643" s="772"/>
      <c r="AC643" s="772"/>
      <c r="AD643" s="772"/>
      <c r="AE643" s="772"/>
      <c r="AF643" s="772"/>
      <c r="AG643" s="772"/>
      <c r="AH643" s="772"/>
      <c r="AI643" s="772"/>
    </row>
    <row r="644" ht="15.75" customHeight="1">
      <c r="A644" s="815"/>
      <c r="B644" s="782"/>
      <c r="C644" s="782"/>
      <c r="D644" s="782"/>
      <c r="E644" s="816"/>
      <c r="F644" s="816"/>
      <c r="G644" s="816"/>
      <c r="H644" s="817"/>
      <c r="I644" s="817"/>
      <c r="J644" s="817"/>
      <c r="K644" s="818"/>
      <c r="L644" s="772"/>
      <c r="M644" s="772"/>
      <c r="N644" s="772"/>
      <c r="O644" s="772"/>
      <c r="P644" s="772"/>
      <c r="Q644" s="772"/>
      <c r="R644" s="772"/>
      <c r="S644" s="772"/>
      <c r="T644" s="772"/>
      <c r="U644" s="772"/>
      <c r="V644" s="772"/>
      <c r="W644" s="772"/>
      <c r="X644" s="772"/>
      <c r="Y644" s="772"/>
      <c r="Z644" s="772"/>
      <c r="AA644" s="772"/>
      <c r="AB644" s="772"/>
      <c r="AC644" s="772"/>
      <c r="AD644" s="772"/>
      <c r="AE644" s="772"/>
      <c r="AF644" s="772"/>
      <c r="AG644" s="772"/>
      <c r="AH644" s="772"/>
      <c r="AI644" s="772"/>
    </row>
    <row r="645" ht="15.75" customHeight="1">
      <c r="A645" s="815"/>
      <c r="B645" s="782"/>
      <c r="C645" s="782"/>
      <c r="D645" s="782"/>
      <c r="E645" s="816"/>
      <c r="F645" s="816"/>
      <c r="G645" s="816"/>
      <c r="H645" s="817"/>
      <c r="I645" s="817"/>
      <c r="J645" s="817"/>
      <c r="K645" s="818"/>
      <c r="L645" s="772"/>
      <c r="M645" s="772"/>
      <c r="N645" s="772"/>
      <c r="O645" s="772"/>
      <c r="P645" s="772"/>
      <c r="Q645" s="772"/>
      <c r="R645" s="772"/>
      <c r="S645" s="772"/>
      <c r="T645" s="772"/>
      <c r="U645" s="772"/>
      <c r="V645" s="772"/>
      <c r="W645" s="772"/>
      <c r="X645" s="772"/>
      <c r="Y645" s="772"/>
      <c r="Z645" s="772"/>
      <c r="AA645" s="772"/>
      <c r="AB645" s="772"/>
      <c r="AC645" s="772"/>
      <c r="AD645" s="772"/>
      <c r="AE645" s="772"/>
      <c r="AF645" s="772"/>
      <c r="AG645" s="772"/>
      <c r="AH645" s="772"/>
      <c r="AI645" s="772"/>
    </row>
    <row r="646" ht="15.75" customHeight="1">
      <c r="A646" s="815"/>
      <c r="B646" s="782"/>
      <c r="C646" s="782"/>
      <c r="D646" s="782"/>
      <c r="E646" s="816"/>
      <c r="F646" s="816"/>
      <c r="G646" s="816"/>
      <c r="H646" s="817"/>
      <c r="I646" s="817"/>
      <c r="J646" s="817"/>
      <c r="K646" s="818"/>
      <c r="L646" s="772"/>
      <c r="M646" s="772"/>
      <c r="N646" s="772"/>
      <c r="O646" s="772"/>
      <c r="P646" s="772"/>
      <c r="Q646" s="772"/>
      <c r="R646" s="772"/>
      <c r="S646" s="772"/>
      <c r="T646" s="772"/>
      <c r="U646" s="772"/>
      <c r="V646" s="772"/>
      <c r="W646" s="772"/>
      <c r="X646" s="772"/>
      <c r="Y646" s="772"/>
      <c r="Z646" s="772"/>
      <c r="AA646" s="772"/>
      <c r="AB646" s="772"/>
      <c r="AC646" s="772"/>
      <c r="AD646" s="772"/>
      <c r="AE646" s="772"/>
      <c r="AF646" s="772"/>
      <c r="AG646" s="772"/>
      <c r="AH646" s="772"/>
      <c r="AI646" s="772"/>
    </row>
    <row r="647" ht="15.75" customHeight="1">
      <c r="A647" s="815"/>
      <c r="B647" s="782"/>
      <c r="C647" s="782"/>
      <c r="D647" s="782"/>
      <c r="E647" s="816"/>
      <c r="F647" s="816"/>
      <c r="G647" s="816"/>
      <c r="H647" s="817"/>
      <c r="I647" s="817"/>
      <c r="J647" s="817"/>
      <c r="K647" s="818"/>
      <c r="L647" s="772"/>
      <c r="M647" s="772"/>
      <c r="N647" s="772"/>
      <c r="O647" s="772"/>
      <c r="P647" s="772"/>
      <c r="Q647" s="772"/>
      <c r="R647" s="772"/>
      <c r="S647" s="772"/>
      <c r="T647" s="772"/>
      <c r="U647" s="772"/>
      <c r="V647" s="772"/>
      <c r="W647" s="772"/>
      <c r="X647" s="772"/>
      <c r="Y647" s="772"/>
      <c r="Z647" s="772"/>
      <c r="AA647" s="772"/>
      <c r="AB647" s="772"/>
      <c r="AC647" s="772"/>
      <c r="AD647" s="772"/>
      <c r="AE647" s="772"/>
      <c r="AF647" s="772"/>
      <c r="AG647" s="772"/>
      <c r="AH647" s="772"/>
      <c r="AI647" s="772"/>
    </row>
    <row r="648" ht="15.75" customHeight="1">
      <c r="A648" s="815"/>
      <c r="B648" s="782"/>
      <c r="C648" s="782"/>
      <c r="D648" s="782"/>
      <c r="E648" s="816"/>
      <c r="F648" s="816"/>
      <c r="G648" s="816"/>
      <c r="H648" s="817"/>
      <c r="I648" s="817"/>
      <c r="J648" s="817"/>
      <c r="K648" s="818"/>
      <c r="L648" s="772"/>
      <c r="M648" s="772"/>
      <c r="N648" s="772"/>
      <c r="O648" s="772"/>
      <c r="P648" s="772"/>
      <c r="Q648" s="772"/>
      <c r="R648" s="772"/>
      <c r="S648" s="772"/>
      <c r="T648" s="772"/>
      <c r="U648" s="772"/>
      <c r="V648" s="772"/>
      <c r="W648" s="772"/>
      <c r="X648" s="772"/>
      <c r="Y648" s="772"/>
      <c r="Z648" s="772"/>
      <c r="AA648" s="772"/>
      <c r="AB648" s="772"/>
      <c r="AC648" s="772"/>
      <c r="AD648" s="772"/>
      <c r="AE648" s="772"/>
      <c r="AF648" s="772"/>
      <c r="AG648" s="772"/>
      <c r="AH648" s="772"/>
      <c r="AI648" s="772"/>
    </row>
    <row r="649" ht="15.75" customHeight="1">
      <c r="A649" s="815"/>
      <c r="B649" s="782"/>
      <c r="C649" s="782"/>
      <c r="D649" s="782"/>
      <c r="E649" s="816"/>
      <c r="F649" s="816"/>
      <c r="G649" s="816"/>
      <c r="H649" s="817"/>
      <c r="I649" s="817"/>
      <c r="J649" s="817"/>
      <c r="K649" s="818"/>
      <c r="L649" s="772"/>
      <c r="M649" s="772"/>
      <c r="N649" s="772"/>
      <c r="O649" s="772"/>
      <c r="P649" s="772"/>
      <c r="Q649" s="772"/>
      <c r="R649" s="772"/>
      <c r="S649" s="772"/>
      <c r="T649" s="772"/>
      <c r="U649" s="772"/>
      <c r="V649" s="772"/>
      <c r="W649" s="772"/>
      <c r="X649" s="772"/>
      <c r="Y649" s="772"/>
      <c r="Z649" s="772"/>
      <c r="AA649" s="772"/>
      <c r="AB649" s="772"/>
      <c r="AC649" s="772"/>
      <c r="AD649" s="772"/>
      <c r="AE649" s="772"/>
      <c r="AF649" s="772"/>
      <c r="AG649" s="772"/>
      <c r="AH649" s="772"/>
      <c r="AI649" s="772"/>
    </row>
    <row r="650" ht="15.75" customHeight="1">
      <c r="A650" s="815"/>
      <c r="B650" s="782"/>
      <c r="C650" s="782"/>
      <c r="D650" s="782"/>
      <c r="E650" s="816"/>
      <c r="F650" s="816"/>
      <c r="G650" s="816"/>
      <c r="H650" s="817"/>
      <c r="I650" s="817"/>
      <c r="J650" s="817"/>
      <c r="K650" s="818"/>
      <c r="L650" s="772"/>
      <c r="M650" s="772"/>
      <c r="N650" s="772"/>
      <c r="O650" s="772"/>
      <c r="P650" s="772"/>
      <c r="Q650" s="772"/>
      <c r="R650" s="772"/>
      <c r="S650" s="772"/>
      <c r="T650" s="772"/>
      <c r="U650" s="772"/>
      <c r="V650" s="772"/>
      <c r="W650" s="772"/>
      <c r="X650" s="772"/>
      <c r="Y650" s="772"/>
      <c r="Z650" s="772"/>
      <c r="AA650" s="772"/>
      <c r="AB650" s="772"/>
      <c r="AC650" s="772"/>
      <c r="AD650" s="772"/>
      <c r="AE650" s="772"/>
      <c r="AF650" s="772"/>
      <c r="AG650" s="772"/>
      <c r="AH650" s="772"/>
      <c r="AI650" s="772"/>
    </row>
    <row r="651" ht="15.75" customHeight="1">
      <c r="A651" s="815"/>
      <c r="B651" s="782"/>
      <c r="C651" s="782"/>
      <c r="D651" s="782"/>
      <c r="E651" s="816"/>
      <c r="F651" s="816"/>
      <c r="G651" s="816"/>
      <c r="H651" s="817"/>
      <c r="I651" s="817"/>
      <c r="J651" s="817"/>
      <c r="K651" s="818"/>
      <c r="L651" s="772"/>
      <c r="M651" s="772"/>
      <c r="N651" s="772"/>
      <c r="O651" s="772"/>
      <c r="P651" s="772"/>
      <c r="Q651" s="772"/>
      <c r="R651" s="772"/>
      <c r="S651" s="772"/>
      <c r="T651" s="772"/>
      <c r="U651" s="772"/>
      <c r="V651" s="772"/>
      <c r="W651" s="772"/>
      <c r="X651" s="772"/>
      <c r="Y651" s="772"/>
      <c r="Z651" s="772"/>
      <c r="AA651" s="772"/>
      <c r="AB651" s="772"/>
      <c r="AC651" s="772"/>
      <c r="AD651" s="772"/>
      <c r="AE651" s="772"/>
      <c r="AF651" s="772"/>
      <c r="AG651" s="772"/>
      <c r="AH651" s="772"/>
      <c r="AI651" s="772"/>
    </row>
    <row r="652" ht="15.75" customHeight="1">
      <c r="A652" s="815"/>
      <c r="B652" s="782"/>
      <c r="C652" s="782"/>
      <c r="D652" s="782"/>
      <c r="E652" s="816"/>
      <c r="F652" s="816"/>
      <c r="G652" s="816"/>
      <c r="H652" s="817"/>
      <c r="I652" s="817"/>
      <c r="J652" s="817"/>
      <c r="K652" s="818"/>
      <c r="L652" s="772"/>
      <c r="M652" s="772"/>
      <c r="N652" s="772"/>
      <c r="O652" s="772"/>
      <c r="P652" s="772"/>
      <c r="Q652" s="772"/>
      <c r="R652" s="772"/>
      <c r="S652" s="772"/>
      <c r="T652" s="772"/>
      <c r="U652" s="772"/>
      <c r="V652" s="772"/>
      <c r="W652" s="772"/>
      <c r="X652" s="772"/>
      <c r="Y652" s="772"/>
      <c r="Z652" s="772"/>
      <c r="AA652" s="772"/>
      <c r="AB652" s="772"/>
      <c r="AC652" s="772"/>
      <c r="AD652" s="772"/>
      <c r="AE652" s="772"/>
      <c r="AF652" s="772"/>
      <c r="AG652" s="772"/>
      <c r="AH652" s="772"/>
      <c r="AI652" s="772"/>
    </row>
    <row r="653" ht="15.75" customHeight="1">
      <c r="A653" s="815"/>
      <c r="B653" s="782"/>
      <c r="C653" s="782"/>
      <c r="D653" s="782"/>
      <c r="E653" s="816"/>
      <c r="F653" s="816"/>
      <c r="G653" s="816"/>
      <c r="H653" s="817"/>
      <c r="I653" s="817"/>
      <c r="J653" s="817"/>
      <c r="K653" s="818"/>
      <c r="L653" s="772"/>
      <c r="M653" s="772"/>
      <c r="N653" s="772"/>
      <c r="O653" s="772"/>
      <c r="P653" s="772"/>
      <c r="Q653" s="772"/>
      <c r="R653" s="772"/>
      <c r="S653" s="772"/>
      <c r="T653" s="772"/>
      <c r="U653" s="772"/>
      <c r="V653" s="772"/>
      <c r="W653" s="772"/>
      <c r="X653" s="772"/>
      <c r="Y653" s="772"/>
      <c r="Z653" s="772"/>
      <c r="AA653" s="772"/>
      <c r="AB653" s="772"/>
      <c r="AC653" s="772"/>
      <c r="AD653" s="772"/>
      <c r="AE653" s="772"/>
      <c r="AF653" s="772"/>
      <c r="AG653" s="772"/>
      <c r="AH653" s="772"/>
      <c r="AI653" s="772"/>
    </row>
    <row r="654" ht="15.75" customHeight="1">
      <c r="A654" s="815"/>
      <c r="B654" s="782"/>
      <c r="C654" s="782"/>
      <c r="D654" s="782"/>
      <c r="E654" s="816"/>
      <c r="F654" s="816"/>
      <c r="G654" s="816"/>
      <c r="H654" s="817"/>
      <c r="I654" s="817"/>
      <c r="J654" s="817"/>
      <c r="K654" s="818"/>
      <c r="L654" s="772"/>
      <c r="M654" s="772"/>
      <c r="N654" s="772"/>
      <c r="O654" s="772"/>
      <c r="P654" s="772"/>
      <c r="Q654" s="772"/>
      <c r="R654" s="772"/>
      <c r="S654" s="772"/>
      <c r="T654" s="772"/>
      <c r="U654" s="772"/>
      <c r="V654" s="772"/>
      <c r="W654" s="772"/>
      <c r="X654" s="772"/>
      <c r="Y654" s="772"/>
      <c r="Z654" s="772"/>
      <c r="AA654" s="772"/>
      <c r="AB654" s="772"/>
      <c r="AC654" s="772"/>
      <c r="AD654" s="772"/>
      <c r="AE654" s="772"/>
      <c r="AF654" s="772"/>
      <c r="AG654" s="772"/>
      <c r="AH654" s="772"/>
      <c r="AI654" s="772"/>
    </row>
    <row r="655" ht="15.75" customHeight="1">
      <c r="A655" s="815"/>
      <c r="B655" s="782"/>
      <c r="C655" s="782"/>
      <c r="D655" s="782"/>
      <c r="E655" s="816"/>
      <c r="F655" s="816"/>
      <c r="G655" s="816"/>
      <c r="H655" s="817"/>
      <c r="I655" s="817"/>
      <c r="J655" s="817"/>
      <c r="K655" s="818"/>
      <c r="L655" s="772"/>
      <c r="M655" s="772"/>
      <c r="N655" s="772"/>
      <c r="O655" s="772"/>
      <c r="P655" s="772"/>
      <c r="Q655" s="772"/>
      <c r="R655" s="772"/>
      <c r="S655" s="772"/>
      <c r="T655" s="772"/>
      <c r="U655" s="772"/>
      <c r="V655" s="772"/>
      <c r="W655" s="772"/>
      <c r="X655" s="772"/>
      <c r="Y655" s="772"/>
      <c r="Z655" s="772"/>
      <c r="AA655" s="772"/>
      <c r="AB655" s="772"/>
      <c r="AC655" s="772"/>
      <c r="AD655" s="772"/>
      <c r="AE655" s="772"/>
      <c r="AF655" s="772"/>
      <c r="AG655" s="772"/>
      <c r="AH655" s="772"/>
      <c r="AI655" s="772"/>
    </row>
    <row r="656" ht="15.75" customHeight="1">
      <c r="A656" s="815"/>
      <c r="B656" s="782"/>
      <c r="C656" s="782"/>
      <c r="D656" s="782"/>
      <c r="E656" s="816"/>
      <c r="F656" s="816"/>
      <c r="G656" s="816"/>
      <c r="H656" s="817"/>
      <c r="I656" s="817"/>
      <c r="J656" s="817"/>
      <c r="K656" s="818"/>
      <c r="L656" s="772"/>
      <c r="M656" s="772"/>
      <c r="N656" s="772"/>
      <c r="O656" s="772"/>
      <c r="P656" s="772"/>
      <c r="Q656" s="772"/>
      <c r="R656" s="772"/>
      <c r="S656" s="772"/>
      <c r="T656" s="772"/>
      <c r="U656" s="772"/>
      <c r="V656" s="772"/>
      <c r="W656" s="772"/>
      <c r="X656" s="772"/>
      <c r="Y656" s="772"/>
      <c r="Z656" s="772"/>
      <c r="AA656" s="772"/>
      <c r="AB656" s="772"/>
      <c r="AC656" s="772"/>
      <c r="AD656" s="772"/>
      <c r="AE656" s="772"/>
      <c r="AF656" s="772"/>
      <c r="AG656" s="772"/>
      <c r="AH656" s="772"/>
      <c r="AI656" s="772"/>
    </row>
    <row r="657" ht="15.75" customHeight="1">
      <c r="A657" s="815"/>
      <c r="B657" s="782"/>
      <c r="C657" s="782"/>
      <c r="D657" s="782"/>
      <c r="E657" s="816"/>
      <c r="F657" s="816"/>
      <c r="G657" s="816"/>
      <c r="H657" s="817"/>
      <c r="I657" s="817"/>
      <c r="J657" s="817"/>
      <c r="K657" s="818"/>
      <c r="L657" s="772"/>
      <c r="M657" s="772"/>
      <c r="N657" s="772"/>
      <c r="O657" s="772"/>
      <c r="P657" s="772"/>
      <c r="Q657" s="772"/>
      <c r="R657" s="772"/>
      <c r="S657" s="772"/>
      <c r="T657" s="772"/>
      <c r="U657" s="772"/>
      <c r="V657" s="772"/>
      <c r="W657" s="772"/>
      <c r="X657" s="772"/>
      <c r="Y657" s="772"/>
      <c r="Z657" s="772"/>
      <c r="AA657" s="772"/>
      <c r="AB657" s="772"/>
      <c r="AC657" s="772"/>
      <c r="AD657" s="772"/>
      <c r="AE657" s="772"/>
      <c r="AF657" s="772"/>
      <c r="AG657" s="772"/>
      <c r="AH657" s="772"/>
      <c r="AI657" s="772"/>
    </row>
    <row r="658" ht="15.75" customHeight="1">
      <c r="A658" s="815"/>
      <c r="B658" s="782"/>
      <c r="C658" s="782"/>
      <c r="D658" s="782"/>
      <c r="E658" s="816"/>
      <c r="F658" s="816"/>
      <c r="G658" s="816"/>
      <c r="H658" s="817"/>
      <c r="I658" s="817"/>
      <c r="J658" s="817"/>
      <c r="K658" s="818"/>
      <c r="L658" s="772"/>
      <c r="M658" s="772"/>
      <c r="N658" s="772"/>
      <c r="O658" s="772"/>
      <c r="P658" s="772"/>
      <c r="Q658" s="772"/>
      <c r="R658" s="772"/>
      <c r="S658" s="772"/>
      <c r="T658" s="772"/>
      <c r="U658" s="772"/>
      <c r="V658" s="772"/>
      <c r="W658" s="772"/>
      <c r="X658" s="772"/>
      <c r="Y658" s="772"/>
      <c r="Z658" s="772"/>
      <c r="AA658" s="772"/>
      <c r="AB658" s="772"/>
      <c r="AC658" s="772"/>
      <c r="AD658" s="772"/>
      <c r="AE658" s="772"/>
      <c r="AF658" s="772"/>
      <c r="AG658" s="772"/>
      <c r="AH658" s="772"/>
      <c r="AI658" s="772"/>
    </row>
    <row r="659" ht="15.75" customHeight="1">
      <c r="A659" s="815"/>
      <c r="B659" s="782"/>
      <c r="C659" s="782"/>
      <c r="D659" s="782"/>
      <c r="E659" s="816"/>
      <c r="F659" s="816"/>
      <c r="G659" s="816"/>
      <c r="H659" s="817"/>
      <c r="I659" s="817"/>
      <c r="J659" s="817"/>
      <c r="K659" s="818"/>
      <c r="L659" s="772"/>
      <c r="M659" s="772"/>
      <c r="N659" s="772"/>
      <c r="O659" s="772"/>
      <c r="P659" s="772"/>
      <c r="Q659" s="772"/>
      <c r="R659" s="772"/>
      <c r="S659" s="772"/>
      <c r="T659" s="772"/>
      <c r="U659" s="772"/>
      <c r="V659" s="772"/>
      <c r="W659" s="772"/>
      <c r="X659" s="772"/>
      <c r="Y659" s="772"/>
      <c r="Z659" s="772"/>
      <c r="AA659" s="772"/>
      <c r="AB659" s="772"/>
      <c r="AC659" s="772"/>
      <c r="AD659" s="772"/>
      <c r="AE659" s="772"/>
      <c r="AF659" s="772"/>
      <c r="AG659" s="772"/>
      <c r="AH659" s="772"/>
      <c r="AI659" s="772"/>
    </row>
    <row r="660" ht="15.75" customHeight="1">
      <c r="A660" s="815"/>
      <c r="B660" s="782"/>
      <c r="C660" s="782"/>
      <c r="D660" s="782"/>
      <c r="E660" s="816"/>
      <c r="F660" s="816"/>
      <c r="G660" s="816"/>
      <c r="H660" s="817"/>
      <c r="I660" s="817"/>
      <c r="J660" s="817"/>
      <c r="K660" s="818"/>
      <c r="L660" s="772"/>
      <c r="M660" s="772"/>
      <c r="N660" s="772"/>
      <c r="O660" s="772"/>
      <c r="P660" s="772"/>
      <c r="Q660" s="772"/>
      <c r="R660" s="772"/>
      <c r="S660" s="772"/>
      <c r="T660" s="772"/>
      <c r="U660" s="772"/>
      <c r="V660" s="772"/>
      <c r="W660" s="772"/>
      <c r="X660" s="772"/>
      <c r="Y660" s="772"/>
      <c r="Z660" s="772"/>
      <c r="AA660" s="772"/>
      <c r="AB660" s="772"/>
      <c r="AC660" s="772"/>
      <c r="AD660" s="772"/>
      <c r="AE660" s="772"/>
      <c r="AF660" s="772"/>
      <c r="AG660" s="772"/>
      <c r="AH660" s="772"/>
      <c r="AI660" s="772"/>
    </row>
    <row r="661" ht="15.75" customHeight="1">
      <c r="A661" s="815"/>
      <c r="B661" s="782"/>
      <c r="C661" s="782"/>
      <c r="D661" s="782"/>
      <c r="E661" s="816"/>
      <c r="F661" s="816"/>
      <c r="G661" s="816"/>
      <c r="H661" s="817"/>
      <c r="I661" s="817"/>
      <c r="J661" s="817"/>
      <c r="K661" s="818"/>
      <c r="L661" s="772"/>
      <c r="M661" s="772"/>
      <c r="N661" s="772"/>
      <c r="O661" s="772"/>
      <c r="P661" s="772"/>
      <c r="Q661" s="772"/>
      <c r="R661" s="772"/>
      <c r="S661" s="772"/>
      <c r="T661" s="772"/>
      <c r="U661" s="772"/>
      <c r="V661" s="772"/>
      <c r="W661" s="772"/>
      <c r="X661" s="772"/>
      <c r="Y661" s="772"/>
      <c r="Z661" s="772"/>
      <c r="AA661" s="772"/>
      <c r="AB661" s="772"/>
      <c r="AC661" s="772"/>
      <c r="AD661" s="772"/>
      <c r="AE661" s="772"/>
      <c r="AF661" s="772"/>
      <c r="AG661" s="772"/>
      <c r="AH661" s="772"/>
      <c r="AI661" s="772"/>
    </row>
    <row r="662" ht="15.75" customHeight="1">
      <c r="A662" s="815"/>
      <c r="B662" s="782"/>
      <c r="C662" s="782"/>
      <c r="D662" s="782"/>
      <c r="E662" s="816"/>
      <c r="F662" s="816"/>
      <c r="G662" s="816"/>
      <c r="H662" s="817"/>
      <c r="I662" s="817"/>
      <c r="J662" s="817"/>
      <c r="K662" s="818"/>
      <c r="L662" s="772"/>
      <c r="M662" s="772"/>
      <c r="N662" s="772"/>
      <c r="O662" s="772"/>
      <c r="P662" s="772"/>
      <c r="Q662" s="772"/>
      <c r="R662" s="772"/>
      <c r="S662" s="772"/>
      <c r="T662" s="772"/>
      <c r="U662" s="772"/>
      <c r="V662" s="772"/>
      <c r="W662" s="772"/>
      <c r="X662" s="772"/>
      <c r="Y662" s="772"/>
      <c r="Z662" s="772"/>
      <c r="AA662" s="772"/>
      <c r="AB662" s="772"/>
      <c r="AC662" s="772"/>
      <c r="AD662" s="772"/>
      <c r="AE662" s="772"/>
      <c r="AF662" s="772"/>
      <c r="AG662" s="772"/>
      <c r="AH662" s="772"/>
      <c r="AI662" s="772"/>
    </row>
    <row r="663" ht="15.75" customHeight="1">
      <c r="A663" s="815"/>
      <c r="B663" s="782"/>
      <c r="C663" s="782"/>
      <c r="D663" s="782"/>
      <c r="E663" s="816"/>
      <c r="F663" s="816"/>
      <c r="G663" s="816"/>
      <c r="H663" s="817"/>
      <c r="I663" s="817"/>
      <c r="J663" s="817"/>
      <c r="K663" s="818"/>
      <c r="L663" s="772"/>
      <c r="M663" s="772"/>
      <c r="N663" s="772"/>
      <c r="O663" s="772"/>
      <c r="P663" s="772"/>
      <c r="Q663" s="772"/>
      <c r="R663" s="772"/>
      <c r="S663" s="772"/>
      <c r="T663" s="772"/>
      <c r="U663" s="772"/>
      <c r="V663" s="772"/>
      <c r="W663" s="772"/>
      <c r="X663" s="772"/>
      <c r="Y663" s="772"/>
      <c r="Z663" s="772"/>
      <c r="AA663" s="772"/>
      <c r="AB663" s="772"/>
      <c r="AC663" s="772"/>
      <c r="AD663" s="772"/>
      <c r="AE663" s="772"/>
      <c r="AF663" s="772"/>
      <c r="AG663" s="772"/>
      <c r="AH663" s="772"/>
      <c r="AI663" s="772"/>
    </row>
    <row r="664" ht="15.75" customHeight="1">
      <c r="A664" s="815"/>
      <c r="B664" s="782"/>
      <c r="C664" s="782"/>
      <c r="D664" s="782"/>
      <c r="E664" s="816"/>
      <c r="F664" s="816"/>
      <c r="G664" s="816"/>
      <c r="H664" s="817"/>
      <c r="I664" s="817"/>
      <c r="J664" s="817"/>
      <c r="K664" s="818"/>
      <c r="L664" s="772"/>
      <c r="M664" s="772"/>
      <c r="N664" s="772"/>
      <c r="O664" s="772"/>
      <c r="P664" s="772"/>
      <c r="Q664" s="772"/>
      <c r="R664" s="772"/>
      <c r="S664" s="772"/>
      <c r="T664" s="772"/>
      <c r="U664" s="772"/>
      <c r="V664" s="772"/>
      <c r="W664" s="772"/>
      <c r="X664" s="772"/>
      <c r="Y664" s="772"/>
      <c r="Z664" s="772"/>
      <c r="AA664" s="772"/>
      <c r="AB664" s="772"/>
      <c r="AC664" s="772"/>
      <c r="AD664" s="772"/>
      <c r="AE664" s="772"/>
      <c r="AF664" s="772"/>
      <c r="AG664" s="772"/>
      <c r="AH664" s="772"/>
      <c r="AI664" s="772"/>
    </row>
    <row r="665" ht="15.75" customHeight="1">
      <c r="A665" s="815"/>
      <c r="B665" s="782"/>
      <c r="C665" s="782"/>
      <c r="D665" s="782"/>
      <c r="E665" s="816"/>
      <c r="F665" s="816"/>
      <c r="G665" s="816"/>
      <c r="H665" s="817"/>
      <c r="I665" s="817"/>
      <c r="J665" s="817"/>
      <c r="K665" s="818"/>
      <c r="L665" s="772"/>
      <c r="M665" s="772"/>
      <c r="N665" s="772"/>
      <c r="O665" s="772"/>
      <c r="P665" s="772"/>
      <c r="Q665" s="772"/>
      <c r="R665" s="772"/>
      <c r="S665" s="772"/>
      <c r="T665" s="772"/>
      <c r="U665" s="772"/>
      <c r="V665" s="772"/>
      <c r="W665" s="772"/>
      <c r="X665" s="772"/>
      <c r="Y665" s="772"/>
      <c r="Z665" s="772"/>
      <c r="AA665" s="772"/>
      <c r="AB665" s="772"/>
      <c r="AC665" s="772"/>
      <c r="AD665" s="772"/>
      <c r="AE665" s="772"/>
      <c r="AF665" s="772"/>
      <c r="AG665" s="772"/>
      <c r="AH665" s="772"/>
      <c r="AI665" s="772"/>
    </row>
    <row r="666" ht="15.75" customHeight="1">
      <c r="A666" s="815"/>
      <c r="B666" s="782"/>
      <c r="C666" s="782"/>
      <c r="D666" s="782"/>
      <c r="E666" s="816"/>
      <c r="F666" s="816"/>
      <c r="G666" s="816"/>
      <c r="H666" s="817"/>
      <c r="I666" s="817"/>
      <c r="J666" s="817"/>
      <c r="K666" s="818"/>
      <c r="L666" s="772"/>
      <c r="M666" s="772"/>
      <c r="N666" s="772"/>
      <c r="O666" s="772"/>
      <c r="P666" s="772"/>
      <c r="Q666" s="772"/>
      <c r="R666" s="772"/>
      <c r="S666" s="772"/>
      <c r="T666" s="772"/>
      <c r="U666" s="772"/>
      <c r="V666" s="772"/>
      <c r="W666" s="772"/>
      <c r="X666" s="772"/>
      <c r="Y666" s="772"/>
      <c r="Z666" s="772"/>
      <c r="AA666" s="772"/>
      <c r="AB666" s="772"/>
      <c r="AC666" s="772"/>
      <c r="AD666" s="772"/>
      <c r="AE666" s="772"/>
      <c r="AF666" s="772"/>
      <c r="AG666" s="772"/>
      <c r="AH666" s="772"/>
      <c r="AI666" s="772"/>
    </row>
    <row r="667" ht="15.75" customHeight="1">
      <c r="A667" s="815"/>
      <c r="B667" s="782"/>
      <c r="C667" s="782"/>
      <c r="D667" s="782"/>
      <c r="E667" s="816"/>
      <c r="F667" s="816"/>
      <c r="G667" s="816"/>
      <c r="H667" s="817"/>
      <c r="I667" s="817"/>
      <c r="J667" s="817"/>
      <c r="K667" s="818"/>
      <c r="L667" s="772"/>
      <c r="M667" s="772"/>
      <c r="N667" s="772"/>
      <c r="O667" s="772"/>
      <c r="P667" s="772"/>
      <c r="Q667" s="772"/>
      <c r="R667" s="772"/>
      <c r="S667" s="772"/>
      <c r="T667" s="772"/>
      <c r="U667" s="772"/>
      <c r="V667" s="772"/>
      <c r="W667" s="772"/>
      <c r="X667" s="772"/>
      <c r="Y667" s="772"/>
      <c r="Z667" s="772"/>
      <c r="AA667" s="772"/>
      <c r="AB667" s="772"/>
      <c r="AC667" s="772"/>
      <c r="AD667" s="772"/>
      <c r="AE667" s="772"/>
      <c r="AF667" s="772"/>
      <c r="AG667" s="772"/>
      <c r="AH667" s="772"/>
      <c r="AI667" s="772"/>
    </row>
    <row r="668" ht="15.75" customHeight="1">
      <c r="A668" s="815"/>
      <c r="B668" s="782"/>
      <c r="C668" s="782"/>
      <c r="D668" s="782"/>
      <c r="E668" s="816"/>
      <c r="F668" s="816"/>
      <c r="G668" s="816"/>
      <c r="H668" s="817"/>
      <c r="I668" s="817"/>
      <c r="J668" s="817"/>
      <c r="K668" s="818"/>
      <c r="L668" s="772"/>
      <c r="M668" s="772"/>
      <c r="N668" s="772"/>
      <c r="O668" s="772"/>
      <c r="P668" s="772"/>
      <c r="Q668" s="772"/>
      <c r="R668" s="772"/>
      <c r="S668" s="772"/>
      <c r="T668" s="772"/>
      <c r="U668" s="772"/>
      <c r="V668" s="772"/>
      <c r="W668" s="772"/>
      <c r="X668" s="772"/>
      <c r="Y668" s="772"/>
      <c r="Z668" s="772"/>
      <c r="AA668" s="772"/>
      <c r="AB668" s="772"/>
      <c r="AC668" s="772"/>
      <c r="AD668" s="772"/>
      <c r="AE668" s="772"/>
      <c r="AF668" s="772"/>
      <c r="AG668" s="772"/>
      <c r="AH668" s="772"/>
      <c r="AI668" s="772"/>
    </row>
    <row r="669" ht="15.75" customHeight="1">
      <c r="A669" s="815"/>
      <c r="B669" s="782"/>
      <c r="C669" s="782"/>
      <c r="D669" s="782"/>
      <c r="E669" s="816"/>
      <c r="F669" s="816"/>
      <c r="G669" s="816"/>
      <c r="H669" s="817"/>
      <c r="I669" s="817"/>
      <c r="J669" s="817"/>
      <c r="K669" s="818"/>
      <c r="L669" s="772"/>
      <c r="M669" s="772"/>
      <c r="N669" s="772"/>
      <c r="O669" s="772"/>
      <c r="P669" s="772"/>
      <c r="Q669" s="772"/>
      <c r="R669" s="772"/>
      <c r="S669" s="772"/>
      <c r="T669" s="772"/>
      <c r="U669" s="772"/>
      <c r="V669" s="772"/>
      <c r="W669" s="772"/>
      <c r="X669" s="772"/>
      <c r="Y669" s="772"/>
      <c r="Z669" s="772"/>
      <c r="AA669" s="772"/>
      <c r="AB669" s="772"/>
      <c r="AC669" s="772"/>
      <c r="AD669" s="772"/>
      <c r="AE669" s="772"/>
      <c r="AF669" s="772"/>
      <c r="AG669" s="772"/>
      <c r="AH669" s="772"/>
      <c r="AI669" s="772"/>
    </row>
    <row r="670" ht="15.75" customHeight="1">
      <c r="A670" s="815"/>
      <c r="B670" s="782"/>
      <c r="C670" s="782"/>
      <c r="D670" s="782"/>
      <c r="E670" s="816"/>
      <c r="F670" s="816"/>
      <c r="G670" s="816"/>
      <c r="H670" s="817"/>
      <c r="I670" s="817"/>
      <c r="J670" s="817"/>
      <c r="K670" s="818"/>
      <c r="L670" s="772"/>
      <c r="M670" s="772"/>
      <c r="N670" s="772"/>
      <c r="O670" s="772"/>
      <c r="P670" s="772"/>
      <c r="Q670" s="772"/>
      <c r="R670" s="772"/>
      <c r="S670" s="772"/>
      <c r="T670" s="772"/>
      <c r="U670" s="772"/>
      <c r="V670" s="772"/>
      <c r="W670" s="772"/>
      <c r="X670" s="772"/>
      <c r="Y670" s="772"/>
      <c r="Z670" s="772"/>
      <c r="AA670" s="772"/>
      <c r="AB670" s="772"/>
      <c r="AC670" s="772"/>
      <c r="AD670" s="772"/>
      <c r="AE670" s="772"/>
      <c r="AF670" s="772"/>
      <c r="AG670" s="772"/>
      <c r="AH670" s="772"/>
      <c r="AI670" s="772"/>
    </row>
    <row r="671" ht="15.75" customHeight="1">
      <c r="A671" s="815"/>
      <c r="B671" s="782"/>
      <c r="C671" s="782"/>
      <c r="D671" s="782"/>
      <c r="E671" s="816"/>
      <c r="F671" s="816"/>
      <c r="G671" s="816"/>
      <c r="H671" s="817"/>
      <c r="I671" s="817"/>
      <c r="J671" s="817"/>
      <c r="K671" s="818"/>
      <c r="L671" s="772"/>
      <c r="M671" s="772"/>
      <c r="N671" s="772"/>
      <c r="O671" s="772"/>
      <c r="P671" s="772"/>
      <c r="Q671" s="772"/>
      <c r="R671" s="772"/>
      <c r="S671" s="772"/>
      <c r="T671" s="772"/>
      <c r="U671" s="772"/>
      <c r="V671" s="772"/>
      <c r="W671" s="772"/>
      <c r="X671" s="772"/>
      <c r="Y671" s="772"/>
      <c r="Z671" s="772"/>
      <c r="AA671" s="772"/>
      <c r="AB671" s="772"/>
      <c r="AC671" s="772"/>
      <c r="AD671" s="772"/>
      <c r="AE671" s="772"/>
      <c r="AF671" s="772"/>
      <c r="AG671" s="772"/>
      <c r="AH671" s="772"/>
      <c r="AI671" s="772"/>
    </row>
    <row r="672" ht="15.75" customHeight="1">
      <c r="A672" s="815"/>
      <c r="B672" s="782"/>
      <c r="C672" s="782"/>
      <c r="D672" s="782"/>
      <c r="E672" s="816"/>
      <c r="F672" s="816"/>
      <c r="G672" s="816"/>
      <c r="H672" s="817"/>
      <c r="I672" s="817"/>
      <c r="J672" s="817"/>
      <c r="K672" s="818"/>
      <c r="L672" s="772"/>
      <c r="M672" s="772"/>
      <c r="N672" s="772"/>
      <c r="O672" s="772"/>
      <c r="P672" s="772"/>
      <c r="Q672" s="772"/>
      <c r="R672" s="772"/>
      <c r="S672" s="772"/>
      <c r="T672" s="772"/>
      <c r="U672" s="772"/>
      <c r="V672" s="772"/>
      <c r="W672" s="772"/>
      <c r="X672" s="772"/>
      <c r="Y672" s="772"/>
      <c r="Z672" s="772"/>
      <c r="AA672" s="772"/>
      <c r="AB672" s="772"/>
      <c r="AC672" s="772"/>
      <c r="AD672" s="772"/>
      <c r="AE672" s="772"/>
      <c r="AF672" s="772"/>
      <c r="AG672" s="772"/>
      <c r="AH672" s="772"/>
      <c r="AI672" s="772"/>
    </row>
    <row r="673" ht="15.75" customHeight="1">
      <c r="A673" s="815"/>
      <c r="B673" s="782"/>
      <c r="C673" s="782"/>
      <c r="D673" s="782"/>
      <c r="E673" s="816"/>
      <c r="F673" s="816"/>
      <c r="G673" s="816"/>
      <c r="H673" s="817"/>
      <c r="I673" s="817"/>
      <c r="J673" s="817"/>
      <c r="K673" s="818"/>
      <c r="L673" s="772"/>
      <c r="M673" s="772"/>
      <c r="N673" s="772"/>
      <c r="O673" s="772"/>
      <c r="P673" s="772"/>
      <c r="Q673" s="772"/>
      <c r="R673" s="772"/>
      <c r="S673" s="772"/>
      <c r="T673" s="772"/>
      <c r="U673" s="772"/>
      <c r="V673" s="772"/>
      <c r="W673" s="772"/>
      <c r="X673" s="772"/>
      <c r="Y673" s="772"/>
      <c r="Z673" s="772"/>
      <c r="AA673" s="772"/>
      <c r="AB673" s="772"/>
      <c r="AC673" s="772"/>
      <c r="AD673" s="772"/>
      <c r="AE673" s="772"/>
      <c r="AF673" s="772"/>
      <c r="AG673" s="772"/>
      <c r="AH673" s="772"/>
      <c r="AI673" s="772"/>
    </row>
    <row r="674" ht="15.75" customHeight="1">
      <c r="A674" s="815"/>
      <c r="B674" s="782"/>
      <c r="C674" s="782"/>
      <c r="D674" s="782"/>
      <c r="E674" s="816"/>
      <c r="F674" s="816"/>
      <c r="G674" s="816"/>
      <c r="H674" s="817"/>
      <c r="I674" s="817"/>
      <c r="J674" s="817"/>
      <c r="K674" s="818"/>
      <c r="L674" s="772"/>
      <c r="M674" s="772"/>
      <c r="N674" s="772"/>
      <c r="O674" s="772"/>
      <c r="P674" s="772"/>
      <c r="Q674" s="772"/>
      <c r="R674" s="772"/>
      <c r="S674" s="772"/>
      <c r="T674" s="772"/>
      <c r="U674" s="772"/>
      <c r="V674" s="772"/>
      <c r="W674" s="772"/>
      <c r="X674" s="772"/>
      <c r="Y674" s="772"/>
      <c r="Z674" s="772"/>
      <c r="AA674" s="772"/>
      <c r="AB674" s="772"/>
      <c r="AC674" s="772"/>
      <c r="AD674" s="772"/>
      <c r="AE674" s="772"/>
      <c r="AF674" s="772"/>
      <c r="AG674" s="772"/>
      <c r="AH674" s="772"/>
      <c r="AI674" s="772"/>
    </row>
    <row r="675" ht="15.75" customHeight="1">
      <c r="A675" s="815"/>
      <c r="B675" s="782"/>
      <c r="C675" s="782"/>
      <c r="D675" s="782"/>
      <c r="E675" s="816"/>
      <c r="F675" s="816"/>
      <c r="G675" s="816"/>
      <c r="H675" s="817"/>
      <c r="I675" s="817"/>
      <c r="J675" s="817"/>
      <c r="K675" s="818"/>
      <c r="L675" s="772"/>
      <c r="M675" s="772"/>
      <c r="N675" s="772"/>
      <c r="O675" s="772"/>
      <c r="P675" s="772"/>
      <c r="Q675" s="772"/>
      <c r="R675" s="772"/>
      <c r="S675" s="772"/>
      <c r="T675" s="772"/>
      <c r="U675" s="772"/>
      <c r="V675" s="772"/>
      <c r="W675" s="772"/>
      <c r="X675" s="772"/>
      <c r="Y675" s="772"/>
      <c r="Z675" s="772"/>
      <c r="AA675" s="772"/>
      <c r="AB675" s="772"/>
      <c r="AC675" s="772"/>
      <c r="AD675" s="772"/>
      <c r="AE675" s="772"/>
      <c r="AF675" s="772"/>
      <c r="AG675" s="772"/>
      <c r="AH675" s="772"/>
      <c r="AI675" s="772"/>
    </row>
    <row r="676" ht="15.75" customHeight="1">
      <c r="A676" s="815"/>
      <c r="B676" s="782"/>
      <c r="C676" s="782"/>
      <c r="D676" s="782"/>
      <c r="E676" s="816"/>
      <c r="F676" s="816"/>
      <c r="G676" s="816"/>
      <c r="H676" s="817"/>
      <c r="I676" s="817"/>
      <c r="J676" s="817"/>
      <c r="K676" s="818"/>
      <c r="L676" s="772"/>
      <c r="M676" s="772"/>
      <c r="N676" s="772"/>
      <c r="O676" s="772"/>
      <c r="P676" s="772"/>
      <c r="Q676" s="772"/>
      <c r="R676" s="772"/>
      <c r="S676" s="772"/>
      <c r="T676" s="772"/>
      <c r="U676" s="772"/>
      <c r="V676" s="772"/>
      <c r="W676" s="772"/>
      <c r="X676" s="772"/>
      <c r="Y676" s="772"/>
      <c r="Z676" s="772"/>
      <c r="AA676" s="772"/>
      <c r="AB676" s="772"/>
      <c r="AC676" s="772"/>
      <c r="AD676" s="772"/>
      <c r="AE676" s="772"/>
      <c r="AF676" s="772"/>
      <c r="AG676" s="772"/>
      <c r="AH676" s="772"/>
      <c r="AI676" s="772"/>
    </row>
    <row r="677" ht="15.75" customHeight="1">
      <c r="A677" s="815"/>
      <c r="B677" s="782"/>
      <c r="C677" s="782"/>
      <c r="D677" s="782"/>
      <c r="E677" s="816"/>
      <c r="F677" s="816"/>
      <c r="G677" s="816"/>
      <c r="H677" s="817"/>
      <c r="I677" s="817"/>
      <c r="J677" s="817"/>
      <c r="K677" s="818"/>
      <c r="L677" s="772"/>
      <c r="M677" s="772"/>
      <c r="N677" s="772"/>
      <c r="O677" s="772"/>
      <c r="P677" s="772"/>
      <c r="Q677" s="772"/>
      <c r="R677" s="772"/>
      <c r="S677" s="772"/>
      <c r="T677" s="772"/>
      <c r="U677" s="772"/>
      <c r="V677" s="772"/>
      <c r="W677" s="772"/>
      <c r="X677" s="772"/>
      <c r="Y677" s="772"/>
      <c r="Z677" s="772"/>
      <c r="AA677" s="772"/>
      <c r="AB677" s="772"/>
      <c r="AC677" s="772"/>
      <c r="AD677" s="772"/>
      <c r="AE677" s="772"/>
      <c r="AF677" s="772"/>
      <c r="AG677" s="772"/>
      <c r="AH677" s="772"/>
      <c r="AI677" s="772"/>
    </row>
    <row r="678" ht="15.75" customHeight="1">
      <c r="A678" s="815"/>
      <c r="B678" s="782"/>
      <c r="C678" s="782"/>
      <c r="D678" s="782"/>
      <c r="E678" s="816"/>
      <c r="F678" s="816"/>
      <c r="G678" s="816"/>
      <c r="H678" s="817"/>
      <c r="I678" s="817"/>
      <c r="J678" s="817"/>
      <c r="K678" s="818"/>
      <c r="L678" s="772"/>
      <c r="M678" s="772"/>
      <c r="N678" s="772"/>
      <c r="O678" s="772"/>
      <c r="P678" s="772"/>
      <c r="Q678" s="772"/>
      <c r="R678" s="772"/>
      <c r="S678" s="772"/>
      <c r="T678" s="772"/>
      <c r="U678" s="772"/>
      <c r="V678" s="772"/>
      <c r="W678" s="772"/>
      <c r="X678" s="772"/>
      <c r="Y678" s="772"/>
      <c r="Z678" s="772"/>
      <c r="AA678" s="772"/>
      <c r="AB678" s="772"/>
      <c r="AC678" s="772"/>
      <c r="AD678" s="772"/>
      <c r="AE678" s="772"/>
      <c r="AF678" s="772"/>
      <c r="AG678" s="772"/>
      <c r="AH678" s="772"/>
      <c r="AI678" s="772"/>
    </row>
    <row r="679" ht="15.75" customHeight="1">
      <c r="A679" s="815"/>
      <c r="B679" s="782"/>
      <c r="C679" s="782"/>
      <c r="D679" s="782"/>
      <c r="E679" s="816"/>
      <c r="F679" s="816"/>
      <c r="G679" s="816"/>
      <c r="H679" s="817"/>
      <c r="I679" s="817"/>
      <c r="J679" s="817"/>
      <c r="K679" s="818"/>
      <c r="L679" s="772"/>
      <c r="M679" s="772"/>
      <c r="N679" s="772"/>
      <c r="O679" s="772"/>
      <c r="P679" s="772"/>
      <c r="Q679" s="772"/>
      <c r="R679" s="772"/>
      <c r="S679" s="772"/>
      <c r="T679" s="772"/>
      <c r="U679" s="772"/>
      <c r="V679" s="772"/>
      <c r="W679" s="772"/>
      <c r="X679" s="772"/>
      <c r="Y679" s="772"/>
      <c r="Z679" s="772"/>
      <c r="AA679" s="772"/>
      <c r="AB679" s="772"/>
      <c r="AC679" s="772"/>
      <c r="AD679" s="772"/>
      <c r="AE679" s="772"/>
      <c r="AF679" s="772"/>
      <c r="AG679" s="772"/>
      <c r="AH679" s="772"/>
      <c r="AI679" s="772"/>
    </row>
    <row r="680" ht="15.75" customHeight="1">
      <c r="A680" s="815"/>
      <c r="B680" s="782"/>
      <c r="C680" s="782"/>
      <c r="D680" s="782"/>
      <c r="E680" s="816"/>
      <c r="F680" s="816"/>
      <c r="G680" s="816"/>
      <c r="H680" s="817"/>
      <c r="I680" s="817"/>
      <c r="J680" s="817"/>
      <c r="K680" s="818"/>
      <c r="L680" s="772"/>
      <c r="M680" s="772"/>
      <c r="N680" s="772"/>
      <c r="O680" s="772"/>
      <c r="P680" s="772"/>
      <c r="Q680" s="772"/>
      <c r="R680" s="772"/>
      <c r="S680" s="772"/>
      <c r="T680" s="772"/>
      <c r="U680" s="772"/>
      <c r="V680" s="772"/>
      <c r="W680" s="772"/>
      <c r="X680" s="772"/>
      <c r="Y680" s="772"/>
      <c r="Z680" s="772"/>
      <c r="AA680" s="772"/>
      <c r="AB680" s="772"/>
      <c r="AC680" s="772"/>
      <c r="AD680" s="772"/>
      <c r="AE680" s="772"/>
      <c r="AF680" s="772"/>
      <c r="AG680" s="772"/>
      <c r="AH680" s="772"/>
      <c r="AI680" s="772"/>
    </row>
    <row r="681" ht="15.75" customHeight="1">
      <c r="A681" s="815"/>
      <c r="B681" s="782"/>
      <c r="C681" s="782"/>
      <c r="D681" s="782"/>
      <c r="E681" s="816"/>
      <c r="F681" s="816"/>
      <c r="G681" s="816"/>
      <c r="H681" s="817"/>
      <c r="I681" s="817"/>
      <c r="J681" s="817"/>
      <c r="K681" s="818"/>
      <c r="L681" s="772"/>
      <c r="M681" s="772"/>
      <c r="N681" s="772"/>
      <c r="O681" s="772"/>
      <c r="P681" s="772"/>
      <c r="Q681" s="772"/>
      <c r="R681" s="772"/>
      <c r="S681" s="772"/>
      <c r="T681" s="772"/>
      <c r="U681" s="772"/>
      <c r="V681" s="772"/>
      <c r="W681" s="772"/>
      <c r="X681" s="772"/>
      <c r="Y681" s="772"/>
      <c r="Z681" s="772"/>
      <c r="AA681" s="772"/>
      <c r="AB681" s="772"/>
      <c r="AC681" s="772"/>
      <c r="AD681" s="772"/>
      <c r="AE681" s="772"/>
      <c r="AF681" s="772"/>
      <c r="AG681" s="772"/>
      <c r="AH681" s="772"/>
      <c r="AI681" s="772"/>
    </row>
    <row r="682" ht="15.75" customHeight="1">
      <c r="A682" s="815"/>
      <c r="B682" s="782"/>
      <c r="C682" s="782"/>
      <c r="D682" s="782"/>
      <c r="E682" s="816"/>
      <c r="F682" s="816"/>
      <c r="G682" s="816"/>
      <c r="H682" s="817"/>
      <c r="I682" s="817"/>
      <c r="J682" s="817"/>
      <c r="K682" s="818"/>
      <c r="L682" s="772"/>
      <c r="M682" s="772"/>
      <c r="N682" s="772"/>
      <c r="O682" s="772"/>
      <c r="P682" s="772"/>
      <c r="Q682" s="772"/>
      <c r="R682" s="772"/>
      <c r="S682" s="772"/>
      <c r="T682" s="772"/>
      <c r="U682" s="772"/>
      <c r="V682" s="772"/>
      <c r="W682" s="772"/>
      <c r="X682" s="772"/>
      <c r="Y682" s="772"/>
      <c r="Z682" s="772"/>
      <c r="AA682" s="772"/>
      <c r="AB682" s="772"/>
      <c r="AC682" s="772"/>
      <c r="AD682" s="772"/>
      <c r="AE682" s="772"/>
      <c r="AF682" s="772"/>
      <c r="AG682" s="772"/>
      <c r="AH682" s="772"/>
      <c r="AI682" s="772"/>
    </row>
    <row r="683" ht="15.75" customHeight="1">
      <c r="A683" s="815"/>
      <c r="B683" s="782"/>
      <c r="C683" s="782"/>
      <c r="D683" s="782"/>
      <c r="E683" s="816"/>
      <c r="F683" s="816"/>
      <c r="G683" s="816"/>
      <c r="H683" s="817"/>
      <c r="I683" s="817"/>
      <c r="J683" s="817"/>
      <c r="K683" s="818"/>
      <c r="L683" s="772"/>
      <c r="M683" s="772"/>
      <c r="N683" s="772"/>
      <c r="O683" s="772"/>
      <c r="P683" s="772"/>
      <c r="Q683" s="772"/>
      <c r="R683" s="772"/>
      <c r="S683" s="772"/>
      <c r="T683" s="772"/>
      <c r="U683" s="772"/>
      <c r="V683" s="772"/>
      <c r="W683" s="772"/>
      <c r="X683" s="772"/>
      <c r="Y683" s="772"/>
      <c r="Z683" s="772"/>
      <c r="AA683" s="772"/>
      <c r="AB683" s="772"/>
      <c r="AC683" s="772"/>
      <c r="AD683" s="772"/>
      <c r="AE683" s="772"/>
      <c r="AF683" s="772"/>
      <c r="AG683" s="772"/>
      <c r="AH683" s="772"/>
      <c r="AI683" s="772"/>
    </row>
    <row r="684" ht="15.75" customHeight="1">
      <c r="A684" s="815"/>
      <c r="B684" s="782"/>
      <c r="C684" s="782"/>
      <c r="D684" s="782"/>
      <c r="E684" s="816"/>
      <c r="F684" s="816"/>
      <c r="G684" s="816"/>
      <c r="H684" s="817"/>
      <c r="I684" s="817"/>
      <c r="J684" s="817"/>
      <c r="K684" s="818"/>
      <c r="L684" s="772"/>
      <c r="M684" s="772"/>
      <c r="N684" s="772"/>
      <c r="O684" s="772"/>
      <c r="P684" s="772"/>
      <c r="Q684" s="772"/>
      <c r="R684" s="772"/>
      <c r="S684" s="772"/>
      <c r="T684" s="772"/>
      <c r="U684" s="772"/>
      <c r="V684" s="772"/>
      <c r="W684" s="772"/>
      <c r="X684" s="772"/>
      <c r="Y684" s="772"/>
      <c r="Z684" s="772"/>
      <c r="AA684" s="772"/>
      <c r="AB684" s="772"/>
      <c r="AC684" s="772"/>
      <c r="AD684" s="772"/>
      <c r="AE684" s="772"/>
      <c r="AF684" s="772"/>
      <c r="AG684" s="772"/>
      <c r="AH684" s="772"/>
      <c r="AI684" s="772"/>
    </row>
    <row r="685" ht="15.75" customHeight="1">
      <c r="A685" s="815"/>
      <c r="B685" s="782"/>
      <c r="C685" s="782"/>
      <c r="D685" s="782"/>
      <c r="E685" s="816"/>
      <c r="F685" s="816"/>
      <c r="G685" s="816"/>
      <c r="H685" s="817"/>
      <c r="I685" s="817"/>
      <c r="J685" s="817"/>
      <c r="K685" s="818"/>
      <c r="L685" s="772"/>
      <c r="M685" s="772"/>
      <c r="N685" s="772"/>
      <c r="O685" s="772"/>
      <c r="P685" s="772"/>
      <c r="Q685" s="772"/>
      <c r="R685" s="772"/>
      <c r="S685" s="772"/>
      <c r="T685" s="772"/>
      <c r="U685" s="772"/>
      <c r="V685" s="772"/>
      <c r="W685" s="772"/>
      <c r="X685" s="772"/>
      <c r="Y685" s="772"/>
      <c r="Z685" s="772"/>
      <c r="AA685" s="772"/>
      <c r="AB685" s="772"/>
      <c r="AC685" s="772"/>
      <c r="AD685" s="772"/>
      <c r="AE685" s="772"/>
      <c r="AF685" s="772"/>
      <c r="AG685" s="772"/>
      <c r="AH685" s="772"/>
      <c r="AI685" s="772"/>
    </row>
    <row r="686" ht="15.75" customHeight="1">
      <c r="A686" s="815"/>
      <c r="B686" s="782"/>
      <c r="C686" s="782"/>
      <c r="D686" s="782"/>
      <c r="E686" s="816"/>
      <c r="F686" s="816"/>
      <c r="G686" s="816"/>
      <c r="H686" s="817"/>
      <c r="I686" s="817"/>
      <c r="J686" s="817"/>
      <c r="K686" s="818"/>
      <c r="L686" s="772"/>
      <c r="M686" s="772"/>
      <c r="N686" s="772"/>
      <c r="O686" s="772"/>
      <c r="P686" s="772"/>
      <c r="Q686" s="772"/>
      <c r="R686" s="772"/>
      <c r="S686" s="772"/>
      <c r="T686" s="772"/>
      <c r="U686" s="772"/>
      <c r="V686" s="772"/>
      <c r="W686" s="772"/>
      <c r="X686" s="772"/>
      <c r="Y686" s="772"/>
      <c r="Z686" s="772"/>
      <c r="AA686" s="772"/>
      <c r="AB686" s="772"/>
      <c r="AC686" s="772"/>
      <c r="AD686" s="772"/>
      <c r="AE686" s="772"/>
      <c r="AF686" s="772"/>
      <c r="AG686" s="772"/>
      <c r="AH686" s="772"/>
      <c r="AI686" s="772"/>
    </row>
    <row r="687" ht="15.75" customHeight="1">
      <c r="A687" s="815"/>
      <c r="B687" s="782"/>
      <c r="C687" s="782"/>
      <c r="D687" s="782"/>
      <c r="E687" s="816"/>
      <c r="F687" s="816"/>
      <c r="G687" s="816"/>
      <c r="H687" s="817"/>
      <c r="I687" s="817"/>
      <c r="J687" s="817"/>
      <c r="K687" s="818"/>
      <c r="L687" s="772"/>
      <c r="M687" s="772"/>
      <c r="N687" s="772"/>
      <c r="O687" s="772"/>
      <c r="P687" s="772"/>
      <c r="Q687" s="772"/>
      <c r="R687" s="772"/>
      <c r="S687" s="772"/>
      <c r="T687" s="772"/>
      <c r="U687" s="772"/>
      <c r="V687" s="772"/>
      <c r="W687" s="772"/>
      <c r="X687" s="772"/>
      <c r="Y687" s="772"/>
      <c r="Z687" s="772"/>
      <c r="AA687" s="772"/>
      <c r="AB687" s="772"/>
      <c r="AC687" s="772"/>
      <c r="AD687" s="772"/>
      <c r="AE687" s="772"/>
      <c r="AF687" s="772"/>
      <c r="AG687" s="772"/>
      <c r="AH687" s="772"/>
      <c r="AI687" s="772"/>
    </row>
    <row r="688" ht="15.75" customHeight="1">
      <c r="A688" s="815"/>
      <c r="B688" s="782"/>
      <c r="C688" s="782"/>
      <c r="D688" s="782"/>
      <c r="E688" s="816"/>
      <c r="F688" s="816"/>
      <c r="G688" s="816"/>
      <c r="H688" s="817"/>
      <c r="I688" s="817"/>
      <c r="J688" s="817"/>
      <c r="K688" s="818"/>
      <c r="L688" s="772"/>
      <c r="M688" s="772"/>
      <c r="N688" s="772"/>
      <c r="O688" s="772"/>
      <c r="P688" s="772"/>
      <c r="Q688" s="772"/>
      <c r="R688" s="772"/>
      <c r="S688" s="772"/>
      <c r="T688" s="772"/>
      <c r="U688" s="772"/>
      <c r="V688" s="772"/>
      <c r="W688" s="772"/>
      <c r="X688" s="772"/>
      <c r="Y688" s="772"/>
      <c r="Z688" s="772"/>
      <c r="AA688" s="772"/>
      <c r="AB688" s="772"/>
      <c r="AC688" s="772"/>
      <c r="AD688" s="772"/>
      <c r="AE688" s="772"/>
      <c r="AF688" s="772"/>
      <c r="AG688" s="772"/>
      <c r="AH688" s="772"/>
      <c r="AI688" s="772"/>
    </row>
    <row r="689" ht="15.75" customHeight="1">
      <c r="A689" s="815"/>
      <c r="B689" s="782"/>
      <c r="C689" s="782"/>
      <c r="D689" s="782"/>
      <c r="E689" s="816"/>
      <c r="F689" s="816"/>
      <c r="G689" s="816"/>
      <c r="H689" s="817"/>
      <c r="I689" s="817"/>
      <c r="J689" s="817"/>
      <c r="K689" s="818"/>
      <c r="L689" s="772"/>
      <c r="M689" s="772"/>
      <c r="N689" s="772"/>
      <c r="O689" s="772"/>
      <c r="P689" s="772"/>
      <c r="Q689" s="772"/>
      <c r="R689" s="772"/>
      <c r="S689" s="772"/>
      <c r="T689" s="772"/>
      <c r="U689" s="772"/>
      <c r="V689" s="772"/>
      <c r="W689" s="772"/>
      <c r="X689" s="772"/>
      <c r="Y689" s="772"/>
      <c r="Z689" s="772"/>
      <c r="AA689" s="772"/>
      <c r="AB689" s="772"/>
      <c r="AC689" s="772"/>
      <c r="AD689" s="772"/>
      <c r="AE689" s="772"/>
      <c r="AF689" s="772"/>
      <c r="AG689" s="772"/>
      <c r="AH689" s="772"/>
      <c r="AI689" s="772"/>
    </row>
    <row r="690" ht="15.75" customHeight="1">
      <c r="A690" s="815"/>
      <c r="B690" s="782"/>
      <c r="C690" s="782"/>
      <c r="D690" s="782"/>
      <c r="E690" s="816"/>
      <c r="F690" s="816"/>
      <c r="G690" s="816"/>
      <c r="H690" s="817"/>
      <c r="I690" s="817"/>
      <c r="J690" s="817"/>
      <c r="K690" s="818"/>
      <c r="L690" s="772"/>
      <c r="M690" s="772"/>
      <c r="N690" s="772"/>
      <c r="O690" s="772"/>
      <c r="P690" s="772"/>
      <c r="Q690" s="772"/>
      <c r="R690" s="772"/>
      <c r="S690" s="772"/>
      <c r="T690" s="772"/>
      <c r="U690" s="772"/>
      <c r="V690" s="772"/>
      <c r="W690" s="772"/>
      <c r="X690" s="772"/>
      <c r="Y690" s="772"/>
      <c r="Z690" s="772"/>
      <c r="AA690" s="772"/>
      <c r="AB690" s="772"/>
      <c r="AC690" s="772"/>
      <c r="AD690" s="772"/>
      <c r="AE690" s="772"/>
      <c r="AF690" s="772"/>
      <c r="AG690" s="772"/>
      <c r="AH690" s="772"/>
      <c r="AI690" s="772"/>
    </row>
    <row r="691" ht="15.75" customHeight="1">
      <c r="A691" s="815"/>
      <c r="B691" s="782"/>
      <c r="C691" s="782"/>
      <c r="D691" s="782"/>
      <c r="E691" s="816"/>
      <c r="F691" s="816"/>
      <c r="G691" s="816"/>
      <c r="H691" s="817"/>
      <c r="I691" s="817"/>
      <c r="J691" s="817"/>
      <c r="K691" s="818"/>
      <c r="L691" s="772"/>
      <c r="M691" s="772"/>
      <c r="N691" s="772"/>
      <c r="O691" s="772"/>
      <c r="P691" s="772"/>
      <c r="Q691" s="772"/>
      <c r="R691" s="772"/>
      <c r="S691" s="772"/>
      <c r="T691" s="772"/>
      <c r="U691" s="772"/>
      <c r="V691" s="772"/>
      <c r="W691" s="772"/>
      <c r="X691" s="772"/>
      <c r="Y691" s="772"/>
      <c r="Z691" s="772"/>
      <c r="AA691" s="772"/>
      <c r="AB691" s="772"/>
      <c r="AC691" s="772"/>
      <c r="AD691" s="772"/>
      <c r="AE691" s="772"/>
      <c r="AF691" s="772"/>
      <c r="AG691" s="772"/>
      <c r="AH691" s="772"/>
      <c r="AI691" s="772"/>
    </row>
    <row r="692" ht="15.75" customHeight="1">
      <c r="A692" s="815"/>
      <c r="B692" s="782"/>
      <c r="C692" s="782"/>
      <c r="D692" s="782"/>
      <c r="E692" s="816"/>
      <c r="F692" s="816"/>
      <c r="G692" s="816"/>
      <c r="H692" s="817"/>
      <c r="I692" s="817"/>
      <c r="J692" s="817"/>
      <c r="K692" s="818"/>
      <c r="L692" s="772"/>
      <c r="M692" s="772"/>
      <c r="N692" s="772"/>
      <c r="O692" s="772"/>
      <c r="P692" s="772"/>
      <c r="Q692" s="772"/>
      <c r="R692" s="772"/>
      <c r="S692" s="772"/>
      <c r="T692" s="772"/>
      <c r="U692" s="772"/>
      <c r="V692" s="772"/>
      <c r="W692" s="772"/>
      <c r="X692" s="772"/>
      <c r="Y692" s="772"/>
      <c r="Z692" s="772"/>
      <c r="AA692" s="772"/>
      <c r="AB692" s="772"/>
      <c r="AC692" s="772"/>
      <c r="AD692" s="772"/>
      <c r="AE692" s="772"/>
      <c r="AF692" s="772"/>
      <c r="AG692" s="772"/>
      <c r="AH692" s="772"/>
      <c r="AI692" s="772"/>
    </row>
    <row r="693" ht="15.75" customHeight="1">
      <c r="A693" s="815"/>
      <c r="B693" s="782"/>
      <c r="C693" s="782"/>
      <c r="D693" s="782"/>
      <c r="E693" s="816"/>
      <c r="F693" s="816"/>
      <c r="G693" s="816"/>
      <c r="H693" s="817"/>
      <c r="I693" s="817"/>
      <c r="J693" s="817"/>
      <c r="K693" s="818"/>
      <c r="L693" s="772"/>
      <c r="M693" s="772"/>
      <c r="N693" s="772"/>
      <c r="O693" s="772"/>
      <c r="P693" s="772"/>
      <c r="Q693" s="772"/>
      <c r="R693" s="772"/>
      <c r="S693" s="772"/>
      <c r="T693" s="772"/>
      <c r="U693" s="772"/>
      <c r="V693" s="772"/>
      <c r="W693" s="772"/>
      <c r="X693" s="772"/>
      <c r="Y693" s="772"/>
      <c r="Z693" s="772"/>
      <c r="AA693" s="772"/>
      <c r="AB693" s="772"/>
      <c r="AC693" s="772"/>
      <c r="AD693" s="772"/>
      <c r="AE693" s="772"/>
      <c r="AF693" s="772"/>
      <c r="AG693" s="772"/>
      <c r="AH693" s="772"/>
      <c r="AI693" s="772"/>
    </row>
    <row r="694" ht="15.75" customHeight="1">
      <c r="A694" s="815"/>
      <c r="B694" s="782"/>
      <c r="C694" s="782"/>
      <c r="D694" s="782"/>
      <c r="E694" s="816"/>
      <c r="F694" s="816"/>
      <c r="G694" s="816"/>
      <c r="H694" s="817"/>
      <c r="I694" s="817"/>
      <c r="J694" s="817"/>
      <c r="K694" s="818"/>
      <c r="L694" s="772"/>
      <c r="M694" s="772"/>
      <c r="N694" s="772"/>
      <c r="O694" s="772"/>
      <c r="P694" s="772"/>
      <c r="Q694" s="772"/>
      <c r="R694" s="772"/>
      <c r="S694" s="772"/>
      <c r="T694" s="772"/>
      <c r="U694" s="772"/>
      <c r="V694" s="772"/>
      <c r="W694" s="772"/>
      <c r="X694" s="772"/>
      <c r="Y694" s="772"/>
      <c r="Z694" s="772"/>
      <c r="AA694" s="772"/>
      <c r="AB694" s="772"/>
      <c r="AC694" s="772"/>
      <c r="AD694" s="772"/>
      <c r="AE694" s="772"/>
      <c r="AF694" s="772"/>
      <c r="AG694" s="772"/>
      <c r="AH694" s="772"/>
      <c r="AI694" s="772"/>
    </row>
    <row r="695" ht="15.75" customHeight="1">
      <c r="A695" s="815"/>
      <c r="B695" s="782"/>
      <c r="C695" s="782"/>
      <c r="D695" s="782"/>
      <c r="E695" s="816"/>
      <c r="F695" s="816"/>
      <c r="G695" s="816"/>
      <c r="H695" s="817"/>
      <c r="I695" s="817"/>
      <c r="J695" s="817"/>
      <c r="K695" s="818"/>
      <c r="L695" s="772"/>
      <c r="M695" s="772"/>
      <c r="N695" s="772"/>
      <c r="O695" s="772"/>
      <c r="P695" s="772"/>
      <c r="Q695" s="772"/>
      <c r="R695" s="772"/>
      <c r="S695" s="772"/>
      <c r="T695" s="772"/>
      <c r="U695" s="772"/>
      <c r="V695" s="772"/>
      <c r="W695" s="772"/>
      <c r="X695" s="772"/>
      <c r="Y695" s="772"/>
      <c r="Z695" s="772"/>
      <c r="AA695" s="772"/>
      <c r="AB695" s="772"/>
      <c r="AC695" s="772"/>
      <c r="AD695" s="772"/>
      <c r="AE695" s="772"/>
      <c r="AF695" s="772"/>
      <c r="AG695" s="772"/>
      <c r="AH695" s="772"/>
      <c r="AI695" s="772"/>
    </row>
    <row r="696" ht="15.75" customHeight="1">
      <c r="A696" s="815"/>
      <c r="B696" s="782"/>
      <c r="C696" s="782"/>
      <c r="D696" s="782"/>
      <c r="E696" s="816"/>
      <c r="F696" s="816"/>
      <c r="G696" s="816"/>
      <c r="H696" s="817"/>
      <c r="I696" s="817"/>
      <c r="J696" s="817"/>
      <c r="K696" s="818"/>
      <c r="L696" s="772"/>
      <c r="M696" s="772"/>
      <c r="N696" s="772"/>
      <c r="O696" s="772"/>
      <c r="P696" s="772"/>
      <c r="Q696" s="772"/>
      <c r="R696" s="772"/>
      <c r="S696" s="772"/>
      <c r="T696" s="772"/>
      <c r="U696" s="772"/>
      <c r="V696" s="772"/>
      <c r="W696" s="772"/>
      <c r="X696" s="772"/>
      <c r="Y696" s="772"/>
      <c r="Z696" s="772"/>
      <c r="AA696" s="772"/>
      <c r="AB696" s="772"/>
      <c r="AC696" s="772"/>
      <c r="AD696" s="772"/>
      <c r="AE696" s="772"/>
      <c r="AF696" s="772"/>
      <c r="AG696" s="772"/>
      <c r="AH696" s="772"/>
      <c r="AI696" s="772"/>
    </row>
    <row r="697" ht="15.75" customHeight="1">
      <c r="A697" s="815"/>
      <c r="B697" s="782"/>
      <c r="C697" s="782"/>
      <c r="D697" s="782"/>
      <c r="E697" s="816"/>
      <c r="F697" s="816"/>
      <c r="G697" s="816"/>
      <c r="H697" s="817"/>
      <c r="I697" s="817"/>
      <c r="J697" s="817"/>
      <c r="K697" s="818"/>
      <c r="L697" s="772"/>
      <c r="M697" s="772"/>
      <c r="N697" s="772"/>
      <c r="O697" s="772"/>
      <c r="P697" s="772"/>
      <c r="Q697" s="772"/>
      <c r="R697" s="772"/>
      <c r="S697" s="772"/>
      <c r="T697" s="772"/>
      <c r="U697" s="772"/>
      <c r="V697" s="772"/>
      <c r="W697" s="772"/>
      <c r="X697" s="772"/>
      <c r="Y697" s="772"/>
      <c r="Z697" s="772"/>
      <c r="AA697" s="772"/>
      <c r="AB697" s="772"/>
      <c r="AC697" s="772"/>
      <c r="AD697" s="772"/>
      <c r="AE697" s="772"/>
      <c r="AF697" s="772"/>
      <c r="AG697" s="772"/>
      <c r="AH697" s="772"/>
      <c r="AI697" s="772"/>
    </row>
    <row r="698" ht="15.75" customHeight="1">
      <c r="A698" s="815"/>
      <c r="B698" s="782"/>
      <c r="C698" s="782"/>
      <c r="D698" s="782"/>
      <c r="E698" s="816"/>
      <c r="F698" s="816"/>
      <c r="G698" s="816"/>
      <c r="H698" s="817"/>
      <c r="I698" s="817"/>
      <c r="J698" s="817"/>
      <c r="K698" s="818"/>
      <c r="L698" s="772"/>
      <c r="M698" s="772"/>
      <c r="N698" s="772"/>
      <c r="O698" s="772"/>
      <c r="P698" s="772"/>
      <c r="Q698" s="772"/>
      <c r="R698" s="772"/>
      <c r="S698" s="772"/>
      <c r="T698" s="772"/>
      <c r="U698" s="772"/>
      <c r="V698" s="772"/>
      <c r="W698" s="772"/>
      <c r="X698" s="772"/>
      <c r="Y698" s="772"/>
      <c r="Z698" s="772"/>
      <c r="AA698" s="772"/>
      <c r="AB698" s="772"/>
      <c r="AC698" s="772"/>
      <c r="AD698" s="772"/>
      <c r="AE698" s="772"/>
      <c r="AF698" s="772"/>
      <c r="AG698" s="772"/>
      <c r="AH698" s="772"/>
      <c r="AI698" s="772"/>
    </row>
    <row r="699" ht="15.75" customHeight="1">
      <c r="A699" s="815"/>
      <c r="B699" s="782"/>
      <c r="C699" s="782"/>
      <c r="D699" s="782"/>
      <c r="E699" s="816"/>
      <c r="F699" s="816"/>
      <c r="G699" s="816"/>
      <c r="H699" s="817"/>
      <c r="I699" s="817"/>
      <c r="J699" s="817"/>
      <c r="K699" s="818"/>
      <c r="L699" s="772"/>
      <c r="M699" s="772"/>
      <c r="N699" s="772"/>
      <c r="O699" s="772"/>
      <c r="P699" s="772"/>
      <c r="Q699" s="772"/>
      <c r="R699" s="772"/>
      <c r="S699" s="772"/>
      <c r="T699" s="772"/>
      <c r="U699" s="772"/>
      <c r="V699" s="772"/>
      <c r="W699" s="772"/>
      <c r="X699" s="772"/>
      <c r="Y699" s="772"/>
      <c r="Z699" s="772"/>
      <c r="AA699" s="772"/>
      <c r="AB699" s="772"/>
      <c r="AC699" s="772"/>
      <c r="AD699" s="772"/>
      <c r="AE699" s="772"/>
      <c r="AF699" s="772"/>
      <c r="AG699" s="772"/>
      <c r="AH699" s="772"/>
      <c r="AI699" s="772"/>
    </row>
    <row r="700" ht="15.75" customHeight="1">
      <c r="A700" s="815"/>
      <c r="B700" s="782"/>
      <c r="C700" s="782"/>
      <c r="D700" s="782"/>
      <c r="E700" s="816"/>
      <c r="F700" s="816"/>
      <c r="G700" s="816"/>
      <c r="H700" s="817"/>
      <c r="I700" s="817"/>
      <c r="J700" s="817"/>
      <c r="K700" s="818"/>
      <c r="L700" s="772"/>
      <c r="M700" s="772"/>
      <c r="N700" s="772"/>
      <c r="O700" s="772"/>
      <c r="P700" s="772"/>
      <c r="Q700" s="772"/>
      <c r="R700" s="772"/>
      <c r="S700" s="772"/>
      <c r="T700" s="772"/>
      <c r="U700" s="772"/>
      <c r="V700" s="772"/>
      <c r="W700" s="772"/>
      <c r="X700" s="772"/>
      <c r="Y700" s="772"/>
      <c r="Z700" s="772"/>
      <c r="AA700" s="772"/>
      <c r="AB700" s="772"/>
      <c r="AC700" s="772"/>
      <c r="AD700" s="772"/>
      <c r="AE700" s="772"/>
      <c r="AF700" s="772"/>
      <c r="AG700" s="772"/>
      <c r="AH700" s="772"/>
      <c r="AI700" s="772"/>
    </row>
    <row r="701" ht="15.75" customHeight="1">
      <c r="A701" s="815"/>
      <c r="B701" s="782"/>
      <c r="C701" s="782"/>
      <c r="D701" s="782"/>
      <c r="E701" s="816"/>
      <c r="F701" s="816"/>
      <c r="G701" s="816"/>
      <c r="H701" s="817"/>
      <c r="I701" s="817"/>
      <c r="J701" s="817"/>
      <c r="K701" s="818"/>
      <c r="L701" s="772"/>
      <c r="M701" s="772"/>
      <c r="N701" s="772"/>
      <c r="O701" s="772"/>
      <c r="P701" s="772"/>
      <c r="Q701" s="772"/>
      <c r="R701" s="772"/>
      <c r="S701" s="772"/>
      <c r="T701" s="772"/>
      <c r="U701" s="772"/>
      <c r="V701" s="772"/>
      <c r="W701" s="772"/>
      <c r="X701" s="772"/>
      <c r="Y701" s="772"/>
      <c r="Z701" s="772"/>
      <c r="AA701" s="772"/>
      <c r="AB701" s="772"/>
      <c r="AC701" s="772"/>
      <c r="AD701" s="772"/>
      <c r="AE701" s="772"/>
      <c r="AF701" s="772"/>
      <c r="AG701" s="772"/>
      <c r="AH701" s="772"/>
      <c r="AI701" s="772"/>
    </row>
    <row r="702" ht="15.75" customHeight="1">
      <c r="A702" s="815"/>
      <c r="B702" s="782"/>
      <c r="C702" s="782"/>
      <c r="D702" s="782"/>
      <c r="E702" s="816"/>
      <c r="F702" s="816"/>
      <c r="G702" s="816"/>
      <c r="H702" s="817"/>
      <c r="I702" s="817"/>
      <c r="J702" s="817"/>
      <c r="K702" s="818"/>
      <c r="L702" s="772"/>
      <c r="M702" s="772"/>
      <c r="N702" s="772"/>
      <c r="O702" s="772"/>
      <c r="P702" s="772"/>
      <c r="Q702" s="772"/>
      <c r="R702" s="772"/>
      <c r="S702" s="772"/>
      <c r="T702" s="772"/>
      <c r="U702" s="772"/>
      <c r="V702" s="772"/>
      <c r="W702" s="772"/>
      <c r="X702" s="772"/>
      <c r="Y702" s="772"/>
      <c r="Z702" s="772"/>
      <c r="AA702" s="772"/>
      <c r="AB702" s="772"/>
      <c r="AC702" s="772"/>
      <c r="AD702" s="772"/>
      <c r="AE702" s="772"/>
      <c r="AF702" s="772"/>
      <c r="AG702" s="772"/>
      <c r="AH702" s="772"/>
      <c r="AI702" s="772"/>
    </row>
    <row r="703" ht="15.75" customHeight="1">
      <c r="A703" s="815"/>
      <c r="B703" s="782"/>
      <c r="C703" s="782"/>
      <c r="D703" s="782"/>
      <c r="E703" s="816"/>
      <c r="F703" s="816"/>
      <c r="G703" s="816"/>
      <c r="H703" s="817"/>
      <c r="I703" s="817"/>
      <c r="J703" s="817"/>
      <c r="K703" s="818"/>
      <c r="L703" s="772"/>
      <c r="M703" s="772"/>
      <c r="N703" s="772"/>
      <c r="O703" s="772"/>
      <c r="P703" s="772"/>
      <c r="Q703" s="772"/>
      <c r="R703" s="772"/>
      <c r="S703" s="772"/>
      <c r="T703" s="772"/>
      <c r="U703" s="772"/>
      <c r="V703" s="772"/>
      <c r="W703" s="772"/>
      <c r="X703" s="772"/>
      <c r="Y703" s="772"/>
      <c r="Z703" s="772"/>
      <c r="AA703" s="772"/>
      <c r="AB703" s="772"/>
      <c r="AC703" s="772"/>
      <c r="AD703" s="772"/>
      <c r="AE703" s="772"/>
      <c r="AF703" s="772"/>
      <c r="AG703" s="772"/>
      <c r="AH703" s="772"/>
      <c r="AI703" s="772"/>
    </row>
    <row r="704" ht="15.75" customHeight="1">
      <c r="A704" s="815"/>
      <c r="B704" s="782"/>
      <c r="C704" s="782"/>
      <c r="D704" s="782"/>
      <c r="E704" s="816"/>
      <c r="F704" s="816"/>
      <c r="G704" s="816"/>
      <c r="H704" s="817"/>
      <c r="I704" s="817"/>
      <c r="J704" s="817"/>
      <c r="K704" s="818"/>
      <c r="L704" s="772"/>
      <c r="M704" s="772"/>
      <c r="N704" s="772"/>
      <c r="O704" s="772"/>
      <c r="P704" s="772"/>
      <c r="Q704" s="772"/>
      <c r="R704" s="772"/>
      <c r="S704" s="772"/>
      <c r="T704" s="772"/>
      <c r="U704" s="772"/>
      <c r="V704" s="772"/>
      <c r="W704" s="772"/>
      <c r="X704" s="772"/>
      <c r="Y704" s="772"/>
      <c r="Z704" s="772"/>
      <c r="AA704" s="772"/>
      <c r="AB704" s="772"/>
      <c r="AC704" s="772"/>
      <c r="AD704" s="772"/>
      <c r="AE704" s="772"/>
      <c r="AF704" s="772"/>
      <c r="AG704" s="772"/>
      <c r="AH704" s="772"/>
      <c r="AI704" s="772"/>
    </row>
    <row r="705" ht="15.75" customHeight="1">
      <c r="A705" s="815"/>
      <c r="B705" s="782"/>
      <c r="C705" s="782"/>
      <c r="D705" s="782"/>
      <c r="E705" s="816"/>
      <c r="F705" s="816"/>
      <c r="G705" s="816"/>
      <c r="H705" s="817"/>
      <c r="I705" s="817"/>
      <c r="J705" s="817"/>
      <c r="K705" s="818"/>
      <c r="L705" s="772"/>
      <c r="M705" s="772"/>
      <c r="N705" s="772"/>
      <c r="O705" s="772"/>
      <c r="P705" s="772"/>
      <c r="Q705" s="772"/>
      <c r="R705" s="772"/>
      <c r="S705" s="772"/>
      <c r="T705" s="772"/>
      <c r="U705" s="772"/>
      <c r="V705" s="772"/>
      <c r="W705" s="772"/>
      <c r="X705" s="772"/>
      <c r="Y705" s="772"/>
      <c r="Z705" s="772"/>
      <c r="AA705" s="772"/>
      <c r="AB705" s="772"/>
      <c r="AC705" s="772"/>
      <c r="AD705" s="772"/>
      <c r="AE705" s="772"/>
      <c r="AF705" s="772"/>
      <c r="AG705" s="772"/>
      <c r="AH705" s="772"/>
      <c r="AI705" s="772"/>
    </row>
    <row r="706" ht="15.75" customHeight="1">
      <c r="A706" s="815"/>
      <c r="B706" s="782"/>
      <c r="C706" s="782"/>
      <c r="D706" s="782"/>
      <c r="E706" s="816"/>
      <c r="F706" s="816"/>
      <c r="G706" s="816"/>
      <c r="H706" s="817"/>
      <c r="I706" s="817"/>
      <c r="J706" s="817"/>
      <c r="K706" s="818"/>
      <c r="L706" s="772"/>
      <c r="M706" s="772"/>
      <c r="N706" s="772"/>
      <c r="O706" s="772"/>
      <c r="P706" s="772"/>
      <c r="Q706" s="772"/>
      <c r="R706" s="772"/>
      <c r="S706" s="772"/>
      <c r="T706" s="772"/>
      <c r="U706" s="772"/>
      <c r="V706" s="772"/>
      <c r="W706" s="772"/>
      <c r="X706" s="772"/>
      <c r="Y706" s="772"/>
      <c r="Z706" s="772"/>
      <c r="AA706" s="772"/>
      <c r="AB706" s="772"/>
      <c r="AC706" s="772"/>
      <c r="AD706" s="772"/>
      <c r="AE706" s="772"/>
      <c r="AF706" s="772"/>
      <c r="AG706" s="772"/>
      <c r="AH706" s="772"/>
      <c r="AI706" s="772"/>
    </row>
    <row r="707" ht="15.75" customHeight="1">
      <c r="A707" s="815"/>
      <c r="B707" s="782"/>
      <c r="C707" s="782"/>
      <c r="D707" s="782"/>
      <c r="E707" s="816"/>
      <c r="F707" s="816"/>
      <c r="G707" s="816"/>
      <c r="H707" s="817"/>
      <c r="I707" s="817"/>
      <c r="J707" s="817"/>
      <c r="K707" s="818"/>
      <c r="L707" s="772"/>
      <c r="M707" s="772"/>
      <c r="N707" s="772"/>
      <c r="O707" s="772"/>
      <c r="P707" s="772"/>
      <c r="Q707" s="772"/>
      <c r="R707" s="772"/>
      <c r="S707" s="772"/>
      <c r="T707" s="772"/>
      <c r="U707" s="772"/>
      <c r="V707" s="772"/>
      <c r="W707" s="772"/>
      <c r="X707" s="772"/>
      <c r="Y707" s="772"/>
      <c r="Z707" s="772"/>
      <c r="AA707" s="772"/>
      <c r="AB707" s="772"/>
      <c r="AC707" s="772"/>
      <c r="AD707" s="772"/>
      <c r="AE707" s="772"/>
      <c r="AF707" s="772"/>
      <c r="AG707" s="772"/>
      <c r="AH707" s="772"/>
      <c r="AI707" s="772"/>
    </row>
    <row r="708" ht="15.75" customHeight="1">
      <c r="A708" s="815"/>
      <c r="B708" s="782"/>
      <c r="C708" s="782"/>
      <c r="D708" s="782"/>
      <c r="E708" s="816"/>
      <c r="F708" s="816"/>
      <c r="G708" s="816"/>
      <c r="H708" s="817"/>
      <c r="I708" s="817"/>
      <c r="J708" s="817"/>
      <c r="K708" s="818"/>
      <c r="L708" s="772"/>
      <c r="M708" s="772"/>
      <c r="N708" s="772"/>
      <c r="O708" s="772"/>
      <c r="P708" s="772"/>
      <c r="Q708" s="772"/>
      <c r="R708" s="772"/>
      <c r="S708" s="772"/>
      <c r="T708" s="772"/>
      <c r="U708" s="772"/>
      <c r="V708" s="772"/>
      <c r="W708" s="772"/>
      <c r="X708" s="772"/>
      <c r="Y708" s="772"/>
      <c r="Z708" s="772"/>
      <c r="AA708" s="772"/>
      <c r="AB708" s="772"/>
      <c r="AC708" s="772"/>
      <c r="AD708" s="772"/>
      <c r="AE708" s="772"/>
      <c r="AF708" s="772"/>
      <c r="AG708" s="772"/>
      <c r="AH708" s="772"/>
      <c r="AI708" s="772"/>
    </row>
    <row r="709" ht="15.75" customHeight="1">
      <c r="A709" s="815"/>
      <c r="B709" s="782"/>
      <c r="C709" s="782"/>
      <c r="D709" s="782"/>
      <c r="E709" s="816"/>
      <c r="F709" s="816"/>
      <c r="G709" s="816"/>
      <c r="H709" s="817"/>
      <c r="I709" s="817"/>
      <c r="J709" s="817"/>
      <c r="K709" s="818"/>
      <c r="L709" s="772"/>
      <c r="M709" s="772"/>
      <c r="N709" s="772"/>
      <c r="O709" s="772"/>
      <c r="P709" s="772"/>
      <c r="Q709" s="772"/>
      <c r="R709" s="772"/>
      <c r="S709" s="772"/>
      <c r="T709" s="772"/>
      <c r="U709" s="772"/>
      <c r="V709" s="772"/>
      <c r="W709" s="772"/>
      <c r="X709" s="772"/>
      <c r="Y709" s="772"/>
      <c r="Z709" s="772"/>
      <c r="AA709" s="772"/>
      <c r="AB709" s="772"/>
      <c r="AC709" s="772"/>
      <c r="AD709" s="772"/>
      <c r="AE709" s="772"/>
      <c r="AF709" s="772"/>
      <c r="AG709" s="772"/>
      <c r="AH709" s="772"/>
      <c r="AI709" s="772"/>
    </row>
    <row r="710" ht="15.75" customHeight="1">
      <c r="A710" s="815"/>
      <c r="B710" s="782"/>
      <c r="C710" s="782"/>
      <c r="D710" s="782"/>
      <c r="E710" s="816"/>
      <c r="F710" s="816"/>
      <c r="G710" s="816"/>
      <c r="H710" s="817"/>
      <c r="I710" s="817"/>
      <c r="J710" s="817"/>
      <c r="K710" s="818"/>
      <c r="L710" s="772"/>
      <c r="M710" s="772"/>
      <c r="N710" s="772"/>
      <c r="O710" s="772"/>
      <c r="P710" s="772"/>
      <c r="Q710" s="772"/>
      <c r="R710" s="772"/>
      <c r="S710" s="772"/>
      <c r="T710" s="772"/>
      <c r="U710" s="772"/>
      <c r="V710" s="772"/>
      <c r="W710" s="772"/>
      <c r="X710" s="772"/>
      <c r="Y710" s="772"/>
      <c r="Z710" s="772"/>
      <c r="AA710" s="772"/>
      <c r="AB710" s="772"/>
      <c r="AC710" s="772"/>
      <c r="AD710" s="772"/>
      <c r="AE710" s="772"/>
      <c r="AF710" s="772"/>
      <c r="AG710" s="772"/>
      <c r="AH710" s="772"/>
      <c r="AI710" s="772"/>
    </row>
    <row r="711" ht="15.75" customHeight="1">
      <c r="A711" s="815"/>
      <c r="B711" s="782"/>
      <c r="C711" s="782"/>
      <c r="D711" s="782"/>
      <c r="E711" s="816"/>
      <c r="F711" s="816"/>
      <c r="G711" s="816"/>
      <c r="H711" s="817"/>
      <c r="I711" s="817"/>
      <c r="J711" s="817"/>
      <c r="K711" s="818"/>
      <c r="L711" s="772"/>
      <c r="M711" s="772"/>
      <c r="N711" s="772"/>
      <c r="O711" s="772"/>
      <c r="P711" s="772"/>
      <c r="Q711" s="772"/>
      <c r="R711" s="772"/>
      <c r="S711" s="772"/>
      <c r="T711" s="772"/>
      <c r="U711" s="772"/>
      <c r="V711" s="772"/>
      <c r="W711" s="772"/>
      <c r="X711" s="772"/>
      <c r="Y711" s="772"/>
      <c r="Z711" s="772"/>
      <c r="AA711" s="772"/>
      <c r="AB711" s="772"/>
      <c r="AC711" s="772"/>
      <c r="AD711" s="772"/>
      <c r="AE711" s="772"/>
      <c r="AF711" s="772"/>
      <c r="AG711" s="772"/>
      <c r="AH711" s="772"/>
      <c r="AI711" s="772"/>
    </row>
    <row r="712" ht="15.75" customHeight="1">
      <c r="A712" s="815"/>
      <c r="B712" s="782"/>
      <c r="C712" s="782"/>
      <c r="D712" s="782"/>
      <c r="E712" s="816"/>
      <c r="F712" s="816"/>
      <c r="G712" s="816"/>
      <c r="H712" s="817"/>
      <c r="I712" s="817"/>
      <c r="J712" s="817"/>
      <c r="K712" s="818"/>
      <c r="L712" s="772"/>
      <c r="M712" s="772"/>
      <c r="N712" s="772"/>
      <c r="O712" s="772"/>
      <c r="P712" s="772"/>
      <c r="Q712" s="772"/>
      <c r="R712" s="772"/>
      <c r="S712" s="772"/>
      <c r="T712" s="772"/>
      <c r="U712" s="772"/>
      <c r="V712" s="772"/>
      <c r="W712" s="772"/>
      <c r="X712" s="772"/>
      <c r="Y712" s="772"/>
      <c r="Z712" s="772"/>
      <c r="AA712" s="772"/>
      <c r="AB712" s="772"/>
      <c r="AC712" s="772"/>
      <c r="AD712" s="772"/>
      <c r="AE712" s="772"/>
      <c r="AF712" s="772"/>
      <c r="AG712" s="772"/>
      <c r="AH712" s="772"/>
      <c r="AI712" s="772"/>
    </row>
    <row r="713" ht="15.75" customHeight="1">
      <c r="A713" s="815"/>
      <c r="B713" s="782"/>
      <c r="C713" s="782"/>
      <c r="D713" s="782"/>
      <c r="E713" s="816"/>
      <c r="F713" s="816"/>
      <c r="G713" s="816"/>
      <c r="H713" s="817"/>
      <c r="I713" s="817"/>
      <c r="J713" s="817"/>
      <c r="K713" s="818"/>
      <c r="L713" s="772"/>
      <c r="M713" s="772"/>
      <c r="N713" s="772"/>
      <c r="O713" s="772"/>
      <c r="P713" s="772"/>
      <c r="Q713" s="772"/>
      <c r="R713" s="772"/>
      <c r="S713" s="772"/>
      <c r="T713" s="772"/>
      <c r="U713" s="772"/>
      <c r="V713" s="772"/>
      <c r="W713" s="772"/>
      <c r="X713" s="772"/>
      <c r="Y713" s="772"/>
      <c r="Z713" s="772"/>
      <c r="AA713" s="772"/>
      <c r="AB713" s="772"/>
      <c r="AC713" s="772"/>
      <c r="AD713" s="772"/>
      <c r="AE713" s="772"/>
      <c r="AF713" s="772"/>
      <c r="AG713" s="772"/>
      <c r="AH713" s="772"/>
      <c r="AI713" s="772"/>
    </row>
    <row r="714" ht="15.75" customHeight="1">
      <c r="A714" s="815"/>
      <c r="B714" s="782"/>
      <c r="C714" s="782"/>
      <c r="D714" s="782"/>
      <c r="E714" s="816"/>
      <c r="F714" s="816"/>
      <c r="G714" s="816"/>
      <c r="H714" s="817"/>
      <c r="I714" s="817"/>
      <c r="J714" s="817"/>
      <c r="K714" s="818"/>
      <c r="L714" s="772"/>
      <c r="M714" s="772"/>
      <c r="N714" s="772"/>
      <c r="O714" s="772"/>
      <c r="P714" s="772"/>
      <c r="Q714" s="772"/>
      <c r="R714" s="772"/>
      <c r="S714" s="772"/>
      <c r="T714" s="772"/>
      <c r="U714" s="772"/>
      <c r="V714" s="772"/>
      <c r="W714" s="772"/>
      <c r="X714" s="772"/>
      <c r="Y714" s="772"/>
      <c r="Z714" s="772"/>
      <c r="AA714" s="772"/>
      <c r="AB714" s="772"/>
      <c r="AC714" s="772"/>
      <c r="AD714" s="772"/>
      <c r="AE714" s="772"/>
      <c r="AF714" s="772"/>
      <c r="AG714" s="772"/>
      <c r="AH714" s="772"/>
      <c r="AI714" s="772"/>
    </row>
    <row r="715" ht="15.75" customHeight="1">
      <c r="A715" s="815"/>
      <c r="B715" s="782"/>
      <c r="C715" s="782"/>
      <c r="D715" s="782"/>
      <c r="E715" s="816"/>
      <c r="F715" s="816"/>
      <c r="G715" s="816"/>
      <c r="H715" s="817"/>
      <c r="I715" s="817"/>
      <c r="J715" s="817"/>
      <c r="K715" s="818"/>
      <c r="L715" s="772"/>
      <c r="M715" s="772"/>
      <c r="N715" s="772"/>
      <c r="O715" s="772"/>
      <c r="P715" s="772"/>
      <c r="Q715" s="772"/>
      <c r="R715" s="772"/>
      <c r="S715" s="772"/>
      <c r="T715" s="772"/>
      <c r="U715" s="772"/>
      <c r="V715" s="772"/>
      <c r="W715" s="772"/>
      <c r="X715" s="772"/>
      <c r="Y715" s="772"/>
      <c r="Z715" s="772"/>
      <c r="AA715" s="772"/>
      <c r="AB715" s="772"/>
      <c r="AC715" s="772"/>
      <c r="AD715" s="772"/>
      <c r="AE715" s="772"/>
      <c r="AF715" s="772"/>
      <c r="AG715" s="772"/>
      <c r="AH715" s="772"/>
      <c r="AI715" s="772"/>
    </row>
    <row r="716" ht="15.75" customHeight="1">
      <c r="A716" s="815"/>
      <c r="B716" s="782"/>
      <c r="C716" s="782"/>
      <c r="D716" s="782"/>
      <c r="E716" s="816"/>
      <c r="F716" s="816"/>
      <c r="G716" s="816"/>
      <c r="H716" s="817"/>
      <c r="I716" s="817"/>
      <c r="J716" s="817"/>
      <c r="K716" s="818"/>
      <c r="L716" s="772"/>
      <c r="M716" s="772"/>
      <c r="N716" s="772"/>
      <c r="O716" s="772"/>
      <c r="P716" s="772"/>
      <c r="Q716" s="772"/>
      <c r="R716" s="772"/>
      <c r="S716" s="772"/>
      <c r="T716" s="772"/>
      <c r="U716" s="772"/>
      <c r="V716" s="772"/>
      <c r="W716" s="772"/>
      <c r="X716" s="772"/>
      <c r="Y716" s="772"/>
      <c r="Z716" s="772"/>
      <c r="AA716" s="772"/>
      <c r="AB716" s="772"/>
      <c r="AC716" s="772"/>
      <c r="AD716" s="772"/>
      <c r="AE716" s="772"/>
      <c r="AF716" s="772"/>
      <c r="AG716" s="772"/>
      <c r="AH716" s="772"/>
      <c r="AI716" s="772"/>
    </row>
    <row r="717" ht="15.75" customHeight="1">
      <c r="A717" s="815"/>
      <c r="B717" s="782"/>
      <c r="C717" s="782"/>
      <c r="D717" s="782"/>
      <c r="E717" s="816"/>
      <c r="F717" s="816"/>
      <c r="G717" s="816"/>
      <c r="H717" s="817"/>
      <c r="I717" s="817"/>
      <c r="J717" s="817"/>
      <c r="K717" s="818"/>
      <c r="L717" s="772"/>
      <c r="M717" s="772"/>
      <c r="N717" s="772"/>
      <c r="O717" s="772"/>
      <c r="P717" s="772"/>
      <c r="Q717" s="772"/>
      <c r="R717" s="772"/>
      <c r="S717" s="772"/>
      <c r="T717" s="772"/>
      <c r="U717" s="772"/>
      <c r="V717" s="772"/>
      <c r="W717" s="772"/>
      <c r="X717" s="772"/>
      <c r="Y717" s="772"/>
      <c r="Z717" s="772"/>
      <c r="AA717" s="772"/>
      <c r="AB717" s="772"/>
      <c r="AC717" s="772"/>
      <c r="AD717" s="772"/>
      <c r="AE717" s="772"/>
      <c r="AF717" s="772"/>
      <c r="AG717" s="772"/>
      <c r="AH717" s="772"/>
      <c r="AI717" s="772"/>
    </row>
    <row r="718" ht="15.75" customHeight="1">
      <c r="A718" s="815"/>
      <c r="B718" s="782"/>
      <c r="C718" s="782"/>
      <c r="D718" s="782"/>
      <c r="E718" s="816"/>
      <c r="F718" s="816"/>
      <c r="G718" s="816"/>
      <c r="H718" s="817"/>
      <c r="I718" s="817"/>
      <c r="J718" s="817"/>
      <c r="K718" s="818"/>
      <c r="L718" s="772"/>
      <c r="M718" s="772"/>
      <c r="N718" s="772"/>
      <c r="O718" s="772"/>
      <c r="P718" s="772"/>
      <c r="Q718" s="772"/>
      <c r="R718" s="772"/>
      <c r="S718" s="772"/>
      <c r="T718" s="772"/>
      <c r="U718" s="772"/>
      <c r="V718" s="772"/>
      <c r="W718" s="772"/>
      <c r="X718" s="772"/>
      <c r="Y718" s="772"/>
      <c r="Z718" s="772"/>
      <c r="AA718" s="772"/>
      <c r="AB718" s="772"/>
      <c r="AC718" s="772"/>
      <c r="AD718" s="772"/>
      <c r="AE718" s="772"/>
      <c r="AF718" s="772"/>
      <c r="AG718" s="772"/>
      <c r="AH718" s="772"/>
      <c r="AI718" s="772"/>
    </row>
    <row r="719" ht="15.75" customHeight="1">
      <c r="A719" s="815"/>
      <c r="B719" s="782"/>
      <c r="C719" s="782"/>
      <c r="D719" s="782"/>
      <c r="E719" s="816"/>
      <c r="F719" s="816"/>
      <c r="G719" s="816"/>
      <c r="H719" s="817"/>
      <c r="I719" s="817"/>
      <c r="J719" s="817"/>
      <c r="K719" s="818"/>
      <c r="L719" s="772"/>
      <c r="M719" s="772"/>
      <c r="N719" s="772"/>
      <c r="O719" s="772"/>
      <c r="P719" s="772"/>
      <c r="Q719" s="772"/>
      <c r="R719" s="772"/>
      <c r="S719" s="772"/>
      <c r="T719" s="772"/>
      <c r="U719" s="772"/>
      <c r="V719" s="772"/>
      <c r="W719" s="772"/>
      <c r="X719" s="772"/>
      <c r="Y719" s="772"/>
      <c r="Z719" s="772"/>
      <c r="AA719" s="772"/>
      <c r="AB719" s="772"/>
      <c r="AC719" s="772"/>
      <c r="AD719" s="772"/>
      <c r="AE719" s="772"/>
      <c r="AF719" s="772"/>
      <c r="AG719" s="772"/>
      <c r="AH719" s="772"/>
      <c r="AI719" s="772"/>
    </row>
    <row r="720" ht="15.75" customHeight="1">
      <c r="A720" s="815"/>
      <c r="B720" s="782"/>
      <c r="C720" s="782"/>
      <c r="D720" s="782"/>
      <c r="E720" s="816"/>
      <c r="F720" s="816"/>
      <c r="G720" s="816"/>
      <c r="H720" s="817"/>
      <c r="I720" s="817"/>
      <c r="J720" s="817"/>
      <c r="K720" s="818"/>
      <c r="L720" s="772"/>
      <c r="M720" s="772"/>
      <c r="N720" s="772"/>
      <c r="O720" s="772"/>
      <c r="P720" s="772"/>
      <c r="Q720" s="772"/>
      <c r="R720" s="772"/>
      <c r="S720" s="772"/>
      <c r="T720" s="772"/>
      <c r="U720" s="772"/>
      <c r="V720" s="772"/>
      <c r="W720" s="772"/>
      <c r="X720" s="772"/>
      <c r="Y720" s="772"/>
      <c r="Z720" s="772"/>
      <c r="AA720" s="772"/>
      <c r="AB720" s="772"/>
      <c r="AC720" s="772"/>
      <c r="AD720" s="772"/>
      <c r="AE720" s="772"/>
      <c r="AF720" s="772"/>
      <c r="AG720" s="772"/>
      <c r="AH720" s="772"/>
      <c r="AI720" s="772"/>
    </row>
    <row r="721" ht="15.75" customHeight="1">
      <c r="A721" s="815"/>
      <c r="B721" s="782"/>
      <c r="C721" s="782"/>
      <c r="D721" s="782"/>
      <c r="E721" s="816"/>
      <c r="F721" s="816"/>
      <c r="G721" s="816"/>
      <c r="H721" s="817"/>
      <c r="I721" s="817"/>
      <c r="J721" s="817"/>
      <c r="K721" s="818"/>
      <c r="L721" s="772"/>
      <c r="M721" s="772"/>
      <c r="N721" s="772"/>
      <c r="O721" s="772"/>
      <c r="P721" s="772"/>
      <c r="Q721" s="772"/>
      <c r="R721" s="772"/>
      <c r="S721" s="772"/>
      <c r="T721" s="772"/>
      <c r="U721" s="772"/>
      <c r="V721" s="772"/>
      <c r="W721" s="772"/>
      <c r="X721" s="772"/>
      <c r="Y721" s="772"/>
      <c r="Z721" s="772"/>
      <c r="AA721" s="772"/>
      <c r="AB721" s="772"/>
      <c r="AC721" s="772"/>
      <c r="AD721" s="772"/>
      <c r="AE721" s="772"/>
      <c r="AF721" s="772"/>
      <c r="AG721" s="772"/>
      <c r="AH721" s="772"/>
      <c r="AI721" s="772"/>
    </row>
    <row r="722" ht="15.75" customHeight="1">
      <c r="A722" s="815"/>
      <c r="B722" s="782"/>
      <c r="C722" s="782"/>
      <c r="D722" s="782"/>
      <c r="E722" s="816"/>
      <c r="F722" s="816"/>
      <c r="G722" s="816"/>
      <c r="H722" s="817"/>
      <c r="I722" s="817"/>
      <c r="J722" s="817"/>
      <c r="K722" s="818"/>
      <c r="L722" s="772"/>
      <c r="M722" s="772"/>
      <c r="N722" s="772"/>
      <c r="O722" s="772"/>
      <c r="P722" s="772"/>
      <c r="Q722" s="772"/>
      <c r="R722" s="772"/>
      <c r="S722" s="772"/>
      <c r="T722" s="772"/>
      <c r="U722" s="772"/>
      <c r="V722" s="772"/>
      <c r="W722" s="772"/>
      <c r="X722" s="772"/>
      <c r="Y722" s="772"/>
      <c r="Z722" s="772"/>
      <c r="AA722" s="772"/>
      <c r="AB722" s="772"/>
      <c r="AC722" s="772"/>
      <c r="AD722" s="772"/>
      <c r="AE722" s="772"/>
      <c r="AF722" s="772"/>
      <c r="AG722" s="772"/>
      <c r="AH722" s="772"/>
      <c r="AI722" s="772"/>
    </row>
    <row r="723" ht="15.75" customHeight="1">
      <c r="A723" s="815"/>
      <c r="B723" s="782"/>
      <c r="C723" s="782"/>
      <c r="D723" s="782"/>
      <c r="E723" s="816"/>
      <c r="F723" s="816"/>
      <c r="G723" s="816"/>
      <c r="H723" s="817"/>
      <c r="I723" s="817"/>
      <c r="J723" s="817"/>
      <c r="K723" s="818"/>
      <c r="L723" s="772"/>
      <c r="M723" s="772"/>
      <c r="N723" s="772"/>
      <c r="O723" s="772"/>
      <c r="P723" s="772"/>
      <c r="Q723" s="772"/>
      <c r="R723" s="772"/>
      <c r="S723" s="772"/>
      <c r="T723" s="772"/>
      <c r="U723" s="772"/>
      <c r="V723" s="772"/>
      <c r="W723" s="772"/>
      <c r="X723" s="772"/>
      <c r="Y723" s="772"/>
      <c r="Z723" s="772"/>
      <c r="AA723" s="772"/>
      <c r="AB723" s="772"/>
      <c r="AC723" s="772"/>
      <c r="AD723" s="772"/>
      <c r="AE723" s="772"/>
      <c r="AF723" s="772"/>
      <c r="AG723" s="772"/>
      <c r="AH723" s="772"/>
      <c r="AI723" s="772"/>
    </row>
    <row r="724" ht="15.75" customHeight="1">
      <c r="A724" s="815"/>
      <c r="B724" s="782"/>
      <c r="C724" s="782"/>
      <c r="D724" s="782"/>
      <c r="E724" s="816"/>
      <c r="F724" s="816"/>
      <c r="G724" s="816"/>
      <c r="H724" s="817"/>
      <c r="I724" s="817"/>
      <c r="J724" s="817"/>
      <c r="K724" s="818"/>
      <c r="L724" s="772"/>
      <c r="M724" s="772"/>
      <c r="N724" s="772"/>
      <c r="O724" s="772"/>
      <c r="P724" s="772"/>
      <c r="Q724" s="772"/>
      <c r="R724" s="772"/>
      <c r="S724" s="772"/>
      <c r="T724" s="772"/>
      <c r="U724" s="772"/>
      <c r="V724" s="772"/>
      <c r="W724" s="772"/>
      <c r="X724" s="772"/>
      <c r="Y724" s="772"/>
      <c r="Z724" s="772"/>
      <c r="AA724" s="772"/>
      <c r="AB724" s="772"/>
      <c r="AC724" s="772"/>
      <c r="AD724" s="772"/>
      <c r="AE724" s="772"/>
      <c r="AF724" s="772"/>
      <c r="AG724" s="772"/>
      <c r="AH724" s="772"/>
      <c r="AI724" s="772"/>
    </row>
    <row r="725" ht="15.75" customHeight="1">
      <c r="A725" s="815"/>
      <c r="B725" s="782"/>
      <c r="C725" s="782"/>
      <c r="D725" s="782"/>
      <c r="E725" s="816"/>
      <c r="F725" s="816"/>
      <c r="G725" s="816"/>
      <c r="H725" s="817"/>
      <c r="I725" s="817"/>
      <c r="J725" s="817"/>
      <c r="K725" s="818"/>
      <c r="L725" s="772"/>
      <c r="M725" s="772"/>
      <c r="N725" s="772"/>
      <c r="O725" s="772"/>
      <c r="P725" s="772"/>
      <c r="Q725" s="772"/>
      <c r="R725" s="772"/>
      <c r="S725" s="772"/>
      <c r="T725" s="772"/>
      <c r="U725" s="772"/>
      <c r="V725" s="772"/>
      <c r="W725" s="772"/>
      <c r="X725" s="772"/>
      <c r="Y725" s="772"/>
      <c r="Z725" s="772"/>
      <c r="AA725" s="772"/>
      <c r="AB725" s="772"/>
      <c r="AC725" s="772"/>
      <c r="AD725" s="772"/>
      <c r="AE725" s="772"/>
      <c r="AF725" s="772"/>
      <c r="AG725" s="772"/>
      <c r="AH725" s="772"/>
      <c r="AI725" s="772"/>
    </row>
    <row r="726" ht="15.75" customHeight="1">
      <c r="A726" s="815"/>
      <c r="B726" s="782"/>
      <c r="C726" s="782"/>
      <c r="D726" s="782"/>
      <c r="E726" s="816"/>
      <c r="F726" s="816"/>
      <c r="G726" s="816"/>
      <c r="H726" s="817"/>
      <c r="I726" s="817"/>
      <c r="J726" s="817"/>
      <c r="K726" s="818"/>
      <c r="L726" s="772"/>
      <c r="M726" s="772"/>
      <c r="N726" s="772"/>
      <c r="O726" s="772"/>
      <c r="P726" s="772"/>
      <c r="Q726" s="772"/>
      <c r="R726" s="772"/>
      <c r="S726" s="772"/>
      <c r="T726" s="772"/>
      <c r="U726" s="772"/>
      <c r="V726" s="772"/>
      <c r="W726" s="772"/>
      <c r="X726" s="772"/>
      <c r="Y726" s="772"/>
      <c r="Z726" s="772"/>
      <c r="AA726" s="772"/>
      <c r="AB726" s="772"/>
      <c r="AC726" s="772"/>
      <c r="AD726" s="772"/>
      <c r="AE726" s="772"/>
      <c r="AF726" s="772"/>
      <c r="AG726" s="772"/>
      <c r="AH726" s="772"/>
      <c r="AI726" s="772"/>
    </row>
    <row r="727" ht="15.75" customHeight="1">
      <c r="A727" s="815"/>
      <c r="B727" s="782"/>
      <c r="C727" s="782"/>
      <c r="D727" s="782"/>
      <c r="E727" s="816"/>
      <c r="F727" s="816"/>
      <c r="G727" s="816"/>
      <c r="H727" s="817"/>
      <c r="I727" s="817"/>
      <c r="J727" s="817"/>
      <c r="K727" s="818"/>
      <c r="L727" s="772"/>
      <c r="M727" s="772"/>
      <c r="N727" s="772"/>
      <c r="O727" s="772"/>
      <c r="P727" s="772"/>
      <c r="Q727" s="772"/>
      <c r="R727" s="772"/>
      <c r="S727" s="772"/>
      <c r="T727" s="772"/>
      <c r="U727" s="772"/>
      <c r="V727" s="772"/>
      <c r="W727" s="772"/>
      <c r="X727" s="772"/>
      <c r="Y727" s="772"/>
      <c r="Z727" s="772"/>
      <c r="AA727" s="772"/>
      <c r="AB727" s="772"/>
      <c r="AC727" s="772"/>
      <c r="AD727" s="772"/>
      <c r="AE727" s="772"/>
      <c r="AF727" s="772"/>
      <c r="AG727" s="772"/>
      <c r="AH727" s="772"/>
      <c r="AI727" s="772"/>
    </row>
    <row r="728" ht="15.75" customHeight="1">
      <c r="A728" s="815"/>
      <c r="B728" s="782"/>
      <c r="C728" s="782"/>
      <c r="D728" s="782"/>
      <c r="E728" s="816"/>
      <c r="F728" s="816"/>
      <c r="G728" s="816"/>
      <c r="H728" s="817"/>
      <c r="I728" s="817"/>
      <c r="J728" s="817"/>
      <c r="K728" s="818"/>
      <c r="L728" s="772"/>
      <c r="M728" s="772"/>
      <c r="N728" s="772"/>
      <c r="O728" s="772"/>
      <c r="P728" s="772"/>
      <c r="Q728" s="772"/>
      <c r="R728" s="772"/>
      <c r="S728" s="772"/>
      <c r="T728" s="772"/>
      <c r="U728" s="772"/>
      <c r="V728" s="772"/>
      <c r="W728" s="772"/>
      <c r="X728" s="772"/>
      <c r="Y728" s="772"/>
      <c r="Z728" s="772"/>
      <c r="AA728" s="772"/>
      <c r="AB728" s="772"/>
      <c r="AC728" s="772"/>
      <c r="AD728" s="772"/>
      <c r="AE728" s="772"/>
      <c r="AF728" s="772"/>
      <c r="AG728" s="772"/>
      <c r="AH728" s="772"/>
      <c r="AI728" s="772"/>
    </row>
    <row r="729" ht="15.75" customHeight="1">
      <c r="A729" s="815"/>
      <c r="B729" s="782"/>
      <c r="C729" s="782"/>
      <c r="D729" s="782"/>
      <c r="E729" s="816"/>
      <c r="F729" s="816"/>
      <c r="G729" s="816"/>
      <c r="H729" s="817"/>
      <c r="I729" s="817"/>
      <c r="J729" s="817"/>
      <c r="K729" s="818"/>
      <c r="L729" s="772"/>
      <c r="M729" s="772"/>
      <c r="N729" s="772"/>
      <c r="O729" s="772"/>
      <c r="P729" s="772"/>
      <c r="Q729" s="772"/>
      <c r="R729" s="772"/>
      <c r="S729" s="772"/>
      <c r="T729" s="772"/>
      <c r="U729" s="772"/>
      <c r="V729" s="772"/>
      <c r="W729" s="772"/>
      <c r="X729" s="772"/>
      <c r="Y729" s="772"/>
      <c r="Z729" s="772"/>
      <c r="AA729" s="772"/>
      <c r="AB729" s="772"/>
      <c r="AC729" s="772"/>
      <c r="AD729" s="772"/>
      <c r="AE729" s="772"/>
      <c r="AF729" s="772"/>
      <c r="AG729" s="772"/>
      <c r="AH729" s="772"/>
      <c r="AI729" s="772"/>
    </row>
    <row r="730" ht="15.75" customHeight="1">
      <c r="A730" s="815"/>
      <c r="B730" s="782"/>
      <c r="C730" s="782"/>
      <c r="D730" s="782"/>
      <c r="E730" s="816"/>
      <c r="F730" s="816"/>
      <c r="G730" s="816"/>
      <c r="H730" s="817"/>
      <c r="I730" s="817"/>
      <c r="J730" s="817"/>
      <c r="K730" s="818"/>
      <c r="L730" s="772"/>
      <c r="M730" s="772"/>
      <c r="N730" s="772"/>
      <c r="O730" s="772"/>
      <c r="P730" s="772"/>
      <c r="Q730" s="772"/>
      <c r="R730" s="772"/>
      <c r="S730" s="772"/>
      <c r="T730" s="772"/>
      <c r="U730" s="772"/>
      <c r="V730" s="772"/>
      <c r="W730" s="772"/>
      <c r="X730" s="772"/>
      <c r="Y730" s="772"/>
      <c r="Z730" s="772"/>
      <c r="AA730" s="772"/>
      <c r="AB730" s="772"/>
      <c r="AC730" s="772"/>
      <c r="AD730" s="772"/>
      <c r="AE730" s="772"/>
      <c r="AF730" s="772"/>
      <c r="AG730" s="772"/>
      <c r="AH730" s="772"/>
      <c r="AI730" s="772"/>
    </row>
    <row r="731" ht="15.75" customHeight="1">
      <c r="A731" s="815"/>
      <c r="B731" s="782"/>
      <c r="C731" s="782"/>
      <c r="D731" s="782"/>
      <c r="E731" s="816"/>
      <c r="F731" s="816"/>
      <c r="G731" s="816"/>
      <c r="H731" s="817"/>
      <c r="I731" s="817"/>
      <c r="J731" s="817"/>
      <c r="K731" s="818"/>
      <c r="L731" s="772"/>
      <c r="M731" s="772"/>
      <c r="N731" s="772"/>
      <c r="O731" s="772"/>
      <c r="P731" s="772"/>
      <c r="Q731" s="772"/>
      <c r="R731" s="772"/>
      <c r="S731" s="772"/>
      <c r="T731" s="772"/>
      <c r="U731" s="772"/>
      <c r="V731" s="772"/>
      <c r="W731" s="772"/>
      <c r="X731" s="772"/>
      <c r="Y731" s="772"/>
      <c r="Z731" s="772"/>
      <c r="AA731" s="772"/>
      <c r="AB731" s="772"/>
      <c r="AC731" s="772"/>
      <c r="AD731" s="772"/>
      <c r="AE731" s="772"/>
      <c r="AF731" s="772"/>
      <c r="AG731" s="772"/>
      <c r="AH731" s="772"/>
      <c r="AI731" s="772"/>
    </row>
    <row r="732" ht="15.75" customHeight="1">
      <c r="A732" s="815"/>
      <c r="B732" s="782"/>
      <c r="C732" s="782"/>
      <c r="D732" s="782"/>
      <c r="E732" s="816"/>
      <c r="F732" s="816"/>
      <c r="G732" s="816"/>
      <c r="H732" s="817"/>
      <c r="I732" s="817"/>
      <c r="J732" s="817"/>
      <c r="K732" s="818"/>
      <c r="L732" s="772"/>
      <c r="M732" s="772"/>
      <c r="N732" s="772"/>
      <c r="O732" s="772"/>
      <c r="P732" s="772"/>
      <c r="Q732" s="772"/>
      <c r="R732" s="772"/>
      <c r="S732" s="772"/>
      <c r="T732" s="772"/>
      <c r="U732" s="772"/>
      <c r="V732" s="772"/>
      <c r="W732" s="772"/>
      <c r="X732" s="772"/>
      <c r="Y732" s="772"/>
      <c r="Z732" s="772"/>
      <c r="AA732" s="772"/>
      <c r="AB732" s="772"/>
      <c r="AC732" s="772"/>
      <c r="AD732" s="772"/>
      <c r="AE732" s="772"/>
      <c r="AF732" s="772"/>
      <c r="AG732" s="772"/>
      <c r="AH732" s="772"/>
      <c r="AI732" s="772"/>
    </row>
    <row r="733" ht="15.75" customHeight="1">
      <c r="A733" s="815"/>
      <c r="B733" s="782"/>
      <c r="C733" s="782"/>
      <c r="D733" s="782"/>
      <c r="E733" s="816"/>
      <c r="F733" s="816"/>
      <c r="G733" s="816"/>
      <c r="H733" s="817"/>
      <c r="I733" s="817"/>
      <c r="J733" s="817"/>
      <c r="K733" s="818"/>
      <c r="L733" s="772"/>
      <c r="M733" s="772"/>
      <c r="N733" s="772"/>
      <c r="O733" s="772"/>
      <c r="P733" s="772"/>
      <c r="Q733" s="772"/>
      <c r="R733" s="772"/>
      <c r="S733" s="772"/>
      <c r="T733" s="772"/>
      <c r="U733" s="772"/>
      <c r="V733" s="772"/>
      <c r="W733" s="772"/>
      <c r="X733" s="772"/>
      <c r="Y733" s="772"/>
      <c r="Z733" s="772"/>
      <c r="AA733" s="772"/>
      <c r="AB733" s="772"/>
      <c r="AC733" s="772"/>
      <c r="AD733" s="772"/>
      <c r="AE733" s="772"/>
      <c r="AF733" s="772"/>
      <c r="AG733" s="772"/>
      <c r="AH733" s="772"/>
      <c r="AI733" s="772"/>
    </row>
    <row r="734" ht="15.75" customHeight="1">
      <c r="A734" s="815"/>
      <c r="B734" s="782"/>
      <c r="C734" s="782"/>
      <c r="D734" s="782"/>
      <c r="E734" s="816"/>
      <c r="F734" s="816"/>
      <c r="G734" s="816"/>
      <c r="H734" s="817"/>
      <c r="I734" s="817"/>
      <c r="J734" s="817"/>
      <c r="K734" s="818"/>
      <c r="L734" s="772"/>
      <c r="M734" s="772"/>
      <c r="N734" s="772"/>
      <c r="O734" s="772"/>
      <c r="P734" s="772"/>
      <c r="Q734" s="772"/>
      <c r="R734" s="772"/>
      <c r="S734" s="772"/>
      <c r="T734" s="772"/>
      <c r="U734" s="772"/>
      <c r="V734" s="772"/>
      <c r="W734" s="772"/>
      <c r="X734" s="772"/>
      <c r="Y734" s="772"/>
      <c r="Z734" s="772"/>
      <c r="AA734" s="772"/>
      <c r="AB734" s="772"/>
      <c r="AC734" s="772"/>
      <c r="AD734" s="772"/>
      <c r="AE734" s="772"/>
      <c r="AF734" s="772"/>
      <c r="AG734" s="772"/>
      <c r="AH734" s="772"/>
      <c r="AI734" s="772"/>
    </row>
    <row r="735" ht="15.75" customHeight="1">
      <c r="A735" s="815"/>
      <c r="B735" s="782"/>
      <c r="C735" s="782"/>
      <c r="D735" s="782"/>
      <c r="E735" s="816"/>
      <c r="F735" s="816"/>
      <c r="G735" s="816"/>
      <c r="H735" s="817"/>
      <c r="I735" s="817"/>
      <c r="J735" s="817"/>
      <c r="K735" s="818"/>
      <c r="L735" s="772"/>
      <c r="M735" s="772"/>
      <c r="N735" s="772"/>
      <c r="O735" s="772"/>
      <c r="P735" s="772"/>
      <c r="Q735" s="772"/>
      <c r="R735" s="772"/>
      <c r="S735" s="772"/>
      <c r="T735" s="772"/>
      <c r="U735" s="772"/>
      <c r="V735" s="772"/>
      <c r="W735" s="772"/>
      <c r="X735" s="772"/>
      <c r="Y735" s="772"/>
      <c r="Z735" s="772"/>
      <c r="AA735" s="772"/>
      <c r="AB735" s="772"/>
      <c r="AC735" s="772"/>
      <c r="AD735" s="772"/>
      <c r="AE735" s="772"/>
      <c r="AF735" s="772"/>
      <c r="AG735" s="772"/>
      <c r="AH735" s="772"/>
      <c r="AI735" s="772"/>
    </row>
    <row r="736" ht="15.75" customHeight="1">
      <c r="A736" s="815"/>
      <c r="B736" s="782"/>
      <c r="C736" s="782"/>
      <c r="D736" s="782"/>
      <c r="E736" s="816"/>
      <c r="F736" s="816"/>
      <c r="G736" s="816"/>
      <c r="H736" s="817"/>
      <c r="I736" s="817"/>
      <c r="J736" s="817"/>
      <c r="K736" s="818"/>
      <c r="L736" s="772"/>
      <c r="M736" s="772"/>
      <c r="N736" s="772"/>
      <c r="O736" s="772"/>
      <c r="P736" s="772"/>
      <c r="Q736" s="772"/>
      <c r="R736" s="772"/>
      <c r="S736" s="772"/>
      <c r="T736" s="772"/>
      <c r="U736" s="772"/>
      <c r="V736" s="772"/>
      <c r="W736" s="772"/>
      <c r="X736" s="772"/>
      <c r="Y736" s="772"/>
      <c r="Z736" s="772"/>
      <c r="AA736" s="772"/>
      <c r="AB736" s="772"/>
      <c r="AC736" s="772"/>
      <c r="AD736" s="772"/>
      <c r="AE736" s="772"/>
      <c r="AF736" s="772"/>
      <c r="AG736" s="772"/>
      <c r="AH736" s="772"/>
      <c r="AI736" s="772"/>
    </row>
    <row r="737" ht="15.75" customHeight="1">
      <c r="A737" s="815"/>
      <c r="B737" s="782"/>
      <c r="C737" s="782"/>
      <c r="D737" s="782"/>
      <c r="E737" s="816"/>
      <c r="F737" s="816"/>
      <c r="G737" s="816"/>
      <c r="H737" s="817"/>
      <c r="I737" s="817"/>
      <c r="J737" s="817"/>
      <c r="K737" s="818"/>
      <c r="L737" s="772"/>
      <c r="M737" s="772"/>
      <c r="N737" s="772"/>
      <c r="O737" s="772"/>
      <c r="P737" s="772"/>
      <c r="Q737" s="772"/>
      <c r="R737" s="772"/>
      <c r="S737" s="772"/>
      <c r="T737" s="772"/>
      <c r="U737" s="772"/>
      <c r="V737" s="772"/>
      <c r="W737" s="772"/>
      <c r="X737" s="772"/>
      <c r="Y737" s="772"/>
      <c r="Z737" s="772"/>
      <c r="AA737" s="772"/>
      <c r="AB737" s="772"/>
      <c r="AC737" s="772"/>
      <c r="AD737" s="772"/>
      <c r="AE737" s="772"/>
      <c r="AF737" s="772"/>
      <c r="AG737" s="772"/>
      <c r="AH737" s="772"/>
      <c r="AI737" s="772"/>
    </row>
    <row r="738" ht="15.75" customHeight="1">
      <c r="A738" s="815"/>
      <c r="B738" s="782"/>
      <c r="C738" s="782"/>
      <c r="D738" s="782"/>
      <c r="E738" s="816"/>
      <c r="F738" s="816"/>
      <c r="G738" s="816"/>
      <c r="H738" s="817"/>
      <c r="I738" s="817"/>
      <c r="J738" s="817"/>
      <c r="K738" s="818"/>
      <c r="L738" s="772"/>
      <c r="M738" s="772"/>
      <c r="N738" s="772"/>
      <c r="O738" s="772"/>
      <c r="P738" s="772"/>
      <c r="Q738" s="772"/>
      <c r="R738" s="772"/>
      <c r="S738" s="772"/>
      <c r="T738" s="772"/>
      <c r="U738" s="772"/>
      <c r="V738" s="772"/>
      <c r="W738" s="772"/>
      <c r="X738" s="772"/>
      <c r="Y738" s="772"/>
      <c r="Z738" s="772"/>
      <c r="AA738" s="772"/>
      <c r="AB738" s="772"/>
      <c r="AC738" s="772"/>
      <c r="AD738" s="772"/>
      <c r="AE738" s="772"/>
      <c r="AF738" s="772"/>
      <c r="AG738" s="772"/>
      <c r="AH738" s="772"/>
      <c r="AI738" s="772"/>
    </row>
    <row r="739" ht="15.75" customHeight="1">
      <c r="A739" s="815"/>
      <c r="B739" s="782"/>
      <c r="C739" s="782"/>
      <c r="D739" s="782"/>
      <c r="E739" s="816"/>
      <c r="F739" s="816"/>
      <c r="G739" s="816"/>
      <c r="H739" s="817"/>
      <c r="I739" s="817"/>
      <c r="J739" s="817"/>
      <c r="K739" s="818"/>
      <c r="L739" s="772"/>
      <c r="M739" s="772"/>
      <c r="N739" s="772"/>
      <c r="O739" s="772"/>
      <c r="P739" s="772"/>
      <c r="Q739" s="772"/>
      <c r="R739" s="772"/>
      <c r="S739" s="772"/>
      <c r="T739" s="772"/>
      <c r="U739" s="772"/>
      <c r="V739" s="772"/>
      <c r="W739" s="772"/>
      <c r="X739" s="772"/>
      <c r="Y739" s="772"/>
      <c r="Z739" s="772"/>
      <c r="AA739" s="772"/>
      <c r="AB739" s="772"/>
      <c r="AC739" s="772"/>
      <c r="AD739" s="772"/>
      <c r="AE739" s="772"/>
      <c r="AF739" s="772"/>
      <c r="AG739" s="772"/>
      <c r="AH739" s="772"/>
      <c r="AI739" s="772"/>
    </row>
    <row r="740" ht="15.75" customHeight="1">
      <c r="A740" s="815"/>
      <c r="B740" s="782"/>
      <c r="C740" s="782"/>
      <c r="D740" s="782"/>
      <c r="E740" s="816"/>
      <c r="F740" s="816"/>
      <c r="G740" s="816"/>
      <c r="H740" s="817"/>
      <c r="I740" s="817"/>
      <c r="J740" s="817"/>
      <c r="K740" s="818"/>
      <c r="L740" s="772"/>
      <c r="M740" s="772"/>
      <c r="N740" s="772"/>
      <c r="O740" s="772"/>
      <c r="P740" s="772"/>
      <c r="Q740" s="772"/>
      <c r="R740" s="772"/>
      <c r="S740" s="772"/>
      <c r="T740" s="772"/>
      <c r="U740" s="772"/>
      <c r="V740" s="772"/>
      <c r="W740" s="772"/>
      <c r="X740" s="772"/>
      <c r="Y740" s="772"/>
      <c r="Z740" s="772"/>
      <c r="AA740" s="772"/>
      <c r="AB740" s="772"/>
      <c r="AC740" s="772"/>
      <c r="AD740" s="772"/>
      <c r="AE740" s="772"/>
      <c r="AF740" s="772"/>
      <c r="AG740" s="772"/>
      <c r="AH740" s="772"/>
      <c r="AI740" s="772"/>
    </row>
    <row r="741" ht="15.75" customHeight="1">
      <c r="A741" s="815"/>
      <c r="B741" s="782"/>
      <c r="C741" s="782"/>
      <c r="D741" s="782"/>
      <c r="E741" s="816"/>
      <c r="F741" s="816"/>
      <c r="G741" s="816"/>
      <c r="H741" s="817"/>
      <c r="I741" s="817"/>
      <c r="J741" s="817"/>
      <c r="K741" s="818"/>
      <c r="L741" s="772"/>
      <c r="M741" s="772"/>
      <c r="N741" s="772"/>
      <c r="O741" s="772"/>
      <c r="P741" s="772"/>
      <c r="Q741" s="772"/>
      <c r="R741" s="772"/>
      <c r="S741" s="772"/>
      <c r="T741" s="772"/>
      <c r="U741" s="772"/>
      <c r="V741" s="772"/>
      <c r="W741" s="772"/>
      <c r="X741" s="772"/>
      <c r="Y741" s="772"/>
      <c r="Z741" s="772"/>
      <c r="AA741" s="772"/>
      <c r="AB741" s="772"/>
      <c r="AC741" s="772"/>
      <c r="AD741" s="772"/>
      <c r="AE741" s="772"/>
      <c r="AF741" s="772"/>
      <c r="AG741" s="772"/>
      <c r="AH741" s="772"/>
      <c r="AI741" s="772"/>
    </row>
    <row r="742" ht="15.75" customHeight="1">
      <c r="A742" s="815"/>
      <c r="B742" s="782"/>
      <c r="C742" s="782"/>
      <c r="D742" s="782"/>
      <c r="E742" s="816"/>
      <c r="F742" s="816"/>
      <c r="G742" s="816"/>
      <c r="H742" s="817"/>
      <c r="I742" s="817"/>
      <c r="J742" s="817"/>
      <c r="K742" s="818"/>
      <c r="L742" s="772"/>
      <c r="M742" s="772"/>
      <c r="N742" s="772"/>
      <c r="O742" s="772"/>
      <c r="P742" s="772"/>
      <c r="Q742" s="772"/>
      <c r="R742" s="772"/>
      <c r="S742" s="772"/>
      <c r="T742" s="772"/>
      <c r="U742" s="772"/>
      <c r="V742" s="772"/>
      <c r="W742" s="772"/>
      <c r="X742" s="772"/>
      <c r="Y742" s="772"/>
      <c r="Z742" s="772"/>
      <c r="AA742" s="772"/>
      <c r="AB742" s="772"/>
      <c r="AC742" s="772"/>
      <c r="AD742" s="772"/>
      <c r="AE742" s="772"/>
      <c r="AF742" s="772"/>
      <c r="AG742" s="772"/>
      <c r="AH742" s="772"/>
      <c r="AI742" s="772"/>
    </row>
    <row r="743" ht="15.75" customHeight="1">
      <c r="A743" s="815"/>
      <c r="B743" s="782"/>
      <c r="C743" s="782"/>
      <c r="D743" s="782"/>
      <c r="E743" s="816"/>
      <c r="F743" s="816"/>
      <c r="G743" s="816"/>
      <c r="H743" s="817"/>
      <c r="I743" s="817"/>
      <c r="J743" s="817"/>
      <c r="K743" s="818"/>
      <c r="L743" s="772"/>
      <c r="M743" s="772"/>
      <c r="N743" s="772"/>
      <c r="O743" s="772"/>
      <c r="P743" s="772"/>
      <c r="Q743" s="772"/>
      <c r="R743" s="772"/>
      <c r="S743" s="772"/>
      <c r="T743" s="772"/>
      <c r="U743" s="772"/>
      <c r="V743" s="772"/>
      <c r="W743" s="772"/>
      <c r="X743" s="772"/>
      <c r="Y743" s="772"/>
      <c r="Z743" s="772"/>
      <c r="AA743" s="772"/>
      <c r="AB743" s="772"/>
      <c r="AC743" s="772"/>
      <c r="AD743" s="772"/>
      <c r="AE743" s="772"/>
      <c r="AF743" s="772"/>
      <c r="AG743" s="772"/>
      <c r="AH743" s="772"/>
      <c r="AI743" s="772"/>
    </row>
    <row r="744" ht="15.75" customHeight="1">
      <c r="A744" s="815"/>
      <c r="B744" s="782"/>
      <c r="C744" s="782"/>
      <c r="D744" s="782"/>
      <c r="E744" s="816"/>
      <c r="F744" s="816"/>
      <c r="G744" s="816"/>
      <c r="H744" s="817"/>
      <c r="I744" s="817"/>
      <c r="J744" s="817"/>
      <c r="K744" s="818"/>
      <c r="L744" s="772"/>
      <c r="M744" s="772"/>
      <c r="N744" s="772"/>
      <c r="O744" s="772"/>
      <c r="P744" s="772"/>
      <c r="Q744" s="772"/>
      <c r="R744" s="772"/>
      <c r="S744" s="772"/>
      <c r="T744" s="772"/>
      <c r="U744" s="772"/>
      <c r="V744" s="772"/>
      <c r="W744" s="772"/>
      <c r="X744" s="772"/>
      <c r="Y744" s="772"/>
      <c r="Z744" s="772"/>
      <c r="AA744" s="772"/>
      <c r="AB744" s="772"/>
      <c r="AC744" s="772"/>
      <c r="AD744" s="772"/>
      <c r="AE744" s="772"/>
      <c r="AF744" s="772"/>
      <c r="AG744" s="772"/>
      <c r="AH744" s="772"/>
      <c r="AI744" s="772"/>
    </row>
    <row r="745" ht="15.75" customHeight="1">
      <c r="A745" s="815"/>
      <c r="B745" s="782"/>
      <c r="C745" s="782"/>
      <c r="D745" s="782"/>
      <c r="E745" s="816"/>
      <c r="F745" s="816"/>
      <c r="G745" s="816"/>
      <c r="H745" s="817"/>
      <c r="I745" s="817"/>
      <c r="J745" s="817"/>
      <c r="K745" s="818"/>
      <c r="L745" s="772"/>
      <c r="M745" s="772"/>
      <c r="N745" s="772"/>
      <c r="O745" s="772"/>
      <c r="P745" s="772"/>
      <c r="Q745" s="772"/>
      <c r="R745" s="772"/>
      <c r="S745" s="772"/>
      <c r="T745" s="772"/>
      <c r="U745" s="772"/>
      <c r="V745" s="772"/>
      <c r="W745" s="772"/>
      <c r="X745" s="772"/>
      <c r="Y745" s="772"/>
      <c r="Z745" s="772"/>
      <c r="AA745" s="772"/>
      <c r="AB745" s="772"/>
      <c r="AC745" s="772"/>
      <c r="AD745" s="772"/>
      <c r="AE745" s="772"/>
      <c r="AF745" s="772"/>
      <c r="AG745" s="772"/>
      <c r="AH745" s="772"/>
      <c r="AI745" s="772"/>
    </row>
    <row r="746" ht="15.75" customHeight="1">
      <c r="A746" s="815"/>
      <c r="B746" s="782"/>
      <c r="C746" s="782"/>
      <c r="D746" s="782"/>
      <c r="E746" s="816"/>
      <c r="F746" s="816"/>
      <c r="G746" s="816"/>
      <c r="H746" s="817"/>
      <c r="I746" s="817"/>
      <c r="J746" s="817"/>
      <c r="K746" s="818"/>
      <c r="L746" s="772"/>
      <c r="M746" s="772"/>
      <c r="N746" s="772"/>
      <c r="O746" s="772"/>
      <c r="P746" s="772"/>
      <c r="Q746" s="772"/>
      <c r="R746" s="772"/>
      <c r="S746" s="772"/>
      <c r="T746" s="772"/>
      <c r="U746" s="772"/>
      <c r="V746" s="772"/>
      <c r="W746" s="772"/>
      <c r="X746" s="772"/>
      <c r="Y746" s="772"/>
      <c r="Z746" s="772"/>
      <c r="AA746" s="772"/>
      <c r="AB746" s="772"/>
      <c r="AC746" s="772"/>
      <c r="AD746" s="772"/>
      <c r="AE746" s="772"/>
      <c r="AF746" s="772"/>
      <c r="AG746" s="772"/>
      <c r="AH746" s="772"/>
      <c r="AI746" s="772"/>
    </row>
    <row r="747" ht="15.75" customHeight="1">
      <c r="A747" s="815"/>
      <c r="B747" s="782"/>
      <c r="C747" s="782"/>
      <c r="D747" s="782"/>
      <c r="E747" s="816"/>
      <c r="F747" s="816"/>
      <c r="G747" s="816"/>
      <c r="H747" s="817"/>
      <c r="I747" s="817"/>
      <c r="J747" s="817"/>
      <c r="K747" s="818"/>
      <c r="L747" s="772"/>
      <c r="M747" s="772"/>
      <c r="N747" s="772"/>
      <c r="O747" s="772"/>
      <c r="P747" s="772"/>
      <c r="Q747" s="772"/>
      <c r="R747" s="772"/>
      <c r="S747" s="772"/>
      <c r="T747" s="772"/>
      <c r="U747" s="772"/>
      <c r="V747" s="772"/>
      <c r="W747" s="772"/>
      <c r="X747" s="772"/>
      <c r="Y747" s="772"/>
      <c r="Z747" s="772"/>
      <c r="AA747" s="772"/>
      <c r="AB747" s="772"/>
      <c r="AC747" s="772"/>
      <c r="AD747" s="772"/>
      <c r="AE747" s="772"/>
      <c r="AF747" s="772"/>
      <c r="AG747" s="772"/>
      <c r="AH747" s="772"/>
      <c r="AI747" s="772"/>
    </row>
    <row r="748" ht="15.75" customHeight="1">
      <c r="A748" s="815"/>
      <c r="B748" s="782"/>
      <c r="C748" s="782"/>
      <c r="D748" s="782"/>
      <c r="E748" s="816"/>
      <c r="F748" s="816"/>
      <c r="G748" s="816"/>
      <c r="H748" s="817"/>
      <c r="I748" s="817"/>
      <c r="J748" s="817"/>
      <c r="K748" s="818"/>
      <c r="L748" s="772"/>
      <c r="M748" s="772"/>
      <c r="N748" s="772"/>
      <c r="O748" s="772"/>
      <c r="P748" s="772"/>
      <c r="Q748" s="772"/>
      <c r="R748" s="772"/>
      <c r="S748" s="772"/>
      <c r="T748" s="772"/>
      <c r="U748" s="772"/>
      <c r="V748" s="772"/>
      <c r="W748" s="772"/>
      <c r="X748" s="772"/>
      <c r="Y748" s="772"/>
      <c r="Z748" s="772"/>
      <c r="AA748" s="772"/>
      <c r="AB748" s="772"/>
      <c r="AC748" s="772"/>
      <c r="AD748" s="772"/>
      <c r="AE748" s="772"/>
      <c r="AF748" s="772"/>
      <c r="AG748" s="772"/>
      <c r="AH748" s="772"/>
      <c r="AI748" s="772"/>
    </row>
    <row r="749" ht="15.75" customHeight="1">
      <c r="A749" s="815"/>
      <c r="B749" s="782"/>
      <c r="C749" s="782"/>
      <c r="D749" s="782"/>
      <c r="E749" s="816"/>
      <c r="F749" s="816"/>
      <c r="G749" s="816"/>
      <c r="H749" s="817"/>
      <c r="I749" s="817"/>
      <c r="J749" s="817"/>
      <c r="K749" s="818"/>
      <c r="L749" s="772"/>
      <c r="M749" s="772"/>
      <c r="N749" s="772"/>
      <c r="O749" s="772"/>
      <c r="P749" s="772"/>
      <c r="Q749" s="772"/>
      <c r="R749" s="772"/>
      <c r="S749" s="772"/>
      <c r="T749" s="772"/>
      <c r="U749" s="772"/>
      <c r="V749" s="772"/>
      <c r="W749" s="772"/>
      <c r="X749" s="772"/>
      <c r="Y749" s="772"/>
      <c r="Z749" s="772"/>
      <c r="AA749" s="772"/>
      <c r="AB749" s="772"/>
      <c r="AC749" s="772"/>
      <c r="AD749" s="772"/>
      <c r="AE749" s="772"/>
      <c r="AF749" s="772"/>
      <c r="AG749" s="772"/>
      <c r="AH749" s="772"/>
      <c r="AI749" s="772"/>
    </row>
    <row r="750" ht="15.75" customHeight="1">
      <c r="A750" s="815"/>
      <c r="B750" s="782"/>
      <c r="C750" s="782"/>
      <c r="D750" s="782"/>
      <c r="E750" s="816"/>
      <c r="F750" s="816"/>
      <c r="G750" s="816"/>
      <c r="H750" s="817"/>
      <c r="I750" s="817"/>
      <c r="J750" s="817"/>
      <c r="K750" s="818"/>
      <c r="L750" s="772"/>
      <c r="M750" s="772"/>
      <c r="N750" s="772"/>
      <c r="O750" s="772"/>
      <c r="P750" s="772"/>
      <c r="Q750" s="772"/>
      <c r="R750" s="772"/>
      <c r="S750" s="772"/>
      <c r="T750" s="772"/>
      <c r="U750" s="772"/>
      <c r="V750" s="772"/>
      <c r="W750" s="772"/>
      <c r="X750" s="772"/>
      <c r="Y750" s="772"/>
      <c r="Z750" s="772"/>
      <c r="AA750" s="772"/>
      <c r="AB750" s="772"/>
      <c r="AC750" s="772"/>
      <c r="AD750" s="772"/>
      <c r="AE750" s="772"/>
      <c r="AF750" s="772"/>
      <c r="AG750" s="772"/>
      <c r="AH750" s="772"/>
      <c r="AI750" s="772"/>
    </row>
    <row r="751" ht="15.75" customHeight="1">
      <c r="A751" s="815"/>
      <c r="B751" s="782"/>
      <c r="C751" s="782"/>
      <c r="D751" s="782"/>
      <c r="E751" s="816"/>
      <c r="F751" s="816"/>
      <c r="G751" s="816"/>
      <c r="H751" s="817"/>
      <c r="I751" s="817"/>
      <c r="J751" s="817"/>
      <c r="K751" s="818"/>
      <c r="L751" s="772"/>
      <c r="M751" s="772"/>
      <c r="N751" s="772"/>
      <c r="O751" s="772"/>
      <c r="P751" s="772"/>
      <c r="Q751" s="772"/>
      <c r="R751" s="772"/>
      <c r="S751" s="772"/>
      <c r="T751" s="772"/>
      <c r="U751" s="772"/>
      <c r="V751" s="772"/>
      <c r="W751" s="772"/>
      <c r="X751" s="772"/>
      <c r="Y751" s="772"/>
      <c r="Z751" s="772"/>
      <c r="AA751" s="772"/>
      <c r="AB751" s="772"/>
      <c r="AC751" s="772"/>
      <c r="AD751" s="772"/>
      <c r="AE751" s="772"/>
      <c r="AF751" s="772"/>
      <c r="AG751" s="772"/>
      <c r="AH751" s="772"/>
      <c r="AI751" s="772"/>
    </row>
    <row r="752" ht="15.75" customHeight="1">
      <c r="A752" s="815"/>
      <c r="B752" s="782"/>
      <c r="C752" s="782"/>
      <c r="D752" s="782"/>
      <c r="E752" s="816"/>
      <c r="F752" s="816"/>
      <c r="G752" s="816"/>
      <c r="H752" s="817"/>
      <c r="I752" s="817"/>
      <c r="J752" s="817"/>
      <c r="K752" s="818"/>
      <c r="L752" s="772"/>
      <c r="M752" s="772"/>
      <c r="N752" s="772"/>
      <c r="O752" s="772"/>
      <c r="P752" s="772"/>
      <c r="Q752" s="772"/>
      <c r="R752" s="772"/>
      <c r="S752" s="772"/>
      <c r="T752" s="772"/>
      <c r="U752" s="772"/>
      <c r="V752" s="772"/>
      <c r="W752" s="772"/>
      <c r="X752" s="772"/>
      <c r="Y752" s="772"/>
      <c r="Z752" s="772"/>
      <c r="AA752" s="772"/>
      <c r="AB752" s="772"/>
      <c r="AC752" s="772"/>
      <c r="AD752" s="772"/>
      <c r="AE752" s="772"/>
      <c r="AF752" s="772"/>
      <c r="AG752" s="772"/>
      <c r="AH752" s="772"/>
      <c r="AI752" s="772"/>
    </row>
    <row r="753" ht="15.75" customHeight="1">
      <c r="A753" s="815"/>
      <c r="B753" s="782"/>
      <c r="C753" s="782"/>
      <c r="D753" s="782"/>
      <c r="E753" s="816"/>
      <c r="F753" s="816"/>
      <c r="G753" s="816"/>
      <c r="H753" s="817"/>
      <c r="I753" s="817"/>
      <c r="J753" s="817"/>
      <c r="K753" s="818"/>
      <c r="L753" s="772"/>
      <c r="M753" s="772"/>
      <c r="N753" s="772"/>
      <c r="O753" s="772"/>
      <c r="P753" s="772"/>
      <c r="Q753" s="772"/>
      <c r="R753" s="772"/>
      <c r="S753" s="772"/>
      <c r="T753" s="772"/>
      <c r="U753" s="772"/>
      <c r="V753" s="772"/>
      <c r="W753" s="772"/>
      <c r="X753" s="772"/>
      <c r="Y753" s="772"/>
      <c r="Z753" s="772"/>
      <c r="AA753" s="772"/>
      <c r="AB753" s="772"/>
      <c r="AC753" s="772"/>
      <c r="AD753" s="772"/>
      <c r="AE753" s="772"/>
      <c r="AF753" s="772"/>
      <c r="AG753" s="772"/>
      <c r="AH753" s="772"/>
      <c r="AI753" s="772"/>
    </row>
    <row r="754" ht="15.75" customHeight="1">
      <c r="A754" s="815"/>
      <c r="B754" s="782"/>
      <c r="C754" s="782"/>
      <c r="D754" s="782"/>
      <c r="E754" s="816"/>
      <c r="F754" s="816"/>
      <c r="G754" s="816"/>
      <c r="H754" s="817"/>
      <c r="I754" s="817"/>
      <c r="J754" s="817"/>
      <c r="K754" s="818"/>
      <c r="L754" s="772"/>
      <c r="M754" s="772"/>
      <c r="N754" s="772"/>
      <c r="O754" s="772"/>
      <c r="P754" s="772"/>
      <c r="Q754" s="772"/>
      <c r="R754" s="772"/>
      <c r="S754" s="772"/>
      <c r="T754" s="772"/>
      <c r="U754" s="772"/>
      <c r="V754" s="772"/>
      <c r="W754" s="772"/>
      <c r="X754" s="772"/>
      <c r="Y754" s="772"/>
      <c r="Z754" s="772"/>
      <c r="AA754" s="772"/>
      <c r="AB754" s="772"/>
      <c r="AC754" s="772"/>
      <c r="AD754" s="772"/>
      <c r="AE754" s="772"/>
      <c r="AF754" s="772"/>
      <c r="AG754" s="772"/>
      <c r="AH754" s="772"/>
      <c r="AI754" s="772"/>
    </row>
    <row r="755" ht="15.75" customHeight="1">
      <c r="A755" s="815"/>
      <c r="B755" s="782"/>
      <c r="C755" s="782"/>
      <c r="D755" s="782"/>
      <c r="E755" s="816"/>
      <c r="F755" s="816"/>
      <c r="G755" s="816"/>
      <c r="H755" s="817"/>
      <c r="I755" s="817"/>
      <c r="J755" s="817"/>
      <c r="K755" s="818"/>
      <c r="L755" s="772"/>
      <c r="M755" s="772"/>
      <c r="N755" s="772"/>
      <c r="O755" s="772"/>
      <c r="P755" s="772"/>
      <c r="Q755" s="772"/>
      <c r="R755" s="772"/>
      <c r="S755" s="772"/>
      <c r="T755" s="772"/>
      <c r="U755" s="772"/>
      <c r="V755" s="772"/>
      <c r="W755" s="772"/>
      <c r="X755" s="772"/>
      <c r="Y755" s="772"/>
      <c r="Z755" s="772"/>
      <c r="AA755" s="772"/>
      <c r="AB755" s="772"/>
      <c r="AC755" s="772"/>
      <c r="AD755" s="772"/>
      <c r="AE755" s="772"/>
      <c r="AF755" s="772"/>
      <c r="AG755" s="772"/>
      <c r="AH755" s="772"/>
      <c r="AI755" s="772"/>
    </row>
    <row r="756" ht="15.75" customHeight="1">
      <c r="A756" s="815"/>
      <c r="B756" s="782"/>
      <c r="C756" s="782"/>
      <c r="D756" s="782"/>
      <c r="E756" s="816"/>
      <c r="F756" s="816"/>
      <c r="G756" s="816"/>
      <c r="H756" s="817"/>
      <c r="I756" s="817"/>
      <c r="J756" s="817"/>
      <c r="K756" s="818"/>
      <c r="L756" s="772"/>
      <c r="M756" s="772"/>
      <c r="N756" s="772"/>
      <c r="O756" s="772"/>
      <c r="P756" s="772"/>
      <c r="Q756" s="772"/>
      <c r="R756" s="772"/>
      <c r="S756" s="772"/>
      <c r="T756" s="772"/>
      <c r="U756" s="772"/>
      <c r="V756" s="772"/>
      <c r="W756" s="772"/>
      <c r="X756" s="772"/>
      <c r="Y756" s="772"/>
      <c r="Z756" s="772"/>
      <c r="AA756" s="772"/>
      <c r="AB756" s="772"/>
      <c r="AC756" s="772"/>
      <c r="AD756" s="772"/>
      <c r="AE756" s="772"/>
      <c r="AF756" s="772"/>
      <c r="AG756" s="772"/>
      <c r="AH756" s="772"/>
      <c r="AI756" s="772"/>
    </row>
    <row r="757" ht="15.75" customHeight="1">
      <c r="A757" s="815"/>
      <c r="B757" s="782"/>
      <c r="C757" s="782"/>
      <c r="D757" s="782"/>
      <c r="E757" s="816"/>
      <c r="F757" s="816"/>
      <c r="G757" s="816"/>
      <c r="H757" s="817"/>
      <c r="I757" s="817"/>
      <c r="J757" s="817"/>
      <c r="K757" s="818"/>
      <c r="L757" s="772"/>
      <c r="M757" s="772"/>
      <c r="N757" s="772"/>
      <c r="O757" s="772"/>
      <c r="P757" s="772"/>
      <c r="Q757" s="772"/>
      <c r="R757" s="772"/>
      <c r="S757" s="772"/>
      <c r="T757" s="772"/>
      <c r="U757" s="772"/>
      <c r="V757" s="772"/>
      <c r="W757" s="772"/>
      <c r="X757" s="772"/>
      <c r="Y757" s="772"/>
      <c r="Z757" s="772"/>
      <c r="AA757" s="772"/>
      <c r="AB757" s="772"/>
      <c r="AC757" s="772"/>
      <c r="AD757" s="772"/>
      <c r="AE757" s="772"/>
      <c r="AF757" s="772"/>
      <c r="AG757" s="772"/>
      <c r="AH757" s="772"/>
      <c r="AI757" s="772"/>
    </row>
    <row r="758" ht="15.75" customHeight="1">
      <c r="A758" s="815"/>
      <c r="B758" s="782"/>
      <c r="C758" s="782"/>
      <c r="D758" s="782"/>
      <c r="E758" s="816"/>
      <c r="F758" s="816"/>
      <c r="G758" s="816"/>
      <c r="H758" s="817"/>
      <c r="I758" s="817"/>
      <c r="J758" s="817"/>
      <c r="K758" s="818"/>
      <c r="L758" s="772"/>
      <c r="M758" s="772"/>
      <c r="N758" s="772"/>
      <c r="O758" s="772"/>
      <c r="P758" s="772"/>
      <c r="Q758" s="772"/>
      <c r="R758" s="772"/>
      <c r="S758" s="772"/>
      <c r="T758" s="772"/>
      <c r="U758" s="772"/>
      <c r="V758" s="772"/>
      <c r="W758" s="772"/>
      <c r="X758" s="772"/>
      <c r="Y758" s="772"/>
      <c r="Z758" s="772"/>
      <c r="AA758" s="772"/>
      <c r="AB758" s="772"/>
      <c r="AC758" s="772"/>
      <c r="AD758" s="772"/>
      <c r="AE758" s="772"/>
      <c r="AF758" s="772"/>
      <c r="AG758" s="772"/>
      <c r="AH758" s="772"/>
      <c r="AI758" s="772"/>
    </row>
    <row r="759" ht="15.75" customHeight="1">
      <c r="A759" s="815"/>
      <c r="B759" s="782"/>
      <c r="C759" s="782"/>
      <c r="D759" s="782"/>
      <c r="E759" s="816"/>
      <c r="F759" s="816"/>
      <c r="G759" s="816"/>
      <c r="H759" s="817"/>
      <c r="I759" s="817"/>
      <c r="J759" s="817"/>
      <c r="K759" s="818"/>
      <c r="L759" s="772"/>
      <c r="M759" s="772"/>
      <c r="N759" s="772"/>
      <c r="O759" s="772"/>
      <c r="P759" s="772"/>
      <c r="Q759" s="772"/>
      <c r="R759" s="772"/>
      <c r="S759" s="772"/>
      <c r="T759" s="772"/>
      <c r="U759" s="772"/>
      <c r="V759" s="772"/>
      <c r="W759" s="772"/>
      <c r="X759" s="772"/>
      <c r="Y759" s="772"/>
      <c r="Z759" s="772"/>
      <c r="AA759" s="772"/>
      <c r="AB759" s="772"/>
      <c r="AC759" s="772"/>
      <c r="AD759" s="772"/>
      <c r="AE759" s="772"/>
      <c r="AF759" s="772"/>
      <c r="AG759" s="772"/>
      <c r="AH759" s="772"/>
      <c r="AI759" s="772"/>
    </row>
    <row r="760" ht="15.75" customHeight="1">
      <c r="A760" s="815"/>
      <c r="B760" s="782"/>
      <c r="C760" s="782"/>
      <c r="D760" s="782"/>
      <c r="E760" s="816"/>
      <c r="F760" s="816"/>
      <c r="G760" s="816"/>
      <c r="H760" s="817"/>
      <c r="I760" s="817"/>
      <c r="J760" s="817"/>
      <c r="K760" s="818"/>
      <c r="L760" s="772"/>
      <c r="M760" s="772"/>
      <c r="N760" s="772"/>
      <c r="O760" s="772"/>
      <c r="P760" s="772"/>
      <c r="Q760" s="772"/>
      <c r="R760" s="772"/>
      <c r="S760" s="772"/>
      <c r="T760" s="772"/>
      <c r="U760" s="772"/>
      <c r="V760" s="772"/>
      <c r="W760" s="772"/>
      <c r="X760" s="772"/>
      <c r="Y760" s="772"/>
      <c r="Z760" s="772"/>
      <c r="AA760" s="772"/>
      <c r="AB760" s="772"/>
      <c r="AC760" s="772"/>
      <c r="AD760" s="772"/>
      <c r="AE760" s="772"/>
      <c r="AF760" s="772"/>
      <c r="AG760" s="772"/>
      <c r="AH760" s="772"/>
      <c r="AI760" s="772"/>
    </row>
    <row r="761" ht="15.75" customHeight="1">
      <c r="A761" s="815"/>
      <c r="B761" s="782"/>
      <c r="C761" s="782"/>
      <c r="D761" s="782"/>
      <c r="E761" s="816"/>
      <c r="F761" s="816"/>
      <c r="G761" s="816"/>
      <c r="H761" s="817"/>
      <c r="I761" s="817"/>
      <c r="J761" s="817"/>
      <c r="K761" s="818"/>
      <c r="L761" s="772"/>
      <c r="M761" s="772"/>
      <c r="N761" s="772"/>
      <c r="O761" s="772"/>
      <c r="P761" s="772"/>
      <c r="Q761" s="772"/>
      <c r="R761" s="772"/>
      <c r="S761" s="772"/>
      <c r="T761" s="772"/>
      <c r="U761" s="772"/>
      <c r="V761" s="772"/>
      <c r="W761" s="772"/>
      <c r="X761" s="772"/>
      <c r="Y761" s="772"/>
      <c r="Z761" s="772"/>
      <c r="AA761" s="772"/>
      <c r="AB761" s="772"/>
      <c r="AC761" s="772"/>
      <c r="AD761" s="772"/>
      <c r="AE761" s="772"/>
      <c r="AF761" s="772"/>
      <c r="AG761" s="772"/>
      <c r="AH761" s="772"/>
      <c r="AI761" s="772"/>
    </row>
    <row r="762" ht="15.75" customHeight="1">
      <c r="A762" s="815"/>
      <c r="B762" s="782"/>
      <c r="C762" s="782"/>
      <c r="D762" s="782"/>
      <c r="E762" s="816"/>
      <c r="F762" s="816"/>
      <c r="G762" s="816"/>
      <c r="H762" s="817"/>
      <c r="I762" s="817"/>
      <c r="J762" s="817"/>
      <c r="K762" s="818"/>
      <c r="L762" s="772"/>
      <c r="M762" s="772"/>
      <c r="N762" s="772"/>
      <c r="O762" s="772"/>
      <c r="P762" s="772"/>
      <c r="Q762" s="772"/>
      <c r="R762" s="772"/>
      <c r="S762" s="772"/>
      <c r="T762" s="772"/>
      <c r="U762" s="772"/>
      <c r="V762" s="772"/>
      <c r="W762" s="772"/>
      <c r="X762" s="772"/>
      <c r="Y762" s="772"/>
      <c r="Z762" s="772"/>
      <c r="AA762" s="772"/>
      <c r="AB762" s="772"/>
      <c r="AC762" s="772"/>
      <c r="AD762" s="772"/>
      <c r="AE762" s="772"/>
      <c r="AF762" s="772"/>
      <c r="AG762" s="772"/>
      <c r="AH762" s="772"/>
      <c r="AI762" s="772"/>
    </row>
    <row r="763" ht="15.75" customHeight="1">
      <c r="A763" s="815"/>
      <c r="B763" s="782"/>
      <c r="C763" s="782"/>
      <c r="D763" s="782"/>
      <c r="E763" s="816"/>
      <c r="F763" s="816"/>
      <c r="G763" s="816"/>
      <c r="H763" s="817"/>
      <c r="I763" s="817"/>
      <c r="J763" s="817"/>
      <c r="K763" s="818"/>
      <c r="L763" s="772"/>
      <c r="M763" s="772"/>
      <c r="N763" s="772"/>
      <c r="O763" s="772"/>
      <c r="P763" s="772"/>
      <c r="Q763" s="772"/>
      <c r="R763" s="772"/>
      <c r="S763" s="772"/>
      <c r="T763" s="772"/>
      <c r="U763" s="772"/>
      <c r="V763" s="772"/>
      <c r="W763" s="772"/>
      <c r="X763" s="772"/>
      <c r="Y763" s="772"/>
      <c r="Z763" s="772"/>
      <c r="AA763" s="772"/>
      <c r="AB763" s="772"/>
      <c r="AC763" s="772"/>
      <c r="AD763" s="772"/>
      <c r="AE763" s="772"/>
      <c r="AF763" s="772"/>
      <c r="AG763" s="772"/>
      <c r="AH763" s="772"/>
      <c r="AI763" s="772"/>
    </row>
    <row r="764" ht="15.75" customHeight="1">
      <c r="A764" s="815"/>
      <c r="B764" s="782"/>
      <c r="C764" s="782"/>
      <c r="D764" s="782"/>
      <c r="E764" s="816"/>
      <c r="F764" s="816"/>
      <c r="G764" s="816"/>
      <c r="H764" s="817"/>
      <c r="I764" s="817"/>
      <c r="J764" s="817"/>
      <c r="K764" s="818"/>
      <c r="L764" s="772"/>
      <c r="M764" s="772"/>
      <c r="N764" s="772"/>
      <c r="O764" s="772"/>
      <c r="P764" s="772"/>
      <c r="Q764" s="772"/>
      <c r="R764" s="772"/>
      <c r="S764" s="772"/>
      <c r="T764" s="772"/>
      <c r="U764" s="772"/>
      <c r="V764" s="772"/>
      <c r="W764" s="772"/>
      <c r="X764" s="772"/>
      <c r="Y764" s="772"/>
      <c r="Z764" s="772"/>
      <c r="AA764" s="772"/>
      <c r="AB764" s="772"/>
      <c r="AC764" s="772"/>
      <c r="AD764" s="772"/>
      <c r="AE764" s="772"/>
      <c r="AF764" s="772"/>
      <c r="AG764" s="772"/>
      <c r="AH764" s="772"/>
      <c r="AI764" s="772"/>
    </row>
    <row r="765" ht="15.75" customHeight="1">
      <c r="A765" s="815"/>
      <c r="B765" s="782"/>
      <c r="C765" s="782"/>
      <c r="D765" s="782"/>
      <c r="E765" s="816"/>
      <c r="F765" s="816"/>
      <c r="G765" s="816"/>
      <c r="H765" s="817"/>
      <c r="I765" s="817"/>
      <c r="J765" s="817"/>
      <c r="K765" s="818"/>
      <c r="L765" s="772"/>
      <c r="M765" s="772"/>
      <c r="N765" s="772"/>
      <c r="O765" s="772"/>
      <c r="P765" s="772"/>
      <c r="Q765" s="772"/>
      <c r="R765" s="772"/>
      <c r="S765" s="772"/>
      <c r="T765" s="772"/>
      <c r="U765" s="772"/>
      <c r="V765" s="772"/>
      <c r="W765" s="772"/>
      <c r="X765" s="772"/>
      <c r="Y765" s="772"/>
      <c r="Z765" s="772"/>
      <c r="AA765" s="772"/>
      <c r="AB765" s="772"/>
      <c r="AC765" s="772"/>
      <c r="AD765" s="772"/>
      <c r="AE765" s="772"/>
      <c r="AF765" s="772"/>
      <c r="AG765" s="772"/>
      <c r="AH765" s="772"/>
      <c r="AI765" s="772"/>
    </row>
    <row r="766" ht="15.75" customHeight="1">
      <c r="A766" s="815"/>
      <c r="B766" s="782"/>
      <c r="C766" s="782"/>
      <c r="D766" s="782"/>
      <c r="E766" s="816"/>
      <c r="F766" s="816"/>
      <c r="G766" s="816"/>
      <c r="H766" s="817"/>
      <c r="I766" s="817"/>
      <c r="J766" s="817"/>
      <c r="K766" s="818"/>
      <c r="L766" s="772"/>
      <c r="M766" s="772"/>
      <c r="N766" s="772"/>
      <c r="O766" s="772"/>
      <c r="P766" s="772"/>
      <c r="Q766" s="772"/>
      <c r="R766" s="772"/>
      <c r="S766" s="772"/>
      <c r="T766" s="772"/>
      <c r="U766" s="772"/>
      <c r="V766" s="772"/>
      <c r="W766" s="772"/>
      <c r="X766" s="772"/>
      <c r="Y766" s="772"/>
      <c r="Z766" s="772"/>
      <c r="AA766" s="772"/>
      <c r="AB766" s="772"/>
      <c r="AC766" s="772"/>
      <c r="AD766" s="772"/>
      <c r="AE766" s="772"/>
      <c r="AF766" s="772"/>
      <c r="AG766" s="772"/>
      <c r="AH766" s="772"/>
      <c r="AI766" s="772"/>
    </row>
    <row r="767" ht="15.75" customHeight="1">
      <c r="A767" s="815"/>
      <c r="B767" s="782"/>
      <c r="C767" s="782"/>
      <c r="D767" s="782"/>
      <c r="E767" s="816"/>
      <c r="F767" s="816"/>
      <c r="G767" s="816"/>
      <c r="H767" s="817"/>
      <c r="I767" s="817"/>
      <c r="J767" s="817"/>
      <c r="K767" s="818"/>
      <c r="L767" s="772"/>
      <c r="M767" s="772"/>
      <c r="N767" s="772"/>
      <c r="O767" s="772"/>
      <c r="P767" s="772"/>
      <c r="Q767" s="772"/>
      <c r="R767" s="772"/>
      <c r="S767" s="772"/>
      <c r="T767" s="772"/>
      <c r="U767" s="772"/>
      <c r="V767" s="772"/>
      <c r="W767" s="772"/>
      <c r="X767" s="772"/>
      <c r="Y767" s="772"/>
      <c r="Z767" s="772"/>
      <c r="AA767" s="772"/>
      <c r="AB767" s="772"/>
      <c r="AC767" s="772"/>
      <c r="AD767" s="772"/>
      <c r="AE767" s="772"/>
      <c r="AF767" s="772"/>
      <c r="AG767" s="772"/>
      <c r="AH767" s="772"/>
      <c r="AI767" s="772"/>
    </row>
    <row r="768" ht="15.75" customHeight="1">
      <c r="A768" s="815"/>
      <c r="B768" s="782"/>
      <c r="C768" s="782"/>
      <c r="D768" s="782"/>
      <c r="E768" s="816"/>
      <c r="F768" s="816"/>
      <c r="G768" s="816"/>
      <c r="H768" s="817"/>
      <c r="I768" s="817"/>
      <c r="J768" s="817"/>
      <c r="K768" s="818"/>
      <c r="L768" s="772"/>
      <c r="M768" s="772"/>
      <c r="N768" s="772"/>
      <c r="O768" s="772"/>
      <c r="P768" s="772"/>
      <c r="Q768" s="772"/>
      <c r="R768" s="772"/>
      <c r="S768" s="772"/>
      <c r="T768" s="772"/>
      <c r="U768" s="772"/>
      <c r="V768" s="772"/>
      <c r="W768" s="772"/>
      <c r="X768" s="772"/>
      <c r="Y768" s="772"/>
      <c r="Z768" s="772"/>
      <c r="AA768" s="772"/>
      <c r="AB768" s="772"/>
      <c r="AC768" s="772"/>
      <c r="AD768" s="772"/>
      <c r="AE768" s="772"/>
      <c r="AF768" s="772"/>
      <c r="AG768" s="772"/>
      <c r="AH768" s="772"/>
      <c r="AI768" s="772"/>
    </row>
    <row r="769" ht="15.75" customHeight="1">
      <c r="A769" s="815"/>
      <c r="B769" s="782"/>
      <c r="C769" s="782"/>
      <c r="D769" s="782"/>
      <c r="E769" s="816"/>
      <c r="F769" s="816"/>
      <c r="G769" s="816"/>
      <c r="H769" s="817"/>
      <c r="I769" s="817"/>
      <c r="J769" s="817"/>
      <c r="K769" s="818"/>
      <c r="L769" s="772"/>
      <c r="M769" s="772"/>
      <c r="N769" s="772"/>
      <c r="O769" s="772"/>
      <c r="P769" s="772"/>
      <c r="Q769" s="772"/>
      <c r="R769" s="772"/>
      <c r="S769" s="772"/>
      <c r="T769" s="772"/>
      <c r="U769" s="772"/>
      <c r="V769" s="772"/>
      <c r="W769" s="772"/>
      <c r="X769" s="772"/>
      <c r="Y769" s="772"/>
      <c r="Z769" s="772"/>
      <c r="AA769" s="772"/>
      <c r="AB769" s="772"/>
      <c r="AC769" s="772"/>
      <c r="AD769" s="772"/>
      <c r="AE769" s="772"/>
      <c r="AF769" s="772"/>
      <c r="AG769" s="772"/>
      <c r="AH769" s="772"/>
      <c r="AI769" s="772"/>
    </row>
    <row r="770" ht="15.75" customHeight="1">
      <c r="A770" s="815"/>
      <c r="B770" s="782"/>
      <c r="C770" s="782"/>
      <c r="D770" s="782"/>
      <c r="E770" s="816"/>
      <c r="F770" s="816"/>
      <c r="G770" s="816"/>
      <c r="H770" s="817"/>
      <c r="I770" s="817"/>
      <c r="J770" s="817"/>
      <c r="K770" s="818"/>
      <c r="L770" s="772"/>
      <c r="M770" s="772"/>
      <c r="N770" s="772"/>
      <c r="O770" s="772"/>
      <c r="P770" s="772"/>
      <c r="Q770" s="772"/>
      <c r="R770" s="772"/>
      <c r="S770" s="772"/>
      <c r="T770" s="772"/>
      <c r="U770" s="772"/>
      <c r="V770" s="772"/>
      <c r="W770" s="772"/>
      <c r="X770" s="772"/>
      <c r="Y770" s="772"/>
      <c r="Z770" s="772"/>
      <c r="AA770" s="772"/>
      <c r="AB770" s="772"/>
      <c r="AC770" s="772"/>
      <c r="AD770" s="772"/>
      <c r="AE770" s="772"/>
      <c r="AF770" s="772"/>
      <c r="AG770" s="772"/>
      <c r="AH770" s="772"/>
      <c r="AI770" s="772"/>
    </row>
    <row r="771" ht="15.75" customHeight="1">
      <c r="A771" s="815"/>
      <c r="B771" s="782"/>
      <c r="C771" s="782"/>
      <c r="D771" s="782"/>
      <c r="E771" s="816"/>
      <c r="F771" s="816"/>
      <c r="G771" s="816"/>
      <c r="H771" s="817"/>
      <c r="I771" s="817"/>
      <c r="J771" s="817"/>
      <c r="K771" s="818"/>
      <c r="L771" s="772"/>
      <c r="M771" s="772"/>
      <c r="N771" s="772"/>
      <c r="O771" s="772"/>
      <c r="P771" s="772"/>
      <c r="Q771" s="772"/>
      <c r="R771" s="772"/>
      <c r="S771" s="772"/>
      <c r="T771" s="772"/>
      <c r="U771" s="772"/>
      <c r="V771" s="772"/>
      <c r="W771" s="772"/>
      <c r="X771" s="772"/>
      <c r="Y771" s="772"/>
      <c r="Z771" s="772"/>
      <c r="AA771" s="772"/>
      <c r="AB771" s="772"/>
      <c r="AC771" s="772"/>
      <c r="AD771" s="772"/>
      <c r="AE771" s="772"/>
      <c r="AF771" s="772"/>
      <c r="AG771" s="772"/>
      <c r="AH771" s="772"/>
      <c r="AI771" s="772"/>
    </row>
    <row r="772" ht="15.75" customHeight="1">
      <c r="A772" s="815"/>
      <c r="B772" s="782"/>
      <c r="C772" s="782"/>
      <c r="D772" s="782"/>
      <c r="E772" s="816"/>
      <c r="F772" s="816"/>
      <c r="G772" s="816"/>
      <c r="H772" s="817"/>
      <c r="I772" s="817"/>
      <c r="J772" s="817"/>
      <c r="K772" s="818"/>
      <c r="L772" s="772"/>
      <c r="M772" s="772"/>
      <c r="N772" s="772"/>
      <c r="O772" s="772"/>
      <c r="P772" s="772"/>
      <c r="Q772" s="772"/>
      <c r="R772" s="772"/>
      <c r="S772" s="772"/>
      <c r="T772" s="772"/>
      <c r="U772" s="772"/>
      <c r="V772" s="772"/>
      <c r="W772" s="772"/>
      <c r="X772" s="772"/>
      <c r="Y772" s="772"/>
      <c r="Z772" s="772"/>
      <c r="AA772" s="772"/>
      <c r="AB772" s="772"/>
      <c r="AC772" s="772"/>
      <c r="AD772" s="772"/>
      <c r="AE772" s="772"/>
      <c r="AF772" s="772"/>
      <c r="AG772" s="772"/>
      <c r="AH772" s="772"/>
      <c r="AI772" s="772"/>
    </row>
    <row r="773" ht="15.75" customHeight="1">
      <c r="A773" s="815"/>
      <c r="B773" s="782"/>
      <c r="C773" s="782"/>
      <c r="D773" s="782"/>
      <c r="E773" s="816"/>
      <c r="F773" s="816"/>
      <c r="G773" s="816"/>
      <c r="H773" s="817"/>
      <c r="I773" s="817"/>
      <c r="J773" s="817"/>
      <c r="K773" s="818"/>
      <c r="L773" s="772"/>
      <c r="M773" s="772"/>
      <c r="N773" s="772"/>
      <c r="O773" s="772"/>
      <c r="P773" s="772"/>
      <c r="Q773" s="772"/>
      <c r="R773" s="772"/>
      <c r="S773" s="772"/>
      <c r="T773" s="772"/>
      <c r="U773" s="772"/>
      <c r="V773" s="772"/>
      <c r="W773" s="772"/>
      <c r="X773" s="772"/>
      <c r="Y773" s="772"/>
      <c r="Z773" s="772"/>
      <c r="AA773" s="772"/>
      <c r="AB773" s="772"/>
      <c r="AC773" s="772"/>
      <c r="AD773" s="772"/>
      <c r="AE773" s="772"/>
      <c r="AF773" s="772"/>
      <c r="AG773" s="772"/>
      <c r="AH773" s="772"/>
      <c r="AI773" s="772"/>
    </row>
    <row r="774" ht="15.75" customHeight="1">
      <c r="A774" s="815"/>
      <c r="B774" s="782"/>
      <c r="C774" s="782"/>
      <c r="D774" s="782"/>
      <c r="E774" s="816"/>
      <c r="F774" s="816"/>
      <c r="G774" s="816"/>
      <c r="H774" s="817"/>
      <c r="I774" s="817"/>
      <c r="J774" s="817"/>
      <c r="K774" s="818"/>
      <c r="L774" s="772"/>
      <c r="M774" s="772"/>
      <c r="N774" s="772"/>
      <c r="O774" s="772"/>
      <c r="P774" s="772"/>
      <c r="Q774" s="772"/>
      <c r="R774" s="772"/>
      <c r="S774" s="772"/>
      <c r="T774" s="772"/>
      <c r="U774" s="772"/>
      <c r="V774" s="772"/>
      <c r="W774" s="772"/>
      <c r="X774" s="772"/>
      <c r="Y774" s="772"/>
      <c r="Z774" s="772"/>
      <c r="AA774" s="772"/>
      <c r="AB774" s="772"/>
      <c r="AC774" s="772"/>
      <c r="AD774" s="772"/>
      <c r="AE774" s="772"/>
      <c r="AF774" s="772"/>
      <c r="AG774" s="772"/>
      <c r="AH774" s="772"/>
      <c r="AI774" s="772"/>
    </row>
    <row r="775" ht="15.75" customHeight="1">
      <c r="A775" s="815"/>
      <c r="B775" s="782"/>
      <c r="C775" s="782"/>
      <c r="D775" s="782"/>
      <c r="E775" s="816"/>
      <c r="F775" s="816"/>
      <c r="G775" s="816"/>
      <c r="H775" s="817"/>
      <c r="I775" s="817"/>
      <c r="J775" s="817"/>
      <c r="K775" s="818"/>
      <c r="L775" s="772"/>
      <c r="M775" s="772"/>
      <c r="N775" s="772"/>
      <c r="O775" s="772"/>
      <c r="P775" s="772"/>
      <c r="Q775" s="772"/>
      <c r="R775" s="772"/>
      <c r="S775" s="772"/>
      <c r="T775" s="772"/>
      <c r="U775" s="772"/>
      <c r="V775" s="772"/>
      <c r="W775" s="772"/>
      <c r="X775" s="772"/>
      <c r="Y775" s="772"/>
      <c r="Z775" s="772"/>
      <c r="AA775" s="772"/>
      <c r="AB775" s="772"/>
      <c r="AC775" s="772"/>
      <c r="AD775" s="772"/>
      <c r="AE775" s="772"/>
      <c r="AF775" s="772"/>
      <c r="AG775" s="772"/>
      <c r="AH775" s="772"/>
      <c r="AI775" s="772"/>
    </row>
    <row r="776" ht="15.75" customHeight="1">
      <c r="A776" s="815"/>
      <c r="B776" s="782"/>
      <c r="C776" s="782"/>
      <c r="D776" s="782"/>
      <c r="E776" s="816"/>
      <c r="F776" s="816"/>
      <c r="G776" s="816"/>
      <c r="H776" s="817"/>
      <c r="I776" s="817"/>
      <c r="J776" s="817"/>
      <c r="K776" s="818"/>
      <c r="L776" s="772"/>
      <c r="M776" s="772"/>
      <c r="N776" s="772"/>
      <c r="O776" s="772"/>
      <c r="P776" s="772"/>
      <c r="Q776" s="772"/>
      <c r="R776" s="772"/>
      <c r="S776" s="772"/>
      <c r="T776" s="772"/>
      <c r="U776" s="772"/>
      <c r="V776" s="772"/>
      <c r="W776" s="772"/>
      <c r="X776" s="772"/>
      <c r="Y776" s="772"/>
      <c r="Z776" s="772"/>
      <c r="AA776" s="772"/>
      <c r="AB776" s="772"/>
      <c r="AC776" s="772"/>
      <c r="AD776" s="772"/>
      <c r="AE776" s="772"/>
      <c r="AF776" s="772"/>
      <c r="AG776" s="772"/>
      <c r="AH776" s="772"/>
      <c r="AI776" s="772"/>
    </row>
    <row r="777" ht="15.75" customHeight="1">
      <c r="A777" s="815"/>
      <c r="B777" s="782"/>
      <c r="C777" s="782"/>
      <c r="D777" s="782"/>
      <c r="E777" s="816"/>
      <c r="F777" s="816"/>
      <c r="G777" s="816"/>
      <c r="H777" s="817"/>
      <c r="I777" s="817"/>
      <c r="J777" s="817"/>
      <c r="K777" s="818"/>
      <c r="L777" s="772"/>
      <c r="M777" s="772"/>
      <c r="N777" s="772"/>
      <c r="O777" s="772"/>
      <c r="P777" s="772"/>
      <c r="Q777" s="772"/>
      <c r="R777" s="772"/>
      <c r="S777" s="772"/>
      <c r="T777" s="772"/>
      <c r="U777" s="772"/>
      <c r="V777" s="772"/>
      <c r="W777" s="772"/>
      <c r="X777" s="772"/>
      <c r="Y777" s="772"/>
      <c r="Z777" s="772"/>
      <c r="AA777" s="772"/>
      <c r="AB777" s="772"/>
      <c r="AC777" s="772"/>
      <c r="AD777" s="772"/>
      <c r="AE777" s="772"/>
      <c r="AF777" s="772"/>
      <c r="AG777" s="772"/>
      <c r="AH777" s="772"/>
      <c r="AI777" s="772"/>
    </row>
    <row r="778" ht="15.75" customHeight="1">
      <c r="A778" s="815"/>
      <c r="B778" s="782"/>
      <c r="C778" s="782"/>
      <c r="D778" s="782"/>
      <c r="E778" s="816"/>
      <c r="F778" s="816"/>
      <c r="G778" s="816"/>
      <c r="H778" s="817"/>
      <c r="I778" s="817"/>
      <c r="J778" s="817"/>
      <c r="K778" s="818"/>
      <c r="L778" s="772"/>
      <c r="M778" s="772"/>
      <c r="N778" s="772"/>
      <c r="O778" s="772"/>
      <c r="P778" s="772"/>
      <c r="Q778" s="772"/>
      <c r="R778" s="772"/>
      <c r="S778" s="772"/>
      <c r="T778" s="772"/>
      <c r="U778" s="772"/>
      <c r="V778" s="772"/>
      <c r="W778" s="772"/>
      <c r="X778" s="772"/>
      <c r="Y778" s="772"/>
      <c r="Z778" s="772"/>
      <c r="AA778" s="772"/>
      <c r="AB778" s="772"/>
      <c r="AC778" s="772"/>
      <c r="AD778" s="772"/>
      <c r="AE778" s="772"/>
      <c r="AF778" s="772"/>
      <c r="AG778" s="772"/>
      <c r="AH778" s="772"/>
      <c r="AI778" s="772"/>
    </row>
    <row r="779" ht="15.75" customHeight="1">
      <c r="A779" s="815"/>
      <c r="B779" s="782"/>
      <c r="C779" s="782"/>
      <c r="D779" s="782"/>
      <c r="E779" s="816"/>
      <c r="F779" s="816"/>
      <c r="G779" s="816"/>
      <c r="H779" s="817"/>
      <c r="I779" s="817"/>
      <c r="J779" s="817"/>
      <c r="K779" s="818"/>
      <c r="L779" s="772"/>
      <c r="M779" s="772"/>
      <c r="N779" s="772"/>
      <c r="O779" s="772"/>
      <c r="P779" s="772"/>
      <c r="Q779" s="772"/>
      <c r="R779" s="772"/>
      <c r="S779" s="772"/>
      <c r="T779" s="772"/>
      <c r="U779" s="772"/>
      <c r="V779" s="772"/>
      <c r="W779" s="772"/>
      <c r="X779" s="772"/>
      <c r="Y779" s="772"/>
      <c r="Z779" s="772"/>
      <c r="AA779" s="772"/>
      <c r="AB779" s="772"/>
      <c r="AC779" s="772"/>
      <c r="AD779" s="772"/>
      <c r="AE779" s="772"/>
      <c r="AF779" s="772"/>
      <c r="AG779" s="772"/>
      <c r="AH779" s="772"/>
      <c r="AI779" s="772"/>
    </row>
    <row r="780" ht="15.75" customHeight="1">
      <c r="A780" s="815"/>
      <c r="B780" s="782"/>
      <c r="C780" s="782"/>
      <c r="D780" s="782"/>
      <c r="E780" s="816"/>
      <c r="F780" s="816"/>
      <c r="G780" s="816"/>
      <c r="H780" s="817"/>
      <c r="I780" s="817"/>
      <c r="J780" s="817"/>
      <c r="K780" s="818"/>
      <c r="L780" s="772"/>
      <c r="M780" s="772"/>
      <c r="N780" s="772"/>
      <c r="O780" s="772"/>
      <c r="P780" s="772"/>
      <c r="Q780" s="772"/>
      <c r="R780" s="772"/>
      <c r="S780" s="772"/>
      <c r="T780" s="772"/>
      <c r="U780" s="772"/>
      <c r="V780" s="772"/>
      <c r="W780" s="772"/>
      <c r="X780" s="772"/>
      <c r="Y780" s="772"/>
      <c r="Z780" s="772"/>
      <c r="AA780" s="772"/>
      <c r="AB780" s="772"/>
      <c r="AC780" s="772"/>
      <c r="AD780" s="772"/>
      <c r="AE780" s="772"/>
      <c r="AF780" s="772"/>
      <c r="AG780" s="772"/>
      <c r="AH780" s="772"/>
      <c r="AI780" s="772"/>
    </row>
    <row r="781" ht="15.75" customHeight="1">
      <c r="A781" s="815"/>
      <c r="B781" s="782"/>
      <c r="C781" s="782"/>
      <c r="D781" s="782"/>
      <c r="E781" s="816"/>
      <c r="F781" s="816"/>
      <c r="G781" s="816"/>
      <c r="H781" s="817"/>
      <c r="I781" s="817"/>
      <c r="J781" s="817"/>
      <c r="K781" s="818"/>
      <c r="L781" s="772"/>
      <c r="M781" s="772"/>
      <c r="N781" s="772"/>
      <c r="O781" s="772"/>
      <c r="P781" s="772"/>
      <c r="Q781" s="772"/>
      <c r="R781" s="772"/>
      <c r="S781" s="772"/>
      <c r="T781" s="772"/>
      <c r="U781" s="772"/>
      <c r="V781" s="772"/>
      <c r="W781" s="772"/>
      <c r="X781" s="772"/>
      <c r="Y781" s="772"/>
      <c r="Z781" s="772"/>
      <c r="AA781" s="772"/>
      <c r="AB781" s="772"/>
      <c r="AC781" s="772"/>
      <c r="AD781" s="772"/>
      <c r="AE781" s="772"/>
      <c r="AF781" s="772"/>
      <c r="AG781" s="772"/>
      <c r="AH781" s="772"/>
      <c r="AI781" s="772"/>
    </row>
    <row r="782" ht="15.75" customHeight="1">
      <c r="A782" s="815"/>
      <c r="B782" s="782"/>
      <c r="C782" s="782"/>
      <c r="D782" s="782"/>
      <c r="E782" s="816"/>
      <c r="F782" s="816"/>
      <c r="G782" s="816"/>
      <c r="H782" s="817"/>
      <c r="I782" s="817"/>
      <c r="J782" s="817"/>
      <c r="K782" s="818"/>
      <c r="L782" s="772"/>
      <c r="M782" s="772"/>
      <c r="N782" s="772"/>
      <c r="O782" s="772"/>
      <c r="P782" s="772"/>
      <c r="Q782" s="772"/>
      <c r="R782" s="772"/>
      <c r="S782" s="772"/>
      <c r="T782" s="772"/>
      <c r="U782" s="772"/>
      <c r="V782" s="772"/>
      <c r="W782" s="772"/>
      <c r="X782" s="772"/>
      <c r="Y782" s="772"/>
      <c r="Z782" s="772"/>
      <c r="AA782" s="772"/>
      <c r="AB782" s="772"/>
      <c r="AC782" s="772"/>
      <c r="AD782" s="772"/>
      <c r="AE782" s="772"/>
      <c r="AF782" s="772"/>
      <c r="AG782" s="772"/>
      <c r="AH782" s="772"/>
      <c r="AI782" s="772"/>
    </row>
    <row r="783" ht="15.75" customHeight="1">
      <c r="A783" s="815"/>
      <c r="B783" s="782"/>
      <c r="C783" s="782"/>
      <c r="D783" s="782"/>
      <c r="E783" s="816"/>
      <c r="F783" s="816"/>
      <c r="G783" s="816"/>
      <c r="H783" s="817"/>
      <c r="I783" s="817"/>
      <c r="J783" s="817"/>
      <c r="K783" s="818"/>
      <c r="L783" s="772"/>
      <c r="M783" s="772"/>
      <c r="N783" s="772"/>
      <c r="O783" s="772"/>
      <c r="P783" s="772"/>
      <c r="Q783" s="772"/>
      <c r="R783" s="772"/>
      <c r="S783" s="772"/>
      <c r="T783" s="772"/>
      <c r="U783" s="772"/>
      <c r="V783" s="772"/>
      <c r="W783" s="772"/>
      <c r="X783" s="772"/>
      <c r="Y783" s="772"/>
      <c r="Z783" s="772"/>
      <c r="AA783" s="772"/>
      <c r="AB783" s="772"/>
      <c r="AC783" s="772"/>
      <c r="AD783" s="772"/>
      <c r="AE783" s="772"/>
      <c r="AF783" s="772"/>
      <c r="AG783" s="772"/>
      <c r="AH783" s="772"/>
      <c r="AI783" s="772"/>
    </row>
    <row r="784" ht="15.75" customHeight="1">
      <c r="A784" s="815"/>
      <c r="B784" s="782"/>
      <c r="C784" s="782"/>
      <c r="D784" s="782"/>
      <c r="E784" s="816"/>
      <c r="F784" s="816"/>
      <c r="G784" s="816"/>
      <c r="H784" s="817"/>
      <c r="I784" s="817"/>
      <c r="J784" s="817"/>
      <c r="K784" s="818"/>
      <c r="L784" s="772"/>
      <c r="M784" s="772"/>
      <c r="N784" s="772"/>
      <c r="O784" s="772"/>
      <c r="P784" s="772"/>
      <c r="Q784" s="772"/>
      <c r="R784" s="772"/>
      <c r="S784" s="772"/>
      <c r="T784" s="772"/>
      <c r="U784" s="772"/>
      <c r="V784" s="772"/>
      <c r="W784" s="772"/>
      <c r="X784" s="772"/>
      <c r="Y784" s="772"/>
      <c r="Z784" s="772"/>
      <c r="AA784" s="772"/>
      <c r="AB784" s="772"/>
      <c r="AC784" s="772"/>
      <c r="AD784" s="772"/>
      <c r="AE784" s="772"/>
      <c r="AF784" s="772"/>
      <c r="AG784" s="772"/>
      <c r="AH784" s="772"/>
      <c r="AI784" s="772"/>
    </row>
    <row r="785" ht="15.75" customHeight="1">
      <c r="A785" s="815"/>
      <c r="B785" s="782"/>
      <c r="C785" s="782"/>
      <c r="D785" s="782"/>
      <c r="E785" s="816"/>
      <c r="F785" s="816"/>
      <c r="G785" s="816"/>
      <c r="H785" s="817"/>
      <c r="I785" s="817"/>
      <c r="J785" s="817"/>
      <c r="K785" s="818"/>
      <c r="L785" s="772"/>
      <c r="M785" s="772"/>
      <c r="N785" s="772"/>
      <c r="O785" s="772"/>
      <c r="P785" s="772"/>
      <c r="Q785" s="772"/>
      <c r="R785" s="772"/>
      <c r="S785" s="772"/>
      <c r="T785" s="772"/>
      <c r="U785" s="772"/>
      <c r="V785" s="772"/>
      <c r="W785" s="772"/>
      <c r="X785" s="772"/>
      <c r="Y785" s="772"/>
      <c r="Z785" s="772"/>
      <c r="AA785" s="772"/>
      <c r="AB785" s="772"/>
      <c r="AC785" s="772"/>
      <c r="AD785" s="772"/>
      <c r="AE785" s="772"/>
      <c r="AF785" s="772"/>
      <c r="AG785" s="772"/>
      <c r="AH785" s="772"/>
      <c r="AI785" s="772"/>
    </row>
    <row r="786" ht="15.75" customHeight="1">
      <c r="A786" s="815"/>
      <c r="B786" s="782"/>
      <c r="C786" s="782"/>
      <c r="D786" s="782"/>
      <c r="E786" s="816"/>
      <c r="F786" s="816"/>
      <c r="G786" s="816"/>
      <c r="H786" s="817"/>
      <c r="I786" s="817"/>
      <c r="J786" s="817"/>
      <c r="K786" s="818"/>
      <c r="L786" s="772"/>
      <c r="M786" s="772"/>
      <c r="N786" s="772"/>
      <c r="O786" s="772"/>
      <c r="P786" s="772"/>
      <c r="Q786" s="772"/>
      <c r="R786" s="772"/>
      <c r="S786" s="772"/>
      <c r="T786" s="772"/>
      <c r="U786" s="772"/>
      <c r="V786" s="772"/>
      <c r="W786" s="772"/>
      <c r="X786" s="772"/>
      <c r="Y786" s="772"/>
      <c r="Z786" s="772"/>
      <c r="AA786" s="772"/>
      <c r="AB786" s="772"/>
      <c r="AC786" s="772"/>
      <c r="AD786" s="772"/>
      <c r="AE786" s="772"/>
      <c r="AF786" s="772"/>
      <c r="AG786" s="772"/>
      <c r="AH786" s="772"/>
      <c r="AI786" s="772"/>
    </row>
    <row r="787" ht="15.75" customHeight="1">
      <c r="A787" s="815"/>
      <c r="B787" s="782"/>
      <c r="C787" s="782"/>
      <c r="D787" s="782"/>
      <c r="E787" s="816"/>
      <c r="F787" s="816"/>
      <c r="G787" s="816"/>
      <c r="H787" s="817"/>
      <c r="I787" s="817"/>
      <c r="J787" s="817"/>
      <c r="K787" s="818"/>
      <c r="L787" s="772"/>
      <c r="M787" s="772"/>
      <c r="N787" s="772"/>
      <c r="O787" s="772"/>
      <c r="P787" s="772"/>
      <c r="Q787" s="772"/>
      <c r="R787" s="772"/>
      <c r="S787" s="772"/>
      <c r="T787" s="772"/>
      <c r="U787" s="772"/>
      <c r="V787" s="772"/>
      <c r="W787" s="772"/>
      <c r="X787" s="772"/>
      <c r="Y787" s="772"/>
      <c r="Z787" s="772"/>
      <c r="AA787" s="772"/>
      <c r="AB787" s="772"/>
      <c r="AC787" s="772"/>
      <c r="AD787" s="772"/>
      <c r="AE787" s="772"/>
      <c r="AF787" s="772"/>
      <c r="AG787" s="772"/>
      <c r="AH787" s="772"/>
      <c r="AI787" s="772"/>
    </row>
    <row r="788" ht="15.75" customHeight="1">
      <c r="A788" s="815"/>
      <c r="B788" s="782"/>
      <c r="C788" s="782"/>
      <c r="D788" s="782"/>
      <c r="E788" s="816"/>
      <c r="F788" s="816"/>
      <c r="G788" s="816"/>
      <c r="H788" s="817"/>
      <c r="I788" s="817"/>
      <c r="J788" s="817"/>
      <c r="K788" s="818"/>
      <c r="L788" s="772"/>
      <c r="M788" s="772"/>
      <c r="N788" s="772"/>
      <c r="O788" s="772"/>
      <c r="P788" s="772"/>
      <c r="Q788" s="772"/>
      <c r="R788" s="772"/>
      <c r="S788" s="772"/>
      <c r="T788" s="772"/>
      <c r="U788" s="772"/>
      <c r="V788" s="772"/>
      <c r="W788" s="772"/>
      <c r="X788" s="772"/>
      <c r="Y788" s="772"/>
      <c r="Z788" s="772"/>
      <c r="AA788" s="772"/>
      <c r="AB788" s="772"/>
      <c r="AC788" s="772"/>
      <c r="AD788" s="772"/>
      <c r="AE788" s="772"/>
      <c r="AF788" s="772"/>
      <c r="AG788" s="772"/>
      <c r="AH788" s="772"/>
      <c r="AI788" s="772"/>
    </row>
    <row r="789" ht="15.75" customHeight="1">
      <c r="A789" s="815"/>
      <c r="B789" s="782"/>
      <c r="C789" s="782"/>
      <c r="D789" s="782"/>
      <c r="E789" s="816"/>
      <c r="F789" s="816"/>
      <c r="G789" s="816"/>
      <c r="H789" s="817"/>
      <c r="I789" s="817"/>
      <c r="J789" s="817"/>
      <c r="K789" s="818"/>
      <c r="L789" s="772"/>
      <c r="M789" s="772"/>
      <c r="N789" s="772"/>
      <c r="O789" s="772"/>
      <c r="P789" s="772"/>
      <c r="Q789" s="772"/>
      <c r="R789" s="772"/>
      <c r="S789" s="772"/>
      <c r="T789" s="772"/>
      <c r="U789" s="772"/>
      <c r="V789" s="772"/>
      <c r="W789" s="772"/>
      <c r="X789" s="772"/>
      <c r="Y789" s="772"/>
      <c r="Z789" s="772"/>
      <c r="AA789" s="772"/>
      <c r="AB789" s="772"/>
      <c r="AC789" s="772"/>
      <c r="AD789" s="772"/>
      <c r="AE789" s="772"/>
      <c r="AF789" s="772"/>
      <c r="AG789" s="772"/>
      <c r="AH789" s="772"/>
      <c r="AI789" s="772"/>
    </row>
    <row r="790" ht="15.75" customHeight="1">
      <c r="A790" s="815"/>
      <c r="B790" s="782"/>
      <c r="C790" s="782"/>
      <c r="D790" s="782"/>
      <c r="E790" s="816"/>
      <c r="F790" s="816"/>
      <c r="G790" s="816"/>
      <c r="H790" s="817"/>
      <c r="I790" s="817"/>
      <c r="J790" s="817"/>
      <c r="K790" s="818"/>
      <c r="L790" s="772"/>
      <c r="M790" s="772"/>
      <c r="N790" s="772"/>
      <c r="O790" s="772"/>
      <c r="P790" s="772"/>
      <c r="Q790" s="772"/>
      <c r="R790" s="772"/>
      <c r="S790" s="772"/>
      <c r="T790" s="772"/>
      <c r="U790" s="772"/>
      <c r="V790" s="772"/>
      <c r="W790" s="772"/>
      <c r="X790" s="772"/>
      <c r="Y790" s="772"/>
      <c r="Z790" s="772"/>
      <c r="AA790" s="772"/>
      <c r="AB790" s="772"/>
      <c r="AC790" s="772"/>
      <c r="AD790" s="772"/>
      <c r="AE790" s="772"/>
      <c r="AF790" s="772"/>
      <c r="AG790" s="772"/>
      <c r="AH790" s="772"/>
      <c r="AI790" s="772"/>
    </row>
    <row r="791" ht="15.75" customHeight="1">
      <c r="A791" s="815"/>
      <c r="B791" s="782"/>
      <c r="C791" s="782"/>
      <c r="D791" s="782"/>
      <c r="E791" s="816"/>
      <c r="F791" s="816"/>
      <c r="G791" s="816"/>
      <c r="H791" s="817"/>
      <c r="I791" s="817"/>
      <c r="J791" s="817"/>
      <c r="K791" s="818"/>
      <c r="L791" s="772"/>
      <c r="M791" s="772"/>
      <c r="N791" s="772"/>
      <c r="O791" s="772"/>
      <c r="P791" s="772"/>
      <c r="Q791" s="772"/>
      <c r="R791" s="772"/>
      <c r="S791" s="772"/>
      <c r="T791" s="772"/>
      <c r="U791" s="772"/>
      <c r="V791" s="772"/>
      <c r="W791" s="772"/>
      <c r="X791" s="772"/>
      <c r="Y791" s="772"/>
      <c r="Z791" s="772"/>
      <c r="AA791" s="772"/>
      <c r="AB791" s="772"/>
      <c r="AC791" s="772"/>
      <c r="AD791" s="772"/>
      <c r="AE791" s="772"/>
      <c r="AF791" s="772"/>
      <c r="AG791" s="772"/>
      <c r="AH791" s="772"/>
      <c r="AI791" s="772"/>
    </row>
    <row r="792" ht="15.75" customHeight="1">
      <c r="A792" s="815"/>
      <c r="B792" s="782"/>
      <c r="C792" s="782"/>
      <c r="D792" s="782"/>
      <c r="E792" s="816"/>
      <c r="F792" s="816"/>
      <c r="G792" s="816"/>
      <c r="H792" s="817"/>
      <c r="I792" s="817"/>
      <c r="J792" s="817"/>
      <c r="K792" s="818"/>
      <c r="L792" s="772"/>
      <c r="M792" s="772"/>
      <c r="N792" s="772"/>
      <c r="O792" s="772"/>
      <c r="P792" s="772"/>
      <c r="Q792" s="772"/>
      <c r="R792" s="772"/>
      <c r="S792" s="772"/>
      <c r="T792" s="772"/>
      <c r="U792" s="772"/>
      <c r="V792" s="772"/>
      <c r="W792" s="772"/>
      <c r="X792" s="772"/>
      <c r="Y792" s="772"/>
      <c r="Z792" s="772"/>
      <c r="AA792" s="772"/>
      <c r="AB792" s="772"/>
      <c r="AC792" s="772"/>
      <c r="AD792" s="772"/>
      <c r="AE792" s="772"/>
      <c r="AF792" s="772"/>
      <c r="AG792" s="772"/>
      <c r="AH792" s="772"/>
      <c r="AI792" s="772"/>
    </row>
    <row r="793" ht="15.75" customHeight="1">
      <c r="A793" s="815"/>
      <c r="B793" s="782"/>
      <c r="C793" s="782"/>
      <c r="D793" s="782"/>
      <c r="E793" s="816"/>
      <c r="F793" s="816"/>
      <c r="G793" s="816"/>
      <c r="H793" s="817"/>
      <c r="I793" s="817"/>
      <c r="J793" s="817"/>
      <c r="K793" s="818"/>
      <c r="L793" s="772"/>
      <c r="M793" s="772"/>
      <c r="N793" s="772"/>
      <c r="O793" s="772"/>
      <c r="P793" s="772"/>
      <c r="Q793" s="772"/>
      <c r="R793" s="772"/>
      <c r="S793" s="772"/>
      <c r="T793" s="772"/>
      <c r="U793" s="772"/>
      <c r="V793" s="772"/>
      <c r="W793" s="772"/>
      <c r="X793" s="772"/>
      <c r="Y793" s="772"/>
      <c r="Z793" s="772"/>
      <c r="AA793" s="772"/>
      <c r="AB793" s="772"/>
      <c r="AC793" s="772"/>
      <c r="AD793" s="772"/>
      <c r="AE793" s="772"/>
      <c r="AF793" s="772"/>
      <c r="AG793" s="772"/>
      <c r="AH793" s="772"/>
      <c r="AI793" s="772"/>
    </row>
    <row r="794" ht="15.75" customHeight="1">
      <c r="A794" s="815"/>
      <c r="B794" s="782"/>
      <c r="C794" s="782"/>
      <c r="D794" s="782"/>
      <c r="E794" s="816"/>
      <c r="F794" s="816"/>
      <c r="G794" s="816"/>
      <c r="H794" s="817"/>
      <c r="I794" s="817"/>
      <c r="J794" s="817"/>
      <c r="K794" s="818"/>
      <c r="L794" s="772"/>
      <c r="M794" s="772"/>
      <c r="N794" s="772"/>
      <c r="O794" s="772"/>
      <c r="P794" s="772"/>
      <c r="Q794" s="772"/>
      <c r="R794" s="772"/>
      <c r="S794" s="772"/>
      <c r="T794" s="772"/>
      <c r="U794" s="772"/>
      <c r="V794" s="772"/>
      <c r="W794" s="772"/>
      <c r="X794" s="772"/>
      <c r="Y794" s="772"/>
      <c r="Z794" s="772"/>
      <c r="AA794" s="772"/>
      <c r="AB794" s="772"/>
      <c r="AC794" s="772"/>
      <c r="AD794" s="772"/>
      <c r="AE794" s="772"/>
      <c r="AF794" s="772"/>
      <c r="AG794" s="772"/>
      <c r="AH794" s="772"/>
      <c r="AI794" s="772"/>
    </row>
    <row r="795" ht="15.75" customHeight="1">
      <c r="A795" s="815"/>
      <c r="B795" s="782"/>
      <c r="C795" s="782"/>
      <c r="D795" s="782"/>
      <c r="E795" s="816"/>
      <c r="F795" s="816"/>
      <c r="G795" s="816"/>
      <c r="H795" s="817"/>
      <c r="I795" s="817"/>
      <c r="J795" s="817"/>
      <c r="K795" s="818"/>
      <c r="L795" s="772"/>
      <c r="M795" s="772"/>
      <c r="N795" s="772"/>
      <c r="O795" s="772"/>
      <c r="P795" s="772"/>
      <c r="Q795" s="772"/>
      <c r="R795" s="772"/>
      <c r="S795" s="772"/>
      <c r="T795" s="772"/>
      <c r="U795" s="772"/>
      <c r="V795" s="772"/>
      <c r="W795" s="772"/>
      <c r="X795" s="772"/>
      <c r="Y795" s="772"/>
      <c r="Z795" s="772"/>
      <c r="AA795" s="772"/>
      <c r="AB795" s="772"/>
      <c r="AC795" s="772"/>
      <c r="AD795" s="772"/>
      <c r="AE795" s="772"/>
      <c r="AF795" s="772"/>
      <c r="AG795" s="772"/>
      <c r="AH795" s="772"/>
      <c r="AI795" s="772"/>
    </row>
    <row r="796" ht="15.75" customHeight="1">
      <c r="A796" s="815"/>
      <c r="B796" s="782"/>
      <c r="C796" s="782"/>
      <c r="D796" s="782"/>
      <c r="E796" s="816"/>
      <c r="F796" s="816"/>
      <c r="G796" s="816"/>
      <c r="H796" s="817"/>
      <c r="I796" s="817"/>
      <c r="J796" s="817"/>
      <c r="K796" s="818"/>
      <c r="L796" s="772"/>
      <c r="M796" s="772"/>
      <c r="N796" s="772"/>
      <c r="O796" s="772"/>
      <c r="P796" s="772"/>
      <c r="Q796" s="772"/>
      <c r="R796" s="772"/>
      <c r="S796" s="772"/>
      <c r="T796" s="772"/>
      <c r="U796" s="772"/>
      <c r="V796" s="772"/>
      <c r="W796" s="772"/>
      <c r="X796" s="772"/>
      <c r="Y796" s="772"/>
      <c r="Z796" s="772"/>
      <c r="AA796" s="772"/>
      <c r="AB796" s="772"/>
      <c r="AC796" s="772"/>
      <c r="AD796" s="772"/>
      <c r="AE796" s="772"/>
      <c r="AF796" s="772"/>
      <c r="AG796" s="772"/>
      <c r="AH796" s="772"/>
      <c r="AI796" s="772"/>
    </row>
    <row r="797" ht="15.75" customHeight="1">
      <c r="A797" s="815"/>
      <c r="B797" s="782"/>
      <c r="C797" s="782"/>
      <c r="D797" s="782"/>
      <c r="E797" s="816"/>
      <c r="F797" s="816"/>
      <c r="G797" s="816"/>
      <c r="H797" s="817"/>
      <c r="I797" s="817"/>
      <c r="J797" s="817"/>
      <c r="K797" s="818"/>
      <c r="L797" s="772"/>
      <c r="M797" s="772"/>
      <c r="N797" s="772"/>
      <c r="O797" s="772"/>
      <c r="P797" s="772"/>
      <c r="Q797" s="772"/>
      <c r="R797" s="772"/>
      <c r="S797" s="772"/>
      <c r="T797" s="772"/>
      <c r="U797" s="772"/>
      <c r="V797" s="772"/>
      <c r="W797" s="772"/>
      <c r="X797" s="772"/>
      <c r="Y797" s="772"/>
      <c r="Z797" s="772"/>
      <c r="AA797" s="772"/>
      <c r="AB797" s="772"/>
      <c r="AC797" s="772"/>
      <c r="AD797" s="772"/>
      <c r="AE797" s="772"/>
      <c r="AF797" s="772"/>
      <c r="AG797" s="772"/>
      <c r="AH797" s="772"/>
      <c r="AI797" s="772"/>
    </row>
    <row r="798" ht="15.75" customHeight="1">
      <c r="A798" s="815"/>
      <c r="B798" s="782"/>
      <c r="C798" s="782"/>
      <c r="D798" s="782"/>
      <c r="E798" s="816"/>
      <c r="F798" s="816"/>
      <c r="G798" s="816"/>
      <c r="H798" s="817"/>
      <c r="I798" s="817"/>
      <c r="J798" s="817"/>
      <c r="K798" s="818"/>
      <c r="L798" s="772"/>
      <c r="M798" s="772"/>
      <c r="N798" s="772"/>
      <c r="O798" s="772"/>
      <c r="P798" s="772"/>
      <c r="Q798" s="772"/>
      <c r="R798" s="772"/>
      <c r="S798" s="772"/>
      <c r="T798" s="772"/>
      <c r="U798" s="772"/>
      <c r="V798" s="772"/>
      <c r="W798" s="772"/>
      <c r="X798" s="772"/>
      <c r="Y798" s="772"/>
      <c r="Z798" s="772"/>
      <c r="AA798" s="772"/>
      <c r="AB798" s="772"/>
      <c r="AC798" s="772"/>
      <c r="AD798" s="772"/>
      <c r="AE798" s="772"/>
      <c r="AF798" s="772"/>
      <c r="AG798" s="772"/>
      <c r="AH798" s="772"/>
      <c r="AI798" s="772"/>
    </row>
    <row r="799" ht="15.75" customHeight="1">
      <c r="A799" s="815"/>
      <c r="B799" s="782"/>
      <c r="C799" s="782"/>
      <c r="D799" s="782"/>
      <c r="E799" s="816"/>
      <c r="F799" s="816"/>
      <c r="G799" s="816"/>
      <c r="H799" s="817"/>
      <c r="I799" s="817"/>
      <c r="J799" s="817"/>
      <c r="K799" s="818"/>
      <c r="L799" s="772"/>
      <c r="M799" s="772"/>
      <c r="N799" s="772"/>
      <c r="O799" s="772"/>
      <c r="P799" s="772"/>
      <c r="Q799" s="772"/>
      <c r="R799" s="772"/>
      <c r="S799" s="772"/>
      <c r="T799" s="772"/>
      <c r="U799" s="772"/>
      <c r="V799" s="772"/>
      <c r="W799" s="772"/>
      <c r="X799" s="772"/>
      <c r="Y799" s="772"/>
      <c r="Z799" s="772"/>
      <c r="AA799" s="772"/>
      <c r="AB799" s="772"/>
      <c r="AC799" s="772"/>
      <c r="AD799" s="772"/>
      <c r="AE799" s="772"/>
      <c r="AF799" s="772"/>
      <c r="AG799" s="772"/>
      <c r="AH799" s="772"/>
      <c r="AI799" s="772"/>
    </row>
    <row r="800" ht="15.75" customHeight="1">
      <c r="A800" s="815"/>
      <c r="B800" s="782"/>
      <c r="C800" s="782"/>
      <c r="D800" s="782"/>
      <c r="E800" s="816"/>
      <c r="F800" s="816"/>
      <c r="G800" s="816"/>
      <c r="H800" s="817"/>
      <c r="I800" s="817"/>
      <c r="J800" s="817"/>
      <c r="K800" s="818"/>
      <c r="L800" s="772"/>
      <c r="M800" s="772"/>
      <c r="N800" s="772"/>
      <c r="O800" s="772"/>
      <c r="P800" s="772"/>
      <c r="Q800" s="772"/>
      <c r="R800" s="772"/>
      <c r="S800" s="772"/>
      <c r="T800" s="772"/>
      <c r="U800" s="772"/>
      <c r="V800" s="772"/>
      <c r="W800" s="772"/>
      <c r="X800" s="772"/>
      <c r="Y800" s="772"/>
      <c r="Z800" s="772"/>
      <c r="AA800" s="772"/>
      <c r="AB800" s="772"/>
      <c r="AC800" s="772"/>
      <c r="AD800" s="772"/>
      <c r="AE800" s="772"/>
      <c r="AF800" s="772"/>
      <c r="AG800" s="772"/>
      <c r="AH800" s="772"/>
      <c r="AI800" s="772"/>
    </row>
    <row r="801" ht="15.75" customHeight="1">
      <c r="A801" s="815"/>
      <c r="B801" s="782"/>
      <c r="C801" s="782"/>
      <c r="D801" s="782"/>
      <c r="E801" s="816"/>
      <c r="F801" s="816"/>
      <c r="G801" s="816"/>
      <c r="H801" s="817"/>
      <c r="I801" s="817"/>
      <c r="J801" s="817"/>
      <c r="K801" s="818"/>
      <c r="L801" s="772"/>
      <c r="M801" s="772"/>
      <c r="N801" s="772"/>
      <c r="O801" s="772"/>
      <c r="P801" s="772"/>
      <c r="Q801" s="772"/>
      <c r="R801" s="772"/>
      <c r="S801" s="772"/>
      <c r="T801" s="772"/>
      <c r="U801" s="772"/>
      <c r="V801" s="772"/>
      <c r="W801" s="772"/>
      <c r="X801" s="772"/>
      <c r="Y801" s="772"/>
      <c r="Z801" s="772"/>
      <c r="AA801" s="772"/>
      <c r="AB801" s="772"/>
      <c r="AC801" s="772"/>
      <c r="AD801" s="772"/>
      <c r="AE801" s="772"/>
      <c r="AF801" s="772"/>
      <c r="AG801" s="772"/>
      <c r="AH801" s="772"/>
      <c r="AI801" s="772"/>
    </row>
    <row r="802" ht="15.75" customHeight="1">
      <c r="A802" s="815"/>
      <c r="B802" s="782"/>
      <c r="C802" s="782"/>
      <c r="D802" s="782"/>
      <c r="E802" s="816"/>
      <c r="F802" s="816"/>
      <c r="G802" s="816"/>
      <c r="H802" s="817"/>
      <c r="I802" s="817"/>
      <c r="J802" s="817"/>
      <c r="K802" s="818"/>
      <c r="L802" s="772"/>
      <c r="M802" s="772"/>
      <c r="N802" s="772"/>
      <c r="O802" s="772"/>
      <c r="P802" s="772"/>
      <c r="Q802" s="772"/>
      <c r="R802" s="772"/>
      <c r="S802" s="772"/>
      <c r="T802" s="772"/>
      <c r="U802" s="772"/>
      <c r="V802" s="772"/>
      <c r="W802" s="772"/>
      <c r="X802" s="772"/>
      <c r="Y802" s="772"/>
      <c r="Z802" s="772"/>
      <c r="AA802" s="772"/>
      <c r="AB802" s="772"/>
      <c r="AC802" s="772"/>
      <c r="AD802" s="772"/>
      <c r="AE802" s="772"/>
      <c r="AF802" s="772"/>
      <c r="AG802" s="772"/>
      <c r="AH802" s="772"/>
      <c r="AI802" s="772"/>
    </row>
    <row r="803" ht="15.75" customHeight="1">
      <c r="A803" s="815"/>
      <c r="B803" s="782"/>
      <c r="C803" s="782"/>
      <c r="D803" s="782"/>
      <c r="E803" s="816"/>
      <c r="F803" s="816"/>
      <c r="G803" s="816"/>
      <c r="H803" s="817"/>
      <c r="I803" s="817"/>
      <c r="J803" s="817"/>
      <c r="K803" s="818"/>
      <c r="L803" s="772"/>
      <c r="M803" s="772"/>
      <c r="N803" s="772"/>
      <c r="O803" s="772"/>
      <c r="P803" s="772"/>
      <c r="Q803" s="772"/>
      <c r="R803" s="772"/>
      <c r="S803" s="772"/>
      <c r="T803" s="772"/>
      <c r="U803" s="772"/>
      <c r="V803" s="772"/>
      <c r="W803" s="772"/>
      <c r="X803" s="772"/>
      <c r="Y803" s="772"/>
      <c r="Z803" s="772"/>
      <c r="AA803" s="772"/>
      <c r="AB803" s="772"/>
      <c r="AC803" s="772"/>
      <c r="AD803" s="772"/>
      <c r="AE803" s="772"/>
      <c r="AF803" s="772"/>
      <c r="AG803" s="772"/>
      <c r="AH803" s="772"/>
      <c r="AI803" s="772"/>
    </row>
    <row r="804" ht="15.75" customHeight="1">
      <c r="A804" s="815"/>
      <c r="B804" s="782"/>
      <c r="C804" s="782"/>
      <c r="D804" s="782"/>
      <c r="E804" s="816"/>
      <c r="F804" s="816"/>
      <c r="G804" s="816"/>
      <c r="H804" s="817"/>
      <c r="I804" s="817"/>
      <c r="J804" s="817"/>
      <c r="K804" s="818"/>
      <c r="L804" s="772"/>
      <c r="M804" s="772"/>
      <c r="N804" s="772"/>
      <c r="O804" s="772"/>
      <c r="P804" s="772"/>
      <c r="Q804" s="772"/>
      <c r="R804" s="772"/>
      <c r="S804" s="772"/>
      <c r="T804" s="772"/>
      <c r="U804" s="772"/>
      <c r="V804" s="772"/>
      <c r="W804" s="772"/>
      <c r="X804" s="772"/>
      <c r="Y804" s="772"/>
      <c r="Z804" s="772"/>
      <c r="AA804" s="772"/>
      <c r="AB804" s="772"/>
      <c r="AC804" s="772"/>
      <c r="AD804" s="772"/>
      <c r="AE804" s="772"/>
      <c r="AF804" s="772"/>
      <c r="AG804" s="772"/>
      <c r="AH804" s="772"/>
      <c r="AI804" s="772"/>
    </row>
    <row r="805" ht="15.75" customHeight="1">
      <c r="A805" s="815"/>
      <c r="B805" s="782"/>
      <c r="C805" s="782"/>
      <c r="D805" s="782"/>
      <c r="E805" s="816"/>
      <c r="F805" s="816"/>
      <c r="G805" s="816"/>
      <c r="H805" s="817"/>
      <c r="I805" s="817"/>
      <c r="J805" s="817"/>
      <c r="K805" s="818"/>
      <c r="L805" s="772"/>
      <c r="M805" s="772"/>
      <c r="N805" s="772"/>
      <c r="O805" s="772"/>
      <c r="P805" s="772"/>
      <c r="Q805" s="772"/>
      <c r="R805" s="772"/>
      <c r="S805" s="772"/>
      <c r="T805" s="772"/>
      <c r="U805" s="772"/>
      <c r="V805" s="772"/>
      <c r="W805" s="772"/>
      <c r="X805" s="772"/>
      <c r="Y805" s="772"/>
      <c r="Z805" s="772"/>
      <c r="AA805" s="772"/>
      <c r="AB805" s="772"/>
      <c r="AC805" s="772"/>
      <c r="AD805" s="772"/>
      <c r="AE805" s="772"/>
      <c r="AF805" s="772"/>
      <c r="AG805" s="772"/>
      <c r="AH805" s="772"/>
      <c r="AI805" s="772"/>
    </row>
    <row r="806" ht="15.75" customHeight="1">
      <c r="A806" s="815"/>
      <c r="B806" s="782"/>
      <c r="C806" s="782"/>
      <c r="D806" s="782"/>
      <c r="E806" s="816"/>
      <c r="F806" s="816"/>
      <c r="G806" s="816"/>
      <c r="H806" s="817"/>
      <c r="I806" s="817"/>
      <c r="J806" s="817"/>
      <c r="K806" s="818"/>
      <c r="L806" s="772"/>
      <c r="M806" s="772"/>
      <c r="N806" s="772"/>
      <c r="O806" s="772"/>
      <c r="P806" s="772"/>
      <c r="Q806" s="772"/>
      <c r="R806" s="772"/>
      <c r="S806" s="772"/>
      <c r="T806" s="772"/>
      <c r="U806" s="772"/>
      <c r="V806" s="772"/>
      <c r="W806" s="772"/>
      <c r="X806" s="772"/>
      <c r="Y806" s="772"/>
      <c r="Z806" s="772"/>
      <c r="AA806" s="772"/>
      <c r="AB806" s="772"/>
      <c r="AC806" s="772"/>
      <c r="AD806" s="772"/>
      <c r="AE806" s="772"/>
      <c r="AF806" s="772"/>
      <c r="AG806" s="772"/>
      <c r="AH806" s="772"/>
      <c r="AI806" s="772"/>
    </row>
    <row r="807" ht="15.75" customHeight="1">
      <c r="A807" s="815"/>
      <c r="B807" s="782"/>
      <c r="C807" s="782"/>
      <c r="D807" s="782"/>
      <c r="E807" s="816"/>
      <c r="F807" s="816"/>
      <c r="G807" s="816"/>
      <c r="H807" s="817"/>
      <c r="I807" s="817"/>
      <c r="J807" s="817"/>
      <c r="K807" s="818"/>
      <c r="L807" s="772"/>
      <c r="M807" s="772"/>
      <c r="N807" s="772"/>
      <c r="O807" s="772"/>
      <c r="P807" s="772"/>
      <c r="Q807" s="772"/>
      <c r="R807" s="772"/>
      <c r="S807" s="772"/>
      <c r="T807" s="772"/>
      <c r="U807" s="772"/>
      <c r="V807" s="772"/>
      <c r="W807" s="772"/>
      <c r="X807" s="772"/>
      <c r="Y807" s="772"/>
      <c r="Z807" s="772"/>
      <c r="AA807" s="772"/>
      <c r="AB807" s="772"/>
      <c r="AC807" s="772"/>
      <c r="AD807" s="772"/>
      <c r="AE807" s="772"/>
      <c r="AF807" s="772"/>
      <c r="AG807" s="772"/>
      <c r="AH807" s="772"/>
      <c r="AI807" s="772"/>
    </row>
    <row r="808" ht="15.75" customHeight="1">
      <c r="A808" s="815"/>
      <c r="B808" s="782"/>
      <c r="C808" s="782"/>
      <c r="D808" s="782"/>
      <c r="E808" s="816"/>
      <c r="F808" s="816"/>
      <c r="G808" s="816"/>
      <c r="H808" s="817"/>
      <c r="I808" s="817"/>
      <c r="J808" s="817"/>
      <c r="K808" s="818"/>
      <c r="L808" s="772"/>
      <c r="M808" s="772"/>
      <c r="N808" s="772"/>
      <c r="O808" s="772"/>
      <c r="P808" s="772"/>
      <c r="Q808" s="772"/>
      <c r="R808" s="772"/>
      <c r="S808" s="772"/>
      <c r="T808" s="772"/>
      <c r="U808" s="772"/>
      <c r="V808" s="772"/>
      <c r="W808" s="772"/>
      <c r="X808" s="772"/>
      <c r="Y808" s="772"/>
      <c r="Z808" s="772"/>
      <c r="AA808" s="772"/>
      <c r="AB808" s="772"/>
      <c r="AC808" s="772"/>
      <c r="AD808" s="772"/>
      <c r="AE808" s="772"/>
      <c r="AF808" s="772"/>
      <c r="AG808" s="772"/>
      <c r="AH808" s="772"/>
      <c r="AI808" s="772"/>
    </row>
    <row r="809" ht="15.75" customHeight="1">
      <c r="A809" s="815"/>
      <c r="B809" s="782"/>
      <c r="C809" s="782"/>
      <c r="D809" s="782"/>
      <c r="E809" s="816"/>
      <c r="F809" s="816"/>
      <c r="G809" s="816"/>
      <c r="H809" s="817"/>
      <c r="I809" s="817"/>
      <c r="J809" s="817"/>
      <c r="K809" s="818"/>
      <c r="L809" s="772"/>
      <c r="M809" s="772"/>
      <c r="N809" s="772"/>
      <c r="O809" s="772"/>
      <c r="P809" s="772"/>
      <c r="Q809" s="772"/>
      <c r="R809" s="772"/>
      <c r="S809" s="772"/>
      <c r="T809" s="772"/>
      <c r="U809" s="772"/>
      <c r="V809" s="772"/>
      <c r="W809" s="772"/>
      <c r="X809" s="772"/>
      <c r="Y809" s="772"/>
      <c r="Z809" s="772"/>
      <c r="AA809" s="772"/>
      <c r="AB809" s="772"/>
      <c r="AC809" s="772"/>
      <c r="AD809" s="772"/>
      <c r="AE809" s="772"/>
      <c r="AF809" s="772"/>
      <c r="AG809" s="772"/>
      <c r="AH809" s="772"/>
      <c r="AI809" s="772"/>
    </row>
    <row r="810" ht="15.75" customHeight="1">
      <c r="A810" s="815"/>
      <c r="B810" s="782"/>
      <c r="C810" s="782"/>
      <c r="D810" s="782"/>
      <c r="E810" s="816"/>
      <c r="F810" s="816"/>
      <c r="G810" s="816"/>
      <c r="H810" s="817"/>
      <c r="I810" s="817"/>
      <c r="J810" s="817"/>
      <c r="K810" s="818"/>
      <c r="L810" s="772"/>
      <c r="M810" s="772"/>
      <c r="N810" s="772"/>
      <c r="O810" s="772"/>
      <c r="P810" s="772"/>
      <c r="Q810" s="772"/>
      <c r="R810" s="772"/>
      <c r="S810" s="772"/>
      <c r="T810" s="772"/>
      <c r="U810" s="772"/>
      <c r="V810" s="772"/>
      <c r="W810" s="772"/>
      <c r="X810" s="772"/>
      <c r="Y810" s="772"/>
      <c r="Z810" s="772"/>
      <c r="AA810" s="772"/>
      <c r="AB810" s="772"/>
      <c r="AC810" s="772"/>
      <c r="AD810" s="772"/>
      <c r="AE810" s="772"/>
      <c r="AF810" s="772"/>
      <c r="AG810" s="772"/>
      <c r="AH810" s="772"/>
      <c r="AI810" s="772"/>
    </row>
    <row r="811" ht="15.75" customHeight="1">
      <c r="A811" s="815"/>
      <c r="B811" s="782"/>
      <c r="C811" s="782"/>
      <c r="D811" s="782"/>
      <c r="E811" s="816"/>
      <c r="F811" s="816"/>
      <c r="G811" s="816"/>
      <c r="H811" s="817"/>
      <c r="I811" s="817"/>
      <c r="J811" s="817"/>
      <c r="K811" s="818"/>
      <c r="L811" s="772"/>
      <c r="M811" s="772"/>
      <c r="N811" s="772"/>
      <c r="O811" s="772"/>
      <c r="P811" s="772"/>
      <c r="Q811" s="772"/>
      <c r="R811" s="772"/>
      <c r="S811" s="772"/>
      <c r="T811" s="772"/>
      <c r="U811" s="772"/>
      <c r="V811" s="772"/>
      <c r="W811" s="772"/>
      <c r="X811" s="772"/>
      <c r="Y811" s="772"/>
      <c r="Z811" s="772"/>
      <c r="AA811" s="772"/>
      <c r="AB811" s="772"/>
      <c r="AC811" s="772"/>
      <c r="AD811" s="772"/>
      <c r="AE811" s="772"/>
      <c r="AF811" s="772"/>
      <c r="AG811" s="772"/>
      <c r="AH811" s="772"/>
      <c r="AI811" s="772"/>
    </row>
    <row r="812" ht="15.75" customHeight="1">
      <c r="A812" s="815"/>
      <c r="B812" s="782"/>
      <c r="C812" s="782"/>
      <c r="D812" s="782"/>
      <c r="E812" s="816"/>
      <c r="F812" s="816"/>
      <c r="G812" s="816"/>
      <c r="H812" s="817"/>
      <c r="I812" s="817"/>
      <c r="J812" s="817"/>
      <c r="K812" s="818"/>
      <c r="L812" s="772"/>
      <c r="M812" s="772"/>
      <c r="N812" s="772"/>
      <c r="O812" s="772"/>
      <c r="P812" s="772"/>
      <c r="Q812" s="772"/>
      <c r="R812" s="772"/>
      <c r="S812" s="772"/>
      <c r="T812" s="772"/>
      <c r="U812" s="772"/>
      <c r="V812" s="772"/>
      <c r="W812" s="772"/>
      <c r="X812" s="772"/>
      <c r="Y812" s="772"/>
      <c r="Z812" s="772"/>
      <c r="AA812" s="772"/>
      <c r="AB812" s="772"/>
      <c r="AC812" s="772"/>
      <c r="AD812" s="772"/>
      <c r="AE812" s="772"/>
      <c r="AF812" s="772"/>
      <c r="AG812" s="772"/>
      <c r="AH812" s="772"/>
      <c r="AI812" s="772"/>
    </row>
    <row r="813" ht="15.75" customHeight="1">
      <c r="A813" s="815"/>
      <c r="B813" s="782"/>
      <c r="C813" s="782"/>
      <c r="D813" s="782"/>
      <c r="E813" s="816"/>
      <c r="F813" s="816"/>
      <c r="G813" s="816"/>
      <c r="H813" s="817"/>
      <c r="I813" s="817"/>
      <c r="J813" s="817"/>
      <c r="K813" s="818"/>
      <c r="L813" s="772"/>
      <c r="M813" s="772"/>
      <c r="N813" s="772"/>
      <c r="O813" s="772"/>
      <c r="P813" s="772"/>
      <c r="Q813" s="772"/>
      <c r="R813" s="772"/>
      <c r="S813" s="772"/>
      <c r="T813" s="772"/>
      <c r="U813" s="772"/>
      <c r="V813" s="772"/>
      <c r="W813" s="772"/>
      <c r="X813" s="772"/>
      <c r="Y813" s="772"/>
      <c r="Z813" s="772"/>
      <c r="AA813" s="772"/>
      <c r="AB813" s="772"/>
      <c r="AC813" s="772"/>
      <c r="AD813" s="772"/>
      <c r="AE813" s="772"/>
      <c r="AF813" s="772"/>
      <c r="AG813" s="772"/>
      <c r="AH813" s="772"/>
      <c r="AI813" s="772"/>
    </row>
    <row r="814" ht="15.75" customHeight="1">
      <c r="A814" s="815"/>
      <c r="B814" s="782"/>
      <c r="C814" s="782"/>
      <c r="D814" s="782"/>
      <c r="E814" s="816"/>
      <c r="F814" s="816"/>
      <c r="G814" s="816"/>
      <c r="H814" s="817"/>
      <c r="I814" s="817"/>
      <c r="J814" s="817"/>
      <c r="K814" s="818"/>
      <c r="L814" s="772"/>
      <c r="M814" s="772"/>
      <c r="N814" s="772"/>
      <c r="O814" s="772"/>
      <c r="P814" s="772"/>
      <c r="Q814" s="772"/>
      <c r="R814" s="772"/>
      <c r="S814" s="772"/>
      <c r="T814" s="772"/>
      <c r="U814" s="772"/>
      <c r="V814" s="772"/>
      <c r="W814" s="772"/>
      <c r="X814" s="772"/>
      <c r="Y814" s="772"/>
      <c r="Z814" s="772"/>
      <c r="AA814" s="772"/>
      <c r="AB814" s="772"/>
      <c r="AC814" s="772"/>
      <c r="AD814" s="772"/>
      <c r="AE814" s="772"/>
      <c r="AF814" s="772"/>
      <c r="AG814" s="772"/>
      <c r="AH814" s="772"/>
      <c r="AI814" s="772"/>
    </row>
    <row r="815" ht="15.75" customHeight="1">
      <c r="A815" s="815"/>
      <c r="B815" s="782"/>
      <c r="C815" s="782"/>
      <c r="D815" s="782"/>
      <c r="E815" s="816"/>
      <c r="F815" s="816"/>
      <c r="G815" s="816"/>
      <c r="H815" s="817"/>
      <c r="I815" s="817"/>
      <c r="J815" s="817"/>
      <c r="K815" s="818"/>
      <c r="L815" s="772"/>
      <c r="M815" s="772"/>
      <c r="N815" s="772"/>
      <c r="O815" s="772"/>
      <c r="P815" s="772"/>
      <c r="Q815" s="772"/>
      <c r="R815" s="772"/>
      <c r="S815" s="772"/>
      <c r="T815" s="772"/>
      <c r="U815" s="772"/>
      <c r="V815" s="772"/>
      <c r="W815" s="772"/>
      <c r="X815" s="772"/>
      <c r="Y815" s="772"/>
      <c r="Z815" s="772"/>
      <c r="AA815" s="772"/>
      <c r="AB815" s="772"/>
      <c r="AC815" s="772"/>
      <c r="AD815" s="772"/>
      <c r="AE815" s="772"/>
      <c r="AF815" s="772"/>
      <c r="AG815" s="772"/>
      <c r="AH815" s="772"/>
      <c r="AI815" s="772"/>
    </row>
    <row r="816" ht="15.75" customHeight="1">
      <c r="A816" s="815"/>
      <c r="B816" s="782"/>
      <c r="C816" s="782"/>
      <c r="D816" s="782"/>
      <c r="E816" s="816"/>
      <c r="F816" s="816"/>
      <c r="G816" s="816"/>
      <c r="H816" s="817"/>
      <c r="I816" s="817"/>
      <c r="J816" s="817"/>
      <c r="K816" s="818"/>
      <c r="L816" s="772"/>
      <c r="M816" s="772"/>
      <c r="N816" s="772"/>
      <c r="O816" s="772"/>
      <c r="P816" s="772"/>
      <c r="Q816" s="772"/>
      <c r="R816" s="772"/>
      <c r="S816" s="772"/>
      <c r="T816" s="772"/>
      <c r="U816" s="772"/>
      <c r="V816" s="772"/>
      <c r="W816" s="772"/>
      <c r="X816" s="772"/>
      <c r="Y816" s="772"/>
      <c r="Z816" s="772"/>
      <c r="AA816" s="772"/>
      <c r="AB816" s="772"/>
      <c r="AC816" s="772"/>
      <c r="AD816" s="772"/>
      <c r="AE816" s="772"/>
      <c r="AF816" s="772"/>
      <c r="AG816" s="772"/>
      <c r="AH816" s="772"/>
      <c r="AI816" s="772"/>
    </row>
    <row r="817" ht="15.75" customHeight="1">
      <c r="A817" s="815"/>
      <c r="B817" s="782"/>
      <c r="C817" s="782"/>
      <c r="D817" s="782"/>
      <c r="E817" s="816"/>
      <c r="F817" s="816"/>
      <c r="G817" s="816"/>
      <c r="H817" s="817"/>
      <c r="I817" s="817"/>
      <c r="J817" s="817"/>
      <c r="K817" s="818"/>
      <c r="L817" s="772"/>
      <c r="M817" s="772"/>
      <c r="N817" s="772"/>
      <c r="O817" s="772"/>
      <c r="P817" s="772"/>
      <c r="Q817" s="772"/>
      <c r="R817" s="772"/>
      <c r="S817" s="772"/>
      <c r="T817" s="772"/>
      <c r="U817" s="772"/>
      <c r="V817" s="772"/>
      <c r="W817" s="772"/>
      <c r="X817" s="772"/>
      <c r="Y817" s="772"/>
      <c r="Z817" s="772"/>
      <c r="AA817" s="772"/>
      <c r="AB817" s="772"/>
      <c r="AC817" s="772"/>
      <c r="AD817" s="772"/>
      <c r="AE817" s="772"/>
      <c r="AF817" s="772"/>
      <c r="AG817" s="772"/>
      <c r="AH817" s="772"/>
      <c r="AI817" s="772"/>
    </row>
    <row r="818" ht="15.75" customHeight="1">
      <c r="A818" s="815"/>
      <c r="B818" s="782"/>
      <c r="C818" s="782"/>
      <c r="D818" s="782"/>
      <c r="E818" s="816"/>
      <c r="F818" s="816"/>
      <c r="G818" s="816"/>
      <c r="H818" s="817"/>
      <c r="I818" s="817"/>
      <c r="J818" s="817"/>
      <c r="K818" s="818"/>
      <c r="L818" s="772"/>
      <c r="M818" s="772"/>
      <c r="N818" s="772"/>
      <c r="O818" s="772"/>
      <c r="P818" s="772"/>
      <c r="Q818" s="772"/>
      <c r="R818" s="772"/>
      <c r="S818" s="772"/>
      <c r="T818" s="772"/>
      <c r="U818" s="772"/>
      <c r="V818" s="772"/>
      <c r="W818" s="772"/>
      <c r="X818" s="772"/>
      <c r="Y818" s="772"/>
      <c r="Z818" s="772"/>
      <c r="AA818" s="772"/>
      <c r="AB818" s="772"/>
      <c r="AC818" s="772"/>
      <c r="AD818" s="772"/>
      <c r="AE818" s="772"/>
      <c r="AF818" s="772"/>
      <c r="AG818" s="772"/>
      <c r="AH818" s="772"/>
      <c r="AI818" s="772"/>
    </row>
    <row r="819" ht="15.75" customHeight="1">
      <c r="A819" s="815"/>
      <c r="B819" s="782"/>
      <c r="C819" s="782"/>
      <c r="D819" s="782"/>
      <c r="E819" s="816"/>
      <c r="F819" s="816"/>
      <c r="G819" s="816"/>
      <c r="H819" s="817"/>
      <c r="I819" s="817"/>
      <c r="J819" s="817"/>
      <c r="K819" s="818"/>
      <c r="L819" s="772"/>
      <c r="M819" s="772"/>
      <c r="N819" s="772"/>
      <c r="O819" s="772"/>
      <c r="P819" s="772"/>
      <c r="Q819" s="772"/>
      <c r="R819" s="772"/>
      <c r="S819" s="772"/>
      <c r="T819" s="772"/>
      <c r="U819" s="772"/>
      <c r="V819" s="772"/>
      <c r="W819" s="772"/>
      <c r="X819" s="772"/>
      <c r="Y819" s="772"/>
      <c r="Z819" s="772"/>
      <c r="AA819" s="772"/>
      <c r="AB819" s="772"/>
      <c r="AC819" s="772"/>
      <c r="AD819" s="772"/>
      <c r="AE819" s="772"/>
      <c r="AF819" s="772"/>
      <c r="AG819" s="772"/>
      <c r="AH819" s="772"/>
      <c r="AI819" s="772"/>
    </row>
    <row r="820" ht="15.75" customHeight="1">
      <c r="A820" s="815"/>
      <c r="B820" s="782"/>
      <c r="C820" s="782"/>
      <c r="D820" s="782"/>
      <c r="E820" s="816"/>
      <c r="F820" s="816"/>
      <c r="G820" s="816"/>
      <c r="H820" s="817"/>
      <c r="I820" s="817"/>
      <c r="J820" s="817"/>
      <c r="K820" s="818"/>
      <c r="L820" s="772"/>
      <c r="M820" s="772"/>
      <c r="N820" s="772"/>
      <c r="O820" s="772"/>
      <c r="P820" s="772"/>
      <c r="Q820" s="772"/>
      <c r="R820" s="772"/>
      <c r="S820" s="772"/>
      <c r="T820" s="772"/>
      <c r="U820" s="772"/>
      <c r="V820" s="772"/>
      <c r="W820" s="772"/>
      <c r="X820" s="772"/>
      <c r="Y820" s="772"/>
      <c r="Z820" s="772"/>
      <c r="AA820" s="772"/>
      <c r="AB820" s="772"/>
      <c r="AC820" s="772"/>
      <c r="AD820" s="772"/>
      <c r="AE820" s="772"/>
      <c r="AF820" s="772"/>
      <c r="AG820" s="772"/>
      <c r="AH820" s="772"/>
      <c r="AI820" s="772"/>
    </row>
    <row r="821" ht="15.75" customHeight="1">
      <c r="A821" s="815"/>
      <c r="B821" s="782"/>
      <c r="C821" s="782"/>
      <c r="D821" s="782"/>
      <c r="E821" s="816"/>
      <c r="F821" s="816"/>
      <c r="G821" s="816"/>
      <c r="H821" s="817"/>
      <c r="I821" s="817"/>
      <c r="J821" s="817"/>
      <c r="K821" s="818"/>
      <c r="L821" s="772"/>
      <c r="M821" s="772"/>
      <c r="N821" s="772"/>
      <c r="O821" s="772"/>
      <c r="P821" s="772"/>
      <c r="Q821" s="772"/>
      <c r="R821" s="772"/>
      <c r="S821" s="772"/>
      <c r="T821" s="772"/>
      <c r="U821" s="772"/>
      <c r="V821" s="772"/>
      <c r="W821" s="772"/>
      <c r="X821" s="772"/>
      <c r="Y821" s="772"/>
      <c r="Z821" s="772"/>
      <c r="AA821" s="772"/>
      <c r="AB821" s="772"/>
      <c r="AC821" s="772"/>
      <c r="AD821" s="772"/>
      <c r="AE821" s="772"/>
      <c r="AF821" s="772"/>
      <c r="AG821" s="772"/>
      <c r="AH821" s="772"/>
      <c r="AI821" s="772"/>
    </row>
    <row r="822" ht="15.75" customHeight="1">
      <c r="A822" s="815"/>
      <c r="B822" s="782"/>
      <c r="C822" s="782"/>
      <c r="D822" s="782"/>
      <c r="E822" s="816"/>
      <c r="F822" s="816"/>
      <c r="G822" s="816"/>
      <c r="H822" s="817"/>
      <c r="I822" s="817"/>
      <c r="J822" s="817"/>
      <c r="K822" s="818"/>
      <c r="L822" s="772"/>
      <c r="M822" s="772"/>
      <c r="N822" s="772"/>
      <c r="O822" s="772"/>
      <c r="P822" s="772"/>
      <c r="Q822" s="772"/>
      <c r="R822" s="772"/>
      <c r="S822" s="772"/>
      <c r="T822" s="772"/>
      <c r="U822" s="772"/>
      <c r="V822" s="772"/>
      <c r="W822" s="772"/>
      <c r="X822" s="772"/>
      <c r="Y822" s="772"/>
      <c r="Z822" s="772"/>
      <c r="AA822" s="772"/>
      <c r="AB822" s="772"/>
      <c r="AC822" s="772"/>
      <c r="AD822" s="772"/>
      <c r="AE822" s="772"/>
      <c r="AF822" s="772"/>
      <c r="AG822" s="772"/>
      <c r="AH822" s="772"/>
      <c r="AI822" s="772"/>
    </row>
    <row r="823" ht="15.75" customHeight="1">
      <c r="A823" s="815"/>
      <c r="B823" s="782"/>
      <c r="C823" s="782"/>
      <c r="D823" s="782"/>
      <c r="E823" s="816"/>
      <c r="F823" s="816"/>
      <c r="G823" s="816"/>
      <c r="H823" s="817"/>
      <c r="I823" s="817"/>
      <c r="J823" s="817"/>
      <c r="K823" s="818"/>
      <c r="L823" s="772"/>
      <c r="M823" s="772"/>
      <c r="N823" s="772"/>
      <c r="O823" s="772"/>
      <c r="P823" s="772"/>
      <c r="Q823" s="772"/>
      <c r="R823" s="772"/>
      <c r="S823" s="772"/>
      <c r="T823" s="772"/>
      <c r="U823" s="772"/>
      <c r="V823" s="772"/>
      <c r="W823" s="772"/>
      <c r="X823" s="772"/>
      <c r="Y823" s="772"/>
      <c r="Z823" s="772"/>
      <c r="AA823" s="772"/>
      <c r="AB823" s="772"/>
      <c r="AC823" s="772"/>
      <c r="AD823" s="772"/>
      <c r="AE823" s="772"/>
      <c r="AF823" s="772"/>
      <c r="AG823" s="772"/>
      <c r="AH823" s="772"/>
      <c r="AI823" s="772"/>
    </row>
    <row r="824" ht="15.75" customHeight="1">
      <c r="A824" s="815"/>
      <c r="B824" s="782"/>
      <c r="C824" s="782"/>
      <c r="D824" s="782"/>
      <c r="E824" s="816"/>
      <c r="F824" s="816"/>
      <c r="G824" s="816"/>
      <c r="H824" s="817"/>
      <c r="I824" s="817"/>
      <c r="J824" s="817"/>
      <c r="K824" s="818"/>
      <c r="L824" s="772"/>
      <c r="M824" s="772"/>
      <c r="N824" s="772"/>
      <c r="O824" s="772"/>
      <c r="P824" s="772"/>
      <c r="Q824" s="772"/>
      <c r="R824" s="772"/>
      <c r="S824" s="772"/>
      <c r="T824" s="772"/>
      <c r="U824" s="772"/>
      <c r="V824" s="772"/>
      <c r="W824" s="772"/>
      <c r="X824" s="772"/>
      <c r="Y824" s="772"/>
      <c r="Z824" s="772"/>
      <c r="AA824" s="772"/>
      <c r="AB824" s="772"/>
      <c r="AC824" s="772"/>
      <c r="AD824" s="772"/>
      <c r="AE824" s="772"/>
      <c r="AF824" s="772"/>
      <c r="AG824" s="772"/>
      <c r="AH824" s="772"/>
      <c r="AI824" s="772"/>
    </row>
    <row r="825" ht="15.75" customHeight="1">
      <c r="A825" s="815"/>
      <c r="B825" s="782"/>
      <c r="C825" s="782"/>
      <c r="D825" s="782"/>
      <c r="E825" s="816"/>
      <c r="F825" s="816"/>
      <c r="G825" s="816"/>
      <c r="H825" s="817"/>
      <c r="I825" s="817"/>
      <c r="J825" s="817"/>
      <c r="K825" s="818"/>
      <c r="L825" s="772"/>
      <c r="M825" s="772"/>
      <c r="N825" s="772"/>
      <c r="O825" s="772"/>
      <c r="P825" s="772"/>
      <c r="Q825" s="772"/>
      <c r="R825" s="772"/>
      <c r="S825" s="772"/>
      <c r="T825" s="772"/>
      <c r="U825" s="772"/>
      <c r="V825" s="772"/>
      <c r="W825" s="772"/>
      <c r="X825" s="772"/>
      <c r="Y825" s="772"/>
      <c r="Z825" s="772"/>
      <c r="AA825" s="772"/>
      <c r="AB825" s="772"/>
      <c r="AC825" s="772"/>
      <c r="AD825" s="772"/>
      <c r="AE825" s="772"/>
      <c r="AF825" s="772"/>
      <c r="AG825" s="772"/>
      <c r="AH825" s="772"/>
      <c r="AI825" s="772"/>
    </row>
    <row r="826" ht="15.75" customHeight="1">
      <c r="A826" s="815"/>
      <c r="B826" s="782"/>
      <c r="C826" s="782"/>
      <c r="D826" s="782"/>
      <c r="E826" s="816"/>
      <c r="F826" s="816"/>
      <c r="G826" s="816"/>
      <c r="H826" s="817"/>
      <c r="I826" s="817"/>
      <c r="J826" s="817"/>
      <c r="K826" s="818"/>
      <c r="L826" s="772"/>
      <c r="M826" s="772"/>
      <c r="N826" s="772"/>
      <c r="O826" s="772"/>
      <c r="P826" s="772"/>
      <c r="Q826" s="772"/>
      <c r="R826" s="772"/>
      <c r="S826" s="772"/>
      <c r="T826" s="772"/>
      <c r="U826" s="772"/>
      <c r="V826" s="772"/>
      <c r="W826" s="772"/>
      <c r="X826" s="772"/>
      <c r="Y826" s="772"/>
      <c r="Z826" s="772"/>
      <c r="AA826" s="772"/>
      <c r="AB826" s="772"/>
      <c r="AC826" s="772"/>
      <c r="AD826" s="772"/>
      <c r="AE826" s="772"/>
      <c r="AF826" s="772"/>
      <c r="AG826" s="772"/>
      <c r="AH826" s="772"/>
      <c r="AI826" s="772"/>
    </row>
    <row r="827" ht="15.75" customHeight="1">
      <c r="A827" s="815"/>
      <c r="B827" s="782"/>
      <c r="C827" s="782"/>
      <c r="D827" s="782"/>
      <c r="E827" s="816"/>
      <c r="F827" s="816"/>
      <c r="G827" s="816"/>
      <c r="H827" s="817"/>
      <c r="I827" s="817"/>
      <c r="J827" s="817"/>
      <c r="K827" s="818"/>
      <c r="L827" s="772"/>
      <c r="M827" s="772"/>
      <c r="N827" s="772"/>
      <c r="O827" s="772"/>
      <c r="P827" s="772"/>
      <c r="Q827" s="772"/>
      <c r="R827" s="772"/>
      <c r="S827" s="772"/>
      <c r="T827" s="772"/>
      <c r="U827" s="772"/>
      <c r="V827" s="772"/>
      <c r="W827" s="772"/>
      <c r="X827" s="772"/>
      <c r="Y827" s="772"/>
      <c r="Z827" s="772"/>
      <c r="AA827" s="772"/>
      <c r="AB827" s="772"/>
      <c r="AC827" s="772"/>
      <c r="AD827" s="772"/>
      <c r="AE827" s="772"/>
      <c r="AF827" s="772"/>
      <c r="AG827" s="772"/>
      <c r="AH827" s="772"/>
      <c r="AI827" s="772"/>
    </row>
    <row r="828" ht="15.75" customHeight="1">
      <c r="A828" s="815"/>
      <c r="B828" s="782"/>
      <c r="C828" s="782"/>
      <c r="D828" s="782"/>
      <c r="E828" s="816"/>
      <c r="F828" s="816"/>
      <c r="G828" s="816"/>
      <c r="H828" s="817"/>
      <c r="I828" s="817"/>
      <c r="J828" s="817"/>
      <c r="K828" s="818"/>
      <c r="L828" s="772"/>
      <c r="M828" s="772"/>
      <c r="N828" s="772"/>
      <c r="O828" s="772"/>
      <c r="P828" s="772"/>
      <c r="Q828" s="772"/>
      <c r="R828" s="772"/>
      <c r="S828" s="772"/>
      <c r="T828" s="772"/>
      <c r="U828" s="772"/>
      <c r="V828" s="772"/>
      <c r="W828" s="772"/>
      <c r="X828" s="772"/>
      <c r="Y828" s="772"/>
      <c r="Z828" s="772"/>
      <c r="AA828" s="772"/>
      <c r="AB828" s="772"/>
      <c r="AC828" s="772"/>
      <c r="AD828" s="772"/>
      <c r="AE828" s="772"/>
      <c r="AF828" s="772"/>
      <c r="AG828" s="772"/>
      <c r="AH828" s="772"/>
      <c r="AI828" s="772"/>
    </row>
    <row r="829" ht="15.75" customHeight="1">
      <c r="A829" s="815"/>
      <c r="B829" s="782"/>
      <c r="C829" s="782"/>
      <c r="D829" s="782"/>
      <c r="E829" s="816"/>
      <c r="F829" s="816"/>
      <c r="G829" s="816"/>
      <c r="H829" s="817"/>
      <c r="I829" s="817"/>
      <c r="J829" s="817"/>
      <c r="K829" s="818"/>
      <c r="L829" s="772"/>
      <c r="M829" s="772"/>
      <c r="N829" s="772"/>
      <c r="O829" s="772"/>
      <c r="P829" s="772"/>
      <c r="Q829" s="772"/>
      <c r="R829" s="772"/>
      <c r="S829" s="772"/>
      <c r="T829" s="772"/>
      <c r="U829" s="772"/>
      <c r="V829" s="772"/>
      <c r="W829" s="772"/>
      <c r="X829" s="772"/>
      <c r="Y829" s="772"/>
      <c r="Z829" s="772"/>
      <c r="AA829" s="772"/>
      <c r="AB829" s="772"/>
      <c r="AC829" s="772"/>
      <c r="AD829" s="772"/>
      <c r="AE829" s="772"/>
      <c r="AF829" s="772"/>
      <c r="AG829" s="772"/>
      <c r="AH829" s="772"/>
      <c r="AI829" s="772"/>
    </row>
    <row r="830" ht="15.75" customHeight="1">
      <c r="A830" s="815"/>
      <c r="B830" s="782"/>
      <c r="C830" s="782"/>
      <c r="D830" s="782"/>
      <c r="E830" s="816"/>
      <c r="F830" s="816"/>
      <c r="G830" s="816"/>
      <c r="H830" s="817"/>
      <c r="I830" s="817"/>
      <c r="J830" s="817"/>
      <c r="K830" s="818"/>
      <c r="L830" s="772"/>
      <c r="M830" s="772"/>
      <c r="N830" s="772"/>
      <c r="O830" s="772"/>
      <c r="P830" s="772"/>
      <c r="Q830" s="772"/>
      <c r="R830" s="772"/>
      <c r="S830" s="772"/>
      <c r="T830" s="772"/>
      <c r="U830" s="772"/>
      <c r="V830" s="772"/>
      <c r="W830" s="772"/>
      <c r="X830" s="772"/>
      <c r="Y830" s="772"/>
      <c r="Z830" s="772"/>
      <c r="AA830" s="772"/>
      <c r="AB830" s="772"/>
      <c r="AC830" s="772"/>
      <c r="AD830" s="772"/>
      <c r="AE830" s="772"/>
      <c r="AF830" s="772"/>
      <c r="AG830" s="772"/>
      <c r="AH830" s="772"/>
      <c r="AI830" s="772"/>
    </row>
    <row r="831" ht="15.75" customHeight="1">
      <c r="A831" s="815"/>
      <c r="B831" s="782"/>
      <c r="C831" s="782"/>
      <c r="D831" s="782"/>
      <c r="E831" s="816"/>
      <c r="F831" s="816"/>
      <c r="G831" s="816"/>
      <c r="H831" s="817"/>
      <c r="I831" s="817"/>
      <c r="J831" s="817"/>
      <c r="K831" s="818"/>
      <c r="L831" s="772"/>
      <c r="M831" s="772"/>
      <c r="N831" s="772"/>
      <c r="O831" s="772"/>
      <c r="P831" s="772"/>
      <c r="Q831" s="772"/>
      <c r="R831" s="772"/>
      <c r="S831" s="772"/>
      <c r="T831" s="772"/>
      <c r="U831" s="772"/>
      <c r="V831" s="772"/>
      <c r="W831" s="772"/>
      <c r="X831" s="772"/>
      <c r="Y831" s="772"/>
      <c r="Z831" s="772"/>
      <c r="AA831" s="772"/>
      <c r="AB831" s="772"/>
      <c r="AC831" s="772"/>
      <c r="AD831" s="772"/>
      <c r="AE831" s="772"/>
      <c r="AF831" s="772"/>
      <c r="AG831" s="772"/>
      <c r="AH831" s="772"/>
      <c r="AI831" s="772"/>
    </row>
    <row r="832" ht="15.75" customHeight="1">
      <c r="A832" s="815"/>
      <c r="B832" s="782"/>
      <c r="C832" s="782"/>
      <c r="D832" s="782"/>
      <c r="E832" s="816"/>
      <c r="F832" s="816"/>
      <c r="G832" s="816"/>
      <c r="H832" s="817"/>
      <c r="I832" s="817"/>
      <c r="J832" s="817"/>
      <c r="K832" s="818"/>
      <c r="L832" s="772"/>
      <c r="M832" s="772"/>
      <c r="N832" s="772"/>
      <c r="O832" s="772"/>
      <c r="P832" s="772"/>
      <c r="Q832" s="772"/>
      <c r="R832" s="772"/>
      <c r="S832" s="772"/>
      <c r="T832" s="772"/>
      <c r="U832" s="772"/>
      <c r="V832" s="772"/>
      <c r="W832" s="772"/>
      <c r="X832" s="772"/>
      <c r="Y832" s="772"/>
      <c r="Z832" s="772"/>
      <c r="AA832" s="772"/>
      <c r="AB832" s="772"/>
      <c r="AC832" s="772"/>
      <c r="AD832" s="772"/>
      <c r="AE832" s="772"/>
      <c r="AF832" s="772"/>
      <c r="AG832" s="772"/>
      <c r="AH832" s="772"/>
      <c r="AI832" s="772"/>
    </row>
    <row r="833" ht="15.75" customHeight="1">
      <c r="A833" s="815"/>
      <c r="B833" s="782"/>
      <c r="C833" s="782"/>
      <c r="D833" s="782"/>
      <c r="E833" s="816"/>
      <c r="F833" s="816"/>
      <c r="G833" s="816"/>
      <c r="H833" s="817"/>
      <c r="I833" s="817"/>
      <c r="J833" s="817"/>
      <c r="K833" s="818"/>
      <c r="L833" s="772"/>
      <c r="M833" s="772"/>
      <c r="N833" s="772"/>
      <c r="O833" s="772"/>
      <c r="P833" s="772"/>
      <c r="Q833" s="772"/>
      <c r="R833" s="772"/>
      <c r="S833" s="772"/>
      <c r="T833" s="772"/>
      <c r="U833" s="772"/>
      <c r="V833" s="772"/>
      <c r="W833" s="772"/>
      <c r="X833" s="772"/>
      <c r="Y833" s="772"/>
      <c r="Z833" s="772"/>
      <c r="AA833" s="772"/>
      <c r="AB833" s="772"/>
      <c r="AC833" s="772"/>
      <c r="AD833" s="772"/>
      <c r="AE833" s="772"/>
      <c r="AF833" s="772"/>
      <c r="AG833" s="772"/>
      <c r="AH833" s="772"/>
      <c r="AI833" s="772"/>
    </row>
    <row r="834" ht="15.75" customHeight="1">
      <c r="A834" s="815"/>
      <c r="B834" s="782"/>
      <c r="C834" s="782"/>
      <c r="D834" s="782"/>
      <c r="E834" s="816"/>
      <c r="F834" s="816"/>
      <c r="G834" s="816"/>
      <c r="H834" s="817"/>
      <c r="I834" s="817"/>
      <c r="J834" s="817"/>
      <c r="K834" s="818"/>
      <c r="L834" s="772"/>
      <c r="M834" s="772"/>
      <c r="N834" s="772"/>
      <c r="O834" s="772"/>
      <c r="P834" s="772"/>
      <c r="Q834" s="772"/>
      <c r="R834" s="772"/>
      <c r="S834" s="772"/>
      <c r="T834" s="772"/>
      <c r="U834" s="772"/>
      <c r="V834" s="772"/>
      <c r="W834" s="772"/>
      <c r="X834" s="772"/>
      <c r="Y834" s="772"/>
      <c r="Z834" s="772"/>
      <c r="AA834" s="772"/>
      <c r="AB834" s="772"/>
      <c r="AC834" s="772"/>
      <c r="AD834" s="772"/>
      <c r="AE834" s="772"/>
      <c r="AF834" s="772"/>
      <c r="AG834" s="772"/>
      <c r="AH834" s="772"/>
      <c r="AI834" s="772"/>
    </row>
    <row r="835" ht="15.75" customHeight="1">
      <c r="A835" s="815"/>
      <c r="B835" s="782"/>
      <c r="C835" s="782"/>
      <c r="D835" s="782"/>
      <c r="E835" s="816"/>
      <c r="F835" s="816"/>
      <c r="G835" s="816"/>
      <c r="H835" s="817"/>
      <c r="I835" s="817"/>
      <c r="J835" s="817"/>
      <c r="K835" s="818"/>
      <c r="L835" s="772"/>
      <c r="M835" s="772"/>
      <c r="N835" s="772"/>
      <c r="O835" s="772"/>
      <c r="P835" s="772"/>
      <c r="Q835" s="772"/>
      <c r="R835" s="772"/>
      <c r="S835" s="772"/>
      <c r="T835" s="772"/>
      <c r="U835" s="772"/>
      <c r="V835" s="772"/>
      <c r="W835" s="772"/>
      <c r="X835" s="772"/>
      <c r="Y835" s="772"/>
      <c r="Z835" s="772"/>
      <c r="AA835" s="772"/>
      <c r="AB835" s="772"/>
      <c r="AC835" s="772"/>
      <c r="AD835" s="772"/>
      <c r="AE835" s="772"/>
      <c r="AF835" s="772"/>
      <c r="AG835" s="772"/>
      <c r="AH835" s="772"/>
      <c r="AI835" s="772"/>
    </row>
    <row r="836" ht="15.75" customHeight="1">
      <c r="A836" s="815"/>
      <c r="B836" s="782"/>
      <c r="C836" s="782"/>
      <c r="D836" s="782"/>
      <c r="E836" s="816"/>
      <c r="F836" s="816"/>
      <c r="G836" s="816"/>
      <c r="H836" s="817"/>
      <c r="I836" s="817"/>
      <c r="J836" s="817"/>
      <c r="K836" s="818"/>
      <c r="L836" s="772"/>
      <c r="M836" s="772"/>
      <c r="N836" s="772"/>
      <c r="O836" s="772"/>
      <c r="P836" s="772"/>
      <c r="Q836" s="772"/>
      <c r="R836" s="772"/>
      <c r="S836" s="772"/>
      <c r="T836" s="772"/>
      <c r="U836" s="772"/>
      <c r="V836" s="772"/>
      <c r="W836" s="772"/>
      <c r="X836" s="772"/>
      <c r="Y836" s="772"/>
      <c r="Z836" s="772"/>
      <c r="AA836" s="772"/>
      <c r="AB836" s="772"/>
      <c r="AC836" s="772"/>
      <c r="AD836" s="772"/>
      <c r="AE836" s="772"/>
      <c r="AF836" s="772"/>
      <c r="AG836" s="772"/>
      <c r="AH836" s="772"/>
      <c r="AI836" s="772"/>
    </row>
    <row r="837" ht="15.75" customHeight="1">
      <c r="A837" s="815"/>
      <c r="B837" s="782"/>
      <c r="C837" s="782"/>
      <c r="D837" s="782"/>
      <c r="E837" s="816"/>
      <c r="F837" s="816"/>
      <c r="G837" s="816"/>
      <c r="H837" s="817"/>
      <c r="I837" s="817"/>
      <c r="J837" s="817"/>
      <c r="K837" s="818"/>
      <c r="L837" s="772"/>
      <c r="M837" s="772"/>
      <c r="N837" s="772"/>
      <c r="O837" s="772"/>
      <c r="P837" s="772"/>
      <c r="Q837" s="772"/>
      <c r="R837" s="772"/>
      <c r="S837" s="772"/>
      <c r="T837" s="772"/>
      <c r="U837" s="772"/>
      <c r="V837" s="772"/>
      <c r="W837" s="772"/>
      <c r="X837" s="772"/>
      <c r="Y837" s="772"/>
      <c r="Z837" s="772"/>
      <c r="AA837" s="772"/>
      <c r="AB837" s="772"/>
      <c r="AC837" s="772"/>
      <c r="AD837" s="772"/>
      <c r="AE837" s="772"/>
      <c r="AF837" s="772"/>
      <c r="AG837" s="772"/>
      <c r="AH837" s="772"/>
      <c r="AI837" s="772"/>
    </row>
    <row r="838" ht="15.75" customHeight="1">
      <c r="A838" s="815"/>
      <c r="B838" s="782"/>
      <c r="C838" s="782"/>
      <c r="D838" s="782"/>
      <c r="E838" s="816"/>
      <c r="F838" s="816"/>
      <c r="G838" s="816"/>
      <c r="H838" s="817"/>
      <c r="I838" s="817"/>
      <c r="J838" s="817"/>
      <c r="K838" s="818"/>
      <c r="L838" s="772"/>
      <c r="M838" s="772"/>
      <c r="N838" s="772"/>
      <c r="O838" s="772"/>
      <c r="P838" s="772"/>
      <c r="Q838" s="772"/>
      <c r="R838" s="772"/>
      <c r="S838" s="772"/>
      <c r="T838" s="772"/>
      <c r="U838" s="772"/>
      <c r="V838" s="772"/>
      <c r="W838" s="772"/>
      <c r="X838" s="772"/>
      <c r="Y838" s="772"/>
      <c r="Z838" s="772"/>
      <c r="AA838" s="772"/>
      <c r="AB838" s="772"/>
      <c r="AC838" s="772"/>
      <c r="AD838" s="772"/>
      <c r="AE838" s="772"/>
      <c r="AF838" s="772"/>
      <c r="AG838" s="772"/>
      <c r="AH838" s="772"/>
      <c r="AI838" s="772"/>
    </row>
    <row r="839" ht="15.75" customHeight="1">
      <c r="A839" s="815"/>
      <c r="B839" s="782"/>
      <c r="C839" s="782"/>
      <c r="D839" s="782"/>
      <c r="E839" s="816"/>
      <c r="F839" s="816"/>
      <c r="G839" s="816"/>
      <c r="H839" s="817"/>
      <c r="I839" s="817"/>
      <c r="J839" s="817"/>
      <c r="K839" s="818"/>
      <c r="L839" s="772"/>
      <c r="M839" s="772"/>
      <c r="N839" s="772"/>
      <c r="O839" s="772"/>
      <c r="P839" s="772"/>
      <c r="Q839" s="772"/>
      <c r="R839" s="772"/>
      <c r="S839" s="772"/>
      <c r="T839" s="772"/>
      <c r="U839" s="772"/>
      <c r="V839" s="772"/>
      <c r="W839" s="772"/>
      <c r="X839" s="772"/>
      <c r="Y839" s="772"/>
      <c r="Z839" s="772"/>
      <c r="AA839" s="772"/>
      <c r="AB839" s="772"/>
      <c r="AC839" s="772"/>
      <c r="AD839" s="772"/>
      <c r="AE839" s="772"/>
      <c r="AF839" s="772"/>
      <c r="AG839" s="772"/>
      <c r="AH839" s="772"/>
      <c r="AI839" s="772"/>
    </row>
    <row r="840" ht="15.75" customHeight="1">
      <c r="A840" s="815"/>
      <c r="B840" s="782"/>
      <c r="C840" s="782"/>
      <c r="D840" s="782"/>
      <c r="E840" s="816"/>
      <c r="F840" s="816"/>
      <c r="G840" s="816"/>
      <c r="H840" s="817"/>
      <c r="I840" s="817"/>
      <c r="J840" s="817"/>
      <c r="K840" s="818"/>
      <c r="L840" s="772"/>
      <c r="M840" s="772"/>
      <c r="N840" s="772"/>
      <c r="O840" s="772"/>
      <c r="P840" s="772"/>
      <c r="Q840" s="772"/>
      <c r="R840" s="772"/>
      <c r="S840" s="772"/>
      <c r="T840" s="772"/>
      <c r="U840" s="772"/>
      <c r="V840" s="772"/>
      <c r="W840" s="772"/>
      <c r="X840" s="772"/>
      <c r="Y840" s="772"/>
      <c r="Z840" s="772"/>
      <c r="AA840" s="772"/>
      <c r="AB840" s="772"/>
      <c r="AC840" s="772"/>
      <c r="AD840" s="772"/>
      <c r="AE840" s="772"/>
      <c r="AF840" s="772"/>
      <c r="AG840" s="772"/>
      <c r="AH840" s="772"/>
      <c r="AI840" s="772"/>
    </row>
    <row r="841" ht="15.75" customHeight="1">
      <c r="A841" s="815"/>
      <c r="B841" s="782"/>
      <c r="C841" s="782"/>
      <c r="D841" s="782"/>
      <c r="E841" s="816"/>
      <c r="F841" s="816"/>
      <c r="G841" s="816"/>
      <c r="H841" s="817"/>
      <c r="I841" s="817"/>
      <c r="J841" s="817"/>
      <c r="K841" s="818"/>
      <c r="L841" s="772"/>
      <c r="M841" s="772"/>
      <c r="N841" s="772"/>
      <c r="O841" s="772"/>
      <c r="P841" s="772"/>
      <c r="Q841" s="772"/>
      <c r="R841" s="772"/>
      <c r="S841" s="772"/>
      <c r="T841" s="772"/>
      <c r="U841" s="772"/>
      <c r="V841" s="772"/>
      <c r="W841" s="772"/>
      <c r="X841" s="772"/>
      <c r="Y841" s="772"/>
      <c r="Z841" s="772"/>
      <c r="AA841" s="772"/>
      <c r="AB841" s="772"/>
      <c r="AC841" s="772"/>
      <c r="AD841" s="772"/>
      <c r="AE841" s="772"/>
      <c r="AF841" s="772"/>
      <c r="AG841" s="772"/>
      <c r="AH841" s="772"/>
      <c r="AI841" s="772"/>
    </row>
    <row r="842" ht="15.75" customHeight="1">
      <c r="A842" s="815"/>
      <c r="B842" s="782"/>
      <c r="C842" s="782"/>
      <c r="D842" s="782"/>
      <c r="E842" s="816"/>
      <c r="F842" s="816"/>
      <c r="G842" s="816"/>
      <c r="H842" s="817"/>
      <c r="I842" s="817"/>
      <c r="J842" s="817"/>
      <c r="K842" s="818"/>
      <c r="L842" s="772"/>
      <c r="M842" s="772"/>
      <c r="N842" s="772"/>
      <c r="O842" s="772"/>
      <c r="P842" s="772"/>
      <c r="Q842" s="772"/>
      <c r="R842" s="772"/>
      <c r="S842" s="772"/>
      <c r="T842" s="772"/>
      <c r="U842" s="772"/>
      <c r="V842" s="772"/>
      <c r="W842" s="772"/>
      <c r="X842" s="772"/>
      <c r="Y842" s="772"/>
      <c r="Z842" s="772"/>
      <c r="AA842" s="772"/>
      <c r="AB842" s="772"/>
      <c r="AC842" s="772"/>
      <c r="AD842" s="772"/>
      <c r="AE842" s="772"/>
      <c r="AF842" s="772"/>
      <c r="AG842" s="772"/>
      <c r="AH842" s="772"/>
      <c r="AI842" s="772"/>
    </row>
    <row r="843" ht="15.75" customHeight="1">
      <c r="A843" s="815"/>
      <c r="B843" s="782"/>
      <c r="C843" s="782"/>
      <c r="D843" s="782"/>
      <c r="E843" s="816"/>
      <c r="F843" s="816"/>
      <c r="G843" s="816"/>
      <c r="H843" s="817"/>
      <c r="I843" s="817"/>
      <c r="J843" s="817"/>
      <c r="K843" s="818"/>
      <c r="L843" s="772"/>
      <c r="M843" s="772"/>
      <c r="N843" s="772"/>
      <c r="O843" s="772"/>
      <c r="P843" s="772"/>
      <c r="Q843" s="772"/>
      <c r="R843" s="772"/>
      <c r="S843" s="772"/>
      <c r="T843" s="772"/>
      <c r="U843" s="772"/>
      <c r="V843" s="772"/>
      <c r="W843" s="772"/>
      <c r="X843" s="772"/>
      <c r="Y843" s="772"/>
      <c r="Z843" s="772"/>
      <c r="AA843" s="772"/>
      <c r="AB843" s="772"/>
      <c r="AC843" s="772"/>
      <c r="AD843" s="772"/>
      <c r="AE843" s="772"/>
      <c r="AF843" s="772"/>
      <c r="AG843" s="772"/>
      <c r="AH843" s="772"/>
      <c r="AI843" s="772"/>
    </row>
    <row r="844" ht="15.75" customHeight="1">
      <c r="A844" s="815"/>
      <c r="B844" s="782"/>
      <c r="C844" s="782"/>
      <c r="D844" s="782"/>
      <c r="E844" s="816"/>
      <c r="F844" s="816"/>
      <c r="G844" s="816"/>
      <c r="H844" s="817"/>
      <c r="I844" s="817"/>
      <c r="J844" s="817"/>
      <c r="K844" s="818"/>
      <c r="L844" s="772"/>
      <c r="M844" s="772"/>
      <c r="N844" s="772"/>
      <c r="O844" s="772"/>
      <c r="P844" s="772"/>
      <c r="Q844" s="772"/>
      <c r="R844" s="772"/>
      <c r="S844" s="772"/>
      <c r="T844" s="772"/>
      <c r="U844" s="772"/>
      <c r="V844" s="772"/>
      <c r="W844" s="772"/>
      <c r="X844" s="772"/>
      <c r="Y844" s="772"/>
      <c r="Z844" s="772"/>
      <c r="AA844" s="772"/>
      <c r="AB844" s="772"/>
      <c r="AC844" s="772"/>
      <c r="AD844" s="772"/>
      <c r="AE844" s="772"/>
      <c r="AF844" s="772"/>
      <c r="AG844" s="772"/>
      <c r="AH844" s="772"/>
      <c r="AI844" s="772"/>
    </row>
    <row r="845" ht="15.75" customHeight="1">
      <c r="A845" s="815"/>
      <c r="B845" s="782"/>
      <c r="C845" s="782"/>
      <c r="D845" s="782"/>
      <c r="E845" s="816"/>
      <c r="F845" s="816"/>
      <c r="G845" s="816"/>
      <c r="H845" s="817"/>
      <c r="I845" s="817"/>
      <c r="J845" s="817"/>
      <c r="K845" s="818"/>
      <c r="L845" s="772"/>
      <c r="M845" s="772"/>
      <c r="N845" s="772"/>
      <c r="O845" s="772"/>
      <c r="P845" s="772"/>
      <c r="Q845" s="772"/>
      <c r="R845" s="772"/>
      <c r="S845" s="772"/>
      <c r="T845" s="772"/>
      <c r="U845" s="772"/>
      <c r="V845" s="772"/>
      <c r="W845" s="772"/>
      <c r="X845" s="772"/>
      <c r="Y845" s="772"/>
      <c r="Z845" s="772"/>
      <c r="AA845" s="772"/>
      <c r="AB845" s="772"/>
      <c r="AC845" s="772"/>
      <c r="AD845" s="772"/>
      <c r="AE845" s="772"/>
      <c r="AF845" s="772"/>
      <c r="AG845" s="772"/>
      <c r="AH845" s="772"/>
      <c r="AI845" s="772"/>
    </row>
    <row r="846" ht="15.75" customHeight="1">
      <c r="A846" s="815"/>
      <c r="B846" s="782"/>
      <c r="C846" s="782"/>
      <c r="D846" s="782"/>
      <c r="E846" s="816"/>
      <c r="F846" s="816"/>
      <c r="G846" s="816"/>
      <c r="H846" s="817"/>
      <c r="I846" s="817"/>
      <c r="J846" s="817"/>
      <c r="K846" s="818"/>
      <c r="L846" s="772"/>
      <c r="M846" s="772"/>
      <c r="N846" s="772"/>
      <c r="O846" s="772"/>
      <c r="P846" s="772"/>
      <c r="Q846" s="772"/>
      <c r="R846" s="772"/>
      <c r="S846" s="772"/>
      <c r="T846" s="772"/>
      <c r="U846" s="772"/>
      <c r="V846" s="772"/>
      <c r="W846" s="772"/>
      <c r="X846" s="772"/>
      <c r="Y846" s="772"/>
      <c r="Z846" s="772"/>
      <c r="AA846" s="772"/>
      <c r="AB846" s="772"/>
      <c r="AC846" s="772"/>
      <c r="AD846" s="772"/>
      <c r="AE846" s="772"/>
      <c r="AF846" s="772"/>
      <c r="AG846" s="772"/>
      <c r="AH846" s="772"/>
      <c r="AI846" s="772"/>
    </row>
    <row r="847" ht="15.75" customHeight="1">
      <c r="A847" s="815"/>
      <c r="B847" s="782"/>
      <c r="C847" s="782"/>
      <c r="D847" s="782"/>
      <c r="E847" s="816"/>
      <c r="F847" s="816"/>
      <c r="G847" s="816"/>
      <c r="H847" s="817"/>
      <c r="I847" s="817"/>
      <c r="J847" s="817"/>
      <c r="K847" s="818"/>
      <c r="L847" s="772"/>
      <c r="M847" s="772"/>
      <c r="N847" s="772"/>
      <c r="O847" s="772"/>
      <c r="P847" s="772"/>
      <c r="Q847" s="772"/>
      <c r="R847" s="772"/>
      <c r="S847" s="772"/>
      <c r="T847" s="772"/>
      <c r="U847" s="772"/>
      <c r="V847" s="772"/>
      <c r="W847" s="772"/>
      <c r="X847" s="772"/>
      <c r="Y847" s="772"/>
      <c r="Z847" s="772"/>
      <c r="AA847" s="772"/>
      <c r="AB847" s="772"/>
      <c r="AC847" s="772"/>
      <c r="AD847" s="772"/>
      <c r="AE847" s="772"/>
      <c r="AF847" s="772"/>
      <c r="AG847" s="772"/>
      <c r="AH847" s="772"/>
      <c r="AI847" s="772"/>
    </row>
    <row r="848" ht="15.75" customHeight="1">
      <c r="A848" s="815"/>
      <c r="B848" s="782"/>
      <c r="C848" s="782"/>
      <c r="D848" s="782"/>
      <c r="E848" s="816"/>
      <c r="F848" s="816"/>
      <c r="G848" s="816"/>
      <c r="H848" s="817"/>
      <c r="I848" s="817"/>
      <c r="J848" s="817"/>
      <c r="K848" s="818"/>
      <c r="L848" s="772"/>
      <c r="M848" s="772"/>
      <c r="N848" s="772"/>
      <c r="O848" s="772"/>
      <c r="P848" s="772"/>
      <c r="Q848" s="772"/>
      <c r="R848" s="772"/>
      <c r="S848" s="772"/>
      <c r="T848" s="772"/>
      <c r="U848" s="772"/>
      <c r="V848" s="772"/>
      <c r="W848" s="772"/>
      <c r="X848" s="772"/>
      <c r="Y848" s="772"/>
      <c r="Z848" s="772"/>
      <c r="AA848" s="772"/>
      <c r="AB848" s="772"/>
      <c r="AC848" s="772"/>
      <c r="AD848" s="772"/>
      <c r="AE848" s="772"/>
      <c r="AF848" s="772"/>
      <c r="AG848" s="772"/>
      <c r="AH848" s="772"/>
      <c r="AI848" s="772"/>
    </row>
    <row r="849" ht="15.75" customHeight="1">
      <c r="A849" s="815"/>
      <c r="B849" s="782"/>
      <c r="C849" s="782"/>
      <c r="D849" s="782"/>
      <c r="E849" s="816"/>
      <c r="F849" s="816"/>
      <c r="G849" s="816"/>
      <c r="H849" s="817"/>
      <c r="I849" s="817"/>
      <c r="J849" s="817"/>
      <c r="K849" s="818"/>
      <c r="L849" s="772"/>
      <c r="M849" s="772"/>
      <c r="N849" s="772"/>
      <c r="O849" s="772"/>
      <c r="P849" s="772"/>
      <c r="Q849" s="772"/>
      <c r="R849" s="772"/>
      <c r="S849" s="772"/>
      <c r="T849" s="772"/>
      <c r="U849" s="772"/>
      <c r="V849" s="772"/>
      <c r="W849" s="772"/>
      <c r="X849" s="772"/>
      <c r="Y849" s="772"/>
      <c r="Z849" s="772"/>
      <c r="AA849" s="772"/>
      <c r="AB849" s="772"/>
      <c r="AC849" s="772"/>
      <c r="AD849" s="772"/>
      <c r="AE849" s="772"/>
      <c r="AF849" s="772"/>
      <c r="AG849" s="772"/>
      <c r="AH849" s="772"/>
      <c r="AI849" s="772"/>
    </row>
    <row r="850" ht="15.75" customHeight="1">
      <c r="A850" s="815"/>
      <c r="B850" s="782"/>
      <c r="C850" s="782"/>
      <c r="D850" s="782"/>
      <c r="E850" s="816"/>
      <c r="F850" s="816"/>
      <c r="G850" s="816"/>
      <c r="H850" s="817"/>
      <c r="I850" s="817"/>
      <c r="J850" s="817"/>
      <c r="K850" s="818"/>
      <c r="L850" s="772"/>
      <c r="M850" s="772"/>
      <c r="N850" s="772"/>
      <c r="O850" s="772"/>
      <c r="P850" s="772"/>
      <c r="Q850" s="772"/>
      <c r="R850" s="772"/>
      <c r="S850" s="772"/>
      <c r="T850" s="772"/>
      <c r="U850" s="772"/>
      <c r="V850" s="772"/>
      <c r="W850" s="772"/>
      <c r="X850" s="772"/>
      <c r="Y850" s="772"/>
      <c r="Z850" s="772"/>
      <c r="AA850" s="772"/>
      <c r="AB850" s="772"/>
      <c r="AC850" s="772"/>
      <c r="AD850" s="772"/>
      <c r="AE850" s="772"/>
      <c r="AF850" s="772"/>
      <c r="AG850" s="772"/>
      <c r="AH850" s="772"/>
      <c r="AI850" s="772"/>
    </row>
    <row r="851" ht="15.75" customHeight="1">
      <c r="A851" s="815"/>
      <c r="B851" s="782"/>
      <c r="C851" s="782"/>
      <c r="D851" s="782"/>
      <c r="E851" s="816"/>
      <c r="F851" s="816"/>
      <c r="G851" s="816"/>
      <c r="H851" s="817"/>
      <c r="I851" s="817"/>
      <c r="J851" s="817"/>
      <c r="K851" s="818"/>
      <c r="L851" s="772"/>
      <c r="M851" s="772"/>
      <c r="N851" s="772"/>
      <c r="O851" s="772"/>
      <c r="P851" s="772"/>
      <c r="Q851" s="772"/>
      <c r="R851" s="772"/>
      <c r="S851" s="772"/>
      <c r="T851" s="772"/>
      <c r="U851" s="772"/>
      <c r="V851" s="772"/>
      <c r="W851" s="772"/>
      <c r="X851" s="772"/>
      <c r="Y851" s="772"/>
      <c r="Z851" s="772"/>
      <c r="AA851" s="772"/>
      <c r="AB851" s="772"/>
      <c r="AC851" s="772"/>
      <c r="AD851" s="772"/>
      <c r="AE851" s="772"/>
      <c r="AF851" s="772"/>
      <c r="AG851" s="772"/>
      <c r="AH851" s="772"/>
      <c r="AI851" s="772"/>
    </row>
    <row r="852" ht="15.75" customHeight="1">
      <c r="A852" s="815"/>
      <c r="B852" s="782"/>
      <c r="C852" s="782"/>
      <c r="D852" s="782"/>
      <c r="E852" s="816"/>
      <c r="F852" s="816"/>
      <c r="G852" s="816"/>
      <c r="H852" s="817"/>
      <c r="I852" s="817"/>
      <c r="J852" s="817"/>
      <c r="K852" s="818"/>
      <c r="L852" s="772"/>
      <c r="M852" s="772"/>
      <c r="N852" s="772"/>
      <c r="O852" s="772"/>
      <c r="P852" s="772"/>
      <c r="Q852" s="772"/>
      <c r="R852" s="772"/>
      <c r="S852" s="772"/>
      <c r="T852" s="772"/>
      <c r="U852" s="772"/>
      <c r="V852" s="772"/>
      <c r="W852" s="772"/>
      <c r="X852" s="772"/>
      <c r="Y852" s="772"/>
      <c r="Z852" s="772"/>
      <c r="AA852" s="772"/>
      <c r="AB852" s="772"/>
      <c r="AC852" s="772"/>
      <c r="AD852" s="772"/>
      <c r="AE852" s="772"/>
      <c r="AF852" s="772"/>
      <c r="AG852" s="772"/>
      <c r="AH852" s="772"/>
      <c r="AI852" s="772"/>
    </row>
    <row r="853" ht="15.75" customHeight="1">
      <c r="A853" s="815"/>
      <c r="B853" s="782"/>
      <c r="C853" s="782"/>
      <c r="D853" s="782"/>
      <c r="E853" s="816"/>
      <c r="F853" s="816"/>
      <c r="G853" s="816"/>
      <c r="H853" s="817"/>
      <c r="I853" s="817"/>
      <c r="J853" s="817"/>
      <c r="K853" s="818"/>
      <c r="L853" s="772"/>
      <c r="M853" s="772"/>
      <c r="N853" s="772"/>
      <c r="O853" s="772"/>
      <c r="P853" s="772"/>
      <c r="Q853" s="772"/>
      <c r="R853" s="772"/>
      <c r="S853" s="772"/>
      <c r="T853" s="772"/>
      <c r="U853" s="772"/>
      <c r="V853" s="772"/>
      <c r="W853" s="772"/>
      <c r="X853" s="772"/>
      <c r="Y853" s="772"/>
      <c r="Z853" s="772"/>
      <c r="AA853" s="772"/>
      <c r="AB853" s="772"/>
      <c r="AC853" s="772"/>
      <c r="AD853" s="772"/>
      <c r="AE853" s="772"/>
      <c r="AF853" s="772"/>
      <c r="AG853" s="772"/>
      <c r="AH853" s="772"/>
      <c r="AI853" s="772"/>
    </row>
    <row r="854" ht="15.75" customHeight="1">
      <c r="A854" s="815"/>
      <c r="B854" s="782"/>
      <c r="C854" s="782"/>
      <c r="D854" s="782"/>
      <c r="E854" s="816"/>
      <c r="F854" s="816"/>
      <c r="G854" s="816"/>
      <c r="H854" s="817"/>
      <c r="I854" s="817"/>
      <c r="J854" s="817"/>
      <c r="K854" s="818"/>
      <c r="L854" s="772"/>
      <c r="M854" s="772"/>
      <c r="N854" s="772"/>
      <c r="O854" s="772"/>
      <c r="P854" s="772"/>
      <c r="Q854" s="772"/>
      <c r="R854" s="772"/>
      <c r="S854" s="772"/>
      <c r="T854" s="772"/>
      <c r="U854" s="772"/>
      <c r="V854" s="772"/>
      <c r="W854" s="772"/>
      <c r="X854" s="772"/>
      <c r="Y854" s="772"/>
      <c r="Z854" s="772"/>
      <c r="AA854" s="772"/>
      <c r="AB854" s="772"/>
      <c r="AC854" s="772"/>
      <c r="AD854" s="772"/>
      <c r="AE854" s="772"/>
      <c r="AF854" s="772"/>
      <c r="AG854" s="772"/>
      <c r="AH854" s="772"/>
      <c r="AI854" s="772"/>
    </row>
    <row r="855" ht="15.75" customHeight="1">
      <c r="A855" s="815"/>
      <c r="B855" s="782"/>
      <c r="C855" s="782"/>
      <c r="D855" s="782"/>
      <c r="E855" s="816"/>
      <c r="F855" s="816"/>
      <c r="G855" s="816"/>
      <c r="H855" s="817"/>
      <c r="I855" s="817"/>
      <c r="J855" s="817"/>
      <c r="K855" s="818"/>
      <c r="L855" s="772"/>
      <c r="M855" s="772"/>
      <c r="N855" s="772"/>
      <c r="O855" s="772"/>
      <c r="P855" s="772"/>
      <c r="Q855" s="772"/>
      <c r="R855" s="772"/>
      <c r="S855" s="772"/>
      <c r="T855" s="772"/>
      <c r="U855" s="772"/>
      <c r="V855" s="772"/>
      <c r="W855" s="772"/>
      <c r="X855" s="772"/>
      <c r="Y855" s="772"/>
      <c r="Z855" s="772"/>
      <c r="AA855" s="772"/>
      <c r="AB855" s="772"/>
      <c r="AC855" s="772"/>
      <c r="AD855" s="772"/>
      <c r="AE855" s="772"/>
      <c r="AF855" s="772"/>
      <c r="AG855" s="772"/>
      <c r="AH855" s="772"/>
      <c r="AI855" s="772"/>
    </row>
    <row r="856" ht="15.75" customHeight="1">
      <c r="A856" s="815"/>
      <c r="B856" s="782"/>
      <c r="C856" s="782"/>
      <c r="D856" s="782"/>
      <c r="E856" s="816"/>
      <c r="F856" s="816"/>
      <c r="G856" s="816"/>
      <c r="H856" s="817"/>
      <c r="I856" s="817"/>
      <c r="J856" s="817"/>
      <c r="K856" s="818"/>
      <c r="L856" s="772"/>
      <c r="M856" s="772"/>
      <c r="N856" s="772"/>
      <c r="O856" s="772"/>
      <c r="P856" s="772"/>
      <c r="Q856" s="772"/>
      <c r="R856" s="772"/>
      <c r="S856" s="772"/>
      <c r="T856" s="772"/>
      <c r="U856" s="772"/>
      <c r="V856" s="772"/>
      <c r="W856" s="772"/>
      <c r="X856" s="772"/>
      <c r="Y856" s="772"/>
      <c r="Z856" s="772"/>
      <c r="AA856" s="772"/>
      <c r="AB856" s="772"/>
      <c r="AC856" s="772"/>
      <c r="AD856" s="772"/>
      <c r="AE856" s="772"/>
      <c r="AF856" s="772"/>
      <c r="AG856" s="772"/>
      <c r="AH856" s="772"/>
      <c r="AI856" s="772"/>
    </row>
    <row r="857" ht="15.75" customHeight="1">
      <c r="A857" s="815"/>
      <c r="B857" s="782"/>
      <c r="C857" s="782"/>
      <c r="D857" s="782"/>
      <c r="E857" s="816"/>
      <c r="F857" s="816"/>
      <c r="G857" s="816"/>
      <c r="H857" s="817"/>
      <c r="I857" s="817"/>
      <c r="J857" s="817"/>
      <c r="K857" s="818"/>
      <c r="L857" s="772"/>
      <c r="M857" s="772"/>
      <c r="N857" s="772"/>
      <c r="O857" s="772"/>
      <c r="P857" s="772"/>
      <c r="Q857" s="772"/>
      <c r="R857" s="772"/>
      <c r="S857" s="772"/>
      <c r="T857" s="772"/>
      <c r="U857" s="772"/>
      <c r="V857" s="772"/>
      <c r="W857" s="772"/>
      <c r="X857" s="772"/>
      <c r="Y857" s="772"/>
      <c r="Z857" s="772"/>
      <c r="AA857" s="772"/>
      <c r="AB857" s="772"/>
      <c r="AC857" s="772"/>
      <c r="AD857" s="772"/>
      <c r="AE857" s="772"/>
      <c r="AF857" s="772"/>
      <c r="AG857" s="772"/>
      <c r="AH857" s="772"/>
      <c r="AI857" s="772"/>
    </row>
    <row r="858" ht="15.75" customHeight="1">
      <c r="A858" s="815"/>
      <c r="B858" s="782"/>
      <c r="C858" s="782"/>
      <c r="D858" s="782"/>
      <c r="E858" s="816"/>
      <c r="F858" s="816"/>
      <c r="G858" s="816"/>
      <c r="H858" s="817"/>
      <c r="I858" s="817"/>
      <c r="J858" s="817"/>
      <c r="K858" s="818"/>
      <c r="L858" s="772"/>
      <c r="M858" s="772"/>
      <c r="N858" s="772"/>
      <c r="O858" s="772"/>
      <c r="P858" s="772"/>
      <c r="Q858" s="772"/>
      <c r="R858" s="772"/>
      <c r="S858" s="772"/>
      <c r="T858" s="772"/>
      <c r="U858" s="772"/>
      <c r="V858" s="772"/>
      <c r="W858" s="772"/>
      <c r="X858" s="772"/>
      <c r="Y858" s="772"/>
      <c r="Z858" s="772"/>
      <c r="AA858" s="772"/>
      <c r="AB858" s="772"/>
      <c r="AC858" s="772"/>
      <c r="AD858" s="772"/>
      <c r="AE858" s="772"/>
      <c r="AF858" s="772"/>
      <c r="AG858" s="772"/>
      <c r="AH858" s="772"/>
      <c r="AI858" s="772"/>
    </row>
    <row r="859" ht="15.75" customHeight="1">
      <c r="A859" s="815"/>
      <c r="B859" s="782"/>
      <c r="C859" s="782"/>
      <c r="D859" s="782"/>
      <c r="E859" s="816"/>
      <c r="F859" s="816"/>
      <c r="G859" s="816"/>
      <c r="H859" s="817"/>
      <c r="I859" s="817"/>
      <c r="J859" s="817"/>
      <c r="K859" s="818"/>
      <c r="L859" s="772"/>
      <c r="M859" s="772"/>
      <c r="N859" s="772"/>
      <c r="O859" s="772"/>
      <c r="P859" s="772"/>
      <c r="Q859" s="772"/>
      <c r="R859" s="772"/>
      <c r="S859" s="772"/>
      <c r="T859" s="772"/>
      <c r="U859" s="772"/>
      <c r="V859" s="772"/>
      <c r="W859" s="772"/>
      <c r="X859" s="772"/>
      <c r="Y859" s="772"/>
      <c r="Z859" s="772"/>
      <c r="AA859" s="772"/>
      <c r="AB859" s="772"/>
      <c r="AC859" s="772"/>
      <c r="AD859" s="772"/>
      <c r="AE859" s="772"/>
      <c r="AF859" s="772"/>
      <c r="AG859" s="772"/>
      <c r="AH859" s="772"/>
      <c r="AI859" s="772"/>
    </row>
    <row r="860" ht="15.75" customHeight="1">
      <c r="A860" s="815"/>
      <c r="B860" s="782"/>
      <c r="C860" s="782"/>
      <c r="D860" s="782"/>
      <c r="E860" s="816"/>
      <c r="F860" s="816"/>
      <c r="G860" s="816"/>
      <c r="H860" s="817"/>
      <c r="I860" s="817"/>
      <c r="J860" s="817"/>
      <c r="K860" s="818"/>
      <c r="L860" s="772"/>
      <c r="M860" s="772"/>
      <c r="N860" s="772"/>
      <c r="O860" s="772"/>
      <c r="P860" s="772"/>
      <c r="Q860" s="772"/>
      <c r="R860" s="772"/>
      <c r="S860" s="772"/>
      <c r="T860" s="772"/>
      <c r="U860" s="772"/>
      <c r="V860" s="772"/>
      <c r="W860" s="772"/>
      <c r="X860" s="772"/>
      <c r="Y860" s="772"/>
      <c r="Z860" s="772"/>
      <c r="AA860" s="772"/>
      <c r="AB860" s="772"/>
      <c r="AC860" s="772"/>
      <c r="AD860" s="772"/>
      <c r="AE860" s="772"/>
      <c r="AF860" s="772"/>
      <c r="AG860" s="772"/>
      <c r="AH860" s="772"/>
      <c r="AI860" s="772"/>
    </row>
    <row r="861" ht="15.75" customHeight="1">
      <c r="A861" s="815"/>
      <c r="B861" s="782"/>
      <c r="C861" s="782"/>
      <c r="D861" s="782"/>
      <c r="E861" s="816"/>
      <c r="F861" s="816"/>
      <c r="G861" s="816"/>
      <c r="H861" s="817"/>
      <c r="I861" s="817"/>
      <c r="J861" s="817"/>
      <c r="K861" s="818"/>
      <c r="L861" s="772"/>
      <c r="M861" s="772"/>
      <c r="N861" s="772"/>
      <c r="O861" s="772"/>
      <c r="P861" s="772"/>
      <c r="Q861" s="772"/>
      <c r="R861" s="772"/>
      <c r="S861" s="772"/>
      <c r="T861" s="772"/>
      <c r="U861" s="772"/>
      <c r="V861" s="772"/>
      <c r="W861" s="772"/>
      <c r="X861" s="772"/>
      <c r="Y861" s="772"/>
      <c r="Z861" s="772"/>
      <c r="AA861" s="772"/>
      <c r="AB861" s="772"/>
      <c r="AC861" s="772"/>
      <c r="AD861" s="772"/>
      <c r="AE861" s="772"/>
      <c r="AF861" s="772"/>
      <c r="AG861" s="772"/>
      <c r="AH861" s="772"/>
      <c r="AI861" s="772"/>
    </row>
    <row r="862" ht="15.75" customHeight="1">
      <c r="A862" s="815"/>
      <c r="B862" s="782"/>
      <c r="C862" s="782"/>
      <c r="D862" s="782"/>
      <c r="E862" s="816"/>
      <c r="F862" s="816"/>
      <c r="G862" s="816"/>
      <c r="H862" s="817"/>
      <c r="I862" s="817"/>
      <c r="J862" s="817"/>
      <c r="K862" s="818"/>
      <c r="L862" s="772"/>
      <c r="M862" s="772"/>
      <c r="N862" s="772"/>
      <c r="O862" s="772"/>
      <c r="P862" s="772"/>
      <c r="Q862" s="772"/>
      <c r="R862" s="772"/>
      <c r="S862" s="772"/>
      <c r="T862" s="772"/>
      <c r="U862" s="772"/>
      <c r="V862" s="772"/>
      <c r="W862" s="772"/>
      <c r="X862" s="772"/>
      <c r="Y862" s="772"/>
      <c r="Z862" s="772"/>
      <c r="AA862" s="772"/>
      <c r="AB862" s="772"/>
      <c r="AC862" s="772"/>
      <c r="AD862" s="772"/>
      <c r="AE862" s="772"/>
      <c r="AF862" s="772"/>
      <c r="AG862" s="772"/>
      <c r="AH862" s="772"/>
      <c r="AI862" s="772"/>
    </row>
    <row r="863" ht="15.75" customHeight="1">
      <c r="A863" s="815"/>
      <c r="B863" s="782"/>
      <c r="C863" s="782"/>
      <c r="D863" s="782"/>
      <c r="E863" s="816"/>
      <c r="F863" s="816"/>
      <c r="G863" s="816"/>
      <c r="H863" s="817"/>
      <c r="I863" s="817"/>
      <c r="J863" s="817"/>
      <c r="K863" s="818"/>
      <c r="L863" s="772"/>
      <c r="M863" s="772"/>
      <c r="N863" s="772"/>
      <c r="O863" s="772"/>
      <c r="P863" s="772"/>
      <c r="Q863" s="772"/>
      <c r="R863" s="772"/>
      <c r="S863" s="772"/>
      <c r="T863" s="772"/>
      <c r="U863" s="772"/>
      <c r="V863" s="772"/>
      <c r="W863" s="772"/>
      <c r="X863" s="772"/>
      <c r="Y863" s="772"/>
      <c r="Z863" s="772"/>
      <c r="AA863" s="772"/>
      <c r="AB863" s="772"/>
      <c r="AC863" s="772"/>
      <c r="AD863" s="772"/>
      <c r="AE863" s="772"/>
      <c r="AF863" s="772"/>
      <c r="AG863" s="772"/>
      <c r="AH863" s="772"/>
      <c r="AI863" s="772"/>
    </row>
    <row r="864" ht="15.75" customHeight="1">
      <c r="A864" s="815"/>
      <c r="B864" s="782"/>
      <c r="C864" s="782"/>
      <c r="D864" s="782"/>
      <c r="E864" s="816"/>
      <c r="F864" s="816"/>
      <c r="G864" s="816"/>
      <c r="H864" s="817"/>
      <c r="I864" s="817"/>
      <c r="J864" s="817"/>
      <c r="K864" s="818"/>
      <c r="L864" s="772"/>
      <c r="M864" s="772"/>
      <c r="N864" s="772"/>
      <c r="O864" s="772"/>
      <c r="P864" s="772"/>
      <c r="Q864" s="772"/>
      <c r="R864" s="772"/>
      <c r="S864" s="772"/>
      <c r="T864" s="772"/>
      <c r="U864" s="772"/>
      <c r="V864" s="772"/>
      <c r="W864" s="772"/>
      <c r="X864" s="772"/>
      <c r="Y864" s="772"/>
      <c r="Z864" s="772"/>
      <c r="AA864" s="772"/>
      <c r="AB864" s="772"/>
      <c r="AC864" s="772"/>
      <c r="AD864" s="772"/>
      <c r="AE864" s="772"/>
      <c r="AF864" s="772"/>
      <c r="AG864" s="772"/>
      <c r="AH864" s="772"/>
      <c r="AI864" s="772"/>
    </row>
    <row r="865" ht="15.75" customHeight="1">
      <c r="A865" s="815"/>
      <c r="B865" s="782"/>
      <c r="C865" s="782"/>
      <c r="D865" s="782"/>
      <c r="E865" s="816"/>
      <c r="F865" s="816"/>
      <c r="G865" s="816"/>
      <c r="H865" s="817"/>
      <c r="I865" s="817"/>
      <c r="J865" s="817"/>
      <c r="K865" s="818"/>
      <c r="L865" s="772"/>
      <c r="M865" s="772"/>
      <c r="N865" s="772"/>
      <c r="O865" s="772"/>
      <c r="P865" s="772"/>
      <c r="Q865" s="772"/>
      <c r="R865" s="772"/>
      <c r="S865" s="772"/>
      <c r="T865" s="772"/>
      <c r="U865" s="772"/>
      <c r="V865" s="772"/>
      <c r="W865" s="772"/>
      <c r="X865" s="772"/>
      <c r="Y865" s="772"/>
      <c r="Z865" s="772"/>
      <c r="AA865" s="772"/>
      <c r="AB865" s="772"/>
      <c r="AC865" s="772"/>
      <c r="AD865" s="772"/>
      <c r="AE865" s="772"/>
      <c r="AF865" s="772"/>
      <c r="AG865" s="772"/>
      <c r="AH865" s="772"/>
      <c r="AI865" s="772"/>
    </row>
    <row r="866" ht="15.75" customHeight="1">
      <c r="A866" s="815"/>
      <c r="B866" s="782"/>
      <c r="C866" s="782"/>
      <c r="D866" s="782"/>
      <c r="E866" s="816"/>
      <c r="F866" s="816"/>
      <c r="G866" s="816"/>
      <c r="H866" s="817"/>
      <c r="I866" s="817"/>
      <c r="J866" s="817"/>
      <c r="K866" s="818"/>
      <c r="L866" s="772"/>
      <c r="M866" s="772"/>
      <c r="N866" s="772"/>
      <c r="O866" s="772"/>
      <c r="P866" s="772"/>
      <c r="Q866" s="772"/>
      <c r="R866" s="772"/>
      <c r="S866" s="772"/>
      <c r="T866" s="772"/>
      <c r="U866" s="772"/>
      <c r="V866" s="772"/>
      <c r="W866" s="772"/>
      <c r="X866" s="772"/>
      <c r="Y866" s="772"/>
      <c r="Z866" s="772"/>
      <c r="AA866" s="772"/>
      <c r="AB866" s="772"/>
      <c r="AC866" s="772"/>
      <c r="AD866" s="772"/>
      <c r="AE866" s="772"/>
      <c r="AF866" s="772"/>
      <c r="AG866" s="772"/>
      <c r="AH866" s="772"/>
      <c r="AI866" s="772"/>
    </row>
    <row r="867" ht="15.75" customHeight="1">
      <c r="A867" s="815"/>
      <c r="B867" s="782"/>
      <c r="C867" s="782"/>
      <c r="D867" s="782"/>
      <c r="E867" s="816"/>
      <c r="F867" s="816"/>
      <c r="G867" s="816"/>
      <c r="H867" s="817"/>
      <c r="I867" s="817"/>
      <c r="J867" s="817"/>
      <c r="K867" s="818"/>
      <c r="L867" s="772"/>
      <c r="M867" s="772"/>
      <c r="N867" s="772"/>
      <c r="O867" s="772"/>
      <c r="P867" s="772"/>
      <c r="Q867" s="772"/>
      <c r="R867" s="772"/>
      <c r="S867" s="772"/>
      <c r="T867" s="772"/>
      <c r="U867" s="772"/>
      <c r="V867" s="772"/>
      <c r="W867" s="772"/>
      <c r="X867" s="772"/>
      <c r="Y867" s="772"/>
      <c r="Z867" s="772"/>
      <c r="AA867" s="772"/>
      <c r="AB867" s="772"/>
      <c r="AC867" s="772"/>
      <c r="AD867" s="772"/>
      <c r="AE867" s="772"/>
      <c r="AF867" s="772"/>
      <c r="AG867" s="772"/>
      <c r="AH867" s="772"/>
      <c r="AI867" s="772"/>
    </row>
    <row r="868" ht="15.75" customHeight="1">
      <c r="A868" s="815"/>
      <c r="B868" s="782"/>
      <c r="C868" s="782"/>
      <c r="D868" s="782"/>
      <c r="E868" s="816"/>
      <c r="F868" s="816"/>
      <c r="G868" s="816"/>
      <c r="H868" s="817"/>
      <c r="I868" s="817"/>
      <c r="J868" s="817"/>
      <c r="K868" s="818"/>
      <c r="L868" s="772"/>
      <c r="M868" s="772"/>
      <c r="N868" s="772"/>
      <c r="O868" s="772"/>
      <c r="P868" s="772"/>
      <c r="Q868" s="772"/>
      <c r="R868" s="772"/>
      <c r="S868" s="772"/>
      <c r="T868" s="772"/>
      <c r="U868" s="772"/>
      <c r="V868" s="772"/>
      <c r="W868" s="772"/>
      <c r="X868" s="772"/>
      <c r="Y868" s="772"/>
      <c r="Z868" s="772"/>
      <c r="AA868" s="772"/>
      <c r="AB868" s="772"/>
      <c r="AC868" s="772"/>
      <c r="AD868" s="772"/>
      <c r="AE868" s="772"/>
      <c r="AF868" s="772"/>
      <c r="AG868" s="772"/>
      <c r="AH868" s="772"/>
      <c r="AI868" s="772"/>
    </row>
    <row r="869" ht="15.75" customHeight="1">
      <c r="A869" s="815"/>
      <c r="B869" s="782"/>
      <c r="C869" s="782"/>
      <c r="D869" s="782"/>
      <c r="E869" s="816"/>
      <c r="F869" s="816"/>
      <c r="G869" s="816"/>
      <c r="H869" s="817"/>
      <c r="I869" s="817"/>
      <c r="J869" s="817"/>
      <c r="K869" s="818"/>
      <c r="L869" s="772"/>
      <c r="M869" s="772"/>
      <c r="N869" s="772"/>
      <c r="O869" s="772"/>
      <c r="P869" s="772"/>
      <c r="Q869" s="772"/>
      <c r="R869" s="772"/>
      <c r="S869" s="772"/>
      <c r="T869" s="772"/>
      <c r="U869" s="772"/>
      <c r="V869" s="772"/>
      <c r="W869" s="772"/>
      <c r="X869" s="772"/>
      <c r="Y869" s="772"/>
      <c r="Z869" s="772"/>
      <c r="AA869" s="772"/>
      <c r="AB869" s="772"/>
      <c r="AC869" s="772"/>
      <c r="AD869" s="772"/>
      <c r="AE869" s="772"/>
      <c r="AF869" s="772"/>
      <c r="AG869" s="772"/>
      <c r="AH869" s="772"/>
      <c r="AI869" s="772"/>
    </row>
    <row r="870" ht="15.75" customHeight="1">
      <c r="A870" s="815"/>
      <c r="B870" s="782"/>
      <c r="C870" s="782"/>
      <c r="D870" s="782"/>
      <c r="E870" s="816"/>
      <c r="F870" s="816"/>
      <c r="G870" s="816"/>
      <c r="H870" s="817"/>
      <c r="I870" s="817"/>
      <c r="J870" s="817"/>
      <c r="K870" s="818"/>
      <c r="L870" s="772"/>
      <c r="M870" s="772"/>
      <c r="N870" s="772"/>
      <c r="O870" s="772"/>
      <c r="P870" s="772"/>
      <c r="Q870" s="772"/>
      <c r="R870" s="772"/>
      <c r="S870" s="772"/>
      <c r="T870" s="772"/>
      <c r="U870" s="772"/>
      <c r="V870" s="772"/>
      <c r="W870" s="772"/>
      <c r="X870" s="772"/>
      <c r="Y870" s="772"/>
      <c r="Z870" s="772"/>
      <c r="AA870" s="772"/>
      <c r="AB870" s="772"/>
      <c r="AC870" s="772"/>
      <c r="AD870" s="772"/>
      <c r="AE870" s="772"/>
      <c r="AF870" s="772"/>
      <c r="AG870" s="772"/>
      <c r="AH870" s="772"/>
      <c r="AI870" s="772"/>
    </row>
    <row r="871" ht="15.75" customHeight="1">
      <c r="A871" s="815"/>
      <c r="B871" s="782"/>
      <c r="C871" s="782"/>
      <c r="D871" s="782"/>
      <c r="E871" s="816"/>
      <c r="F871" s="816"/>
      <c r="G871" s="816"/>
      <c r="H871" s="817"/>
      <c r="I871" s="817"/>
      <c r="J871" s="817"/>
      <c r="K871" s="818"/>
      <c r="L871" s="772"/>
      <c r="M871" s="772"/>
      <c r="N871" s="772"/>
      <c r="O871" s="772"/>
      <c r="P871" s="772"/>
      <c r="Q871" s="772"/>
      <c r="R871" s="772"/>
      <c r="S871" s="772"/>
      <c r="T871" s="772"/>
      <c r="U871" s="772"/>
      <c r="V871" s="772"/>
      <c r="W871" s="772"/>
      <c r="X871" s="772"/>
      <c r="Y871" s="772"/>
      <c r="Z871" s="772"/>
      <c r="AA871" s="772"/>
      <c r="AB871" s="772"/>
      <c r="AC871" s="772"/>
      <c r="AD871" s="772"/>
      <c r="AE871" s="772"/>
      <c r="AF871" s="772"/>
      <c r="AG871" s="772"/>
      <c r="AH871" s="772"/>
      <c r="AI871" s="772"/>
    </row>
    <row r="872" ht="15.75" customHeight="1">
      <c r="A872" s="815"/>
      <c r="B872" s="782"/>
      <c r="C872" s="782"/>
      <c r="D872" s="782"/>
      <c r="E872" s="816"/>
      <c r="F872" s="816"/>
      <c r="G872" s="816"/>
      <c r="H872" s="817"/>
      <c r="I872" s="817"/>
      <c r="J872" s="817"/>
      <c r="K872" s="818"/>
      <c r="L872" s="772"/>
      <c r="M872" s="772"/>
      <c r="N872" s="772"/>
      <c r="O872" s="772"/>
      <c r="P872" s="772"/>
      <c r="Q872" s="772"/>
      <c r="R872" s="772"/>
      <c r="S872" s="772"/>
      <c r="T872" s="772"/>
      <c r="U872" s="772"/>
      <c r="V872" s="772"/>
      <c r="W872" s="772"/>
      <c r="X872" s="772"/>
      <c r="Y872" s="772"/>
      <c r="Z872" s="772"/>
      <c r="AA872" s="772"/>
      <c r="AB872" s="772"/>
      <c r="AC872" s="772"/>
      <c r="AD872" s="772"/>
      <c r="AE872" s="772"/>
      <c r="AF872" s="772"/>
      <c r="AG872" s="772"/>
      <c r="AH872" s="772"/>
      <c r="AI872" s="772"/>
    </row>
    <row r="873" ht="15.75" customHeight="1">
      <c r="A873" s="815"/>
      <c r="B873" s="782"/>
      <c r="C873" s="782"/>
      <c r="D873" s="782"/>
      <c r="E873" s="816"/>
      <c r="F873" s="816"/>
      <c r="G873" s="816"/>
      <c r="H873" s="817"/>
      <c r="I873" s="817"/>
      <c r="J873" s="817"/>
      <c r="K873" s="818"/>
      <c r="L873" s="772"/>
      <c r="M873" s="772"/>
      <c r="N873" s="772"/>
      <c r="O873" s="772"/>
      <c r="P873" s="772"/>
      <c r="Q873" s="772"/>
      <c r="R873" s="772"/>
      <c r="S873" s="772"/>
      <c r="T873" s="772"/>
      <c r="U873" s="772"/>
      <c r="V873" s="772"/>
      <c r="W873" s="772"/>
      <c r="X873" s="772"/>
      <c r="Y873" s="772"/>
      <c r="Z873" s="772"/>
      <c r="AA873" s="772"/>
      <c r="AB873" s="772"/>
      <c r="AC873" s="772"/>
      <c r="AD873" s="772"/>
      <c r="AE873" s="772"/>
      <c r="AF873" s="772"/>
      <c r="AG873" s="772"/>
      <c r="AH873" s="772"/>
      <c r="AI873" s="772"/>
    </row>
    <row r="874" ht="15.75" customHeight="1">
      <c r="A874" s="815"/>
      <c r="B874" s="782"/>
      <c r="C874" s="782"/>
      <c r="D874" s="782"/>
      <c r="E874" s="816"/>
      <c r="F874" s="816"/>
      <c r="G874" s="816"/>
      <c r="H874" s="817"/>
      <c r="I874" s="817"/>
      <c r="J874" s="817"/>
      <c r="K874" s="818"/>
      <c r="L874" s="772"/>
      <c r="M874" s="772"/>
      <c r="N874" s="772"/>
      <c r="O874" s="772"/>
      <c r="P874" s="772"/>
      <c r="Q874" s="772"/>
      <c r="R874" s="772"/>
      <c r="S874" s="772"/>
      <c r="T874" s="772"/>
      <c r="U874" s="772"/>
      <c r="V874" s="772"/>
      <c r="W874" s="772"/>
      <c r="X874" s="772"/>
      <c r="Y874" s="772"/>
      <c r="Z874" s="772"/>
      <c r="AA874" s="772"/>
      <c r="AB874" s="772"/>
      <c r="AC874" s="772"/>
      <c r="AD874" s="772"/>
      <c r="AE874" s="772"/>
      <c r="AF874" s="772"/>
      <c r="AG874" s="772"/>
      <c r="AH874" s="772"/>
      <c r="AI874" s="772"/>
    </row>
    <row r="875" ht="15.75" customHeight="1">
      <c r="A875" s="815"/>
      <c r="B875" s="782"/>
      <c r="C875" s="782"/>
      <c r="D875" s="782"/>
      <c r="E875" s="816"/>
      <c r="F875" s="816"/>
      <c r="G875" s="816"/>
      <c r="H875" s="817"/>
      <c r="I875" s="817"/>
      <c r="J875" s="817"/>
      <c r="K875" s="818"/>
      <c r="L875" s="772"/>
      <c r="M875" s="772"/>
      <c r="N875" s="772"/>
      <c r="O875" s="772"/>
      <c r="P875" s="772"/>
      <c r="Q875" s="772"/>
      <c r="R875" s="772"/>
      <c r="S875" s="772"/>
      <c r="T875" s="772"/>
      <c r="U875" s="772"/>
      <c r="V875" s="772"/>
      <c r="W875" s="772"/>
      <c r="X875" s="772"/>
      <c r="Y875" s="772"/>
      <c r="Z875" s="772"/>
      <c r="AA875" s="772"/>
      <c r="AB875" s="772"/>
      <c r="AC875" s="772"/>
      <c r="AD875" s="772"/>
      <c r="AE875" s="772"/>
      <c r="AF875" s="772"/>
      <c r="AG875" s="772"/>
      <c r="AH875" s="772"/>
      <c r="AI875" s="772"/>
    </row>
    <row r="876" ht="15.75" customHeight="1">
      <c r="A876" s="815"/>
      <c r="B876" s="782"/>
      <c r="C876" s="782"/>
      <c r="D876" s="782"/>
      <c r="E876" s="816"/>
      <c r="F876" s="816"/>
      <c r="G876" s="816"/>
      <c r="H876" s="817"/>
      <c r="I876" s="817"/>
      <c r="J876" s="817"/>
      <c r="K876" s="818"/>
      <c r="L876" s="772"/>
      <c r="M876" s="772"/>
      <c r="N876" s="772"/>
      <c r="O876" s="772"/>
      <c r="P876" s="772"/>
      <c r="Q876" s="772"/>
      <c r="R876" s="772"/>
      <c r="S876" s="772"/>
      <c r="T876" s="772"/>
      <c r="U876" s="772"/>
      <c r="V876" s="772"/>
      <c r="W876" s="772"/>
      <c r="X876" s="772"/>
      <c r="Y876" s="772"/>
      <c r="Z876" s="772"/>
      <c r="AA876" s="772"/>
      <c r="AB876" s="772"/>
      <c r="AC876" s="772"/>
      <c r="AD876" s="772"/>
      <c r="AE876" s="772"/>
      <c r="AF876" s="772"/>
      <c r="AG876" s="772"/>
      <c r="AH876" s="772"/>
      <c r="AI876" s="772"/>
    </row>
    <row r="877" ht="15.75" customHeight="1">
      <c r="A877" s="815"/>
      <c r="B877" s="782"/>
      <c r="C877" s="782"/>
      <c r="D877" s="782"/>
      <c r="E877" s="816"/>
      <c r="F877" s="816"/>
      <c r="G877" s="816"/>
      <c r="H877" s="817"/>
      <c r="I877" s="817"/>
      <c r="J877" s="817"/>
      <c r="K877" s="818"/>
      <c r="L877" s="772"/>
      <c r="M877" s="772"/>
      <c r="N877" s="772"/>
      <c r="O877" s="772"/>
      <c r="P877" s="772"/>
      <c r="Q877" s="772"/>
      <c r="R877" s="772"/>
      <c r="S877" s="772"/>
      <c r="T877" s="772"/>
      <c r="U877" s="772"/>
      <c r="V877" s="772"/>
      <c r="W877" s="772"/>
      <c r="X877" s="772"/>
      <c r="Y877" s="772"/>
      <c r="Z877" s="772"/>
      <c r="AA877" s="772"/>
      <c r="AB877" s="772"/>
      <c r="AC877" s="772"/>
      <c r="AD877" s="772"/>
      <c r="AE877" s="772"/>
      <c r="AF877" s="772"/>
      <c r="AG877" s="772"/>
      <c r="AH877" s="772"/>
      <c r="AI877" s="772"/>
    </row>
    <row r="878" ht="15.75" customHeight="1">
      <c r="A878" s="815"/>
      <c r="B878" s="782"/>
      <c r="C878" s="782"/>
      <c r="D878" s="782"/>
      <c r="E878" s="816"/>
      <c r="F878" s="816"/>
      <c r="G878" s="816"/>
      <c r="H878" s="817"/>
      <c r="I878" s="817"/>
      <c r="J878" s="817"/>
      <c r="K878" s="818"/>
      <c r="L878" s="772"/>
      <c r="M878" s="772"/>
      <c r="N878" s="772"/>
      <c r="O878" s="772"/>
      <c r="P878" s="772"/>
      <c r="Q878" s="772"/>
      <c r="R878" s="772"/>
      <c r="S878" s="772"/>
      <c r="T878" s="772"/>
      <c r="U878" s="772"/>
      <c r="V878" s="772"/>
      <c r="W878" s="772"/>
      <c r="X878" s="772"/>
      <c r="Y878" s="772"/>
      <c r="Z878" s="772"/>
      <c r="AA878" s="772"/>
      <c r="AB878" s="772"/>
      <c r="AC878" s="772"/>
      <c r="AD878" s="772"/>
      <c r="AE878" s="772"/>
      <c r="AF878" s="772"/>
      <c r="AG878" s="772"/>
      <c r="AH878" s="772"/>
      <c r="AI878" s="772"/>
    </row>
    <row r="879" ht="15.75" customHeight="1">
      <c r="A879" s="815"/>
      <c r="B879" s="782"/>
      <c r="C879" s="782"/>
      <c r="D879" s="782"/>
      <c r="E879" s="816"/>
      <c r="F879" s="816"/>
      <c r="G879" s="816"/>
      <c r="H879" s="817"/>
      <c r="I879" s="817"/>
      <c r="J879" s="817"/>
      <c r="K879" s="818"/>
      <c r="L879" s="772"/>
      <c r="M879" s="772"/>
      <c r="N879" s="772"/>
      <c r="O879" s="772"/>
      <c r="P879" s="772"/>
      <c r="Q879" s="772"/>
      <c r="R879" s="772"/>
      <c r="S879" s="772"/>
      <c r="T879" s="772"/>
      <c r="U879" s="772"/>
      <c r="V879" s="772"/>
      <c r="W879" s="772"/>
      <c r="X879" s="772"/>
      <c r="Y879" s="772"/>
      <c r="Z879" s="772"/>
      <c r="AA879" s="772"/>
      <c r="AB879" s="772"/>
      <c r="AC879" s="772"/>
      <c r="AD879" s="772"/>
      <c r="AE879" s="772"/>
      <c r="AF879" s="772"/>
      <c r="AG879" s="772"/>
      <c r="AH879" s="772"/>
      <c r="AI879" s="772"/>
    </row>
    <row r="880" ht="15.75" customHeight="1">
      <c r="A880" s="815"/>
      <c r="B880" s="782"/>
      <c r="C880" s="782"/>
      <c r="D880" s="782"/>
      <c r="E880" s="816"/>
      <c r="F880" s="816"/>
      <c r="G880" s="816"/>
      <c r="H880" s="817"/>
      <c r="I880" s="817"/>
      <c r="J880" s="817"/>
      <c r="K880" s="818"/>
      <c r="L880" s="772"/>
      <c r="M880" s="772"/>
      <c r="N880" s="772"/>
      <c r="O880" s="772"/>
      <c r="P880" s="772"/>
      <c r="Q880" s="772"/>
      <c r="R880" s="772"/>
      <c r="S880" s="772"/>
      <c r="T880" s="772"/>
      <c r="U880" s="772"/>
      <c r="V880" s="772"/>
      <c r="W880" s="772"/>
      <c r="X880" s="772"/>
      <c r="Y880" s="772"/>
      <c r="Z880" s="772"/>
      <c r="AA880" s="772"/>
      <c r="AB880" s="772"/>
      <c r="AC880" s="772"/>
      <c r="AD880" s="772"/>
      <c r="AE880" s="772"/>
      <c r="AF880" s="772"/>
      <c r="AG880" s="772"/>
      <c r="AH880" s="772"/>
      <c r="AI880" s="772"/>
    </row>
    <row r="881" ht="15.75" customHeight="1">
      <c r="A881" s="815"/>
      <c r="B881" s="782"/>
      <c r="C881" s="782"/>
      <c r="D881" s="782"/>
      <c r="E881" s="816"/>
      <c r="F881" s="816"/>
      <c r="G881" s="816"/>
      <c r="H881" s="817"/>
      <c r="I881" s="817"/>
      <c r="J881" s="817"/>
      <c r="K881" s="818"/>
      <c r="L881" s="772"/>
      <c r="M881" s="772"/>
      <c r="N881" s="772"/>
      <c r="O881" s="772"/>
      <c r="P881" s="772"/>
      <c r="Q881" s="772"/>
      <c r="R881" s="772"/>
      <c r="S881" s="772"/>
      <c r="T881" s="772"/>
      <c r="U881" s="772"/>
      <c r="V881" s="772"/>
      <c r="W881" s="772"/>
      <c r="X881" s="772"/>
      <c r="Y881" s="772"/>
      <c r="Z881" s="772"/>
      <c r="AA881" s="772"/>
      <c r="AB881" s="772"/>
      <c r="AC881" s="772"/>
      <c r="AD881" s="772"/>
      <c r="AE881" s="772"/>
      <c r="AF881" s="772"/>
      <c r="AG881" s="772"/>
      <c r="AH881" s="772"/>
      <c r="AI881" s="772"/>
    </row>
    <row r="882" ht="15.75" customHeight="1">
      <c r="A882" s="815"/>
      <c r="B882" s="782"/>
      <c r="C882" s="782"/>
      <c r="D882" s="782"/>
      <c r="E882" s="816"/>
      <c r="F882" s="816"/>
      <c r="G882" s="816"/>
      <c r="H882" s="817"/>
      <c r="I882" s="817"/>
      <c r="J882" s="817"/>
      <c r="K882" s="818"/>
      <c r="L882" s="772"/>
      <c r="M882" s="772"/>
      <c r="N882" s="772"/>
      <c r="O882" s="772"/>
      <c r="P882" s="772"/>
      <c r="Q882" s="772"/>
      <c r="R882" s="772"/>
      <c r="S882" s="772"/>
      <c r="T882" s="772"/>
      <c r="U882" s="772"/>
      <c r="V882" s="772"/>
      <c r="W882" s="772"/>
      <c r="X882" s="772"/>
      <c r="Y882" s="772"/>
      <c r="Z882" s="772"/>
      <c r="AA882" s="772"/>
      <c r="AB882" s="772"/>
      <c r="AC882" s="772"/>
      <c r="AD882" s="772"/>
      <c r="AE882" s="772"/>
      <c r="AF882" s="772"/>
      <c r="AG882" s="772"/>
      <c r="AH882" s="772"/>
      <c r="AI882" s="772"/>
    </row>
    <row r="883" ht="15.75" customHeight="1">
      <c r="A883" s="815"/>
      <c r="B883" s="782"/>
      <c r="C883" s="782"/>
      <c r="D883" s="782"/>
      <c r="E883" s="816"/>
      <c r="F883" s="816"/>
      <c r="G883" s="816"/>
      <c r="H883" s="817"/>
      <c r="I883" s="817"/>
      <c r="J883" s="817"/>
      <c r="K883" s="818"/>
      <c r="L883" s="772"/>
      <c r="M883" s="772"/>
      <c r="N883" s="772"/>
      <c r="O883" s="772"/>
      <c r="P883" s="772"/>
      <c r="Q883" s="772"/>
      <c r="R883" s="772"/>
      <c r="S883" s="772"/>
      <c r="T883" s="772"/>
      <c r="U883" s="772"/>
      <c r="V883" s="772"/>
      <c r="W883" s="772"/>
      <c r="X883" s="772"/>
      <c r="Y883" s="772"/>
      <c r="Z883" s="772"/>
      <c r="AA883" s="772"/>
      <c r="AB883" s="772"/>
      <c r="AC883" s="772"/>
      <c r="AD883" s="772"/>
      <c r="AE883" s="772"/>
      <c r="AF883" s="772"/>
      <c r="AG883" s="772"/>
      <c r="AH883" s="772"/>
      <c r="AI883" s="772"/>
    </row>
    <row r="884" ht="15.75" customHeight="1">
      <c r="A884" s="815"/>
      <c r="B884" s="782"/>
      <c r="C884" s="782"/>
      <c r="D884" s="782"/>
      <c r="E884" s="816"/>
      <c r="F884" s="816"/>
      <c r="G884" s="816"/>
      <c r="H884" s="817"/>
      <c r="I884" s="817"/>
      <c r="J884" s="817"/>
      <c r="K884" s="818"/>
      <c r="L884" s="772"/>
      <c r="M884" s="772"/>
      <c r="N884" s="772"/>
      <c r="O884" s="772"/>
      <c r="P884" s="772"/>
      <c r="Q884" s="772"/>
      <c r="R884" s="772"/>
      <c r="S884" s="772"/>
      <c r="T884" s="772"/>
      <c r="U884" s="772"/>
      <c r="V884" s="772"/>
      <c r="W884" s="772"/>
      <c r="X884" s="772"/>
      <c r="Y884" s="772"/>
      <c r="Z884" s="772"/>
      <c r="AA884" s="772"/>
      <c r="AB884" s="772"/>
      <c r="AC884" s="772"/>
      <c r="AD884" s="772"/>
      <c r="AE884" s="772"/>
      <c r="AF884" s="772"/>
      <c r="AG884" s="772"/>
      <c r="AH884" s="772"/>
      <c r="AI884" s="772"/>
    </row>
    <row r="885" ht="15.75" customHeight="1">
      <c r="A885" s="815"/>
      <c r="B885" s="782"/>
      <c r="C885" s="782"/>
      <c r="D885" s="782"/>
      <c r="E885" s="816"/>
      <c r="F885" s="816"/>
      <c r="G885" s="816"/>
      <c r="H885" s="817"/>
      <c r="I885" s="817"/>
      <c r="J885" s="817"/>
      <c r="K885" s="818"/>
      <c r="L885" s="772"/>
      <c r="M885" s="772"/>
      <c r="N885" s="772"/>
      <c r="O885" s="772"/>
      <c r="P885" s="772"/>
      <c r="Q885" s="772"/>
      <c r="R885" s="772"/>
      <c r="S885" s="772"/>
      <c r="T885" s="772"/>
      <c r="U885" s="772"/>
      <c r="V885" s="772"/>
      <c r="W885" s="772"/>
      <c r="X885" s="772"/>
      <c r="Y885" s="772"/>
      <c r="Z885" s="772"/>
      <c r="AA885" s="772"/>
      <c r="AB885" s="772"/>
      <c r="AC885" s="772"/>
      <c r="AD885" s="772"/>
      <c r="AE885" s="772"/>
      <c r="AF885" s="772"/>
      <c r="AG885" s="772"/>
      <c r="AH885" s="772"/>
      <c r="AI885" s="772"/>
    </row>
    <row r="886" ht="15.75" customHeight="1">
      <c r="A886" s="815"/>
      <c r="B886" s="782"/>
      <c r="C886" s="782"/>
      <c r="D886" s="782"/>
      <c r="E886" s="816"/>
      <c r="F886" s="816"/>
      <c r="G886" s="816"/>
      <c r="H886" s="817"/>
      <c r="I886" s="817"/>
      <c r="J886" s="817"/>
      <c r="K886" s="818"/>
      <c r="L886" s="772"/>
      <c r="M886" s="772"/>
      <c r="N886" s="772"/>
      <c r="O886" s="772"/>
      <c r="P886" s="772"/>
      <c r="Q886" s="772"/>
      <c r="R886" s="772"/>
      <c r="S886" s="772"/>
      <c r="T886" s="772"/>
      <c r="U886" s="772"/>
      <c r="V886" s="772"/>
      <c r="W886" s="772"/>
      <c r="X886" s="772"/>
      <c r="Y886" s="772"/>
      <c r="Z886" s="772"/>
      <c r="AA886" s="772"/>
      <c r="AB886" s="772"/>
      <c r="AC886" s="772"/>
      <c r="AD886" s="772"/>
      <c r="AE886" s="772"/>
      <c r="AF886" s="772"/>
      <c r="AG886" s="772"/>
      <c r="AH886" s="772"/>
      <c r="AI886" s="772"/>
    </row>
    <row r="887" ht="15.75" customHeight="1">
      <c r="A887" s="815"/>
      <c r="B887" s="782"/>
      <c r="C887" s="782"/>
      <c r="D887" s="782"/>
      <c r="E887" s="816"/>
      <c r="F887" s="816"/>
      <c r="G887" s="816"/>
      <c r="H887" s="817"/>
      <c r="I887" s="817"/>
      <c r="J887" s="817"/>
      <c r="K887" s="818"/>
      <c r="L887" s="772"/>
      <c r="M887" s="772"/>
      <c r="N887" s="772"/>
      <c r="O887" s="772"/>
      <c r="P887" s="772"/>
      <c r="Q887" s="772"/>
      <c r="R887" s="772"/>
      <c r="S887" s="772"/>
      <c r="T887" s="772"/>
      <c r="U887" s="772"/>
      <c r="V887" s="772"/>
      <c r="W887" s="772"/>
      <c r="X887" s="772"/>
      <c r="Y887" s="772"/>
      <c r="Z887" s="772"/>
      <c r="AA887" s="772"/>
      <c r="AB887" s="772"/>
      <c r="AC887" s="772"/>
      <c r="AD887" s="772"/>
      <c r="AE887" s="772"/>
      <c r="AF887" s="772"/>
      <c r="AG887" s="772"/>
      <c r="AH887" s="772"/>
      <c r="AI887" s="772"/>
    </row>
    <row r="888" ht="15.75" customHeight="1">
      <c r="A888" s="815"/>
      <c r="B888" s="782"/>
      <c r="C888" s="782"/>
      <c r="D888" s="782"/>
      <c r="E888" s="816"/>
      <c r="F888" s="816"/>
      <c r="G888" s="816"/>
      <c r="H888" s="817"/>
      <c r="I888" s="817"/>
      <c r="J888" s="817"/>
      <c r="K888" s="818"/>
      <c r="L888" s="772"/>
      <c r="M888" s="772"/>
      <c r="N888" s="772"/>
      <c r="O888" s="772"/>
      <c r="P888" s="772"/>
      <c r="Q888" s="772"/>
      <c r="R888" s="772"/>
      <c r="S888" s="772"/>
      <c r="T888" s="772"/>
      <c r="U888" s="772"/>
      <c r="V888" s="772"/>
      <c r="W888" s="772"/>
      <c r="X888" s="772"/>
      <c r="Y888" s="772"/>
      <c r="Z888" s="772"/>
      <c r="AA888" s="772"/>
      <c r="AB888" s="772"/>
      <c r="AC888" s="772"/>
      <c r="AD888" s="772"/>
      <c r="AE888" s="772"/>
      <c r="AF888" s="772"/>
      <c r="AG888" s="772"/>
      <c r="AH888" s="772"/>
      <c r="AI888" s="772"/>
    </row>
    <row r="889" ht="15.75" customHeight="1">
      <c r="A889" s="815"/>
      <c r="B889" s="782"/>
      <c r="C889" s="782"/>
      <c r="D889" s="782"/>
      <c r="E889" s="816"/>
      <c r="F889" s="816"/>
      <c r="G889" s="816"/>
      <c r="H889" s="817"/>
      <c r="I889" s="817"/>
      <c r="J889" s="817"/>
      <c r="K889" s="818"/>
      <c r="L889" s="772"/>
      <c r="M889" s="772"/>
      <c r="N889" s="772"/>
      <c r="O889" s="772"/>
      <c r="P889" s="772"/>
      <c r="Q889" s="772"/>
      <c r="R889" s="772"/>
      <c r="S889" s="772"/>
      <c r="T889" s="772"/>
      <c r="U889" s="772"/>
      <c r="V889" s="772"/>
      <c r="W889" s="772"/>
      <c r="X889" s="772"/>
      <c r="Y889" s="772"/>
      <c r="Z889" s="772"/>
      <c r="AA889" s="772"/>
      <c r="AB889" s="772"/>
      <c r="AC889" s="772"/>
      <c r="AD889" s="772"/>
      <c r="AE889" s="772"/>
      <c r="AF889" s="772"/>
      <c r="AG889" s="772"/>
      <c r="AH889" s="772"/>
      <c r="AI889" s="772"/>
    </row>
    <row r="890" ht="15.75" customHeight="1">
      <c r="A890" s="815"/>
      <c r="B890" s="782"/>
      <c r="C890" s="782"/>
      <c r="D890" s="782"/>
      <c r="E890" s="816"/>
      <c r="F890" s="816"/>
      <c r="G890" s="816"/>
      <c r="H890" s="817"/>
      <c r="I890" s="817"/>
      <c r="J890" s="817"/>
      <c r="K890" s="818"/>
      <c r="L890" s="772"/>
      <c r="M890" s="772"/>
      <c r="N890" s="772"/>
      <c r="O890" s="772"/>
      <c r="P890" s="772"/>
      <c r="Q890" s="772"/>
      <c r="R890" s="772"/>
      <c r="S890" s="772"/>
      <c r="T890" s="772"/>
      <c r="U890" s="772"/>
      <c r="V890" s="772"/>
      <c r="W890" s="772"/>
      <c r="X890" s="772"/>
      <c r="Y890" s="772"/>
      <c r="Z890" s="772"/>
      <c r="AA890" s="772"/>
      <c r="AB890" s="772"/>
      <c r="AC890" s="772"/>
      <c r="AD890" s="772"/>
      <c r="AE890" s="772"/>
      <c r="AF890" s="772"/>
      <c r="AG890" s="772"/>
      <c r="AH890" s="772"/>
      <c r="AI890" s="772"/>
    </row>
    <row r="891" ht="15.75" customHeight="1">
      <c r="A891" s="815"/>
      <c r="B891" s="782"/>
      <c r="C891" s="782"/>
      <c r="D891" s="782"/>
      <c r="E891" s="816"/>
      <c r="F891" s="816"/>
      <c r="G891" s="816"/>
      <c r="H891" s="817"/>
      <c r="I891" s="817"/>
      <c r="J891" s="817"/>
      <c r="K891" s="818"/>
      <c r="L891" s="772"/>
      <c r="M891" s="772"/>
      <c r="N891" s="772"/>
      <c r="O891" s="772"/>
      <c r="P891" s="772"/>
      <c r="Q891" s="772"/>
      <c r="R891" s="772"/>
      <c r="S891" s="772"/>
      <c r="T891" s="772"/>
      <c r="U891" s="772"/>
      <c r="V891" s="772"/>
      <c r="W891" s="772"/>
      <c r="X891" s="772"/>
      <c r="Y891" s="772"/>
      <c r="Z891" s="772"/>
      <c r="AA891" s="772"/>
      <c r="AB891" s="772"/>
      <c r="AC891" s="772"/>
      <c r="AD891" s="772"/>
      <c r="AE891" s="772"/>
      <c r="AF891" s="772"/>
      <c r="AG891" s="772"/>
      <c r="AH891" s="772"/>
      <c r="AI891" s="772"/>
    </row>
    <row r="892" ht="15.75" customHeight="1">
      <c r="A892" s="815"/>
      <c r="B892" s="782"/>
      <c r="C892" s="782"/>
      <c r="D892" s="782"/>
      <c r="E892" s="816"/>
      <c r="F892" s="816"/>
      <c r="G892" s="816"/>
      <c r="H892" s="817"/>
      <c r="I892" s="817"/>
      <c r="J892" s="817"/>
      <c r="K892" s="818"/>
      <c r="L892" s="772"/>
      <c r="M892" s="772"/>
      <c r="N892" s="772"/>
      <c r="O892" s="772"/>
      <c r="P892" s="772"/>
      <c r="Q892" s="772"/>
      <c r="R892" s="772"/>
      <c r="S892" s="772"/>
      <c r="T892" s="772"/>
      <c r="U892" s="772"/>
      <c r="V892" s="772"/>
      <c r="W892" s="772"/>
      <c r="X892" s="772"/>
      <c r="Y892" s="772"/>
      <c r="Z892" s="772"/>
      <c r="AA892" s="772"/>
      <c r="AB892" s="772"/>
      <c r="AC892" s="772"/>
      <c r="AD892" s="772"/>
      <c r="AE892" s="772"/>
      <c r="AF892" s="772"/>
      <c r="AG892" s="772"/>
      <c r="AH892" s="772"/>
      <c r="AI892" s="772"/>
    </row>
    <row r="893" ht="15.75" customHeight="1">
      <c r="A893" s="815"/>
      <c r="B893" s="782"/>
      <c r="C893" s="782"/>
      <c r="D893" s="782"/>
      <c r="E893" s="816"/>
      <c r="F893" s="816"/>
      <c r="G893" s="816"/>
      <c r="H893" s="817"/>
      <c r="I893" s="817"/>
      <c r="J893" s="817"/>
      <c r="K893" s="818"/>
      <c r="L893" s="772"/>
      <c r="M893" s="772"/>
      <c r="N893" s="772"/>
      <c r="O893" s="772"/>
      <c r="P893" s="772"/>
      <c r="Q893" s="772"/>
      <c r="R893" s="772"/>
      <c r="S893" s="772"/>
      <c r="T893" s="772"/>
      <c r="U893" s="772"/>
      <c r="V893" s="772"/>
      <c r="W893" s="772"/>
      <c r="X893" s="772"/>
      <c r="Y893" s="772"/>
      <c r="Z893" s="772"/>
      <c r="AA893" s="772"/>
      <c r="AB893" s="772"/>
      <c r="AC893" s="772"/>
      <c r="AD893" s="772"/>
      <c r="AE893" s="772"/>
      <c r="AF893" s="772"/>
      <c r="AG893" s="772"/>
      <c r="AH893" s="772"/>
      <c r="AI893" s="772"/>
    </row>
    <row r="894" ht="15.75" customHeight="1">
      <c r="A894" s="815"/>
      <c r="B894" s="782"/>
      <c r="C894" s="782"/>
      <c r="D894" s="782"/>
      <c r="E894" s="816"/>
      <c r="F894" s="816"/>
      <c r="G894" s="816"/>
      <c r="H894" s="817"/>
      <c r="I894" s="817"/>
      <c r="J894" s="817"/>
      <c r="K894" s="818"/>
      <c r="L894" s="772"/>
      <c r="M894" s="772"/>
      <c r="N894" s="772"/>
      <c r="O894" s="772"/>
      <c r="P894" s="772"/>
      <c r="Q894" s="772"/>
      <c r="R894" s="772"/>
      <c r="S894" s="772"/>
      <c r="T894" s="772"/>
      <c r="U894" s="772"/>
      <c r="V894" s="772"/>
      <c r="W894" s="772"/>
      <c r="X894" s="772"/>
      <c r="Y894" s="772"/>
      <c r="Z894" s="772"/>
      <c r="AA894" s="772"/>
      <c r="AB894" s="772"/>
      <c r="AC894" s="772"/>
      <c r="AD894" s="772"/>
      <c r="AE894" s="772"/>
      <c r="AF894" s="772"/>
      <c r="AG894" s="772"/>
      <c r="AH894" s="772"/>
      <c r="AI894" s="772"/>
    </row>
    <row r="895" ht="15.75" customHeight="1">
      <c r="A895" s="815"/>
      <c r="B895" s="782"/>
      <c r="C895" s="782"/>
      <c r="D895" s="782"/>
      <c r="E895" s="816"/>
      <c r="F895" s="816"/>
      <c r="G895" s="816"/>
      <c r="H895" s="817"/>
      <c r="I895" s="817"/>
      <c r="J895" s="817"/>
      <c r="K895" s="818"/>
      <c r="L895" s="772"/>
      <c r="M895" s="772"/>
      <c r="N895" s="772"/>
      <c r="O895" s="772"/>
      <c r="P895" s="772"/>
      <c r="Q895" s="772"/>
      <c r="R895" s="772"/>
      <c r="S895" s="772"/>
      <c r="T895" s="772"/>
      <c r="U895" s="772"/>
      <c r="V895" s="772"/>
      <c r="W895" s="772"/>
      <c r="X895" s="772"/>
      <c r="Y895" s="772"/>
      <c r="Z895" s="772"/>
      <c r="AA895" s="772"/>
      <c r="AB895" s="772"/>
      <c r="AC895" s="772"/>
      <c r="AD895" s="772"/>
      <c r="AE895" s="772"/>
      <c r="AF895" s="772"/>
      <c r="AG895" s="772"/>
      <c r="AH895" s="772"/>
      <c r="AI895" s="772"/>
    </row>
    <row r="896" ht="15.75" customHeight="1">
      <c r="A896" s="815"/>
      <c r="B896" s="782"/>
      <c r="C896" s="782"/>
      <c r="D896" s="782"/>
      <c r="E896" s="816"/>
      <c r="F896" s="816"/>
      <c r="G896" s="816"/>
      <c r="H896" s="817"/>
      <c r="I896" s="817"/>
      <c r="J896" s="817"/>
      <c r="K896" s="818"/>
      <c r="L896" s="772"/>
      <c r="M896" s="772"/>
      <c r="N896" s="772"/>
      <c r="O896" s="772"/>
      <c r="P896" s="772"/>
      <c r="Q896" s="772"/>
      <c r="R896" s="772"/>
      <c r="S896" s="772"/>
      <c r="T896" s="772"/>
      <c r="U896" s="772"/>
      <c r="V896" s="772"/>
      <c r="W896" s="772"/>
      <c r="X896" s="772"/>
      <c r="Y896" s="772"/>
      <c r="Z896" s="772"/>
      <c r="AA896" s="772"/>
      <c r="AB896" s="772"/>
      <c r="AC896" s="772"/>
      <c r="AD896" s="772"/>
      <c r="AE896" s="772"/>
      <c r="AF896" s="772"/>
      <c r="AG896" s="772"/>
      <c r="AH896" s="772"/>
      <c r="AI896" s="772"/>
    </row>
    <row r="897" ht="15.75" customHeight="1">
      <c r="A897" s="815"/>
      <c r="B897" s="782"/>
      <c r="C897" s="782"/>
      <c r="D897" s="782"/>
      <c r="E897" s="816"/>
      <c r="F897" s="816"/>
      <c r="G897" s="816"/>
      <c r="H897" s="817"/>
      <c r="I897" s="817"/>
      <c r="J897" s="817"/>
      <c r="K897" s="818"/>
      <c r="L897" s="772"/>
      <c r="M897" s="772"/>
      <c r="N897" s="772"/>
      <c r="O897" s="772"/>
      <c r="P897" s="772"/>
      <c r="Q897" s="772"/>
      <c r="R897" s="772"/>
      <c r="S897" s="772"/>
      <c r="T897" s="772"/>
      <c r="U897" s="772"/>
      <c r="V897" s="772"/>
      <c r="W897" s="772"/>
      <c r="X897" s="772"/>
      <c r="Y897" s="772"/>
      <c r="Z897" s="772"/>
      <c r="AA897" s="772"/>
      <c r="AB897" s="772"/>
      <c r="AC897" s="772"/>
      <c r="AD897" s="772"/>
      <c r="AE897" s="772"/>
      <c r="AF897" s="772"/>
      <c r="AG897" s="772"/>
      <c r="AH897" s="772"/>
      <c r="AI897" s="772"/>
    </row>
    <row r="898" ht="15.75" customHeight="1">
      <c r="A898" s="815"/>
      <c r="B898" s="782"/>
      <c r="C898" s="782"/>
      <c r="D898" s="782"/>
      <c r="E898" s="816"/>
      <c r="F898" s="816"/>
      <c r="G898" s="816"/>
      <c r="H898" s="817"/>
      <c r="I898" s="817"/>
      <c r="J898" s="817"/>
      <c r="K898" s="818"/>
      <c r="L898" s="772"/>
      <c r="M898" s="772"/>
      <c r="N898" s="772"/>
      <c r="O898" s="772"/>
      <c r="P898" s="772"/>
      <c r="Q898" s="772"/>
      <c r="R898" s="772"/>
      <c r="S898" s="772"/>
      <c r="T898" s="772"/>
      <c r="U898" s="772"/>
      <c r="V898" s="772"/>
      <c r="W898" s="772"/>
      <c r="X898" s="772"/>
      <c r="Y898" s="772"/>
      <c r="Z898" s="772"/>
      <c r="AA898" s="772"/>
      <c r="AB898" s="772"/>
      <c r="AC898" s="772"/>
      <c r="AD898" s="772"/>
      <c r="AE898" s="772"/>
      <c r="AF898" s="772"/>
      <c r="AG898" s="772"/>
      <c r="AH898" s="772"/>
      <c r="AI898" s="772"/>
    </row>
    <row r="899" ht="15.75" customHeight="1">
      <c r="A899" s="815"/>
      <c r="B899" s="782"/>
      <c r="C899" s="782"/>
      <c r="D899" s="782"/>
      <c r="E899" s="816"/>
      <c r="F899" s="816"/>
      <c r="G899" s="816"/>
      <c r="H899" s="817"/>
      <c r="I899" s="817"/>
      <c r="J899" s="817"/>
      <c r="K899" s="818"/>
      <c r="L899" s="772"/>
      <c r="M899" s="772"/>
      <c r="N899" s="772"/>
      <c r="O899" s="772"/>
      <c r="P899" s="772"/>
      <c r="Q899" s="772"/>
      <c r="R899" s="772"/>
      <c r="S899" s="772"/>
      <c r="T899" s="772"/>
      <c r="U899" s="772"/>
      <c r="V899" s="772"/>
      <c r="W899" s="772"/>
      <c r="X899" s="772"/>
      <c r="Y899" s="772"/>
      <c r="Z899" s="772"/>
      <c r="AA899" s="772"/>
      <c r="AB899" s="772"/>
      <c r="AC899" s="772"/>
      <c r="AD899" s="772"/>
      <c r="AE899" s="772"/>
      <c r="AF899" s="772"/>
      <c r="AG899" s="772"/>
      <c r="AH899" s="772"/>
      <c r="AI899" s="772"/>
    </row>
    <row r="900" ht="15.75" customHeight="1">
      <c r="A900" s="815"/>
      <c r="B900" s="782"/>
      <c r="C900" s="782"/>
      <c r="D900" s="782"/>
      <c r="E900" s="816"/>
      <c r="F900" s="816"/>
      <c r="G900" s="816"/>
      <c r="H900" s="817"/>
      <c r="I900" s="817"/>
      <c r="J900" s="817"/>
      <c r="K900" s="818"/>
      <c r="L900" s="772"/>
      <c r="M900" s="772"/>
      <c r="N900" s="772"/>
      <c r="O900" s="772"/>
      <c r="P900" s="772"/>
      <c r="Q900" s="772"/>
      <c r="R900" s="772"/>
      <c r="S900" s="772"/>
      <c r="T900" s="772"/>
      <c r="U900" s="772"/>
      <c r="V900" s="772"/>
      <c r="W900" s="772"/>
      <c r="X900" s="772"/>
      <c r="Y900" s="772"/>
      <c r="Z900" s="772"/>
      <c r="AA900" s="772"/>
      <c r="AB900" s="772"/>
      <c r="AC900" s="772"/>
      <c r="AD900" s="772"/>
      <c r="AE900" s="772"/>
      <c r="AF900" s="772"/>
      <c r="AG900" s="772"/>
      <c r="AH900" s="772"/>
      <c r="AI900" s="772"/>
    </row>
    <row r="901" ht="15.75" customHeight="1">
      <c r="A901" s="815"/>
      <c r="B901" s="782"/>
      <c r="C901" s="782"/>
      <c r="D901" s="782"/>
      <c r="E901" s="816"/>
      <c r="F901" s="816"/>
      <c r="G901" s="816"/>
      <c r="H901" s="817"/>
      <c r="I901" s="817"/>
      <c r="J901" s="817"/>
      <c r="K901" s="818"/>
      <c r="L901" s="772"/>
      <c r="M901" s="772"/>
      <c r="N901" s="772"/>
      <c r="O901" s="772"/>
      <c r="P901" s="772"/>
      <c r="Q901" s="772"/>
      <c r="R901" s="772"/>
      <c r="S901" s="772"/>
      <c r="T901" s="772"/>
      <c r="U901" s="772"/>
      <c r="V901" s="772"/>
      <c r="W901" s="772"/>
      <c r="X901" s="772"/>
      <c r="Y901" s="772"/>
      <c r="Z901" s="772"/>
      <c r="AA901" s="772"/>
      <c r="AB901" s="772"/>
      <c r="AC901" s="772"/>
      <c r="AD901" s="772"/>
      <c r="AE901" s="772"/>
      <c r="AF901" s="772"/>
      <c r="AG901" s="772"/>
      <c r="AH901" s="772"/>
      <c r="AI901" s="772"/>
    </row>
    <row r="902" ht="15.75" customHeight="1">
      <c r="A902" s="815"/>
      <c r="B902" s="782"/>
      <c r="C902" s="782"/>
      <c r="D902" s="782"/>
      <c r="E902" s="816"/>
      <c r="F902" s="816"/>
      <c r="G902" s="816"/>
      <c r="H902" s="817"/>
      <c r="I902" s="817"/>
      <c r="J902" s="817"/>
      <c r="K902" s="818"/>
      <c r="L902" s="772"/>
      <c r="M902" s="772"/>
      <c r="N902" s="772"/>
      <c r="O902" s="772"/>
      <c r="P902" s="772"/>
      <c r="Q902" s="772"/>
      <c r="R902" s="772"/>
      <c r="S902" s="772"/>
      <c r="T902" s="772"/>
      <c r="U902" s="772"/>
      <c r="V902" s="772"/>
      <c r="W902" s="772"/>
      <c r="X902" s="772"/>
      <c r="Y902" s="772"/>
      <c r="Z902" s="772"/>
      <c r="AA902" s="772"/>
      <c r="AB902" s="772"/>
      <c r="AC902" s="772"/>
      <c r="AD902" s="772"/>
      <c r="AE902" s="772"/>
      <c r="AF902" s="772"/>
      <c r="AG902" s="772"/>
      <c r="AH902" s="772"/>
      <c r="AI902" s="772"/>
    </row>
    <row r="903" ht="15.75" customHeight="1">
      <c r="A903" s="815"/>
      <c r="B903" s="782"/>
      <c r="C903" s="782"/>
      <c r="D903" s="782"/>
      <c r="E903" s="816"/>
      <c r="F903" s="816"/>
      <c r="G903" s="816"/>
      <c r="H903" s="817"/>
      <c r="I903" s="817"/>
      <c r="J903" s="817"/>
      <c r="K903" s="818"/>
      <c r="L903" s="772"/>
      <c r="M903" s="772"/>
      <c r="N903" s="772"/>
      <c r="O903" s="772"/>
      <c r="P903" s="772"/>
      <c r="Q903" s="772"/>
      <c r="R903" s="772"/>
      <c r="S903" s="772"/>
      <c r="T903" s="772"/>
      <c r="U903" s="772"/>
      <c r="V903" s="772"/>
      <c r="W903" s="772"/>
      <c r="X903" s="772"/>
      <c r="Y903" s="772"/>
      <c r="Z903" s="772"/>
      <c r="AA903" s="772"/>
      <c r="AB903" s="772"/>
      <c r="AC903" s="772"/>
      <c r="AD903" s="772"/>
      <c r="AE903" s="772"/>
      <c r="AF903" s="772"/>
      <c r="AG903" s="772"/>
      <c r="AH903" s="772"/>
      <c r="AI903" s="772"/>
    </row>
    <row r="904" ht="15.75" customHeight="1">
      <c r="A904" s="815"/>
      <c r="B904" s="782"/>
      <c r="C904" s="782"/>
      <c r="D904" s="782"/>
      <c r="E904" s="816"/>
      <c r="F904" s="816"/>
      <c r="G904" s="816"/>
      <c r="H904" s="817"/>
      <c r="I904" s="817"/>
      <c r="J904" s="817"/>
      <c r="K904" s="818"/>
      <c r="L904" s="772"/>
      <c r="M904" s="772"/>
      <c r="N904" s="772"/>
      <c r="O904" s="772"/>
      <c r="P904" s="772"/>
      <c r="Q904" s="772"/>
      <c r="R904" s="772"/>
      <c r="S904" s="772"/>
      <c r="T904" s="772"/>
      <c r="U904" s="772"/>
      <c r="V904" s="772"/>
      <c r="W904" s="772"/>
      <c r="X904" s="772"/>
      <c r="Y904" s="772"/>
      <c r="Z904" s="772"/>
      <c r="AA904" s="772"/>
      <c r="AB904" s="772"/>
      <c r="AC904" s="772"/>
      <c r="AD904" s="772"/>
      <c r="AE904" s="772"/>
      <c r="AF904" s="772"/>
      <c r="AG904" s="772"/>
      <c r="AH904" s="772"/>
      <c r="AI904" s="772"/>
    </row>
    <row r="905" ht="15.75" customHeight="1">
      <c r="A905" s="815"/>
      <c r="B905" s="782"/>
      <c r="C905" s="782"/>
      <c r="D905" s="782"/>
      <c r="E905" s="816"/>
      <c r="F905" s="816"/>
      <c r="G905" s="816"/>
      <c r="H905" s="817"/>
      <c r="I905" s="817"/>
      <c r="J905" s="817"/>
      <c r="K905" s="818"/>
      <c r="L905" s="772"/>
      <c r="M905" s="772"/>
      <c r="N905" s="772"/>
      <c r="O905" s="772"/>
      <c r="P905" s="772"/>
      <c r="Q905" s="772"/>
      <c r="R905" s="772"/>
      <c r="S905" s="772"/>
      <c r="T905" s="772"/>
      <c r="U905" s="772"/>
      <c r="V905" s="772"/>
      <c r="W905" s="772"/>
      <c r="X905" s="772"/>
      <c r="Y905" s="772"/>
      <c r="Z905" s="772"/>
      <c r="AA905" s="772"/>
      <c r="AB905" s="772"/>
      <c r="AC905" s="772"/>
      <c r="AD905" s="772"/>
      <c r="AE905" s="772"/>
      <c r="AF905" s="772"/>
      <c r="AG905" s="772"/>
      <c r="AH905" s="772"/>
      <c r="AI905" s="772"/>
    </row>
    <row r="906" ht="15.75" customHeight="1">
      <c r="A906" s="815"/>
      <c r="B906" s="782"/>
      <c r="C906" s="782"/>
      <c r="D906" s="782"/>
      <c r="E906" s="816"/>
      <c r="F906" s="816"/>
      <c r="G906" s="816"/>
      <c r="H906" s="817"/>
      <c r="I906" s="817"/>
      <c r="J906" s="817"/>
      <c r="K906" s="818"/>
      <c r="L906" s="772"/>
      <c r="M906" s="772"/>
      <c r="N906" s="772"/>
      <c r="O906" s="772"/>
      <c r="P906" s="772"/>
      <c r="Q906" s="772"/>
      <c r="R906" s="772"/>
      <c r="S906" s="772"/>
      <c r="T906" s="772"/>
      <c r="U906" s="772"/>
      <c r="V906" s="772"/>
      <c r="W906" s="772"/>
      <c r="X906" s="772"/>
      <c r="Y906" s="772"/>
      <c r="Z906" s="772"/>
      <c r="AA906" s="772"/>
      <c r="AB906" s="772"/>
      <c r="AC906" s="772"/>
      <c r="AD906" s="772"/>
      <c r="AE906" s="772"/>
      <c r="AF906" s="772"/>
      <c r="AG906" s="772"/>
      <c r="AH906" s="772"/>
      <c r="AI906" s="772"/>
    </row>
    <row r="907" ht="15.75" customHeight="1">
      <c r="A907" s="815"/>
      <c r="B907" s="782"/>
      <c r="C907" s="782"/>
      <c r="D907" s="782"/>
      <c r="E907" s="816"/>
      <c r="F907" s="816"/>
      <c r="G907" s="816"/>
      <c r="H907" s="817"/>
      <c r="I907" s="817"/>
      <c r="J907" s="817"/>
      <c r="K907" s="818"/>
      <c r="L907" s="772"/>
      <c r="M907" s="772"/>
      <c r="N907" s="772"/>
      <c r="O907" s="772"/>
      <c r="P907" s="772"/>
      <c r="Q907" s="772"/>
      <c r="R907" s="772"/>
      <c r="S907" s="772"/>
      <c r="T907" s="772"/>
      <c r="U907" s="772"/>
      <c r="V907" s="772"/>
      <c r="W907" s="772"/>
      <c r="X907" s="772"/>
      <c r="Y907" s="772"/>
      <c r="Z907" s="772"/>
      <c r="AA907" s="772"/>
      <c r="AB907" s="772"/>
      <c r="AC907" s="772"/>
      <c r="AD907" s="772"/>
      <c r="AE907" s="772"/>
      <c r="AF907" s="772"/>
      <c r="AG907" s="772"/>
      <c r="AH907" s="772"/>
      <c r="AI907" s="772"/>
    </row>
    <row r="908" ht="15.75" customHeight="1">
      <c r="A908" s="815"/>
      <c r="B908" s="782"/>
      <c r="C908" s="782"/>
      <c r="D908" s="782"/>
      <c r="E908" s="816"/>
      <c r="F908" s="816"/>
      <c r="G908" s="816"/>
      <c r="H908" s="817"/>
      <c r="I908" s="817"/>
      <c r="J908" s="817"/>
      <c r="K908" s="818"/>
      <c r="L908" s="772"/>
      <c r="M908" s="772"/>
      <c r="N908" s="772"/>
      <c r="O908" s="772"/>
      <c r="P908" s="772"/>
      <c r="Q908" s="772"/>
      <c r="R908" s="772"/>
      <c r="S908" s="772"/>
      <c r="T908" s="772"/>
      <c r="U908" s="772"/>
      <c r="V908" s="772"/>
      <c r="W908" s="772"/>
      <c r="X908" s="772"/>
      <c r="Y908" s="772"/>
      <c r="Z908" s="772"/>
      <c r="AA908" s="772"/>
      <c r="AB908" s="772"/>
      <c r="AC908" s="772"/>
      <c r="AD908" s="772"/>
      <c r="AE908" s="772"/>
      <c r="AF908" s="772"/>
      <c r="AG908" s="772"/>
      <c r="AH908" s="772"/>
      <c r="AI908" s="772"/>
    </row>
    <row r="909" ht="15.75" customHeight="1">
      <c r="A909" s="815"/>
      <c r="B909" s="782"/>
      <c r="C909" s="782"/>
      <c r="D909" s="782"/>
      <c r="E909" s="816"/>
      <c r="F909" s="816"/>
      <c r="G909" s="816"/>
      <c r="H909" s="817"/>
      <c r="I909" s="817"/>
      <c r="J909" s="817"/>
      <c r="K909" s="818"/>
      <c r="L909" s="772"/>
      <c r="M909" s="772"/>
      <c r="N909" s="772"/>
      <c r="O909" s="772"/>
      <c r="P909" s="772"/>
      <c r="Q909" s="772"/>
      <c r="R909" s="772"/>
      <c r="S909" s="772"/>
      <c r="T909" s="772"/>
      <c r="U909" s="772"/>
      <c r="V909" s="772"/>
      <c r="W909" s="772"/>
      <c r="X909" s="772"/>
      <c r="Y909" s="772"/>
      <c r="Z909" s="772"/>
      <c r="AA909" s="772"/>
      <c r="AB909" s="772"/>
      <c r="AC909" s="772"/>
      <c r="AD909" s="772"/>
      <c r="AE909" s="772"/>
      <c r="AF909" s="772"/>
      <c r="AG909" s="772"/>
      <c r="AH909" s="772"/>
      <c r="AI909" s="772"/>
    </row>
    <row r="910" ht="15.75" customHeight="1">
      <c r="A910" s="815"/>
      <c r="B910" s="782"/>
      <c r="C910" s="782"/>
      <c r="D910" s="782"/>
      <c r="E910" s="816"/>
      <c r="F910" s="816"/>
      <c r="G910" s="816"/>
      <c r="H910" s="817"/>
      <c r="I910" s="817"/>
      <c r="J910" s="817"/>
      <c r="K910" s="818"/>
      <c r="L910" s="772"/>
      <c r="M910" s="772"/>
      <c r="N910" s="772"/>
      <c r="O910" s="772"/>
      <c r="P910" s="772"/>
      <c r="Q910" s="772"/>
      <c r="R910" s="772"/>
      <c r="S910" s="772"/>
      <c r="T910" s="772"/>
      <c r="U910" s="772"/>
      <c r="V910" s="772"/>
      <c r="W910" s="772"/>
      <c r="X910" s="772"/>
      <c r="Y910" s="772"/>
      <c r="Z910" s="772"/>
      <c r="AA910" s="772"/>
      <c r="AB910" s="772"/>
      <c r="AC910" s="772"/>
      <c r="AD910" s="772"/>
      <c r="AE910" s="772"/>
      <c r="AF910" s="772"/>
      <c r="AG910" s="772"/>
      <c r="AH910" s="772"/>
      <c r="AI910" s="772"/>
    </row>
    <row r="911" ht="15.75" customHeight="1">
      <c r="A911" s="815"/>
      <c r="B911" s="782"/>
      <c r="C911" s="782"/>
      <c r="D911" s="782"/>
      <c r="E911" s="816"/>
      <c r="F911" s="816"/>
      <c r="G911" s="816"/>
      <c r="H911" s="817"/>
      <c r="I911" s="817"/>
      <c r="J911" s="817"/>
      <c r="K911" s="818"/>
      <c r="L911" s="772"/>
      <c r="M911" s="772"/>
      <c r="N911" s="772"/>
      <c r="O911" s="772"/>
      <c r="P911" s="772"/>
      <c r="Q911" s="772"/>
      <c r="R911" s="772"/>
      <c r="S911" s="772"/>
      <c r="T911" s="772"/>
      <c r="U911" s="772"/>
      <c r="V911" s="772"/>
      <c r="W911" s="772"/>
      <c r="X911" s="772"/>
      <c r="Y911" s="772"/>
      <c r="Z911" s="772"/>
      <c r="AA911" s="772"/>
      <c r="AB911" s="772"/>
      <c r="AC911" s="772"/>
      <c r="AD911" s="772"/>
      <c r="AE911" s="772"/>
      <c r="AF911" s="772"/>
      <c r="AG911" s="772"/>
      <c r="AH911" s="772"/>
      <c r="AI911" s="772"/>
    </row>
    <row r="912" ht="15.75" customHeight="1">
      <c r="A912" s="815"/>
      <c r="B912" s="782"/>
      <c r="C912" s="782"/>
      <c r="D912" s="782"/>
      <c r="E912" s="816"/>
      <c r="F912" s="816"/>
      <c r="G912" s="816"/>
      <c r="H912" s="817"/>
      <c r="I912" s="817"/>
      <c r="J912" s="817"/>
      <c r="K912" s="818"/>
      <c r="L912" s="772"/>
      <c r="M912" s="772"/>
      <c r="N912" s="772"/>
      <c r="O912" s="772"/>
      <c r="P912" s="772"/>
      <c r="Q912" s="772"/>
      <c r="R912" s="772"/>
      <c r="S912" s="772"/>
      <c r="T912" s="772"/>
      <c r="U912" s="772"/>
      <c r="V912" s="772"/>
      <c r="W912" s="772"/>
      <c r="X912" s="772"/>
      <c r="Y912" s="772"/>
      <c r="Z912" s="772"/>
      <c r="AA912" s="772"/>
      <c r="AB912" s="772"/>
      <c r="AC912" s="772"/>
      <c r="AD912" s="772"/>
      <c r="AE912" s="772"/>
      <c r="AF912" s="772"/>
      <c r="AG912" s="772"/>
      <c r="AH912" s="772"/>
      <c r="AI912" s="772"/>
    </row>
    <row r="913" ht="15.75" customHeight="1">
      <c r="A913" s="815"/>
      <c r="B913" s="782"/>
      <c r="C913" s="782"/>
      <c r="D913" s="782"/>
      <c r="E913" s="816"/>
      <c r="F913" s="816"/>
      <c r="G913" s="816"/>
      <c r="H913" s="817"/>
      <c r="I913" s="817"/>
      <c r="J913" s="817"/>
      <c r="K913" s="818"/>
      <c r="L913" s="772"/>
      <c r="M913" s="772"/>
      <c r="N913" s="772"/>
      <c r="O913" s="772"/>
      <c r="P913" s="772"/>
      <c r="Q913" s="772"/>
      <c r="R913" s="772"/>
      <c r="S913" s="772"/>
      <c r="T913" s="772"/>
      <c r="U913" s="772"/>
      <c r="V913" s="772"/>
      <c r="W913" s="772"/>
      <c r="X913" s="772"/>
      <c r="Y913" s="772"/>
      <c r="Z913" s="772"/>
      <c r="AA913" s="772"/>
      <c r="AB913" s="772"/>
      <c r="AC913" s="772"/>
      <c r="AD913" s="772"/>
      <c r="AE913" s="772"/>
      <c r="AF913" s="772"/>
      <c r="AG913" s="772"/>
      <c r="AH913" s="772"/>
      <c r="AI913" s="772"/>
    </row>
    <row r="914" ht="15.75" customHeight="1">
      <c r="A914" s="815"/>
      <c r="B914" s="782"/>
      <c r="C914" s="782"/>
      <c r="D914" s="782"/>
      <c r="E914" s="816"/>
      <c r="F914" s="816"/>
      <c r="G914" s="816"/>
      <c r="H914" s="817"/>
      <c r="I914" s="817"/>
      <c r="J914" s="817"/>
      <c r="K914" s="818"/>
      <c r="L914" s="772"/>
      <c r="M914" s="772"/>
      <c r="N914" s="772"/>
      <c r="O914" s="772"/>
      <c r="P914" s="772"/>
      <c r="Q914" s="772"/>
      <c r="R914" s="772"/>
      <c r="S914" s="772"/>
      <c r="T914" s="772"/>
      <c r="U914" s="772"/>
      <c r="V914" s="772"/>
      <c r="W914" s="772"/>
      <c r="X914" s="772"/>
      <c r="Y914" s="772"/>
      <c r="Z914" s="772"/>
      <c r="AA914" s="772"/>
      <c r="AB914" s="772"/>
      <c r="AC914" s="772"/>
      <c r="AD914" s="772"/>
      <c r="AE914" s="772"/>
      <c r="AF914" s="772"/>
      <c r="AG914" s="772"/>
      <c r="AH914" s="772"/>
      <c r="AI914" s="772"/>
    </row>
    <row r="915" ht="15.75" customHeight="1">
      <c r="A915" s="815"/>
      <c r="B915" s="782"/>
      <c r="C915" s="782"/>
      <c r="D915" s="782"/>
      <c r="E915" s="816"/>
      <c r="F915" s="816"/>
      <c r="G915" s="816"/>
      <c r="H915" s="817"/>
      <c r="I915" s="817"/>
      <c r="J915" s="817"/>
      <c r="K915" s="818"/>
      <c r="L915" s="772"/>
      <c r="M915" s="772"/>
      <c r="N915" s="772"/>
      <c r="O915" s="772"/>
      <c r="P915" s="772"/>
      <c r="Q915" s="772"/>
      <c r="R915" s="772"/>
      <c r="S915" s="772"/>
      <c r="T915" s="772"/>
      <c r="U915" s="772"/>
      <c r="V915" s="772"/>
      <c r="W915" s="772"/>
      <c r="X915" s="772"/>
      <c r="Y915" s="772"/>
      <c r="Z915" s="772"/>
      <c r="AA915" s="772"/>
      <c r="AB915" s="772"/>
      <c r="AC915" s="772"/>
      <c r="AD915" s="772"/>
      <c r="AE915" s="772"/>
      <c r="AF915" s="772"/>
      <c r="AG915" s="772"/>
      <c r="AH915" s="772"/>
      <c r="AI915" s="772"/>
    </row>
    <row r="916" ht="15.75" customHeight="1">
      <c r="A916" s="815"/>
      <c r="B916" s="782"/>
      <c r="C916" s="782"/>
      <c r="D916" s="782"/>
      <c r="E916" s="816"/>
      <c r="F916" s="816"/>
      <c r="G916" s="816"/>
      <c r="H916" s="817"/>
      <c r="I916" s="817"/>
      <c r="J916" s="817"/>
      <c r="K916" s="818"/>
      <c r="L916" s="772"/>
      <c r="M916" s="772"/>
      <c r="N916" s="772"/>
      <c r="O916" s="772"/>
      <c r="P916" s="772"/>
      <c r="Q916" s="772"/>
      <c r="R916" s="772"/>
      <c r="S916" s="772"/>
      <c r="T916" s="772"/>
      <c r="U916" s="772"/>
      <c r="V916" s="772"/>
      <c r="W916" s="772"/>
      <c r="X916" s="772"/>
      <c r="Y916" s="772"/>
      <c r="Z916" s="772"/>
      <c r="AA916" s="772"/>
      <c r="AB916" s="772"/>
      <c r="AC916" s="772"/>
      <c r="AD916" s="772"/>
      <c r="AE916" s="772"/>
      <c r="AF916" s="772"/>
      <c r="AG916" s="772"/>
      <c r="AH916" s="772"/>
      <c r="AI916" s="772"/>
    </row>
    <row r="917" ht="15.75" customHeight="1">
      <c r="A917" s="815"/>
      <c r="B917" s="782"/>
      <c r="C917" s="782"/>
      <c r="D917" s="782"/>
      <c r="E917" s="816"/>
      <c r="F917" s="816"/>
      <c r="G917" s="816"/>
      <c r="H917" s="817"/>
      <c r="I917" s="817"/>
      <c r="J917" s="817"/>
      <c r="K917" s="818"/>
      <c r="L917" s="772"/>
      <c r="M917" s="772"/>
      <c r="N917" s="772"/>
      <c r="O917" s="772"/>
      <c r="P917" s="772"/>
      <c r="Q917" s="772"/>
      <c r="R917" s="772"/>
      <c r="S917" s="772"/>
      <c r="T917" s="772"/>
      <c r="U917" s="772"/>
      <c r="V917" s="772"/>
      <c r="W917" s="772"/>
      <c r="X917" s="772"/>
      <c r="Y917" s="772"/>
      <c r="Z917" s="772"/>
      <c r="AA917" s="772"/>
      <c r="AB917" s="772"/>
      <c r="AC917" s="772"/>
      <c r="AD917" s="772"/>
      <c r="AE917" s="772"/>
      <c r="AF917" s="772"/>
      <c r="AG917" s="772"/>
      <c r="AH917" s="772"/>
      <c r="AI917" s="772"/>
    </row>
    <row r="918" ht="15.75" customHeight="1">
      <c r="A918" s="815"/>
      <c r="B918" s="782"/>
      <c r="C918" s="782"/>
      <c r="D918" s="782"/>
      <c r="E918" s="816"/>
      <c r="F918" s="816"/>
      <c r="G918" s="816"/>
      <c r="H918" s="817"/>
      <c r="I918" s="817"/>
      <c r="J918" s="817"/>
      <c r="K918" s="818"/>
      <c r="L918" s="772"/>
      <c r="M918" s="772"/>
      <c r="N918" s="772"/>
      <c r="O918" s="772"/>
      <c r="P918" s="772"/>
      <c r="Q918" s="772"/>
      <c r="R918" s="772"/>
      <c r="S918" s="772"/>
      <c r="T918" s="772"/>
      <c r="U918" s="772"/>
      <c r="V918" s="772"/>
      <c r="W918" s="772"/>
      <c r="X918" s="772"/>
      <c r="Y918" s="772"/>
      <c r="Z918" s="772"/>
      <c r="AA918" s="772"/>
      <c r="AB918" s="772"/>
      <c r="AC918" s="772"/>
      <c r="AD918" s="772"/>
      <c r="AE918" s="772"/>
      <c r="AF918" s="772"/>
      <c r="AG918" s="772"/>
      <c r="AH918" s="772"/>
      <c r="AI918" s="772"/>
    </row>
    <row r="919" ht="15.75" customHeight="1">
      <c r="A919" s="815"/>
      <c r="B919" s="782"/>
      <c r="C919" s="782"/>
      <c r="D919" s="782"/>
      <c r="E919" s="816"/>
      <c r="F919" s="816"/>
      <c r="G919" s="816"/>
      <c r="H919" s="817"/>
      <c r="I919" s="817"/>
      <c r="J919" s="817"/>
      <c r="K919" s="818"/>
      <c r="L919" s="772"/>
      <c r="M919" s="772"/>
      <c r="N919" s="772"/>
      <c r="O919" s="772"/>
      <c r="P919" s="772"/>
      <c r="Q919" s="772"/>
      <c r="R919" s="772"/>
      <c r="S919" s="772"/>
      <c r="T919" s="772"/>
      <c r="U919" s="772"/>
      <c r="V919" s="772"/>
      <c r="W919" s="772"/>
      <c r="X919" s="772"/>
      <c r="Y919" s="772"/>
      <c r="Z919" s="772"/>
      <c r="AA919" s="772"/>
      <c r="AB919" s="772"/>
      <c r="AC919" s="772"/>
      <c r="AD919" s="772"/>
      <c r="AE919" s="772"/>
      <c r="AF919" s="772"/>
      <c r="AG919" s="772"/>
      <c r="AH919" s="772"/>
      <c r="AI919" s="772"/>
    </row>
    <row r="920" ht="15.75" customHeight="1">
      <c r="A920" s="815"/>
      <c r="B920" s="782"/>
      <c r="C920" s="782"/>
      <c r="D920" s="782"/>
      <c r="E920" s="816"/>
      <c r="F920" s="816"/>
      <c r="G920" s="816"/>
      <c r="H920" s="817"/>
      <c r="I920" s="817"/>
      <c r="J920" s="817"/>
      <c r="K920" s="818"/>
      <c r="L920" s="772"/>
      <c r="M920" s="772"/>
      <c r="N920" s="772"/>
      <c r="O920" s="772"/>
      <c r="P920" s="772"/>
      <c r="Q920" s="772"/>
      <c r="R920" s="772"/>
      <c r="S920" s="772"/>
      <c r="T920" s="772"/>
      <c r="U920" s="772"/>
      <c r="V920" s="772"/>
      <c r="W920" s="772"/>
      <c r="X920" s="772"/>
      <c r="Y920" s="772"/>
      <c r="Z920" s="772"/>
      <c r="AA920" s="772"/>
      <c r="AB920" s="772"/>
      <c r="AC920" s="772"/>
      <c r="AD920" s="772"/>
      <c r="AE920" s="772"/>
      <c r="AF920" s="772"/>
      <c r="AG920" s="772"/>
      <c r="AH920" s="772"/>
      <c r="AI920" s="772"/>
    </row>
    <row r="921" ht="15.75" customHeight="1">
      <c r="A921" s="815"/>
      <c r="B921" s="782"/>
      <c r="C921" s="782"/>
      <c r="D921" s="782"/>
      <c r="E921" s="816"/>
      <c r="F921" s="816"/>
      <c r="G921" s="816"/>
      <c r="H921" s="817"/>
      <c r="I921" s="817"/>
      <c r="J921" s="817"/>
      <c r="K921" s="818"/>
      <c r="L921" s="772"/>
      <c r="M921" s="772"/>
      <c r="N921" s="772"/>
      <c r="O921" s="772"/>
      <c r="P921" s="772"/>
      <c r="Q921" s="772"/>
      <c r="R921" s="772"/>
      <c r="S921" s="772"/>
      <c r="T921" s="772"/>
      <c r="U921" s="772"/>
      <c r="V921" s="772"/>
      <c r="W921" s="772"/>
      <c r="X921" s="772"/>
      <c r="Y921" s="772"/>
      <c r="Z921" s="772"/>
      <c r="AA921" s="772"/>
      <c r="AB921" s="772"/>
      <c r="AC921" s="772"/>
      <c r="AD921" s="772"/>
      <c r="AE921" s="772"/>
      <c r="AF921" s="772"/>
      <c r="AG921" s="772"/>
      <c r="AH921" s="772"/>
      <c r="AI921" s="772"/>
    </row>
    <row r="922" ht="15.75" customHeight="1">
      <c r="A922" s="815"/>
      <c r="B922" s="782"/>
      <c r="C922" s="782"/>
      <c r="D922" s="782"/>
      <c r="E922" s="816"/>
      <c r="F922" s="816"/>
      <c r="G922" s="816"/>
      <c r="H922" s="817"/>
      <c r="I922" s="817"/>
      <c r="J922" s="817"/>
      <c r="K922" s="818"/>
      <c r="L922" s="772"/>
      <c r="M922" s="772"/>
      <c r="N922" s="772"/>
      <c r="O922" s="772"/>
      <c r="P922" s="772"/>
      <c r="Q922" s="772"/>
      <c r="R922" s="772"/>
      <c r="S922" s="772"/>
      <c r="T922" s="772"/>
      <c r="U922" s="772"/>
      <c r="V922" s="772"/>
      <c r="W922" s="772"/>
      <c r="X922" s="772"/>
      <c r="Y922" s="772"/>
      <c r="Z922" s="772"/>
      <c r="AA922" s="772"/>
      <c r="AB922" s="772"/>
      <c r="AC922" s="772"/>
      <c r="AD922" s="772"/>
      <c r="AE922" s="772"/>
      <c r="AF922" s="772"/>
      <c r="AG922" s="772"/>
      <c r="AH922" s="772"/>
      <c r="AI922" s="772"/>
    </row>
    <row r="923" ht="15.75" customHeight="1">
      <c r="A923" s="815"/>
      <c r="B923" s="782"/>
      <c r="C923" s="782"/>
      <c r="D923" s="782"/>
      <c r="E923" s="816"/>
      <c r="F923" s="816"/>
      <c r="G923" s="816"/>
      <c r="H923" s="817"/>
      <c r="I923" s="817"/>
      <c r="J923" s="817"/>
      <c r="K923" s="818"/>
      <c r="L923" s="772"/>
      <c r="M923" s="772"/>
      <c r="N923" s="772"/>
      <c r="O923" s="772"/>
      <c r="P923" s="772"/>
      <c r="Q923" s="772"/>
      <c r="R923" s="772"/>
      <c r="S923" s="772"/>
      <c r="T923" s="772"/>
      <c r="U923" s="772"/>
      <c r="V923" s="772"/>
      <c r="W923" s="772"/>
      <c r="X923" s="772"/>
      <c r="Y923" s="772"/>
      <c r="Z923" s="772"/>
      <c r="AA923" s="772"/>
      <c r="AB923" s="772"/>
      <c r="AC923" s="772"/>
      <c r="AD923" s="772"/>
      <c r="AE923" s="772"/>
      <c r="AF923" s="772"/>
      <c r="AG923" s="772"/>
      <c r="AH923" s="772"/>
      <c r="AI923" s="772"/>
    </row>
    <row r="924" ht="15.75" customHeight="1">
      <c r="A924" s="815"/>
      <c r="B924" s="782"/>
      <c r="C924" s="782"/>
      <c r="D924" s="782"/>
      <c r="E924" s="816"/>
      <c r="F924" s="816"/>
      <c r="G924" s="816"/>
      <c r="H924" s="817"/>
      <c r="I924" s="817"/>
      <c r="J924" s="817"/>
      <c r="K924" s="818"/>
      <c r="L924" s="772"/>
      <c r="M924" s="772"/>
      <c r="N924" s="772"/>
      <c r="O924" s="772"/>
      <c r="P924" s="772"/>
      <c r="Q924" s="772"/>
      <c r="R924" s="772"/>
      <c r="S924" s="772"/>
      <c r="T924" s="772"/>
      <c r="U924" s="772"/>
      <c r="V924" s="772"/>
      <c r="W924" s="772"/>
      <c r="X924" s="772"/>
      <c r="Y924" s="772"/>
      <c r="Z924" s="772"/>
      <c r="AA924" s="772"/>
      <c r="AB924" s="772"/>
      <c r="AC924" s="772"/>
      <c r="AD924" s="772"/>
      <c r="AE924" s="772"/>
      <c r="AF924" s="772"/>
      <c r="AG924" s="772"/>
      <c r="AH924" s="772"/>
      <c r="AI924" s="772"/>
    </row>
    <row r="925" ht="15.75" customHeight="1">
      <c r="A925" s="815"/>
      <c r="B925" s="782"/>
      <c r="C925" s="782"/>
      <c r="D925" s="782"/>
      <c r="E925" s="816"/>
      <c r="F925" s="816"/>
      <c r="G925" s="816"/>
      <c r="H925" s="817"/>
      <c r="I925" s="817"/>
      <c r="J925" s="817"/>
      <c r="K925" s="818"/>
      <c r="L925" s="772"/>
      <c r="M925" s="772"/>
      <c r="N925" s="772"/>
      <c r="O925" s="772"/>
      <c r="P925" s="772"/>
      <c r="Q925" s="772"/>
      <c r="R925" s="772"/>
      <c r="S925" s="772"/>
      <c r="T925" s="772"/>
      <c r="U925" s="772"/>
      <c r="V925" s="772"/>
      <c r="W925" s="772"/>
      <c r="X925" s="772"/>
      <c r="Y925" s="772"/>
      <c r="Z925" s="772"/>
      <c r="AA925" s="772"/>
      <c r="AB925" s="772"/>
      <c r="AC925" s="772"/>
      <c r="AD925" s="772"/>
      <c r="AE925" s="772"/>
      <c r="AF925" s="772"/>
      <c r="AG925" s="772"/>
      <c r="AH925" s="772"/>
      <c r="AI925" s="772"/>
    </row>
    <row r="926" ht="15.75" customHeight="1">
      <c r="A926" s="815"/>
      <c r="B926" s="782"/>
      <c r="C926" s="782"/>
      <c r="D926" s="782"/>
      <c r="E926" s="816"/>
      <c r="F926" s="816"/>
      <c r="G926" s="816"/>
      <c r="H926" s="817"/>
      <c r="I926" s="817"/>
      <c r="J926" s="817"/>
      <c r="K926" s="818"/>
      <c r="L926" s="772"/>
      <c r="M926" s="772"/>
      <c r="N926" s="772"/>
      <c r="O926" s="772"/>
      <c r="P926" s="772"/>
      <c r="Q926" s="772"/>
      <c r="R926" s="772"/>
      <c r="S926" s="772"/>
      <c r="T926" s="772"/>
      <c r="U926" s="772"/>
      <c r="V926" s="772"/>
      <c r="W926" s="772"/>
      <c r="X926" s="772"/>
      <c r="Y926" s="772"/>
      <c r="Z926" s="772"/>
      <c r="AA926" s="772"/>
      <c r="AB926" s="772"/>
      <c r="AC926" s="772"/>
      <c r="AD926" s="772"/>
      <c r="AE926" s="772"/>
      <c r="AF926" s="772"/>
      <c r="AG926" s="772"/>
      <c r="AH926" s="772"/>
      <c r="AI926" s="772"/>
    </row>
    <row r="927" ht="15.75" customHeight="1">
      <c r="A927" s="815"/>
      <c r="B927" s="782"/>
      <c r="C927" s="782"/>
      <c r="D927" s="782"/>
      <c r="E927" s="816"/>
      <c r="F927" s="816"/>
      <c r="G927" s="816"/>
      <c r="H927" s="817"/>
      <c r="I927" s="817"/>
      <c r="J927" s="817"/>
      <c r="K927" s="818"/>
      <c r="L927" s="772"/>
      <c r="M927" s="772"/>
      <c r="N927" s="772"/>
      <c r="O927" s="772"/>
      <c r="P927" s="772"/>
      <c r="Q927" s="772"/>
      <c r="R927" s="772"/>
      <c r="S927" s="772"/>
      <c r="T927" s="772"/>
      <c r="U927" s="772"/>
      <c r="V927" s="772"/>
      <c r="W927" s="772"/>
      <c r="X927" s="772"/>
      <c r="Y927" s="772"/>
      <c r="Z927" s="772"/>
      <c r="AA927" s="772"/>
      <c r="AB927" s="772"/>
      <c r="AC927" s="772"/>
      <c r="AD927" s="772"/>
      <c r="AE927" s="772"/>
      <c r="AF927" s="772"/>
      <c r="AG927" s="772"/>
      <c r="AH927" s="772"/>
      <c r="AI927" s="772"/>
    </row>
    <row r="928" ht="15.75" customHeight="1">
      <c r="A928" s="815"/>
      <c r="B928" s="782"/>
      <c r="C928" s="782"/>
      <c r="D928" s="782"/>
      <c r="E928" s="816"/>
      <c r="F928" s="816"/>
      <c r="G928" s="816"/>
      <c r="H928" s="817"/>
      <c r="I928" s="817"/>
      <c r="J928" s="817"/>
      <c r="K928" s="818"/>
      <c r="L928" s="772"/>
      <c r="M928" s="772"/>
      <c r="N928" s="772"/>
      <c r="O928" s="772"/>
      <c r="P928" s="772"/>
      <c r="Q928" s="772"/>
      <c r="R928" s="772"/>
      <c r="S928" s="772"/>
      <c r="T928" s="772"/>
      <c r="U928" s="772"/>
      <c r="V928" s="772"/>
      <c r="W928" s="772"/>
      <c r="X928" s="772"/>
      <c r="Y928" s="772"/>
      <c r="Z928" s="772"/>
      <c r="AA928" s="772"/>
      <c r="AB928" s="772"/>
      <c r="AC928" s="772"/>
      <c r="AD928" s="772"/>
      <c r="AE928" s="772"/>
      <c r="AF928" s="772"/>
      <c r="AG928" s="772"/>
      <c r="AH928" s="772"/>
      <c r="AI928" s="772"/>
    </row>
    <row r="929" ht="15.75" customHeight="1">
      <c r="A929" s="815"/>
      <c r="B929" s="782"/>
      <c r="C929" s="782"/>
      <c r="D929" s="782"/>
      <c r="E929" s="816"/>
      <c r="F929" s="816"/>
      <c r="G929" s="816"/>
      <c r="H929" s="817"/>
      <c r="I929" s="817"/>
      <c r="J929" s="817"/>
      <c r="K929" s="818"/>
      <c r="L929" s="772"/>
      <c r="M929" s="772"/>
      <c r="N929" s="772"/>
      <c r="O929" s="772"/>
      <c r="P929" s="772"/>
      <c r="Q929" s="772"/>
      <c r="R929" s="772"/>
      <c r="S929" s="772"/>
      <c r="T929" s="772"/>
      <c r="U929" s="772"/>
      <c r="V929" s="772"/>
      <c r="W929" s="772"/>
      <c r="X929" s="772"/>
      <c r="Y929" s="772"/>
      <c r="Z929" s="772"/>
      <c r="AA929" s="772"/>
      <c r="AB929" s="772"/>
      <c r="AC929" s="772"/>
      <c r="AD929" s="772"/>
      <c r="AE929" s="772"/>
      <c r="AF929" s="772"/>
      <c r="AG929" s="772"/>
      <c r="AH929" s="772"/>
      <c r="AI929" s="772"/>
    </row>
    <row r="930" ht="15.75" customHeight="1">
      <c r="A930" s="815"/>
      <c r="B930" s="782"/>
      <c r="C930" s="782"/>
      <c r="D930" s="782"/>
      <c r="E930" s="816"/>
      <c r="F930" s="816"/>
      <c r="G930" s="816"/>
      <c r="H930" s="817"/>
      <c r="I930" s="817"/>
      <c r="J930" s="817"/>
      <c r="K930" s="818"/>
      <c r="L930" s="772"/>
      <c r="M930" s="772"/>
      <c r="N930" s="772"/>
      <c r="O930" s="772"/>
      <c r="P930" s="772"/>
      <c r="Q930" s="772"/>
      <c r="R930" s="772"/>
      <c r="S930" s="772"/>
      <c r="T930" s="772"/>
      <c r="U930" s="772"/>
      <c r="V930" s="772"/>
      <c r="W930" s="772"/>
      <c r="X930" s="772"/>
      <c r="Y930" s="772"/>
      <c r="Z930" s="772"/>
      <c r="AA930" s="772"/>
      <c r="AB930" s="772"/>
      <c r="AC930" s="772"/>
      <c r="AD930" s="772"/>
      <c r="AE930" s="772"/>
      <c r="AF930" s="772"/>
      <c r="AG930" s="772"/>
      <c r="AH930" s="772"/>
      <c r="AI930" s="772"/>
    </row>
    <row r="931" ht="15.75" customHeight="1">
      <c r="A931" s="815"/>
      <c r="B931" s="782"/>
      <c r="C931" s="782"/>
      <c r="D931" s="782"/>
      <c r="E931" s="816"/>
      <c r="F931" s="816"/>
      <c r="G931" s="816"/>
      <c r="H931" s="817"/>
      <c r="I931" s="817"/>
      <c r="J931" s="817"/>
      <c r="K931" s="818"/>
      <c r="L931" s="772"/>
      <c r="M931" s="772"/>
      <c r="N931" s="772"/>
      <c r="O931" s="772"/>
      <c r="P931" s="772"/>
      <c r="Q931" s="772"/>
      <c r="R931" s="772"/>
      <c r="S931" s="772"/>
      <c r="T931" s="772"/>
      <c r="U931" s="772"/>
      <c r="V931" s="772"/>
      <c r="W931" s="772"/>
      <c r="X931" s="772"/>
      <c r="Y931" s="772"/>
      <c r="Z931" s="772"/>
      <c r="AA931" s="772"/>
      <c r="AB931" s="772"/>
      <c r="AC931" s="772"/>
      <c r="AD931" s="772"/>
      <c r="AE931" s="772"/>
      <c r="AF931" s="772"/>
      <c r="AG931" s="772"/>
      <c r="AH931" s="772"/>
      <c r="AI931" s="772"/>
    </row>
    <row r="932" ht="15.75" customHeight="1">
      <c r="A932" s="815"/>
      <c r="B932" s="782"/>
      <c r="C932" s="782"/>
      <c r="D932" s="782"/>
      <c r="E932" s="816"/>
      <c r="F932" s="816"/>
      <c r="G932" s="816"/>
      <c r="H932" s="817"/>
      <c r="I932" s="817"/>
      <c r="J932" s="817"/>
      <c r="K932" s="818"/>
      <c r="L932" s="772"/>
      <c r="M932" s="772"/>
      <c r="N932" s="772"/>
      <c r="O932" s="772"/>
      <c r="P932" s="772"/>
      <c r="Q932" s="772"/>
      <c r="R932" s="772"/>
      <c r="S932" s="772"/>
      <c r="T932" s="772"/>
      <c r="U932" s="772"/>
      <c r="V932" s="772"/>
      <c r="W932" s="772"/>
      <c r="X932" s="772"/>
      <c r="Y932" s="772"/>
      <c r="Z932" s="772"/>
      <c r="AA932" s="772"/>
      <c r="AB932" s="772"/>
      <c r="AC932" s="772"/>
      <c r="AD932" s="772"/>
      <c r="AE932" s="772"/>
      <c r="AF932" s="772"/>
      <c r="AG932" s="772"/>
      <c r="AH932" s="772"/>
      <c r="AI932" s="772"/>
    </row>
    <row r="933" ht="15.75" customHeight="1">
      <c r="A933" s="815"/>
      <c r="B933" s="782"/>
      <c r="C933" s="782"/>
      <c r="D933" s="782"/>
      <c r="E933" s="816"/>
      <c r="F933" s="816"/>
      <c r="G933" s="816"/>
      <c r="H933" s="817"/>
      <c r="I933" s="817"/>
      <c r="J933" s="817"/>
      <c r="K933" s="818"/>
      <c r="L933" s="772"/>
      <c r="M933" s="772"/>
      <c r="N933" s="772"/>
      <c r="O933" s="772"/>
      <c r="P933" s="772"/>
      <c r="Q933" s="772"/>
      <c r="R933" s="772"/>
      <c r="S933" s="772"/>
      <c r="T933" s="772"/>
      <c r="U933" s="772"/>
      <c r="V933" s="772"/>
      <c r="W933" s="772"/>
      <c r="X933" s="772"/>
      <c r="Y933" s="772"/>
      <c r="Z933" s="772"/>
      <c r="AA933" s="772"/>
      <c r="AB933" s="772"/>
      <c r="AC933" s="772"/>
      <c r="AD933" s="772"/>
      <c r="AE933" s="772"/>
      <c r="AF933" s="772"/>
      <c r="AG933" s="772"/>
      <c r="AH933" s="772"/>
      <c r="AI933" s="772"/>
    </row>
    <row r="934" ht="15.75" customHeight="1">
      <c r="A934" s="815"/>
      <c r="B934" s="782"/>
      <c r="C934" s="782"/>
      <c r="D934" s="782"/>
      <c r="E934" s="816"/>
      <c r="F934" s="816"/>
      <c r="G934" s="816"/>
      <c r="H934" s="817"/>
      <c r="I934" s="817"/>
      <c r="J934" s="817"/>
      <c r="K934" s="818"/>
      <c r="L934" s="772"/>
      <c r="M934" s="772"/>
      <c r="N934" s="772"/>
      <c r="O934" s="772"/>
      <c r="P934" s="772"/>
      <c r="Q934" s="772"/>
      <c r="R934" s="772"/>
      <c r="S934" s="772"/>
      <c r="T934" s="772"/>
      <c r="U934" s="772"/>
      <c r="V934" s="772"/>
      <c r="W934" s="772"/>
      <c r="X934" s="772"/>
      <c r="Y934" s="772"/>
      <c r="Z934" s="772"/>
      <c r="AA934" s="772"/>
      <c r="AB934" s="772"/>
      <c r="AC934" s="772"/>
      <c r="AD934" s="772"/>
      <c r="AE934" s="772"/>
      <c r="AF934" s="772"/>
      <c r="AG934" s="772"/>
      <c r="AH934" s="772"/>
      <c r="AI934" s="772"/>
    </row>
    <row r="935" ht="15.75" customHeight="1">
      <c r="A935" s="815"/>
      <c r="B935" s="782"/>
      <c r="C935" s="782"/>
      <c r="D935" s="782"/>
      <c r="E935" s="816"/>
      <c r="F935" s="816"/>
      <c r="G935" s="816"/>
      <c r="H935" s="817"/>
      <c r="I935" s="817"/>
      <c r="J935" s="817"/>
      <c r="K935" s="818"/>
      <c r="L935" s="772"/>
      <c r="M935" s="772"/>
      <c r="N935" s="772"/>
      <c r="O935" s="772"/>
      <c r="P935" s="772"/>
      <c r="Q935" s="772"/>
      <c r="R935" s="772"/>
      <c r="S935" s="772"/>
      <c r="T935" s="772"/>
      <c r="U935" s="772"/>
      <c r="V935" s="772"/>
      <c r="W935" s="772"/>
      <c r="X935" s="772"/>
      <c r="Y935" s="772"/>
      <c r="Z935" s="772"/>
      <c r="AA935" s="772"/>
      <c r="AB935" s="772"/>
      <c r="AC935" s="772"/>
      <c r="AD935" s="772"/>
      <c r="AE935" s="772"/>
      <c r="AF935" s="772"/>
      <c r="AG935" s="772"/>
      <c r="AH935" s="772"/>
      <c r="AI935" s="772"/>
    </row>
    <row r="936" ht="15.75" customHeight="1">
      <c r="A936" s="815"/>
      <c r="B936" s="782"/>
      <c r="C936" s="782"/>
      <c r="D936" s="782"/>
      <c r="E936" s="816"/>
      <c r="F936" s="816"/>
      <c r="G936" s="816"/>
      <c r="H936" s="817"/>
      <c r="I936" s="817"/>
      <c r="J936" s="817"/>
      <c r="K936" s="818"/>
      <c r="L936" s="772"/>
      <c r="M936" s="772"/>
      <c r="N936" s="772"/>
      <c r="O936" s="772"/>
      <c r="P936" s="772"/>
      <c r="Q936" s="772"/>
      <c r="R936" s="772"/>
      <c r="S936" s="772"/>
      <c r="T936" s="772"/>
      <c r="U936" s="772"/>
      <c r="V936" s="772"/>
      <c r="W936" s="772"/>
      <c r="X936" s="772"/>
      <c r="Y936" s="772"/>
      <c r="Z936" s="772"/>
      <c r="AA936" s="772"/>
      <c r="AB936" s="772"/>
      <c r="AC936" s="772"/>
      <c r="AD936" s="772"/>
      <c r="AE936" s="772"/>
      <c r="AF936" s="772"/>
      <c r="AG936" s="772"/>
      <c r="AH936" s="772"/>
      <c r="AI936" s="772"/>
    </row>
    <row r="937" ht="15.75" customHeight="1">
      <c r="A937" s="815"/>
      <c r="B937" s="782"/>
      <c r="C937" s="782"/>
      <c r="D937" s="782"/>
      <c r="E937" s="816"/>
      <c r="F937" s="816"/>
      <c r="G937" s="816"/>
      <c r="H937" s="817"/>
      <c r="I937" s="817"/>
      <c r="J937" s="817"/>
      <c r="K937" s="818"/>
      <c r="L937" s="772"/>
      <c r="M937" s="772"/>
      <c r="N937" s="772"/>
      <c r="O937" s="772"/>
      <c r="P937" s="772"/>
      <c r="Q937" s="772"/>
      <c r="R937" s="772"/>
      <c r="S937" s="772"/>
      <c r="T937" s="772"/>
      <c r="U937" s="772"/>
      <c r="V937" s="772"/>
      <c r="W937" s="772"/>
      <c r="X937" s="772"/>
      <c r="Y937" s="772"/>
      <c r="Z937" s="772"/>
      <c r="AA937" s="772"/>
      <c r="AB937" s="772"/>
      <c r="AC937" s="772"/>
      <c r="AD937" s="772"/>
      <c r="AE937" s="772"/>
      <c r="AF937" s="772"/>
      <c r="AG937" s="772"/>
      <c r="AH937" s="772"/>
      <c r="AI937" s="772"/>
    </row>
    <row r="938" ht="15.75" customHeight="1">
      <c r="A938" s="815"/>
      <c r="B938" s="782"/>
      <c r="C938" s="782"/>
      <c r="D938" s="782"/>
      <c r="E938" s="816"/>
      <c r="F938" s="816"/>
      <c r="G938" s="816"/>
      <c r="H938" s="817"/>
      <c r="I938" s="817"/>
      <c r="J938" s="817"/>
      <c r="K938" s="818"/>
      <c r="L938" s="772"/>
      <c r="M938" s="772"/>
      <c r="N938" s="772"/>
      <c r="O938" s="772"/>
      <c r="P938" s="772"/>
      <c r="Q938" s="772"/>
      <c r="R938" s="772"/>
      <c r="S938" s="772"/>
      <c r="T938" s="772"/>
      <c r="U938" s="772"/>
      <c r="V938" s="772"/>
      <c r="W938" s="772"/>
      <c r="X938" s="772"/>
      <c r="Y938" s="772"/>
      <c r="Z938" s="772"/>
      <c r="AA938" s="772"/>
      <c r="AB938" s="772"/>
      <c r="AC938" s="772"/>
      <c r="AD938" s="772"/>
      <c r="AE938" s="772"/>
      <c r="AF938" s="772"/>
      <c r="AG938" s="772"/>
      <c r="AH938" s="772"/>
      <c r="AI938" s="772"/>
    </row>
    <row r="939" ht="15.75" customHeight="1">
      <c r="A939" s="815"/>
      <c r="B939" s="782"/>
      <c r="C939" s="782"/>
      <c r="D939" s="782"/>
      <c r="E939" s="816"/>
      <c r="F939" s="816"/>
      <c r="G939" s="816"/>
      <c r="H939" s="817"/>
      <c r="I939" s="817"/>
      <c r="J939" s="817"/>
      <c r="K939" s="818"/>
      <c r="L939" s="772"/>
      <c r="M939" s="772"/>
      <c r="N939" s="772"/>
      <c r="O939" s="772"/>
      <c r="P939" s="772"/>
      <c r="Q939" s="772"/>
      <c r="R939" s="772"/>
      <c r="S939" s="772"/>
      <c r="T939" s="772"/>
      <c r="U939" s="772"/>
      <c r="V939" s="772"/>
      <c r="W939" s="772"/>
      <c r="X939" s="772"/>
      <c r="Y939" s="772"/>
      <c r="Z939" s="772"/>
      <c r="AA939" s="772"/>
      <c r="AB939" s="772"/>
      <c r="AC939" s="772"/>
      <c r="AD939" s="772"/>
      <c r="AE939" s="772"/>
      <c r="AF939" s="772"/>
      <c r="AG939" s="772"/>
      <c r="AH939" s="772"/>
      <c r="AI939" s="772"/>
    </row>
    <row r="940" ht="15.75" customHeight="1">
      <c r="A940" s="815"/>
      <c r="B940" s="782"/>
      <c r="C940" s="782"/>
      <c r="D940" s="782"/>
      <c r="E940" s="816"/>
      <c r="F940" s="816"/>
      <c r="G940" s="816"/>
      <c r="H940" s="817"/>
      <c r="I940" s="817"/>
      <c r="J940" s="817"/>
      <c r="K940" s="818"/>
      <c r="L940" s="772"/>
      <c r="M940" s="772"/>
      <c r="N940" s="772"/>
      <c r="O940" s="772"/>
      <c r="P940" s="772"/>
      <c r="Q940" s="772"/>
      <c r="R940" s="772"/>
      <c r="S940" s="772"/>
      <c r="T940" s="772"/>
      <c r="U940" s="772"/>
      <c r="V940" s="772"/>
      <c r="W940" s="772"/>
      <c r="X940" s="772"/>
      <c r="Y940" s="772"/>
      <c r="Z940" s="772"/>
      <c r="AA940" s="772"/>
      <c r="AB940" s="772"/>
      <c r="AC940" s="772"/>
      <c r="AD940" s="772"/>
      <c r="AE940" s="772"/>
      <c r="AF940" s="772"/>
      <c r="AG940" s="772"/>
      <c r="AH940" s="772"/>
      <c r="AI940" s="772"/>
    </row>
    <row r="941" ht="15.75" customHeight="1">
      <c r="A941" s="815"/>
      <c r="B941" s="782"/>
      <c r="C941" s="782"/>
      <c r="D941" s="782"/>
      <c r="E941" s="816"/>
      <c r="F941" s="816"/>
      <c r="G941" s="816"/>
      <c r="H941" s="817"/>
      <c r="I941" s="817"/>
      <c r="J941" s="817"/>
      <c r="K941" s="818"/>
      <c r="L941" s="772"/>
      <c r="M941" s="772"/>
      <c r="N941" s="772"/>
      <c r="O941" s="772"/>
      <c r="P941" s="772"/>
      <c r="Q941" s="772"/>
      <c r="R941" s="772"/>
      <c r="S941" s="772"/>
      <c r="T941" s="772"/>
      <c r="U941" s="772"/>
      <c r="V941" s="772"/>
      <c r="W941" s="772"/>
      <c r="X941" s="772"/>
      <c r="Y941" s="772"/>
      <c r="Z941" s="772"/>
      <c r="AA941" s="772"/>
      <c r="AB941" s="772"/>
      <c r="AC941" s="772"/>
      <c r="AD941" s="772"/>
      <c r="AE941" s="772"/>
      <c r="AF941" s="772"/>
      <c r="AG941" s="772"/>
      <c r="AH941" s="772"/>
      <c r="AI941" s="772"/>
    </row>
    <row r="942" ht="15.75" customHeight="1">
      <c r="A942" s="815"/>
      <c r="B942" s="782"/>
      <c r="C942" s="782"/>
      <c r="D942" s="782"/>
      <c r="E942" s="816"/>
      <c r="F942" s="816"/>
      <c r="G942" s="816"/>
      <c r="H942" s="817"/>
      <c r="I942" s="817"/>
      <c r="J942" s="817"/>
      <c r="K942" s="818"/>
      <c r="L942" s="772"/>
      <c r="M942" s="772"/>
      <c r="N942" s="772"/>
      <c r="O942" s="772"/>
      <c r="P942" s="772"/>
      <c r="Q942" s="772"/>
      <c r="R942" s="772"/>
      <c r="S942" s="772"/>
      <c r="T942" s="772"/>
      <c r="U942" s="772"/>
      <c r="V942" s="772"/>
      <c r="W942" s="772"/>
      <c r="X942" s="772"/>
      <c r="Y942" s="772"/>
      <c r="Z942" s="772"/>
      <c r="AA942" s="772"/>
      <c r="AB942" s="772"/>
      <c r="AC942" s="772"/>
      <c r="AD942" s="772"/>
      <c r="AE942" s="772"/>
      <c r="AF942" s="772"/>
      <c r="AG942" s="772"/>
      <c r="AH942" s="772"/>
      <c r="AI942" s="772"/>
    </row>
    <row r="943" ht="15.75" customHeight="1">
      <c r="A943" s="815"/>
      <c r="B943" s="782"/>
      <c r="C943" s="782"/>
      <c r="D943" s="782"/>
      <c r="E943" s="816"/>
      <c r="F943" s="816"/>
      <c r="G943" s="816"/>
      <c r="H943" s="817"/>
      <c r="I943" s="817"/>
      <c r="J943" s="817"/>
      <c r="K943" s="818"/>
      <c r="L943" s="772"/>
      <c r="M943" s="772"/>
      <c r="N943" s="772"/>
      <c r="O943" s="772"/>
      <c r="P943" s="772"/>
      <c r="Q943" s="772"/>
      <c r="R943" s="772"/>
      <c r="S943" s="772"/>
      <c r="T943" s="772"/>
      <c r="U943" s="772"/>
      <c r="V943" s="772"/>
      <c r="W943" s="772"/>
      <c r="X943" s="772"/>
      <c r="Y943" s="772"/>
      <c r="Z943" s="772"/>
      <c r="AA943" s="772"/>
      <c r="AB943" s="772"/>
      <c r="AC943" s="772"/>
      <c r="AD943" s="772"/>
      <c r="AE943" s="772"/>
      <c r="AF943" s="772"/>
      <c r="AG943" s="772"/>
      <c r="AH943" s="772"/>
      <c r="AI943" s="772"/>
    </row>
    <row r="944" ht="15.75" customHeight="1">
      <c r="A944" s="815"/>
      <c r="B944" s="782"/>
      <c r="C944" s="782"/>
      <c r="D944" s="782"/>
      <c r="E944" s="816"/>
      <c r="F944" s="816"/>
      <c r="G944" s="816"/>
      <c r="H944" s="817"/>
      <c r="I944" s="817"/>
      <c r="J944" s="817"/>
      <c r="K944" s="818"/>
      <c r="L944" s="772"/>
      <c r="M944" s="772"/>
      <c r="N944" s="772"/>
      <c r="O944" s="772"/>
      <c r="P944" s="772"/>
      <c r="Q944" s="772"/>
      <c r="R944" s="772"/>
      <c r="S944" s="772"/>
      <c r="T944" s="772"/>
      <c r="U944" s="772"/>
      <c r="V944" s="772"/>
      <c r="W944" s="772"/>
      <c r="X944" s="772"/>
      <c r="Y944" s="772"/>
      <c r="Z944" s="772"/>
      <c r="AA944" s="772"/>
      <c r="AB944" s="772"/>
      <c r="AC944" s="772"/>
      <c r="AD944" s="772"/>
      <c r="AE944" s="772"/>
      <c r="AF944" s="772"/>
      <c r="AG944" s="772"/>
      <c r="AH944" s="772"/>
      <c r="AI944" s="772"/>
    </row>
    <row r="945" ht="15.75" customHeight="1">
      <c r="A945" s="815"/>
      <c r="B945" s="782"/>
      <c r="C945" s="782"/>
      <c r="D945" s="782"/>
      <c r="E945" s="816"/>
      <c r="F945" s="816"/>
      <c r="G945" s="816"/>
      <c r="H945" s="817"/>
      <c r="I945" s="817"/>
      <c r="J945" s="817"/>
      <c r="K945" s="818"/>
      <c r="L945" s="772"/>
      <c r="M945" s="772"/>
      <c r="N945" s="772"/>
      <c r="O945" s="772"/>
      <c r="P945" s="772"/>
      <c r="Q945" s="772"/>
      <c r="R945" s="772"/>
      <c r="S945" s="772"/>
      <c r="T945" s="772"/>
      <c r="U945" s="772"/>
      <c r="V945" s="772"/>
      <c r="W945" s="772"/>
      <c r="X945" s="772"/>
      <c r="Y945" s="772"/>
      <c r="Z945" s="772"/>
      <c r="AA945" s="772"/>
      <c r="AB945" s="772"/>
      <c r="AC945" s="772"/>
      <c r="AD945" s="772"/>
      <c r="AE945" s="772"/>
      <c r="AF945" s="772"/>
      <c r="AG945" s="772"/>
      <c r="AH945" s="772"/>
      <c r="AI945" s="772"/>
    </row>
    <row r="946" ht="15.75" customHeight="1">
      <c r="A946" s="815"/>
      <c r="B946" s="782"/>
      <c r="C946" s="782"/>
      <c r="D946" s="782"/>
      <c r="E946" s="816"/>
      <c r="F946" s="816"/>
      <c r="G946" s="816"/>
      <c r="H946" s="817"/>
      <c r="I946" s="817"/>
      <c r="J946" s="817"/>
      <c r="K946" s="818"/>
      <c r="L946" s="772"/>
      <c r="M946" s="772"/>
      <c r="N946" s="772"/>
      <c r="O946" s="772"/>
      <c r="P946" s="772"/>
      <c r="Q946" s="772"/>
      <c r="R946" s="772"/>
      <c r="S946" s="772"/>
      <c r="T946" s="772"/>
      <c r="U946" s="772"/>
      <c r="V946" s="772"/>
      <c r="W946" s="772"/>
      <c r="X946" s="772"/>
      <c r="Y946" s="772"/>
      <c r="Z946" s="772"/>
      <c r="AA946" s="772"/>
      <c r="AB946" s="772"/>
      <c r="AC946" s="772"/>
      <c r="AD946" s="772"/>
      <c r="AE946" s="772"/>
      <c r="AF946" s="772"/>
      <c r="AG946" s="772"/>
      <c r="AH946" s="772"/>
      <c r="AI946" s="772"/>
    </row>
    <row r="947" ht="15.75" customHeight="1">
      <c r="A947" s="815"/>
      <c r="B947" s="782"/>
      <c r="C947" s="782"/>
      <c r="D947" s="782"/>
      <c r="E947" s="816"/>
      <c r="F947" s="816"/>
      <c r="G947" s="816"/>
      <c r="H947" s="817"/>
      <c r="I947" s="817"/>
      <c r="J947" s="817"/>
      <c r="K947" s="818"/>
      <c r="L947" s="772"/>
      <c r="M947" s="772"/>
      <c r="N947" s="772"/>
      <c r="O947" s="772"/>
      <c r="P947" s="772"/>
      <c r="Q947" s="772"/>
      <c r="R947" s="772"/>
      <c r="S947" s="772"/>
      <c r="T947" s="772"/>
      <c r="U947" s="772"/>
      <c r="V947" s="772"/>
      <c r="W947" s="772"/>
      <c r="X947" s="772"/>
      <c r="Y947" s="772"/>
      <c r="Z947" s="772"/>
      <c r="AA947" s="772"/>
      <c r="AB947" s="772"/>
      <c r="AC947" s="772"/>
      <c r="AD947" s="772"/>
      <c r="AE947" s="772"/>
      <c r="AF947" s="772"/>
      <c r="AG947" s="772"/>
      <c r="AH947" s="772"/>
      <c r="AI947" s="772"/>
    </row>
    <row r="948" ht="15.75" customHeight="1">
      <c r="A948" s="815"/>
      <c r="B948" s="782"/>
      <c r="C948" s="782"/>
      <c r="D948" s="782"/>
      <c r="E948" s="816"/>
      <c r="F948" s="816"/>
      <c r="G948" s="816"/>
      <c r="H948" s="817"/>
      <c r="I948" s="817"/>
      <c r="J948" s="817"/>
      <c r="K948" s="818"/>
      <c r="L948" s="772"/>
      <c r="M948" s="772"/>
      <c r="N948" s="772"/>
      <c r="O948" s="772"/>
      <c r="P948" s="772"/>
      <c r="Q948" s="772"/>
      <c r="R948" s="772"/>
      <c r="S948" s="772"/>
      <c r="T948" s="772"/>
      <c r="U948" s="772"/>
      <c r="V948" s="772"/>
      <c r="W948" s="772"/>
      <c r="X948" s="772"/>
      <c r="Y948" s="772"/>
      <c r="Z948" s="772"/>
      <c r="AA948" s="772"/>
      <c r="AB948" s="772"/>
      <c r="AC948" s="772"/>
      <c r="AD948" s="772"/>
      <c r="AE948" s="772"/>
      <c r="AF948" s="772"/>
      <c r="AG948" s="772"/>
      <c r="AH948" s="772"/>
      <c r="AI948" s="772"/>
    </row>
    <row r="949" ht="15.75" customHeight="1">
      <c r="A949" s="815"/>
      <c r="B949" s="782"/>
      <c r="C949" s="782"/>
      <c r="D949" s="782"/>
      <c r="E949" s="816"/>
      <c r="F949" s="816"/>
      <c r="G949" s="816"/>
      <c r="H949" s="817"/>
      <c r="I949" s="817"/>
      <c r="J949" s="817"/>
      <c r="K949" s="818"/>
      <c r="L949" s="772"/>
      <c r="M949" s="772"/>
      <c r="N949" s="772"/>
      <c r="O949" s="772"/>
      <c r="P949" s="772"/>
      <c r="Q949" s="772"/>
      <c r="R949" s="772"/>
      <c r="S949" s="772"/>
      <c r="T949" s="772"/>
      <c r="U949" s="772"/>
      <c r="V949" s="772"/>
      <c r="W949" s="772"/>
      <c r="X949" s="772"/>
      <c r="Y949" s="772"/>
      <c r="Z949" s="772"/>
      <c r="AA949" s="772"/>
      <c r="AB949" s="772"/>
      <c r="AC949" s="772"/>
      <c r="AD949" s="772"/>
      <c r="AE949" s="772"/>
      <c r="AF949" s="772"/>
      <c r="AG949" s="772"/>
      <c r="AH949" s="772"/>
      <c r="AI949" s="772"/>
    </row>
    <row r="950" ht="15.75" customHeight="1">
      <c r="A950" s="815"/>
      <c r="B950" s="782"/>
      <c r="C950" s="782"/>
      <c r="D950" s="782"/>
      <c r="E950" s="816"/>
      <c r="F950" s="816"/>
      <c r="G950" s="816"/>
      <c r="H950" s="817"/>
      <c r="I950" s="817"/>
      <c r="J950" s="817"/>
      <c r="K950" s="818"/>
      <c r="L950" s="772"/>
      <c r="M950" s="772"/>
      <c r="N950" s="772"/>
      <c r="O950" s="772"/>
      <c r="P950" s="772"/>
      <c r="Q950" s="772"/>
      <c r="R950" s="772"/>
      <c r="S950" s="772"/>
      <c r="T950" s="772"/>
      <c r="U950" s="772"/>
      <c r="V950" s="772"/>
      <c r="W950" s="772"/>
      <c r="X950" s="772"/>
      <c r="Y950" s="772"/>
      <c r="Z950" s="772"/>
      <c r="AA950" s="772"/>
      <c r="AB950" s="772"/>
      <c r="AC950" s="772"/>
      <c r="AD950" s="772"/>
      <c r="AE950" s="772"/>
      <c r="AF950" s="772"/>
      <c r="AG950" s="772"/>
      <c r="AH950" s="772"/>
      <c r="AI950" s="772"/>
    </row>
    <row r="951" ht="15.75" customHeight="1">
      <c r="A951" s="815"/>
      <c r="B951" s="782"/>
      <c r="C951" s="782"/>
      <c r="D951" s="782"/>
      <c r="E951" s="816"/>
      <c r="F951" s="816"/>
      <c r="G951" s="816"/>
      <c r="H951" s="817"/>
      <c r="I951" s="817"/>
      <c r="J951" s="817"/>
      <c r="K951" s="818"/>
      <c r="L951" s="772"/>
      <c r="M951" s="772"/>
      <c r="N951" s="772"/>
      <c r="O951" s="772"/>
      <c r="P951" s="772"/>
      <c r="Q951" s="772"/>
      <c r="R951" s="772"/>
      <c r="S951" s="772"/>
      <c r="T951" s="772"/>
      <c r="U951" s="772"/>
      <c r="V951" s="772"/>
      <c r="W951" s="772"/>
      <c r="X951" s="772"/>
      <c r="Y951" s="772"/>
      <c r="Z951" s="772"/>
      <c r="AA951" s="772"/>
      <c r="AB951" s="772"/>
      <c r="AC951" s="772"/>
      <c r="AD951" s="772"/>
      <c r="AE951" s="772"/>
      <c r="AF951" s="772"/>
      <c r="AG951" s="772"/>
      <c r="AH951" s="772"/>
      <c r="AI951" s="772"/>
    </row>
    <row r="952" ht="15.75" customHeight="1">
      <c r="A952" s="815"/>
      <c r="B952" s="782"/>
      <c r="C952" s="782"/>
      <c r="D952" s="782"/>
      <c r="E952" s="816"/>
      <c r="F952" s="816"/>
      <c r="G952" s="816"/>
      <c r="H952" s="817"/>
      <c r="I952" s="817"/>
      <c r="J952" s="817"/>
      <c r="K952" s="818"/>
      <c r="L952" s="772"/>
      <c r="M952" s="772"/>
      <c r="N952" s="772"/>
      <c r="O952" s="772"/>
      <c r="P952" s="772"/>
      <c r="Q952" s="772"/>
      <c r="R952" s="772"/>
      <c r="S952" s="772"/>
      <c r="T952" s="772"/>
      <c r="U952" s="772"/>
      <c r="V952" s="772"/>
      <c r="W952" s="772"/>
      <c r="X952" s="772"/>
      <c r="Y952" s="772"/>
      <c r="Z952" s="772"/>
      <c r="AA952" s="772"/>
      <c r="AB952" s="772"/>
      <c r="AC952" s="772"/>
      <c r="AD952" s="772"/>
      <c r="AE952" s="772"/>
      <c r="AF952" s="772"/>
      <c r="AG952" s="772"/>
      <c r="AH952" s="772"/>
      <c r="AI952" s="772"/>
    </row>
    <row r="953" ht="15.75" customHeight="1">
      <c r="A953" s="815"/>
      <c r="B953" s="782"/>
      <c r="C953" s="782"/>
      <c r="D953" s="782"/>
      <c r="E953" s="816"/>
      <c r="F953" s="816"/>
      <c r="G953" s="816"/>
      <c r="H953" s="817"/>
      <c r="I953" s="817"/>
      <c r="J953" s="817"/>
      <c r="K953" s="818"/>
      <c r="L953" s="772"/>
      <c r="M953" s="772"/>
      <c r="N953" s="772"/>
      <c r="O953" s="772"/>
      <c r="P953" s="772"/>
      <c r="Q953" s="772"/>
      <c r="R953" s="772"/>
      <c r="S953" s="772"/>
      <c r="T953" s="772"/>
      <c r="U953" s="772"/>
      <c r="V953" s="772"/>
      <c r="W953" s="772"/>
      <c r="X953" s="772"/>
      <c r="Y953" s="772"/>
      <c r="Z953" s="772"/>
      <c r="AA953" s="772"/>
      <c r="AB953" s="772"/>
      <c r="AC953" s="772"/>
      <c r="AD953" s="772"/>
      <c r="AE953" s="772"/>
      <c r="AF953" s="772"/>
      <c r="AG953" s="772"/>
      <c r="AH953" s="772"/>
      <c r="AI953" s="772"/>
    </row>
    <row r="954" ht="15.75" customHeight="1">
      <c r="A954" s="815"/>
      <c r="B954" s="782"/>
      <c r="C954" s="782"/>
      <c r="D954" s="782"/>
      <c r="E954" s="816"/>
      <c r="F954" s="816"/>
      <c r="G954" s="816"/>
      <c r="H954" s="817"/>
      <c r="I954" s="817"/>
      <c r="J954" s="817"/>
      <c r="K954" s="818"/>
      <c r="L954" s="772"/>
      <c r="M954" s="772"/>
      <c r="N954" s="772"/>
      <c r="O954" s="772"/>
      <c r="P954" s="772"/>
      <c r="Q954" s="772"/>
      <c r="R954" s="772"/>
      <c r="S954" s="772"/>
      <c r="T954" s="772"/>
      <c r="U954" s="772"/>
      <c r="V954" s="772"/>
      <c r="W954" s="772"/>
      <c r="X954" s="772"/>
      <c r="Y954" s="772"/>
      <c r="Z954" s="772"/>
      <c r="AA954" s="772"/>
      <c r="AB954" s="772"/>
      <c r="AC954" s="772"/>
      <c r="AD954" s="772"/>
      <c r="AE954" s="772"/>
      <c r="AF954" s="772"/>
      <c r="AG954" s="772"/>
      <c r="AH954" s="772"/>
      <c r="AI954" s="772"/>
    </row>
    <row r="955" ht="15.75" customHeight="1">
      <c r="A955" s="815"/>
      <c r="B955" s="782"/>
      <c r="C955" s="782"/>
      <c r="D955" s="782"/>
      <c r="E955" s="816"/>
      <c r="F955" s="816"/>
      <c r="G955" s="816"/>
      <c r="H955" s="817"/>
      <c r="I955" s="817"/>
      <c r="J955" s="817"/>
      <c r="K955" s="818"/>
      <c r="L955" s="772"/>
      <c r="M955" s="772"/>
      <c r="N955" s="772"/>
      <c r="O955" s="772"/>
      <c r="P955" s="772"/>
      <c r="Q955" s="772"/>
      <c r="R955" s="772"/>
      <c r="S955" s="772"/>
      <c r="T955" s="772"/>
      <c r="U955" s="772"/>
      <c r="V955" s="772"/>
      <c r="W955" s="772"/>
      <c r="X955" s="772"/>
      <c r="Y955" s="772"/>
      <c r="Z955" s="772"/>
      <c r="AA955" s="772"/>
      <c r="AB955" s="772"/>
      <c r="AC955" s="772"/>
      <c r="AD955" s="772"/>
      <c r="AE955" s="772"/>
      <c r="AF955" s="772"/>
      <c r="AG955" s="772"/>
      <c r="AH955" s="772"/>
      <c r="AI955" s="772"/>
    </row>
    <row r="956" ht="15.75" customHeight="1">
      <c r="A956" s="815"/>
      <c r="B956" s="782"/>
      <c r="C956" s="782"/>
      <c r="D956" s="782"/>
      <c r="E956" s="816"/>
      <c r="F956" s="816"/>
      <c r="G956" s="816"/>
      <c r="H956" s="817"/>
      <c r="I956" s="817"/>
      <c r="J956" s="817"/>
      <c r="K956" s="818"/>
      <c r="L956" s="772"/>
      <c r="M956" s="772"/>
      <c r="N956" s="772"/>
      <c r="O956" s="772"/>
      <c r="P956" s="772"/>
      <c r="Q956" s="772"/>
      <c r="R956" s="772"/>
      <c r="S956" s="772"/>
      <c r="T956" s="772"/>
      <c r="U956" s="772"/>
      <c r="V956" s="772"/>
      <c r="W956" s="772"/>
      <c r="X956" s="772"/>
      <c r="Y956" s="772"/>
      <c r="Z956" s="772"/>
      <c r="AA956" s="772"/>
      <c r="AB956" s="772"/>
      <c r="AC956" s="772"/>
      <c r="AD956" s="772"/>
      <c r="AE956" s="772"/>
      <c r="AF956" s="772"/>
      <c r="AG956" s="772"/>
      <c r="AH956" s="772"/>
      <c r="AI956" s="772"/>
    </row>
    <row r="957" ht="15.75" customHeight="1">
      <c r="A957" s="815"/>
      <c r="B957" s="782"/>
      <c r="C957" s="782"/>
      <c r="D957" s="782"/>
      <c r="E957" s="816"/>
      <c r="F957" s="816"/>
      <c r="G957" s="816"/>
      <c r="H957" s="817"/>
      <c r="I957" s="817"/>
      <c r="J957" s="817"/>
      <c r="K957" s="818"/>
      <c r="L957" s="772"/>
      <c r="M957" s="772"/>
      <c r="N957" s="772"/>
      <c r="O957" s="772"/>
      <c r="P957" s="772"/>
      <c r="Q957" s="772"/>
      <c r="R957" s="772"/>
      <c r="S957" s="772"/>
      <c r="T957" s="772"/>
      <c r="U957" s="772"/>
      <c r="V957" s="772"/>
      <c r="W957" s="772"/>
      <c r="X957" s="772"/>
      <c r="Y957" s="772"/>
      <c r="Z957" s="772"/>
      <c r="AA957" s="772"/>
      <c r="AB957" s="772"/>
      <c r="AC957" s="772"/>
      <c r="AD957" s="772"/>
      <c r="AE957" s="772"/>
      <c r="AF957" s="772"/>
      <c r="AG957" s="772"/>
      <c r="AH957" s="772"/>
      <c r="AI957" s="772"/>
    </row>
    <row r="958" ht="15.75" customHeight="1">
      <c r="A958" s="815"/>
      <c r="B958" s="782"/>
      <c r="C958" s="782"/>
      <c r="D958" s="782"/>
      <c r="E958" s="816"/>
      <c r="F958" s="816"/>
      <c r="G958" s="816"/>
      <c r="H958" s="817"/>
      <c r="I958" s="817"/>
      <c r="J958" s="817"/>
      <c r="K958" s="818"/>
      <c r="L958" s="772"/>
      <c r="M958" s="772"/>
      <c r="N958" s="772"/>
      <c r="O958" s="772"/>
      <c r="P958" s="772"/>
      <c r="Q958" s="772"/>
      <c r="R958" s="772"/>
      <c r="S958" s="772"/>
      <c r="T958" s="772"/>
      <c r="U958" s="772"/>
      <c r="V958" s="772"/>
      <c r="W958" s="772"/>
      <c r="X958" s="772"/>
      <c r="Y958" s="772"/>
      <c r="Z958" s="772"/>
      <c r="AA958" s="772"/>
      <c r="AB958" s="772"/>
      <c r="AC958" s="772"/>
      <c r="AD958" s="772"/>
      <c r="AE958" s="772"/>
      <c r="AF958" s="772"/>
      <c r="AG958" s="772"/>
      <c r="AH958" s="772"/>
      <c r="AI958" s="772"/>
    </row>
    <row r="959" ht="15.75" customHeight="1">
      <c r="A959" s="815"/>
      <c r="B959" s="782"/>
      <c r="C959" s="782"/>
      <c r="D959" s="782"/>
      <c r="E959" s="816"/>
      <c r="F959" s="816"/>
      <c r="G959" s="816"/>
      <c r="H959" s="817"/>
      <c r="I959" s="817"/>
      <c r="J959" s="817"/>
      <c r="K959" s="818"/>
      <c r="L959" s="772"/>
      <c r="M959" s="772"/>
      <c r="N959" s="772"/>
      <c r="O959" s="772"/>
      <c r="P959" s="772"/>
      <c r="Q959" s="772"/>
      <c r="R959" s="772"/>
      <c r="S959" s="772"/>
      <c r="T959" s="772"/>
      <c r="U959" s="772"/>
      <c r="V959" s="772"/>
      <c r="W959" s="772"/>
      <c r="X959" s="772"/>
      <c r="Y959" s="772"/>
      <c r="Z959" s="772"/>
      <c r="AA959" s="772"/>
      <c r="AB959" s="772"/>
      <c r="AC959" s="772"/>
      <c r="AD959" s="772"/>
      <c r="AE959" s="772"/>
      <c r="AF959" s="772"/>
      <c r="AG959" s="772"/>
      <c r="AH959" s="772"/>
      <c r="AI959" s="772"/>
    </row>
    <row r="960" ht="15.75" customHeight="1">
      <c r="A960" s="815"/>
      <c r="B960" s="782"/>
      <c r="C960" s="782"/>
      <c r="D960" s="782"/>
      <c r="E960" s="816"/>
      <c r="F960" s="816"/>
      <c r="G960" s="816"/>
      <c r="H960" s="817"/>
      <c r="I960" s="817"/>
      <c r="J960" s="817"/>
      <c r="K960" s="818"/>
      <c r="L960" s="772"/>
      <c r="M960" s="772"/>
      <c r="N960" s="772"/>
      <c r="O960" s="772"/>
      <c r="P960" s="772"/>
      <c r="Q960" s="772"/>
      <c r="R960" s="772"/>
      <c r="S960" s="772"/>
      <c r="T960" s="772"/>
      <c r="U960" s="772"/>
      <c r="V960" s="772"/>
      <c r="W960" s="772"/>
      <c r="X960" s="772"/>
      <c r="Y960" s="772"/>
      <c r="Z960" s="772"/>
      <c r="AA960" s="772"/>
      <c r="AB960" s="772"/>
      <c r="AC960" s="772"/>
      <c r="AD960" s="772"/>
      <c r="AE960" s="772"/>
      <c r="AF960" s="772"/>
      <c r="AG960" s="772"/>
      <c r="AH960" s="772"/>
      <c r="AI960" s="772"/>
    </row>
    <row r="961" ht="15.75" customHeight="1">
      <c r="A961" s="815"/>
      <c r="B961" s="782"/>
      <c r="C961" s="782"/>
      <c r="D961" s="782"/>
      <c r="E961" s="816"/>
      <c r="F961" s="816"/>
      <c r="G961" s="816"/>
      <c r="H961" s="817"/>
      <c r="I961" s="817"/>
      <c r="J961" s="817"/>
      <c r="K961" s="818"/>
      <c r="L961" s="772"/>
      <c r="M961" s="772"/>
      <c r="N961" s="772"/>
      <c r="O961" s="772"/>
      <c r="P961" s="772"/>
      <c r="Q961" s="772"/>
      <c r="R961" s="772"/>
      <c r="S961" s="772"/>
      <c r="T961" s="772"/>
      <c r="U961" s="772"/>
      <c r="V961" s="772"/>
      <c r="W961" s="772"/>
      <c r="X961" s="772"/>
      <c r="Y961" s="772"/>
      <c r="Z961" s="772"/>
      <c r="AA961" s="772"/>
      <c r="AB961" s="772"/>
      <c r="AC961" s="772"/>
      <c r="AD961" s="772"/>
      <c r="AE961" s="772"/>
      <c r="AF961" s="772"/>
      <c r="AG961" s="772"/>
      <c r="AH961" s="772"/>
      <c r="AI961" s="772"/>
    </row>
    <row r="962" ht="15.75" customHeight="1">
      <c r="A962" s="815"/>
      <c r="B962" s="782"/>
      <c r="C962" s="782"/>
      <c r="D962" s="782"/>
      <c r="E962" s="816"/>
      <c r="F962" s="816"/>
      <c r="G962" s="816"/>
      <c r="H962" s="817"/>
      <c r="I962" s="817"/>
      <c r="J962" s="817"/>
      <c r="K962" s="818"/>
      <c r="L962" s="772"/>
      <c r="M962" s="772"/>
      <c r="N962" s="772"/>
      <c r="O962" s="772"/>
      <c r="P962" s="772"/>
      <c r="Q962" s="772"/>
      <c r="R962" s="772"/>
      <c r="S962" s="772"/>
      <c r="T962" s="772"/>
      <c r="U962" s="772"/>
      <c r="V962" s="772"/>
      <c r="W962" s="772"/>
      <c r="X962" s="772"/>
      <c r="Y962" s="772"/>
      <c r="Z962" s="772"/>
      <c r="AA962" s="772"/>
      <c r="AB962" s="772"/>
      <c r="AC962" s="772"/>
      <c r="AD962" s="772"/>
      <c r="AE962" s="772"/>
      <c r="AF962" s="772"/>
      <c r="AG962" s="772"/>
      <c r="AH962" s="772"/>
      <c r="AI962" s="772"/>
    </row>
    <row r="963" ht="15.75" customHeight="1">
      <c r="A963" s="815"/>
      <c r="B963" s="782"/>
      <c r="C963" s="782"/>
      <c r="D963" s="782"/>
      <c r="E963" s="816"/>
      <c r="F963" s="816"/>
      <c r="G963" s="816"/>
      <c r="H963" s="817"/>
      <c r="I963" s="817"/>
      <c r="J963" s="817"/>
      <c r="K963" s="818"/>
      <c r="L963" s="772"/>
      <c r="M963" s="772"/>
      <c r="N963" s="772"/>
      <c r="O963" s="772"/>
      <c r="P963" s="772"/>
      <c r="Q963" s="772"/>
      <c r="R963" s="772"/>
      <c r="S963" s="772"/>
      <c r="T963" s="772"/>
      <c r="U963" s="772"/>
      <c r="V963" s="772"/>
      <c r="W963" s="772"/>
      <c r="X963" s="772"/>
      <c r="Y963" s="772"/>
      <c r="Z963" s="772"/>
      <c r="AA963" s="772"/>
      <c r="AB963" s="772"/>
      <c r="AC963" s="772"/>
      <c r="AD963" s="772"/>
      <c r="AE963" s="772"/>
      <c r="AF963" s="772"/>
      <c r="AG963" s="772"/>
      <c r="AH963" s="772"/>
      <c r="AI963" s="772"/>
    </row>
    <row r="964" ht="15.75" customHeight="1">
      <c r="A964" s="815"/>
      <c r="B964" s="782"/>
      <c r="C964" s="782"/>
      <c r="D964" s="782"/>
      <c r="E964" s="816"/>
      <c r="F964" s="816"/>
      <c r="G964" s="816"/>
      <c r="H964" s="817"/>
      <c r="I964" s="817"/>
      <c r="J964" s="817"/>
      <c r="K964" s="818"/>
      <c r="L964" s="772"/>
      <c r="M964" s="772"/>
      <c r="N964" s="772"/>
      <c r="O964" s="772"/>
      <c r="P964" s="772"/>
      <c r="Q964" s="772"/>
      <c r="R964" s="772"/>
      <c r="S964" s="772"/>
      <c r="T964" s="772"/>
      <c r="U964" s="772"/>
      <c r="V964" s="772"/>
      <c r="W964" s="772"/>
      <c r="X964" s="772"/>
      <c r="Y964" s="772"/>
      <c r="Z964" s="772"/>
      <c r="AA964" s="772"/>
      <c r="AB964" s="772"/>
      <c r="AC964" s="772"/>
      <c r="AD964" s="772"/>
      <c r="AE964" s="772"/>
      <c r="AF964" s="772"/>
      <c r="AG964" s="772"/>
      <c r="AH964" s="772"/>
      <c r="AI964" s="772"/>
    </row>
    <row r="965" ht="15.75" customHeight="1">
      <c r="A965" s="815"/>
      <c r="B965" s="782"/>
      <c r="C965" s="782"/>
      <c r="D965" s="782"/>
      <c r="E965" s="816"/>
      <c r="F965" s="816"/>
      <c r="G965" s="816"/>
      <c r="H965" s="817"/>
      <c r="I965" s="817"/>
      <c r="J965" s="817"/>
      <c r="K965" s="818"/>
      <c r="L965" s="772"/>
      <c r="M965" s="772"/>
      <c r="N965" s="772"/>
      <c r="O965" s="772"/>
      <c r="P965" s="772"/>
      <c r="Q965" s="772"/>
      <c r="R965" s="772"/>
      <c r="S965" s="772"/>
      <c r="T965" s="772"/>
      <c r="U965" s="772"/>
      <c r="V965" s="772"/>
      <c r="W965" s="772"/>
      <c r="X965" s="772"/>
      <c r="Y965" s="772"/>
      <c r="Z965" s="772"/>
      <c r="AA965" s="772"/>
      <c r="AB965" s="772"/>
      <c r="AC965" s="772"/>
      <c r="AD965" s="772"/>
      <c r="AE965" s="772"/>
      <c r="AF965" s="772"/>
      <c r="AG965" s="772"/>
      <c r="AH965" s="772"/>
      <c r="AI965" s="772"/>
    </row>
    <row r="966" ht="15.75" customHeight="1">
      <c r="A966" s="815"/>
      <c r="B966" s="782"/>
      <c r="C966" s="782"/>
      <c r="D966" s="782"/>
      <c r="E966" s="816"/>
      <c r="F966" s="816"/>
      <c r="G966" s="816"/>
      <c r="H966" s="817"/>
      <c r="I966" s="817"/>
      <c r="J966" s="817"/>
      <c r="K966" s="818"/>
      <c r="L966" s="772"/>
      <c r="M966" s="772"/>
      <c r="N966" s="772"/>
      <c r="O966" s="772"/>
      <c r="P966" s="772"/>
      <c r="Q966" s="772"/>
      <c r="R966" s="772"/>
      <c r="S966" s="772"/>
      <c r="T966" s="772"/>
      <c r="U966" s="772"/>
      <c r="V966" s="772"/>
      <c r="W966" s="772"/>
      <c r="X966" s="772"/>
      <c r="Y966" s="772"/>
      <c r="Z966" s="772"/>
      <c r="AA966" s="772"/>
      <c r="AB966" s="772"/>
      <c r="AC966" s="772"/>
      <c r="AD966" s="772"/>
      <c r="AE966" s="772"/>
      <c r="AF966" s="772"/>
      <c r="AG966" s="772"/>
      <c r="AH966" s="772"/>
      <c r="AI966" s="772"/>
    </row>
    <row r="967" ht="15.75" customHeight="1">
      <c r="A967" s="815"/>
      <c r="B967" s="782"/>
      <c r="C967" s="782"/>
      <c r="D967" s="782"/>
      <c r="E967" s="816"/>
      <c r="F967" s="816"/>
      <c r="G967" s="816"/>
      <c r="H967" s="817"/>
      <c r="I967" s="817"/>
      <c r="J967" s="817"/>
      <c r="K967" s="818"/>
      <c r="L967" s="772"/>
      <c r="M967" s="772"/>
      <c r="N967" s="772"/>
      <c r="O967" s="772"/>
      <c r="P967" s="772"/>
      <c r="Q967" s="772"/>
      <c r="R967" s="772"/>
      <c r="S967" s="772"/>
      <c r="T967" s="772"/>
      <c r="U967" s="772"/>
      <c r="V967" s="772"/>
      <c r="W967" s="772"/>
      <c r="X967" s="772"/>
      <c r="Y967" s="772"/>
      <c r="Z967" s="772"/>
      <c r="AA967" s="772"/>
      <c r="AB967" s="772"/>
      <c r="AC967" s="772"/>
      <c r="AD967" s="772"/>
      <c r="AE967" s="772"/>
      <c r="AF967" s="772"/>
      <c r="AG967" s="772"/>
      <c r="AH967" s="772"/>
      <c r="AI967" s="772"/>
    </row>
    <row r="968" ht="15.75" customHeight="1">
      <c r="A968" s="815"/>
      <c r="B968" s="782"/>
      <c r="C968" s="782"/>
      <c r="D968" s="782"/>
      <c r="E968" s="816"/>
      <c r="F968" s="816"/>
      <c r="G968" s="816"/>
      <c r="H968" s="817"/>
      <c r="I968" s="817"/>
      <c r="J968" s="817"/>
      <c r="K968" s="818"/>
      <c r="L968" s="772"/>
      <c r="M968" s="772"/>
      <c r="N968" s="772"/>
      <c r="O968" s="772"/>
      <c r="P968" s="772"/>
      <c r="Q968" s="772"/>
      <c r="R968" s="772"/>
      <c r="S968" s="772"/>
      <c r="T968" s="772"/>
      <c r="U968" s="772"/>
      <c r="V968" s="772"/>
      <c r="W968" s="772"/>
      <c r="X968" s="772"/>
      <c r="Y968" s="772"/>
      <c r="Z968" s="772"/>
      <c r="AA968" s="772"/>
      <c r="AB968" s="772"/>
      <c r="AC968" s="772"/>
      <c r="AD968" s="772"/>
      <c r="AE968" s="772"/>
      <c r="AF968" s="772"/>
      <c r="AG968" s="772"/>
      <c r="AH968" s="772"/>
      <c r="AI968" s="772"/>
    </row>
    <row r="969" ht="15.75" customHeight="1">
      <c r="A969" s="815"/>
      <c r="B969" s="782"/>
      <c r="C969" s="782"/>
      <c r="D969" s="782"/>
      <c r="E969" s="816"/>
      <c r="F969" s="816"/>
      <c r="G969" s="816"/>
      <c r="H969" s="817"/>
      <c r="I969" s="817"/>
      <c r="J969" s="817"/>
      <c r="K969" s="818"/>
      <c r="L969" s="772"/>
      <c r="M969" s="772"/>
      <c r="N969" s="772"/>
      <c r="O969" s="772"/>
      <c r="P969" s="772"/>
      <c r="Q969" s="772"/>
      <c r="R969" s="772"/>
      <c r="S969" s="772"/>
      <c r="T969" s="772"/>
      <c r="U969" s="772"/>
      <c r="V969" s="772"/>
      <c r="W969" s="772"/>
      <c r="X969" s="772"/>
      <c r="Y969" s="772"/>
      <c r="Z969" s="772"/>
      <c r="AA969" s="772"/>
      <c r="AB969" s="772"/>
      <c r="AC969" s="772"/>
      <c r="AD969" s="772"/>
      <c r="AE969" s="772"/>
      <c r="AF969" s="772"/>
      <c r="AG969" s="772"/>
      <c r="AH969" s="772"/>
      <c r="AI969" s="772"/>
    </row>
    <row r="970" ht="15.75" customHeight="1">
      <c r="A970" s="815"/>
      <c r="B970" s="782"/>
      <c r="C970" s="782"/>
      <c r="D970" s="782"/>
      <c r="E970" s="816"/>
      <c r="F970" s="816"/>
      <c r="G970" s="816"/>
      <c r="H970" s="817"/>
      <c r="I970" s="817"/>
      <c r="J970" s="817"/>
      <c r="K970" s="818"/>
      <c r="L970" s="772"/>
      <c r="M970" s="772"/>
      <c r="N970" s="772"/>
      <c r="O970" s="772"/>
      <c r="P970" s="772"/>
      <c r="Q970" s="772"/>
      <c r="R970" s="772"/>
      <c r="S970" s="772"/>
      <c r="T970" s="772"/>
      <c r="U970" s="772"/>
      <c r="V970" s="772"/>
      <c r="W970" s="772"/>
      <c r="X970" s="772"/>
      <c r="Y970" s="772"/>
      <c r="Z970" s="772"/>
      <c r="AA970" s="772"/>
      <c r="AB970" s="772"/>
      <c r="AC970" s="772"/>
      <c r="AD970" s="772"/>
      <c r="AE970" s="772"/>
      <c r="AF970" s="772"/>
      <c r="AG970" s="772"/>
      <c r="AH970" s="772"/>
      <c r="AI970" s="772"/>
    </row>
    <row r="971" ht="15.75" customHeight="1">
      <c r="A971" s="815"/>
      <c r="B971" s="782"/>
      <c r="C971" s="782"/>
      <c r="D971" s="782"/>
      <c r="E971" s="816"/>
      <c r="F971" s="816"/>
      <c r="G971" s="816"/>
      <c r="H971" s="817"/>
      <c r="I971" s="817"/>
      <c r="J971" s="817"/>
      <c r="K971" s="818"/>
      <c r="L971" s="772"/>
      <c r="M971" s="772"/>
      <c r="N971" s="772"/>
      <c r="O971" s="772"/>
      <c r="P971" s="772"/>
      <c r="Q971" s="772"/>
      <c r="R971" s="772"/>
      <c r="S971" s="772"/>
      <c r="T971" s="772"/>
      <c r="U971" s="772"/>
      <c r="V971" s="772"/>
      <c r="W971" s="772"/>
      <c r="X971" s="772"/>
      <c r="Y971" s="772"/>
      <c r="Z971" s="772"/>
      <c r="AA971" s="772"/>
      <c r="AB971" s="772"/>
      <c r="AC971" s="772"/>
      <c r="AD971" s="772"/>
      <c r="AE971" s="772"/>
      <c r="AF971" s="772"/>
      <c r="AG971" s="772"/>
      <c r="AH971" s="772"/>
      <c r="AI971" s="772"/>
    </row>
    <row r="972" ht="15.75" customHeight="1">
      <c r="A972" s="815"/>
      <c r="B972" s="782"/>
      <c r="C972" s="782"/>
      <c r="D972" s="782"/>
      <c r="E972" s="816"/>
      <c r="F972" s="816"/>
      <c r="G972" s="816"/>
      <c r="H972" s="817"/>
      <c r="I972" s="817"/>
      <c r="J972" s="817"/>
      <c r="K972" s="818"/>
      <c r="L972" s="772"/>
      <c r="M972" s="772"/>
      <c r="N972" s="772"/>
      <c r="O972" s="772"/>
      <c r="P972" s="772"/>
      <c r="Q972" s="772"/>
      <c r="R972" s="772"/>
      <c r="S972" s="772"/>
      <c r="T972" s="772"/>
      <c r="U972" s="772"/>
      <c r="V972" s="772"/>
      <c r="W972" s="772"/>
      <c r="X972" s="772"/>
      <c r="Y972" s="772"/>
      <c r="Z972" s="772"/>
      <c r="AA972" s="772"/>
      <c r="AB972" s="772"/>
      <c r="AC972" s="772"/>
      <c r="AD972" s="772"/>
      <c r="AE972" s="772"/>
      <c r="AF972" s="772"/>
      <c r="AG972" s="772"/>
      <c r="AH972" s="772"/>
      <c r="AI972" s="772"/>
    </row>
    <row r="973" ht="15.75" customHeight="1">
      <c r="A973" s="815"/>
      <c r="B973" s="782"/>
      <c r="C973" s="782"/>
      <c r="D973" s="782"/>
      <c r="E973" s="816"/>
      <c r="F973" s="816"/>
      <c r="G973" s="816"/>
      <c r="H973" s="817"/>
      <c r="I973" s="817"/>
      <c r="J973" s="817"/>
      <c r="K973" s="818"/>
      <c r="L973" s="772"/>
      <c r="M973" s="772"/>
      <c r="N973" s="772"/>
      <c r="O973" s="772"/>
      <c r="P973" s="772"/>
      <c r="Q973" s="772"/>
      <c r="R973" s="772"/>
      <c r="S973" s="772"/>
      <c r="T973" s="772"/>
      <c r="U973" s="772"/>
      <c r="V973" s="772"/>
      <c r="W973" s="772"/>
      <c r="X973" s="772"/>
      <c r="Y973" s="772"/>
      <c r="Z973" s="772"/>
      <c r="AA973" s="772"/>
      <c r="AB973" s="772"/>
      <c r="AC973" s="772"/>
      <c r="AD973" s="772"/>
      <c r="AE973" s="772"/>
      <c r="AF973" s="772"/>
      <c r="AG973" s="772"/>
      <c r="AH973" s="772"/>
      <c r="AI973" s="772"/>
    </row>
    <row r="974" ht="15.75" customHeight="1">
      <c r="A974" s="815"/>
      <c r="B974" s="782"/>
      <c r="C974" s="782"/>
      <c r="D974" s="782"/>
      <c r="E974" s="816"/>
      <c r="F974" s="816"/>
      <c r="G974" s="816"/>
      <c r="H974" s="817"/>
      <c r="I974" s="817"/>
      <c r="J974" s="817"/>
      <c r="K974" s="818"/>
      <c r="L974" s="772"/>
      <c r="M974" s="772"/>
      <c r="N974" s="772"/>
      <c r="O974" s="772"/>
      <c r="P974" s="772"/>
      <c r="Q974" s="772"/>
      <c r="R974" s="772"/>
      <c r="S974" s="772"/>
      <c r="T974" s="772"/>
      <c r="U974" s="772"/>
      <c r="V974" s="772"/>
      <c r="W974" s="772"/>
      <c r="X974" s="772"/>
      <c r="Y974" s="772"/>
      <c r="Z974" s="772"/>
      <c r="AA974" s="772"/>
      <c r="AB974" s="772"/>
      <c r="AC974" s="772"/>
      <c r="AD974" s="772"/>
      <c r="AE974" s="772"/>
      <c r="AF974" s="772"/>
      <c r="AG974" s="772"/>
      <c r="AH974" s="772"/>
      <c r="AI974" s="772"/>
    </row>
    <row r="975" ht="15.75" customHeight="1">
      <c r="A975" s="815"/>
      <c r="B975" s="782"/>
      <c r="C975" s="782"/>
      <c r="D975" s="782"/>
      <c r="E975" s="816"/>
      <c r="F975" s="816"/>
      <c r="G975" s="816"/>
      <c r="H975" s="817"/>
      <c r="I975" s="817"/>
      <c r="J975" s="817"/>
      <c r="K975" s="818"/>
      <c r="L975" s="772"/>
      <c r="M975" s="772"/>
      <c r="N975" s="772"/>
      <c r="O975" s="772"/>
      <c r="P975" s="772"/>
      <c r="Q975" s="772"/>
      <c r="R975" s="772"/>
      <c r="S975" s="772"/>
      <c r="T975" s="772"/>
      <c r="U975" s="772"/>
      <c r="V975" s="772"/>
      <c r="W975" s="772"/>
      <c r="X975" s="772"/>
      <c r="Y975" s="772"/>
      <c r="Z975" s="772"/>
      <c r="AA975" s="772"/>
      <c r="AB975" s="772"/>
      <c r="AC975" s="772"/>
      <c r="AD975" s="772"/>
      <c r="AE975" s="772"/>
      <c r="AF975" s="772"/>
      <c r="AG975" s="772"/>
      <c r="AH975" s="772"/>
      <c r="AI975" s="772"/>
    </row>
    <row r="976" ht="15.75" customHeight="1">
      <c r="A976" s="815"/>
      <c r="B976" s="782"/>
      <c r="C976" s="782"/>
      <c r="D976" s="782"/>
      <c r="E976" s="816"/>
      <c r="F976" s="816"/>
      <c r="G976" s="816"/>
      <c r="H976" s="817"/>
      <c r="I976" s="817"/>
      <c r="J976" s="817"/>
      <c r="K976" s="818"/>
      <c r="L976" s="772"/>
      <c r="M976" s="772"/>
      <c r="N976" s="772"/>
      <c r="O976" s="772"/>
      <c r="P976" s="772"/>
      <c r="Q976" s="772"/>
      <c r="R976" s="772"/>
      <c r="S976" s="772"/>
      <c r="T976" s="772"/>
      <c r="U976" s="772"/>
      <c r="V976" s="772"/>
      <c r="W976" s="772"/>
      <c r="X976" s="772"/>
      <c r="Y976" s="772"/>
      <c r="Z976" s="772"/>
      <c r="AA976" s="772"/>
      <c r="AB976" s="772"/>
      <c r="AC976" s="772"/>
      <c r="AD976" s="772"/>
      <c r="AE976" s="772"/>
      <c r="AF976" s="772"/>
      <c r="AG976" s="772"/>
      <c r="AH976" s="772"/>
      <c r="AI976" s="772"/>
    </row>
    <row r="977" ht="15.75" customHeight="1">
      <c r="A977" s="815"/>
      <c r="B977" s="782"/>
      <c r="C977" s="782"/>
      <c r="D977" s="782"/>
      <c r="E977" s="816"/>
      <c r="F977" s="816"/>
      <c r="G977" s="816"/>
      <c r="H977" s="817"/>
      <c r="I977" s="817"/>
      <c r="J977" s="817"/>
      <c r="K977" s="818"/>
      <c r="L977" s="772"/>
      <c r="M977" s="772"/>
      <c r="N977" s="772"/>
      <c r="O977" s="772"/>
      <c r="P977" s="772"/>
      <c r="Q977" s="772"/>
      <c r="R977" s="772"/>
      <c r="S977" s="772"/>
      <c r="T977" s="772"/>
      <c r="U977" s="772"/>
      <c r="V977" s="772"/>
      <c r="W977" s="772"/>
      <c r="X977" s="772"/>
      <c r="Y977" s="772"/>
      <c r="Z977" s="772"/>
      <c r="AA977" s="772"/>
      <c r="AB977" s="772"/>
      <c r="AC977" s="772"/>
      <c r="AD977" s="772"/>
      <c r="AE977" s="772"/>
      <c r="AF977" s="772"/>
      <c r="AG977" s="772"/>
      <c r="AH977" s="772"/>
      <c r="AI977" s="772"/>
    </row>
    <row r="978" ht="15.75" customHeight="1">
      <c r="A978" s="815"/>
      <c r="B978" s="782"/>
      <c r="C978" s="782"/>
      <c r="D978" s="782"/>
      <c r="E978" s="816"/>
      <c r="F978" s="816"/>
      <c r="G978" s="816"/>
      <c r="H978" s="817"/>
      <c r="I978" s="817"/>
      <c r="J978" s="817"/>
      <c r="K978" s="818"/>
      <c r="L978" s="772"/>
      <c r="M978" s="772"/>
      <c r="N978" s="772"/>
      <c r="O978" s="772"/>
      <c r="P978" s="772"/>
      <c r="Q978" s="772"/>
      <c r="R978" s="772"/>
      <c r="S978" s="772"/>
      <c r="T978" s="772"/>
      <c r="U978" s="772"/>
      <c r="V978" s="772"/>
      <c r="W978" s="772"/>
      <c r="X978" s="772"/>
      <c r="Y978" s="772"/>
      <c r="Z978" s="772"/>
      <c r="AA978" s="772"/>
      <c r="AB978" s="772"/>
      <c r="AC978" s="772"/>
      <c r="AD978" s="772"/>
      <c r="AE978" s="772"/>
      <c r="AF978" s="772"/>
      <c r="AG978" s="772"/>
      <c r="AH978" s="772"/>
      <c r="AI978" s="772"/>
    </row>
    <row r="979" ht="15.75" customHeight="1">
      <c r="A979" s="815"/>
      <c r="B979" s="782"/>
      <c r="C979" s="782"/>
      <c r="D979" s="782"/>
      <c r="E979" s="816"/>
      <c r="F979" s="816"/>
      <c r="G979" s="816"/>
      <c r="H979" s="817"/>
      <c r="I979" s="817"/>
      <c r="J979" s="817"/>
      <c r="K979" s="818"/>
      <c r="L979" s="772"/>
      <c r="M979" s="772"/>
      <c r="N979" s="772"/>
      <c r="O979" s="772"/>
      <c r="P979" s="772"/>
      <c r="Q979" s="772"/>
      <c r="R979" s="772"/>
      <c r="S979" s="772"/>
      <c r="T979" s="772"/>
      <c r="U979" s="772"/>
      <c r="V979" s="772"/>
      <c r="W979" s="772"/>
      <c r="X979" s="772"/>
      <c r="Y979" s="772"/>
      <c r="Z979" s="772"/>
      <c r="AA979" s="772"/>
      <c r="AB979" s="772"/>
      <c r="AC979" s="772"/>
      <c r="AD979" s="772"/>
      <c r="AE979" s="772"/>
      <c r="AF979" s="772"/>
      <c r="AG979" s="772"/>
      <c r="AH979" s="772"/>
      <c r="AI979" s="772"/>
    </row>
    <row r="980" ht="15.75" customHeight="1">
      <c r="A980" s="815"/>
      <c r="B980" s="782"/>
      <c r="C980" s="782"/>
      <c r="D980" s="782"/>
      <c r="E980" s="816"/>
      <c r="F980" s="816"/>
      <c r="G980" s="816"/>
      <c r="H980" s="817"/>
      <c r="I980" s="817"/>
      <c r="J980" s="817"/>
      <c r="K980" s="818"/>
      <c r="L980" s="772"/>
      <c r="M980" s="772"/>
      <c r="N980" s="772"/>
      <c r="O980" s="772"/>
      <c r="P980" s="772"/>
      <c r="Q980" s="772"/>
      <c r="R980" s="772"/>
      <c r="S980" s="772"/>
      <c r="T980" s="772"/>
      <c r="U980" s="772"/>
      <c r="V980" s="772"/>
      <c r="W980" s="772"/>
      <c r="X980" s="772"/>
      <c r="Y980" s="772"/>
      <c r="Z980" s="772"/>
      <c r="AA980" s="772"/>
      <c r="AB980" s="772"/>
      <c r="AC980" s="772"/>
      <c r="AD980" s="772"/>
      <c r="AE980" s="772"/>
      <c r="AF980" s="772"/>
      <c r="AG980" s="772"/>
      <c r="AH980" s="772"/>
      <c r="AI980" s="772"/>
    </row>
    <row r="981" ht="15.75" customHeight="1">
      <c r="A981" s="815"/>
      <c r="B981" s="782"/>
      <c r="C981" s="782"/>
      <c r="D981" s="782"/>
      <c r="E981" s="816"/>
      <c r="F981" s="816"/>
      <c r="G981" s="816"/>
      <c r="H981" s="817"/>
      <c r="I981" s="817"/>
      <c r="J981" s="817"/>
      <c r="K981" s="818"/>
      <c r="L981" s="772"/>
      <c r="M981" s="772"/>
      <c r="N981" s="772"/>
      <c r="O981" s="772"/>
      <c r="P981" s="772"/>
      <c r="Q981" s="772"/>
      <c r="R981" s="772"/>
      <c r="S981" s="772"/>
      <c r="T981" s="772"/>
      <c r="U981" s="772"/>
      <c r="V981" s="772"/>
      <c r="W981" s="772"/>
      <c r="X981" s="772"/>
      <c r="Y981" s="772"/>
      <c r="Z981" s="772"/>
      <c r="AA981" s="772"/>
      <c r="AB981" s="772"/>
      <c r="AC981" s="772"/>
      <c r="AD981" s="772"/>
      <c r="AE981" s="772"/>
      <c r="AF981" s="772"/>
      <c r="AG981" s="772"/>
      <c r="AH981" s="772"/>
      <c r="AI981" s="772"/>
    </row>
    <row r="982" ht="15.75" customHeight="1">
      <c r="A982" s="815"/>
      <c r="B982" s="782"/>
      <c r="C982" s="782"/>
      <c r="D982" s="782"/>
      <c r="E982" s="816"/>
      <c r="F982" s="816"/>
      <c r="G982" s="816"/>
      <c r="H982" s="817"/>
      <c r="I982" s="817"/>
      <c r="J982" s="817"/>
      <c r="K982" s="818"/>
      <c r="L982" s="772"/>
      <c r="M982" s="772"/>
      <c r="N982" s="772"/>
      <c r="O982" s="772"/>
      <c r="P982" s="772"/>
      <c r="Q982" s="772"/>
      <c r="R982" s="772"/>
      <c r="S982" s="772"/>
      <c r="T982" s="772"/>
      <c r="U982" s="772"/>
      <c r="V982" s="772"/>
      <c r="W982" s="772"/>
      <c r="X982" s="772"/>
      <c r="Y982" s="772"/>
      <c r="Z982" s="772"/>
      <c r="AA982" s="772"/>
      <c r="AB982" s="772"/>
      <c r="AC982" s="772"/>
      <c r="AD982" s="772"/>
      <c r="AE982" s="772"/>
      <c r="AF982" s="772"/>
      <c r="AG982" s="772"/>
      <c r="AH982" s="772"/>
      <c r="AI982" s="772"/>
    </row>
    <row r="983" ht="15.75" customHeight="1">
      <c r="A983" s="815"/>
      <c r="B983" s="782"/>
      <c r="C983" s="782"/>
      <c r="D983" s="782"/>
      <c r="E983" s="816"/>
      <c r="F983" s="816"/>
      <c r="G983" s="816"/>
      <c r="H983" s="817"/>
      <c r="I983" s="817"/>
      <c r="J983" s="817"/>
      <c r="K983" s="818"/>
      <c r="L983" s="772"/>
      <c r="M983" s="772"/>
      <c r="N983" s="772"/>
      <c r="O983" s="772"/>
      <c r="P983" s="772"/>
      <c r="Q983" s="772"/>
      <c r="R983" s="772"/>
      <c r="S983" s="772"/>
      <c r="T983" s="772"/>
      <c r="U983" s="772"/>
      <c r="V983" s="772"/>
      <c r="W983" s="772"/>
      <c r="X983" s="772"/>
      <c r="Y983" s="772"/>
      <c r="Z983" s="772"/>
      <c r="AA983" s="772"/>
      <c r="AB983" s="772"/>
      <c r="AC983" s="772"/>
      <c r="AD983" s="772"/>
      <c r="AE983" s="772"/>
      <c r="AF983" s="772"/>
      <c r="AG983" s="772"/>
      <c r="AH983" s="772"/>
      <c r="AI983" s="772"/>
    </row>
    <row r="984" ht="15.75" customHeight="1">
      <c r="A984" s="815"/>
      <c r="B984" s="782"/>
      <c r="C984" s="782"/>
      <c r="D984" s="782"/>
      <c r="E984" s="816"/>
      <c r="F984" s="816"/>
      <c r="G984" s="816"/>
      <c r="H984" s="817"/>
      <c r="I984" s="817"/>
      <c r="J984" s="817"/>
      <c r="K984" s="818"/>
      <c r="L984" s="772"/>
      <c r="M984" s="772"/>
      <c r="N984" s="772"/>
      <c r="O984" s="772"/>
      <c r="P984" s="772"/>
      <c r="Q984" s="772"/>
      <c r="R984" s="772"/>
      <c r="S984" s="772"/>
      <c r="T984" s="772"/>
      <c r="U984" s="772"/>
      <c r="V984" s="772"/>
      <c r="W984" s="772"/>
      <c r="X984" s="772"/>
      <c r="Y984" s="772"/>
      <c r="Z984" s="772"/>
      <c r="AA984" s="772"/>
      <c r="AB984" s="772"/>
      <c r="AC984" s="772"/>
      <c r="AD984" s="772"/>
      <c r="AE984" s="772"/>
      <c r="AF984" s="772"/>
      <c r="AG984" s="772"/>
      <c r="AH984" s="772"/>
      <c r="AI984" s="772"/>
    </row>
    <row r="985" ht="15.75" customHeight="1">
      <c r="A985" s="815"/>
      <c r="B985" s="782"/>
      <c r="C985" s="782"/>
      <c r="D985" s="782"/>
      <c r="E985" s="816"/>
      <c r="F985" s="816"/>
      <c r="G985" s="816"/>
      <c r="H985" s="817"/>
      <c r="I985" s="817"/>
      <c r="J985" s="817"/>
      <c r="K985" s="818"/>
      <c r="L985" s="772"/>
      <c r="M985" s="772"/>
      <c r="N985" s="772"/>
      <c r="O985" s="772"/>
      <c r="P985" s="772"/>
      <c r="Q985" s="772"/>
      <c r="R985" s="772"/>
      <c r="S985" s="772"/>
      <c r="T985" s="772"/>
      <c r="U985" s="772"/>
      <c r="V985" s="772"/>
      <c r="W985" s="772"/>
      <c r="X985" s="772"/>
      <c r="Y985" s="772"/>
      <c r="Z985" s="772"/>
      <c r="AA985" s="772"/>
      <c r="AB985" s="772"/>
      <c r="AC985" s="772"/>
      <c r="AD985" s="772"/>
      <c r="AE985" s="772"/>
      <c r="AF985" s="772"/>
      <c r="AG985" s="772"/>
      <c r="AH985" s="772"/>
      <c r="AI985" s="772"/>
    </row>
    <row r="986" ht="15.75" customHeight="1">
      <c r="A986" s="815"/>
      <c r="B986" s="782"/>
      <c r="C986" s="782"/>
      <c r="D986" s="782"/>
      <c r="E986" s="816"/>
      <c r="F986" s="816"/>
      <c r="G986" s="816"/>
      <c r="H986" s="817"/>
      <c r="I986" s="817"/>
      <c r="J986" s="817"/>
      <c r="K986" s="818"/>
      <c r="L986" s="772"/>
      <c r="M986" s="772"/>
      <c r="N986" s="772"/>
      <c r="O986" s="772"/>
      <c r="P986" s="772"/>
      <c r="Q986" s="772"/>
      <c r="R986" s="772"/>
      <c r="S986" s="772"/>
      <c r="T986" s="772"/>
      <c r="U986" s="772"/>
      <c r="V986" s="772"/>
      <c r="W986" s="772"/>
      <c r="X986" s="772"/>
      <c r="Y986" s="772"/>
      <c r="Z986" s="772"/>
      <c r="AA986" s="772"/>
      <c r="AB986" s="772"/>
      <c r="AC986" s="772"/>
      <c r="AD986" s="772"/>
      <c r="AE986" s="772"/>
      <c r="AF986" s="772"/>
      <c r="AG986" s="772"/>
      <c r="AH986" s="772"/>
      <c r="AI986" s="772"/>
    </row>
    <row r="987" ht="15.75" customHeight="1">
      <c r="A987" s="815"/>
      <c r="B987" s="782"/>
      <c r="C987" s="782"/>
      <c r="D987" s="782"/>
      <c r="E987" s="816"/>
      <c r="F987" s="816"/>
      <c r="G987" s="816"/>
      <c r="H987" s="817"/>
      <c r="I987" s="817"/>
      <c r="J987" s="817"/>
      <c r="K987" s="818"/>
      <c r="L987" s="772"/>
      <c r="M987" s="772"/>
      <c r="N987" s="772"/>
      <c r="O987" s="772"/>
      <c r="P987" s="772"/>
      <c r="Q987" s="772"/>
      <c r="R987" s="772"/>
      <c r="S987" s="772"/>
      <c r="T987" s="772"/>
      <c r="U987" s="772"/>
      <c r="V987" s="772"/>
      <c r="W987" s="772"/>
      <c r="X987" s="772"/>
      <c r="Y987" s="772"/>
      <c r="Z987" s="772"/>
      <c r="AA987" s="772"/>
      <c r="AB987" s="772"/>
      <c r="AC987" s="772"/>
      <c r="AD987" s="772"/>
      <c r="AE987" s="772"/>
      <c r="AF987" s="772"/>
      <c r="AG987" s="772"/>
      <c r="AH987" s="772"/>
      <c r="AI987" s="772"/>
    </row>
    <row r="988" ht="15.75" customHeight="1">
      <c r="A988" s="815"/>
      <c r="B988" s="782"/>
      <c r="C988" s="782"/>
      <c r="D988" s="782"/>
      <c r="E988" s="816"/>
      <c r="F988" s="816"/>
      <c r="G988" s="816"/>
      <c r="H988" s="817"/>
      <c r="I988" s="817"/>
      <c r="J988" s="817"/>
      <c r="K988" s="818"/>
      <c r="L988" s="772"/>
      <c r="M988" s="772"/>
      <c r="N988" s="772"/>
      <c r="O988" s="772"/>
      <c r="P988" s="772"/>
      <c r="Q988" s="772"/>
      <c r="R988" s="772"/>
      <c r="S988" s="772"/>
      <c r="T988" s="772"/>
      <c r="U988" s="772"/>
      <c r="V988" s="772"/>
      <c r="W988" s="772"/>
      <c r="X988" s="772"/>
      <c r="Y988" s="772"/>
      <c r="Z988" s="772"/>
      <c r="AA988" s="772"/>
      <c r="AB988" s="772"/>
      <c r="AC988" s="772"/>
      <c r="AD988" s="772"/>
      <c r="AE988" s="772"/>
      <c r="AF988" s="772"/>
      <c r="AG988" s="772"/>
      <c r="AH988" s="772"/>
      <c r="AI988" s="772"/>
    </row>
    <row r="989" ht="15.75" customHeight="1">
      <c r="A989" s="815"/>
      <c r="B989" s="782"/>
      <c r="C989" s="782"/>
      <c r="D989" s="782"/>
      <c r="E989" s="816"/>
      <c r="F989" s="816"/>
      <c r="G989" s="816"/>
      <c r="H989" s="817"/>
      <c r="I989" s="817"/>
      <c r="J989" s="817"/>
      <c r="K989" s="818"/>
      <c r="L989" s="772"/>
      <c r="M989" s="772"/>
      <c r="N989" s="772"/>
      <c r="O989" s="772"/>
      <c r="P989" s="772"/>
      <c r="Q989" s="772"/>
      <c r="R989" s="772"/>
      <c r="S989" s="772"/>
      <c r="T989" s="772"/>
      <c r="U989" s="772"/>
      <c r="V989" s="772"/>
      <c r="W989" s="772"/>
      <c r="X989" s="772"/>
      <c r="Y989" s="772"/>
      <c r="Z989" s="772"/>
      <c r="AA989" s="772"/>
      <c r="AB989" s="772"/>
      <c r="AC989" s="772"/>
      <c r="AD989" s="772"/>
      <c r="AE989" s="772"/>
      <c r="AF989" s="772"/>
      <c r="AG989" s="772"/>
      <c r="AH989" s="772"/>
      <c r="AI989" s="772"/>
    </row>
    <row r="990" ht="15.75" customHeight="1">
      <c r="A990" s="815"/>
      <c r="B990" s="782"/>
      <c r="C990" s="782"/>
      <c r="D990" s="782"/>
      <c r="E990" s="816"/>
      <c r="F990" s="816"/>
      <c r="G990" s="816"/>
      <c r="H990" s="817"/>
      <c r="I990" s="817"/>
      <c r="J990" s="817"/>
      <c r="K990" s="818"/>
      <c r="L990" s="772"/>
      <c r="M990" s="772"/>
      <c r="N990" s="772"/>
      <c r="O990" s="772"/>
      <c r="P990" s="772"/>
      <c r="Q990" s="772"/>
      <c r="R990" s="772"/>
      <c r="S990" s="772"/>
      <c r="T990" s="772"/>
      <c r="U990" s="772"/>
      <c r="V990" s="772"/>
      <c r="W990" s="772"/>
      <c r="X990" s="772"/>
      <c r="Y990" s="772"/>
      <c r="Z990" s="772"/>
      <c r="AA990" s="772"/>
      <c r="AB990" s="772"/>
      <c r="AC990" s="772"/>
      <c r="AD990" s="772"/>
      <c r="AE990" s="772"/>
      <c r="AF990" s="772"/>
      <c r="AG990" s="772"/>
      <c r="AH990" s="772"/>
      <c r="AI990" s="772"/>
    </row>
    <row r="991" ht="15.75" customHeight="1">
      <c r="A991" s="815"/>
      <c r="B991" s="782"/>
      <c r="C991" s="782"/>
      <c r="D991" s="782"/>
      <c r="E991" s="816"/>
      <c r="F991" s="816"/>
      <c r="G991" s="816"/>
      <c r="H991" s="817"/>
      <c r="I991" s="817"/>
      <c r="J991" s="817"/>
      <c r="K991" s="818"/>
      <c r="L991" s="772"/>
      <c r="M991" s="772"/>
      <c r="N991" s="772"/>
      <c r="O991" s="772"/>
      <c r="P991" s="772"/>
      <c r="Q991" s="772"/>
      <c r="R991" s="772"/>
      <c r="S991" s="772"/>
      <c r="T991" s="772"/>
      <c r="U991" s="772"/>
      <c r="V991" s="772"/>
      <c r="W991" s="772"/>
      <c r="X991" s="772"/>
      <c r="Y991" s="772"/>
      <c r="Z991" s="772"/>
      <c r="AA991" s="772"/>
      <c r="AB991" s="772"/>
      <c r="AC991" s="772"/>
      <c r="AD991" s="772"/>
      <c r="AE991" s="772"/>
      <c r="AF991" s="772"/>
      <c r="AG991" s="772"/>
      <c r="AH991" s="772"/>
      <c r="AI991" s="772"/>
    </row>
    <row r="992" ht="15.75" customHeight="1">
      <c r="A992" s="815"/>
      <c r="B992" s="782"/>
      <c r="C992" s="782"/>
      <c r="D992" s="782"/>
      <c r="E992" s="816"/>
      <c r="F992" s="816"/>
      <c r="G992" s="816"/>
      <c r="H992" s="817"/>
      <c r="I992" s="817"/>
      <c r="J992" s="817"/>
      <c r="K992" s="818"/>
      <c r="L992" s="772"/>
      <c r="M992" s="772"/>
      <c r="N992" s="772"/>
      <c r="O992" s="772"/>
      <c r="P992" s="772"/>
      <c r="Q992" s="772"/>
      <c r="R992" s="772"/>
      <c r="S992" s="772"/>
      <c r="T992" s="772"/>
      <c r="U992" s="772"/>
      <c r="V992" s="772"/>
      <c r="W992" s="772"/>
      <c r="X992" s="772"/>
      <c r="Y992" s="772"/>
      <c r="Z992" s="772"/>
      <c r="AA992" s="772"/>
      <c r="AB992" s="772"/>
      <c r="AC992" s="772"/>
      <c r="AD992" s="772"/>
      <c r="AE992" s="772"/>
      <c r="AF992" s="772"/>
      <c r="AG992" s="772"/>
      <c r="AH992" s="772"/>
      <c r="AI992" s="772"/>
    </row>
    <row r="993" ht="15.75" customHeight="1">
      <c r="A993" s="815"/>
      <c r="B993" s="782"/>
      <c r="C993" s="782"/>
      <c r="D993" s="782"/>
      <c r="E993" s="816"/>
      <c r="F993" s="816"/>
      <c r="G993" s="816"/>
      <c r="H993" s="817"/>
      <c r="I993" s="817"/>
      <c r="J993" s="817"/>
      <c r="K993" s="818"/>
      <c r="L993" s="772"/>
      <c r="M993" s="772"/>
      <c r="N993" s="772"/>
      <c r="O993" s="772"/>
      <c r="P993" s="772"/>
      <c r="Q993" s="772"/>
      <c r="R993" s="772"/>
      <c r="S993" s="772"/>
      <c r="T993" s="772"/>
      <c r="U993" s="772"/>
      <c r="V993" s="772"/>
      <c r="W993" s="772"/>
      <c r="X993" s="772"/>
      <c r="Y993" s="772"/>
      <c r="Z993" s="772"/>
      <c r="AA993" s="772"/>
      <c r="AB993" s="772"/>
      <c r="AC993" s="772"/>
      <c r="AD993" s="772"/>
      <c r="AE993" s="772"/>
      <c r="AF993" s="772"/>
      <c r="AG993" s="772"/>
      <c r="AH993" s="772"/>
      <c r="AI993" s="772"/>
    </row>
    <row r="994" ht="15.75" customHeight="1">
      <c r="A994" s="815"/>
      <c r="B994" s="782"/>
      <c r="C994" s="782"/>
      <c r="D994" s="782"/>
      <c r="E994" s="816"/>
      <c r="F994" s="816"/>
      <c r="G994" s="816"/>
      <c r="H994" s="817"/>
      <c r="I994" s="817"/>
      <c r="J994" s="817"/>
      <c r="K994" s="818"/>
      <c r="L994" s="772"/>
      <c r="M994" s="772"/>
      <c r="N994" s="772"/>
      <c r="O994" s="772"/>
      <c r="P994" s="772"/>
      <c r="Q994" s="772"/>
      <c r="R994" s="772"/>
      <c r="S994" s="772"/>
      <c r="T994" s="772"/>
      <c r="U994" s="772"/>
      <c r="V994" s="772"/>
      <c r="W994" s="772"/>
      <c r="X994" s="772"/>
      <c r="Y994" s="772"/>
      <c r="Z994" s="772"/>
      <c r="AA994" s="772"/>
      <c r="AB994" s="772"/>
      <c r="AC994" s="772"/>
      <c r="AD994" s="772"/>
      <c r="AE994" s="772"/>
      <c r="AF994" s="772"/>
      <c r="AG994" s="772"/>
      <c r="AH994" s="772"/>
      <c r="AI994" s="772"/>
    </row>
    <row r="995" ht="15.75" customHeight="1">
      <c r="A995" s="815"/>
      <c r="B995" s="782"/>
      <c r="C995" s="782"/>
      <c r="D995" s="782"/>
      <c r="E995" s="816"/>
      <c r="F995" s="816"/>
      <c r="G995" s="816"/>
      <c r="H995" s="817"/>
      <c r="I995" s="817"/>
      <c r="J995" s="817"/>
      <c r="K995" s="818"/>
      <c r="L995" s="772"/>
      <c r="M995" s="772"/>
      <c r="N995" s="772"/>
      <c r="O995" s="772"/>
      <c r="P995" s="772"/>
      <c r="Q995" s="772"/>
      <c r="R995" s="772"/>
      <c r="S995" s="772"/>
      <c r="T995" s="772"/>
      <c r="U995" s="772"/>
      <c r="V995" s="772"/>
      <c r="W995" s="772"/>
      <c r="X995" s="772"/>
      <c r="Y995" s="772"/>
      <c r="Z995" s="772"/>
      <c r="AA995" s="772"/>
      <c r="AB995" s="772"/>
      <c r="AC995" s="772"/>
      <c r="AD995" s="772"/>
      <c r="AE995" s="772"/>
      <c r="AF995" s="772"/>
      <c r="AG995" s="772"/>
      <c r="AH995" s="772"/>
      <c r="AI995" s="772"/>
    </row>
    <row r="996" ht="15.75" customHeight="1">
      <c r="A996" s="815"/>
      <c r="B996" s="782"/>
      <c r="C996" s="782"/>
      <c r="D996" s="782"/>
      <c r="E996" s="816"/>
      <c r="F996" s="816"/>
      <c r="G996" s="816"/>
      <c r="H996" s="817"/>
      <c r="I996" s="817"/>
      <c r="J996" s="817"/>
      <c r="K996" s="818"/>
      <c r="L996" s="772"/>
      <c r="M996" s="772"/>
      <c r="N996" s="772"/>
      <c r="O996" s="772"/>
      <c r="P996" s="772"/>
      <c r="Q996" s="772"/>
      <c r="R996" s="772"/>
      <c r="S996" s="772"/>
      <c r="T996" s="772"/>
      <c r="U996" s="772"/>
      <c r="V996" s="772"/>
      <c r="W996" s="772"/>
      <c r="X996" s="772"/>
      <c r="Y996" s="772"/>
      <c r="Z996" s="772"/>
      <c r="AA996" s="772"/>
      <c r="AB996" s="772"/>
      <c r="AC996" s="772"/>
      <c r="AD996" s="772"/>
      <c r="AE996" s="772"/>
      <c r="AF996" s="772"/>
      <c r="AG996" s="772"/>
      <c r="AH996" s="772"/>
      <c r="AI996" s="772"/>
    </row>
    <row r="997" ht="15.75" customHeight="1">
      <c r="A997" s="815"/>
      <c r="B997" s="782"/>
      <c r="C997" s="782"/>
      <c r="D997" s="782"/>
      <c r="E997" s="816"/>
      <c r="F997" s="816"/>
      <c r="G997" s="816"/>
      <c r="H997" s="817"/>
      <c r="I997" s="817"/>
      <c r="J997" s="817"/>
      <c r="K997" s="818"/>
      <c r="L997" s="772"/>
      <c r="M997" s="772"/>
      <c r="N997" s="772"/>
      <c r="O997" s="772"/>
      <c r="P997" s="772"/>
      <c r="Q997" s="772"/>
      <c r="R997" s="772"/>
      <c r="S997" s="772"/>
      <c r="T997" s="772"/>
      <c r="U997" s="772"/>
      <c r="V997" s="772"/>
      <c r="W997" s="772"/>
      <c r="X997" s="772"/>
      <c r="Y997" s="772"/>
      <c r="Z997" s="772"/>
      <c r="AA997" s="772"/>
      <c r="AB997" s="772"/>
      <c r="AC997" s="772"/>
      <c r="AD997" s="772"/>
      <c r="AE997" s="772"/>
      <c r="AF997" s="772"/>
      <c r="AG997" s="772"/>
      <c r="AH997" s="772"/>
      <c r="AI997" s="772"/>
    </row>
    <row r="998" ht="15.75" customHeight="1">
      <c r="A998" s="815"/>
      <c r="B998" s="782"/>
      <c r="C998" s="782"/>
      <c r="D998" s="782"/>
      <c r="E998" s="816"/>
      <c r="F998" s="816"/>
      <c r="G998" s="816"/>
      <c r="H998" s="817"/>
      <c r="I998" s="817"/>
      <c r="J998" s="817"/>
      <c r="K998" s="818"/>
      <c r="L998" s="772"/>
      <c r="M998" s="772"/>
      <c r="N998" s="772"/>
      <c r="O998" s="772"/>
      <c r="P998" s="772"/>
      <c r="Q998" s="772"/>
      <c r="R998" s="772"/>
      <c r="S998" s="772"/>
      <c r="T998" s="772"/>
      <c r="U998" s="772"/>
      <c r="V998" s="772"/>
      <c r="W998" s="772"/>
      <c r="X998" s="772"/>
      <c r="Y998" s="772"/>
      <c r="Z998" s="772"/>
      <c r="AA998" s="772"/>
      <c r="AB998" s="772"/>
      <c r="AC998" s="772"/>
      <c r="AD998" s="772"/>
      <c r="AE998" s="772"/>
      <c r="AF998" s="772"/>
      <c r="AG998" s="772"/>
      <c r="AH998" s="772"/>
      <c r="AI998" s="772"/>
    </row>
    <row r="999" ht="15.75" customHeight="1">
      <c r="A999" s="815"/>
      <c r="B999" s="782"/>
      <c r="C999" s="782"/>
      <c r="D999" s="782"/>
      <c r="E999" s="816"/>
      <c r="F999" s="816"/>
      <c r="G999" s="816"/>
      <c r="H999" s="817"/>
      <c r="I999" s="817"/>
      <c r="J999" s="817"/>
      <c r="K999" s="818"/>
      <c r="L999" s="772"/>
      <c r="M999" s="772"/>
      <c r="N999" s="772"/>
      <c r="O999" s="772"/>
      <c r="P999" s="772"/>
      <c r="Q999" s="772"/>
      <c r="R999" s="772"/>
      <c r="S999" s="772"/>
      <c r="T999" s="772"/>
      <c r="U999" s="772"/>
      <c r="V999" s="772"/>
      <c r="W999" s="772"/>
      <c r="X999" s="772"/>
      <c r="Y999" s="772"/>
      <c r="Z999" s="772"/>
      <c r="AA999" s="772"/>
      <c r="AB999" s="772"/>
      <c r="AC999" s="772"/>
      <c r="AD999" s="772"/>
      <c r="AE999" s="772"/>
      <c r="AF999" s="772"/>
      <c r="AG999" s="772"/>
      <c r="AH999" s="772"/>
      <c r="AI999" s="772"/>
    </row>
    <row r="1000" ht="15.75" customHeight="1">
      <c r="A1000" s="815"/>
      <c r="B1000" s="782"/>
      <c r="C1000" s="782"/>
      <c r="D1000" s="782"/>
      <c r="E1000" s="816"/>
      <c r="F1000" s="816"/>
      <c r="G1000" s="816"/>
      <c r="H1000" s="817"/>
      <c r="I1000" s="817"/>
      <c r="J1000" s="817"/>
      <c r="K1000" s="818"/>
      <c r="L1000" s="772"/>
      <c r="M1000" s="772"/>
      <c r="N1000" s="772"/>
      <c r="O1000" s="772"/>
      <c r="P1000" s="772"/>
      <c r="Q1000" s="772"/>
      <c r="R1000" s="772"/>
      <c r="S1000" s="772"/>
      <c r="T1000" s="772"/>
      <c r="U1000" s="772"/>
      <c r="V1000" s="772"/>
      <c r="W1000" s="772"/>
      <c r="X1000" s="772"/>
      <c r="Y1000" s="772"/>
      <c r="Z1000" s="772"/>
      <c r="AA1000" s="772"/>
      <c r="AB1000" s="772"/>
      <c r="AC1000" s="772"/>
      <c r="AD1000" s="772"/>
      <c r="AE1000" s="772"/>
      <c r="AF1000" s="772"/>
      <c r="AG1000" s="772"/>
      <c r="AH1000" s="772"/>
      <c r="AI1000" s="772"/>
    </row>
  </sheetData>
  <mergeCells count="7">
    <mergeCell ref="A1:K1"/>
    <mergeCell ref="H2:I2"/>
    <mergeCell ref="A12:J12"/>
    <mergeCell ref="J13:K13"/>
    <mergeCell ref="J14:K14"/>
    <mergeCell ref="J15:K15"/>
    <mergeCell ref="J16:K16"/>
  </mergeCells>
  <hyperlinks>
    <hyperlink r:id="rId1" location="SOTAQUE!A1" ref="A4"/>
  </hyperlinks>
  <printOptions/>
  <pageMargins bottom="0.787401575" footer="0.0" header="0.0" left="0.511811024" right="0.511811024" top="0.787401575"/>
  <pageSetup paperSize="9" orientation="landscape"/>
  <rowBreaks count="1" manualBreakCount="1">
    <brk id="8" man="1"/>
  </rowBrea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46.57"/>
    <col customWidth="1" min="3" max="3" width="12.43"/>
    <col customWidth="1" min="4" max="4" width="13.71"/>
    <col customWidth="1" min="5" max="5" width="17.86"/>
    <col customWidth="1" min="6" max="6" width="11.71"/>
    <col customWidth="1" min="7" max="8" width="19.57"/>
    <col customWidth="1" min="9" max="9" width="24.0"/>
    <col customWidth="1" min="10" max="13" width="9.14"/>
    <col customWidth="1" hidden="1" min="14" max="14" width="11.86"/>
    <col customWidth="1" min="15" max="34" width="9.14"/>
  </cols>
  <sheetData>
    <row r="1" ht="27.75" customHeight="1">
      <c r="A1" s="770" t="s">
        <v>5260</v>
      </c>
      <c r="B1" s="771"/>
      <c r="C1" s="771"/>
      <c r="D1" s="771"/>
      <c r="E1" s="771"/>
      <c r="F1" s="771"/>
      <c r="G1" s="771"/>
      <c r="H1" s="771"/>
      <c r="I1" s="771"/>
      <c r="J1" s="772"/>
      <c r="K1" s="772"/>
      <c r="L1" s="772"/>
      <c r="M1" s="773" t="s">
        <v>5187</v>
      </c>
      <c r="N1" s="774">
        <f>TODAY()</f>
        <v>46167</v>
      </c>
      <c r="O1" s="772"/>
      <c r="P1" s="772"/>
      <c r="Q1" s="772"/>
      <c r="R1" s="772"/>
      <c r="S1" s="772"/>
      <c r="T1" s="772"/>
      <c r="U1" s="772"/>
      <c r="V1" s="772"/>
      <c r="W1" s="772"/>
      <c r="X1" s="772"/>
      <c r="Y1" s="772"/>
      <c r="Z1" s="772"/>
      <c r="AA1" s="772"/>
      <c r="AB1" s="772"/>
      <c r="AC1" s="772"/>
      <c r="AD1" s="772"/>
      <c r="AE1" s="772"/>
      <c r="AF1" s="772"/>
      <c r="AG1" s="772"/>
      <c r="AH1" s="772"/>
    </row>
    <row r="2">
      <c r="A2" s="775" t="s">
        <v>5188</v>
      </c>
      <c r="B2" s="776" t="s">
        <v>5189</v>
      </c>
      <c r="C2" s="776" t="s">
        <v>5190</v>
      </c>
      <c r="D2" s="776" t="s">
        <v>52</v>
      </c>
      <c r="E2" s="777" t="s">
        <v>5261</v>
      </c>
      <c r="F2" s="777" t="s">
        <v>2609</v>
      </c>
      <c r="G2" s="819" t="s">
        <v>5193</v>
      </c>
      <c r="H2" s="820" t="s">
        <v>5262</v>
      </c>
      <c r="I2" s="821" t="s">
        <v>20</v>
      </c>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row>
    <row r="3">
      <c r="A3" s="794" t="s">
        <v>5214</v>
      </c>
      <c r="B3" s="784" t="s">
        <v>5215</v>
      </c>
      <c r="C3" s="785" t="s">
        <v>5216</v>
      </c>
      <c r="D3" s="785" t="s">
        <v>5217</v>
      </c>
      <c r="E3" s="786">
        <v>2886412.0</v>
      </c>
      <c r="F3" s="788">
        <v>42257.0</v>
      </c>
      <c r="G3" s="789" t="s">
        <v>5218</v>
      </c>
      <c r="H3" s="793">
        <f t="shared" ref="H3:H6" si="1">E3*0.25</f>
        <v>721603</v>
      </c>
      <c r="I3" s="790"/>
      <c r="J3" s="782"/>
      <c r="K3" s="782"/>
      <c r="L3" s="782"/>
      <c r="M3" s="782"/>
      <c r="N3" s="782" t="str">
        <f t="shared" ref="N3:N34" si="2">#REF!-$N$1</f>
        <v>#REF!</v>
      </c>
      <c r="O3" s="782"/>
      <c r="P3" s="782"/>
      <c r="Q3" s="782"/>
      <c r="R3" s="782"/>
      <c r="S3" s="782"/>
      <c r="T3" s="782"/>
      <c r="U3" s="782"/>
      <c r="V3" s="782"/>
      <c r="W3" s="782"/>
      <c r="X3" s="782"/>
      <c r="Y3" s="782"/>
      <c r="Z3" s="782"/>
      <c r="AA3" s="782"/>
      <c r="AB3" s="782"/>
      <c r="AC3" s="782"/>
      <c r="AD3" s="782"/>
      <c r="AE3" s="782"/>
      <c r="AF3" s="782"/>
      <c r="AG3" s="782"/>
      <c r="AH3" s="782"/>
    </row>
    <row r="4">
      <c r="A4" s="791" t="s">
        <v>5263</v>
      </c>
      <c r="B4" s="784" t="s">
        <v>5264</v>
      </c>
      <c r="C4" s="785" t="s">
        <v>5265</v>
      </c>
      <c r="D4" s="785" t="s">
        <v>5266</v>
      </c>
      <c r="E4" s="786">
        <v>530000.0</v>
      </c>
      <c r="F4" s="788">
        <v>42093.0</v>
      </c>
      <c r="G4" s="789" t="s">
        <v>5267</v>
      </c>
      <c r="H4" s="793">
        <f t="shared" si="1"/>
        <v>132500</v>
      </c>
      <c r="I4" s="790" t="s">
        <v>5268</v>
      </c>
      <c r="J4" s="782"/>
      <c r="K4" s="782"/>
      <c r="L4" s="782"/>
      <c r="M4" s="782"/>
      <c r="N4" s="782" t="str">
        <f t="shared" si="2"/>
        <v>#REF!</v>
      </c>
      <c r="O4" s="782"/>
      <c r="P4" s="782"/>
      <c r="Q4" s="782"/>
      <c r="R4" s="782"/>
      <c r="S4" s="782"/>
      <c r="T4" s="782"/>
      <c r="U4" s="782"/>
      <c r="V4" s="782"/>
      <c r="W4" s="782"/>
      <c r="X4" s="782"/>
      <c r="Y4" s="782"/>
      <c r="Z4" s="782"/>
      <c r="AA4" s="782"/>
      <c r="AB4" s="782"/>
      <c r="AC4" s="782"/>
      <c r="AD4" s="782"/>
      <c r="AE4" s="782"/>
      <c r="AF4" s="782"/>
      <c r="AG4" s="782"/>
      <c r="AH4" s="782"/>
    </row>
    <row r="5">
      <c r="A5" s="791" t="s">
        <v>5269</v>
      </c>
      <c r="B5" s="784" t="s">
        <v>5270</v>
      </c>
      <c r="C5" s="785" t="s">
        <v>5271</v>
      </c>
      <c r="D5" s="785" t="s">
        <v>5272</v>
      </c>
      <c r="E5" s="792">
        <v>282720.0</v>
      </c>
      <c r="F5" s="788">
        <v>42361.0</v>
      </c>
      <c r="G5" s="793" t="s">
        <v>5273</v>
      </c>
      <c r="H5" s="822">
        <f t="shared" si="1"/>
        <v>70680</v>
      </c>
      <c r="I5" s="823" t="s">
        <v>5274</v>
      </c>
      <c r="J5" s="782"/>
      <c r="K5" s="782"/>
      <c r="L5" s="782"/>
      <c r="M5" s="782"/>
      <c r="N5" s="782" t="str">
        <f t="shared" si="2"/>
        <v>#REF!</v>
      </c>
      <c r="O5" s="782"/>
      <c r="P5" s="782"/>
      <c r="Q5" s="782"/>
      <c r="R5" s="782"/>
      <c r="S5" s="782"/>
      <c r="T5" s="782"/>
      <c r="U5" s="782"/>
      <c r="V5" s="782"/>
      <c r="W5" s="782"/>
      <c r="X5" s="782"/>
      <c r="Y5" s="782"/>
      <c r="Z5" s="782"/>
      <c r="AA5" s="782"/>
      <c r="AB5" s="782"/>
      <c r="AC5" s="782"/>
      <c r="AD5" s="782"/>
      <c r="AE5" s="782"/>
      <c r="AF5" s="782"/>
      <c r="AG5" s="782"/>
      <c r="AH5" s="782"/>
    </row>
    <row r="6">
      <c r="A6" s="783" t="s">
        <v>5235</v>
      </c>
      <c r="B6" s="784" t="s">
        <v>5275</v>
      </c>
      <c r="C6" s="785" t="s">
        <v>5237</v>
      </c>
      <c r="D6" s="785" t="s">
        <v>5238</v>
      </c>
      <c r="E6" s="792">
        <v>184545.0</v>
      </c>
      <c r="F6" s="788">
        <v>42583.0</v>
      </c>
      <c r="G6" s="793" t="s">
        <v>5276</v>
      </c>
      <c r="H6" s="793">
        <f t="shared" si="1"/>
        <v>46136.25</v>
      </c>
      <c r="I6" s="790"/>
      <c r="J6" s="782"/>
      <c r="K6" s="782"/>
      <c r="L6" s="782"/>
      <c r="M6" s="782"/>
      <c r="N6" s="782" t="str">
        <f t="shared" si="2"/>
        <v>#REF!</v>
      </c>
      <c r="O6" s="782"/>
      <c r="P6" s="782"/>
      <c r="Q6" s="782"/>
      <c r="R6" s="782"/>
      <c r="S6" s="782"/>
      <c r="T6" s="782"/>
      <c r="U6" s="782"/>
      <c r="V6" s="782"/>
      <c r="W6" s="782"/>
      <c r="X6" s="782"/>
      <c r="Y6" s="782"/>
      <c r="Z6" s="782"/>
      <c r="AA6" s="782"/>
      <c r="AB6" s="782"/>
      <c r="AC6" s="782"/>
      <c r="AD6" s="782"/>
      <c r="AE6" s="782"/>
      <c r="AF6" s="782"/>
      <c r="AG6" s="782"/>
      <c r="AH6" s="782"/>
    </row>
    <row r="7" ht="54.0" customHeight="1">
      <c r="A7" s="783" t="s">
        <v>5208</v>
      </c>
      <c r="B7" s="784" t="s">
        <v>5209</v>
      </c>
      <c r="C7" s="785" t="s">
        <v>5210</v>
      </c>
      <c r="D7" s="785" t="s">
        <v>5211</v>
      </c>
      <c r="E7" s="792">
        <v>200000.0</v>
      </c>
      <c r="F7" s="788">
        <v>42487.0</v>
      </c>
      <c r="G7" s="793" t="s">
        <v>5213</v>
      </c>
      <c r="H7" s="793">
        <f>E7*0.2</f>
        <v>40000</v>
      </c>
      <c r="I7" s="790" t="s">
        <v>5277</v>
      </c>
      <c r="J7" s="824"/>
      <c r="K7" s="782"/>
      <c r="L7" s="782"/>
      <c r="M7" s="782"/>
      <c r="N7" s="782" t="str">
        <f t="shared" si="2"/>
        <v>#REF!</v>
      </c>
      <c r="O7" s="782"/>
      <c r="P7" s="782"/>
      <c r="Q7" s="782"/>
      <c r="R7" s="782"/>
      <c r="S7" s="782"/>
      <c r="T7" s="782"/>
      <c r="U7" s="782"/>
      <c r="V7" s="782"/>
      <c r="W7" s="782"/>
      <c r="X7" s="782"/>
      <c r="Y7" s="782"/>
      <c r="Z7" s="782"/>
      <c r="AA7" s="782"/>
      <c r="AB7" s="782"/>
      <c r="AC7" s="782"/>
      <c r="AD7" s="782"/>
      <c r="AE7" s="782"/>
      <c r="AF7" s="782"/>
      <c r="AG7" s="782"/>
      <c r="AH7" s="782"/>
    </row>
    <row r="8">
      <c r="A8" s="791" t="s">
        <v>5278</v>
      </c>
      <c r="B8" s="784" t="s">
        <v>5279</v>
      </c>
      <c r="C8" s="785" t="s">
        <v>5280</v>
      </c>
      <c r="D8" s="785" t="s">
        <v>5281</v>
      </c>
      <c r="E8" s="792">
        <v>217800.0</v>
      </c>
      <c r="F8" s="788">
        <v>42401.0</v>
      </c>
      <c r="G8" s="793" t="s">
        <v>5282</v>
      </c>
      <c r="H8" s="793">
        <f>E8*0.1</f>
        <v>21780</v>
      </c>
      <c r="I8" s="790" t="s">
        <v>5277</v>
      </c>
      <c r="J8" s="782"/>
      <c r="K8" s="782"/>
      <c r="L8" s="782"/>
      <c r="M8" s="782"/>
      <c r="N8" s="782" t="str">
        <f t="shared" si="2"/>
        <v>#REF!</v>
      </c>
      <c r="O8" s="782"/>
      <c r="P8" s="782"/>
      <c r="Q8" s="782"/>
      <c r="R8" s="782"/>
      <c r="S8" s="782"/>
      <c r="T8" s="782"/>
      <c r="U8" s="782"/>
      <c r="V8" s="782"/>
      <c r="W8" s="782"/>
      <c r="X8" s="782"/>
      <c r="Y8" s="782"/>
      <c r="Z8" s="782"/>
      <c r="AA8" s="782"/>
      <c r="AB8" s="782"/>
      <c r="AC8" s="782"/>
      <c r="AD8" s="782"/>
      <c r="AE8" s="782"/>
      <c r="AF8" s="782"/>
      <c r="AG8" s="782"/>
      <c r="AH8" s="782"/>
    </row>
    <row r="9">
      <c r="A9" s="791" t="s">
        <v>5283</v>
      </c>
      <c r="B9" s="784" t="s">
        <v>5284</v>
      </c>
      <c r="C9" s="785" t="s">
        <v>5285</v>
      </c>
      <c r="D9" s="785" t="s">
        <v>5286</v>
      </c>
      <c r="E9" s="792">
        <v>34581.6</v>
      </c>
      <c r="F9" s="788">
        <v>42248.0</v>
      </c>
      <c r="G9" s="793" t="s">
        <v>5287</v>
      </c>
      <c r="H9" s="793">
        <f t="shared" ref="H9:H11" si="3">E9*0.25</f>
        <v>8645.4</v>
      </c>
      <c r="I9" s="790" t="s">
        <v>5288</v>
      </c>
      <c r="J9" s="782"/>
      <c r="K9" s="782"/>
      <c r="L9" s="782"/>
      <c r="M9" s="782"/>
      <c r="N9" s="782" t="str">
        <f t="shared" si="2"/>
        <v>#REF!</v>
      </c>
      <c r="O9" s="782"/>
      <c r="P9" s="782"/>
      <c r="Q9" s="782"/>
      <c r="R9" s="782"/>
      <c r="S9" s="782"/>
      <c r="T9" s="782"/>
      <c r="U9" s="782"/>
      <c r="V9" s="782"/>
      <c r="W9" s="782"/>
      <c r="X9" s="782"/>
      <c r="Y9" s="782"/>
      <c r="Z9" s="782"/>
      <c r="AA9" s="782"/>
      <c r="AB9" s="782"/>
      <c r="AC9" s="782"/>
      <c r="AD9" s="782"/>
      <c r="AE9" s="782"/>
      <c r="AF9" s="782"/>
      <c r="AG9" s="782"/>
      <c r="AH9" s="782"/>
    </row>
    <row r="10">
      <c r="A10" s="791" t="s">
        <v>5289</v>
      </c>
      <c r="B10" s="784" t="s">
        <v>5290</v>
      </c>
      <c r="C10" s="785" t="s">
        <v>5227</v>
      </c>
      <c r="D10" s="785" t="s">
        <v>5291</v>
      </c>
      <c r="E10" s="786">
        <v>16606.28</v>
      </c>
      <c r="F10" s="788">
        <v>42135.0</v>
      </c>
      <c r="G10" s="789" t="s">
        <v>5292</v>
      </c>
      <c r="H10" s="793">
        <f t="shared" si="3"/>
        <v>4151.57</v>
      </c>
      <c r="I10" s="790" t="s">
        <v>5293</v>
      </c>
      <c r="J10" s="782"/>
      <c r="K10" s="782"/>
      <c r="L10" s="782"/>
      <c r="M10" s="782"/>
      <c r="N10" s="782" t="str">
        <f t="shared" si="2"/>
        <v>#REF!</v>
      </c>
      <c r="O10" s="782"/>
      <c r="P10" s="782"/>
      <c r="Q10" s="782"/>
      <c r="R10" s="782"/>
      <c r="S10" s="782"/>
      <c r="T10" s="782"/>
      <c r="U10" s="782"/>
      <c r="V10" s="782"/>
      <c r="W10" s="782"/>
      <c r="X10" s="782"/>
      <c r="Y10" s="782"/>
      <c r="Z10" s="782"/>
      <c r="AA10" s="782"/>
      <c r="AB10" s="782"/>
      <c r="AC10" s="782"/>
      <c r="AD10" s="782"/>
      <c r="AE10" s="782"/>
      <c r="AF10" s="782"/>
      <c r="AG10" s="782"/>
      <c r="AH10" s="782"/>
    </row>
    <row r="11">
      <c r="A11" s="791" t="s">
        <v>5294</v>
      </c>
      <c r="B11" s="784" t="s">
        <v>5295</v>
      </c>
      <c r="C11" s="785" t="s">
        <v>5296</v>
      </c>
      <c r="D11" s="785" t="s">
        <v>5297</v>
      </c>
      <c r="E11" s="786">
        <v>3600.0</v>
      </c>
      <c r="F11" s="788">
        <v>42107.0</v>
      </c>
      <c r="G11" s="789" t="s">
        <v>5298</v>
      </c>
      <c r="H11" s="793">
        <f t="shared" si="3"/>
        <v>900</v>
      </c>
      <c r="I11" s="790" t="s">
        <v>5299</v>
      </c>
      <c r="J11" s="772"/>
      <c r="K11" s="772"/>
      <c r="L11" s="772"/>
      <c r="M11" s="772"/>
      <c r="N11" s="782" t="str">
        <f t="shared" si="2"/>
        <v>#REF!</v>
      </c>
      <c r="O11" s="772"/>
      <c r="P11" s="772"/>
      <c r="Q11" s="772"/>
      <c r="R11" s="772"/>
      <c r="S11" s="772"/>
      <c r="T11" s="772"/>
      <c r="U11" s="772"/>
      <c r="V11" s="772"/>
      <c r="W11" s="772"/>
      <c r="X11" s="772"/>
      <c r="Y11" s="772"/>
      <c r="Z11" s="772"/>
      <c r="AA11" s="772"/>
      <c r="AB11" s="772"/>
      <c r="AC11" s="772"/>
      <c r="AD11" s="772"/>
      <c r="AE11" s="772"/>
      <c r="AF11" s="772"/>
      <c r="AG11" s="772"/>
      <c r="AH11" s="772"/>
    </row>
    <row r="12">
      <c r="A12" s="791" t="s">
        <v>5300</v>
      </c>
      <c r="B12" s="784" t="s">
        <v>5301</v>
      </c>
      <c r="C12" s="785" t="s">
        <v>5302</v>
      </c>
      <c r="D12" s="785" t="s">
        <v>5303</v>
      </c>
      <c r="E12" s="792">
        <v>446915.85</v>
      </c>
      <c r="F12" s="788">
        <v>42311.0</v>
      </c>
      <c r="G12" s="789" t="s">
        <v>5304</v>
      </c>
      <c r="H12" s="825"/>
      <c r="I12" s="826" t="s">
        <v>5305</v>
      </c>
      <c r="J12" s="827"/>
      <c r="K12" s="782"/>
      <c r="L12" s="782"/>
      <c r="M12" s="782"/>
      <c r="N12" s="782" t="str">
        <f t="shared" si="2"/>
        <v>#REF!</v>
      </c>
      <c r="O12" s="782"/>
      <c r="P12" s="782"/>
      <c r="Q12" s="782"/>
      <c r="R12" s="782"/>
      <c r="S12" s="782"/>
      <c r="T12" s="782"/>
      <c r="U12" s="782"/>
      <c r="V12" s="782"/>
      <c r="W12" s="782"/>
      <c r="X12" s="782"/>
      <c r="Y12" s="782"/>
      <c r="Z12" s="782"/>
      <c r="AA12" s="782"/>
      <c r="AB12" s="782"/>
      <c r="AC12" s="782"/>
      <c r="AD12" s="782"/>
      <c r="AE12" s="782"/>
      <c r="AF12" s="782"/>
      <c r="AG12" s="782"/>
      <c r="AH12" s="782"/>
    </row>
    <row r="13">
      <c r="A13" s="791" t="s">
        <v>5202</v>
      </c>
      <c r="B13" s="784" t="s">
        <v>5203</v>
      </c>
      <c r="C13" s="785" t="s">
        <v>5204</v>
      </c>
      <c r="D13" s="785" t="s">
        <v>5205</v>
      </c>
      <c r="E13" s="786">
        <v>9000000.0</v>
      </c>
      <c r="F13" s="788">
        <v>41962.0</v>
      </c>
      <c r="G13" s="789" t="s">
        <v>5206</v>
      </c>
      <c r="H13" s="789"/>
      <c r="I13" s="790" t="s">
        <v>5306</v>
      </c>
      <c r="J13" s="824"/>
      <c r="K13" s="782"/>
      <c r="L13" s="782"/>
      <c r="M13" s="782"/>
      <c r="N13" s="782" t="str">
        <f t="shared" si="2"/>
        <v>#REF!</v>
      </c>
      <c r="O13" s="782"/>
      <c r="P13" s="782"/>
      <c r="Q13" s="782"/>
      <c r="R13" s="782"/>
      <c r="S13" s="782"/>
      <c r="T13" s="782"/>
      <c r="U13" s="782"/>
      <c r="V13" s="782"/>
      <c r="W13" s="782"/>
      <c r="X13" s="782"/>
      <c r="Y13" s="782"/>
      <c r="Z13" s="782"/>
      <c r="AA13" s="782"/>
      <c r="AB13" s="782"/>
      <c r="AC13" s="782"/>
      <c r="AD13" s="782"/>
      <c r="AE13" s="782"/>
      <c r="AF13" s="782"/>
      <c r="AG13" s="782"/>
      <c r="AH13" s="782"/>
    </row>
    <row r="14">
      <c r="A14" s="783" t="s">
        <v>5224</v>
      </c>
      <c r="B14" s="784" t="s">
        <v>5225</v>
      </c>
      <c r="C14" s="785" t="s">
        <v>5226</v>
      </c>
      <c r="D14" s="785" t="s">
        <v>5227</v>
      </c>
      <c r="E14" s="792">
        <v>2.645169734E7</v>
      </c>
      <c r="F14" s="788">
        <v>42335.0</v>
      </c>
      <c r="G14" s="793" t="s">
        <v>5228</v>
      </c>
      <c r="H14" s="793"/>
      <c r="I14" s="797" t="s">
        <v>5229</v>
      </c>
      <c r="J14" s="782"/>
      <c r="K14" s="782"/>
      <c r="L14" s="782"/>
      <c r="M14" s="782"/>
      <c r="N14" s="782" t="str">
        <f t="shared" si="2"/>
        <v>#REF!</v>
      </c>
      <c r="O14" s="782"/>
      <c r="P14" s="782"/>
      <c r="Q14" s="782"/>
      <c r="R14" s="782"/>
      <c r="S14" s="782"/>
      <c r="T14" s="782"/>
      <c r="U14" s="782"/>
      <c r="V14" s="782"/>
      <c r="W14" s="782"/>
      <c r="X14" s="782"/>
      <c r="Y14" s="782"/>
      <c r="Z14" s="782"/>
      <c r="AA14" s="782"/>
      <c r="AB14" s="782"/>
      <c r="AC14" s="782"/>
      <c r="AD14" s="782"/>
      <c r="AE14" s="782"/>
      <c r="AF14" s="782"/>
      <c r="AG14" s="782"/>
      <c r="AH14" s="782"/>
    </row>
    <row r="15" ht="48.75" customHeight="1">
      <c r="A15" s="783" t="s">
        <v>5307</v>
      </c>
      <c r="B15" s="828" t="s">
        <v>5308</v>
      </c>
      <c r="C15" s="785" t="s">
        <v>5309</v>
      </c>
      <c r="D15" s="785" t="s">
        <v>5232</v>
      </c>
      <c r="E15" s="792">
        <v>6760.0</v>
      </c>
      <c r="F15" s="788">
        <v>42552.0</v>
      </c>
      <c r="G15" s="793" t="s">
        <v>5310</v>
      </c>
      <c r="H15" s="793" t="s">
        <v>5311</v>
      </c>
      <c r="I15" s="790" t="s">
        <v>5312</v>
      </c>
      <c r="J15" s="782"/>
      <c r="K15" s="782"/>
      <c r="L15" s="782"/>
      <c r="M15" s="782"/>
      <c r="N15" s="782" t="str">
        <f t="shared" si="2"/>
        <v>#REF!</v>
      </c>
      <c r="O15" s="782"/>
      <c r="P15" s="782"/>
      <c r="Q15" s="782"/>
      <c r="R15" s="782"/>
      <c r="S15" s="782"/>
      <c r="T15" s="782"/>
      <c r="U15" s="782"/>
      <c r="V15" s="782"/>
      <c r="W15" s="782"/>
      <c r="X15" s="782"/>
      <c r="Y15" s="782"/>
      <c r="Z15" s="782"/>
      <c r="AA15" s="782"/>
      <c r="AB15" s="782"/>
      <c r="AC15" s="782"/>
      <c r="AD15" s="782"/>
      <c r="AE15" s="782"/>
      <c r="AF15" s="782"/>
      <c r="AG15" s="782"/>
      <c r="AH15" s="782"/>
    </row>
    <row r="16" ht="48.75" customHeight="1">
      <c r="A16" s="783" t="s">
        <v>5313</v>
      </c>
      <c r="B16" s="784" t="s">
        <v>5314</v>
      </c>
      <c r="C16" s="785" t="s">
        <v>5253</v>
      </c>
      <c r="D16" s="785" t="s">
        <v>5315</v>
      </c>
      <c r="E16" s="792">
        <v>11323.08</v>
      </c>
      <c r="F16" s="788">
        <v>42522.0</v>
      </c>
      <c r="G16" s="793" t="s">
        <v>5316</v>
      </c>
      <c r="H16" s="793" t="s">
        <v>5311</v>
      </c>
      <c r="I16" s="790" t="s">
        <v>5317</v>
      </c>
      <c r="J16" s="782"/>
      <c r="K16" s="782"/>
      <c r="L16" s="782"/>
      <c r="M16" s="782"/>
      <c r="N16" s="782" t="str">
        <f t="shared" si="2"/>
        <v>#REF!</v>
      </c>
      <c r="O16" s="782"/>
      <c r="P16" s="782"/>
      <c r="Q16" s="782"/>
      <c r="R16" s="782"/>
      <c r="S16" s="782"/>
      <c r="T16" s="782"/>
      <c r="U16" s="782"/>
      <c r="V16" s="782"/>
      <c r="W16" s="782"/>
      <c r="X16" s="782"/>
      <c r="Y16" s="782"/>
      <c r="Z16" s="782"/>
      <c r="AA16" s="782"/>
      <c r="AB16" s="782"/>
      <c r="AC16" s="782"/>
      <c r="AD16" s="782"/>
      <c r="AE16" s="782"/>
      <c r="AF16" s="782"/>
      <c r="AG16" s="782"/>
      <c r="AH16" s="782"/>
    </row>
    <row r="17" ht="48.75" customHeight="1">
      <c r="A17" s="783" t="s">
        <v>5313</v>
      </c>
      <c r="B17" s="784" t="s">
        <v>5318</v>
      </c>
      <c r="C17" s="785" t="s">
        <v>5319</v>
      </c>
      <c r="D17" s="785" t="s">
        <v>5320</v>
      </c>
      <c r="E17" s="792">
        <v>13630.32</v>
      </c>
      <c r="F17" s="788">
        <v>42522.0</v>
      </c>
      <c r="G17" s="793" t="s">
        <v>5316</v>
      </c>
      <c r="H17" s="793" t="s">
        <v>5311</v>
      </c>
      <c r="I17" s="790" t="s">
        <v>5321</v>
      </c>
      <c r="J17" s="782"/>
      <c r="K17" s="782"/>
      <c r="L17" s="782"/>
      <c r="M17" s="782"/>
      <c r="N17" s="782" t="str">
        <f t="shared" si="2"/>
        <v>#REF!</v>
      </c>
      <c r="O17" s="782"/>
      <c r="P17" s="782"/>
      <c r="Q17" s="782"/>
      <c r="R17" s="782"/>
      <c r="S17" s="782"/>
      <c r="T17" s="782"/>
      <c r="U17" s="782"/>
      <c r="V17" s="782"/>
      <c r="W17" s="782"/>
      <c r="X17" s="782"/>
      <c r="Y17" s="782"/>
      <c r="Z17" s="782"/>
      <c r="AA17" s="782"/>
      <c r="AB17" s="782"/>
      <c r="AC17" s="782"/>
      <c r="AD17" s="782"/>
      <c r="AE17" s="782"/>
      <c r="AF17" s="782"/>
      <c r="AG17" s="782"/>
      <c r="AH17" s="782"/>
    </row>
    <row r="18" ht="48.75" customHeight="1">
      <c r="A18" s="783" t="s">
        <v>5322</v>
      </c>
      <c r="B18" s="784" t="s">
        <v>5323</v>
      </c>
      <c r="C18" s="785" t="s">
        <v>5324</v>
      </c>
      <c r="D18" s="785" t="s">
        <v>5325</v>
      </c>
      <c r="E18" s="792">
        <v>5719.92</v>
      </c>
      <c r="F18" s="788">
        <v>42522.0</v>
      </c>
      <c r="G18" s="793" t="s">
        <v>5316</v>
      </c>
      <c r="H18" s="793" t="s">
        <v>5311</v>
      </c>
      <c r="I18" s="790" t="s">
        <v>5326</v>
      </c>
      <c r="J18" s="782"/>
      <c r="K18" s="782"/>
      <c r="L18" s="782"/>
      <c r="M18" s="782"/>
      <c r="N18" s="782" t="str">
        <f t="shared" si="2"/>
        <v>#REF!</v>
      </c>
      <c r="O18" s="782"/>
      <c r="P18" s="782"/>
      <c r="Q18" s="782"/>
      <c r="R18" s="782"/>
      <c r="S18" s="782"/>
      <c r="T18" s="782"/>
      <c r="U18" s="782"/>
      <c r="V18" s="782"/>
      <c r="W18" s="782"/>
      <c r="X18" s="782"/>
      <c r="Y18" s="782"/>
      <c r="Z18" s="782"/>
      <c r="AA18" s="782"/>
      <c r="AB18" s="782"/>
      <c r="AC18" s="782"/>
      <c r="AD18" s="782"/>
      <c r="AE18" s="782"/>
      <c r="AF18" s="782"/>
      <c r="AG18" s="782"/>
      <c r="AH18" s="782"/>
    </row>
    <row r="19" ht="48.75" customHeight="1">
      <c r="A19" s="783" t="s">
        <v>5327</v>
      </c>
      <c r="B19" s="784" t="s">
        <v>5328</v>
      </c>
      <c r="C19" s="785" t="s">
        <v>5329</v>
      </c>
      <c r="D19" s="785" t="s">
        <v>5330</v>
      </c>
      <c r="E19" s="792">
        <v>2628.0</v>
      </c>
      <c r="F19" s="788">
        <v>42522.0</v>
      </c>
      <c r="G19" s="793" t="s">
        <v>5316</v>
      </c>
      <c r="H19" s="793" t="s">
        <v>5311</v>
      </c>
      <c r="I19" s="790" t="s">
        <v>5331</v>
      </c>
      <c r="J19" s="782"/>
      <c r="K19" s="782"/>
      <c r="L19" s="782"/>
      <c r="M19" s="782"/>
      <c r="N19" s="782" t="str">
        <f t="shared" si="2"/>
        <v>#REF!</v>
      </c>
      <c r="O19" s="782"/>
      <c r="P19" s="782"/>
      <c r="Q19" s="782"/>
      <c r="R19" s="782"/>
      <c r="S19" s="782"/>
      <c r="T19" s="782"/>
      <c r="U19" s="782"/>
      <c r="V19" s="782"/>
      <c r="W19" s="782"/>
      <c r="X19" s="782"/>
      <c r="Y19" s="782"/>
      <c r="Z19" s="782"/>
      <c r="AA19" s="782"/>
      <c r="AB19" s="782"/>
      <c r="AC19" s="782"/>
      <c r="AD19" s="782"/>
      <c r="AE19" s="782"/>
      <c r="AF19" s="782"/>
      <c r="AG19" s="782"/>
      <c r="AH19" s="782"/>
    </row>
    <row r="20" ht="48.75" customHeight="1">
      <c r="A20" s="783" t="s">
        <v>5332</v>
      </c>
      <c r="B20" s="784" t="s">
        <v>5333</v>
      </c>
      <c r="C20" s="785" t="s">
        <v>5334</v>
      </c>
      <c r="D20" s="785" t="s">
        <v>5335</v>
      </c>
      <c r="E20" s="792">
        <v>15600.0</v>
      </c>
      <c r="F20" s="788">
        <v>42530.0</v>
      </c>
      <c r="G20" s="793" t="s">
        <v>5336</v>
      </c>
      <c r="H20" s="793" t="s">
        <v>5337</v>
      </c>
      <c r="I20" s="790" t="s">
        <v>5338</v>
      </c>
      <c r="J20" s="782"/>
      <c r="K20" s="782"/>
      <c r="L20" s="782"/>
      <c r="M20" s="782"/>
      <c r="N20" s="782" t="str">
        <f t="shared" si="2"/>
        <v>#REF!</v>
      </c>
      <c r="O20" s="782"/>
      <c r="P20" s="782"/>
      <c r="Q20" s="782"/>
      <c r="R20" s="782"/>
      <c r="S20" s="782"/>
      <c r="T20" s="782"/>
      <c r="U20" s="782"/>
      <c r="V20" s="782"/>
      <c r="W20" s="782"/>
      <c r="X20" s="782"/>
      <c r="Y20" s="782"/>
      <c r="Z20" s="782"/>
      <c r="AA20" s="782"/>
      <c r="AB20" s="782"/>
      <c r="AC20" s="782"/>
      <c r="AD20" s="782"/>
      <c r="AE20" s="782"/>
      <c r="AF20" s="782"/>
      <c r="AG20" s="782"/>
      <c r="AH20" s="782"/>
    </row>
    <row r="21" ht="15.75" customHeight="1">
      <c r="A21" s="791" t="s">
        <v>5339</v>
      </c>
      <c r="B21" s="784" t="s">
        <v>5340</v>
      </c>
      <c r="C21" s="785" t="s">
        <v>5341</v>
      </c>
      <c r="D21" s="829">
        <v>9.91238793E9</v>
      </c>
      <c r="E21" s="792">
        <v>1000.0</v>
      </c>
      <c r="F21" s="788">
        <v>42318.0</v>
      </c>
      <c r="G21" s="793" t="s">
        <v>5342</v>
      </c>
      <c r="H21" s="793" t="s">
        <v>5343</v>
      </c>
      <c r="I21" s="790" t="s">
        <v>5344</v>
      </c>
      <c r="J21" s="782"/>
      <c r="K21" s="782"/>
      <c r="L21" s="782"/>
      <c r="M21" s="782"/>
      <c r="N21" s="782" t="str">
        <f t="shared" si="2"/>
        <v>#REF!</v>
      </c>
      <c r="O21" s="782"/>
      <c r="P21" s="782"/>
      <c r="Q21" s="782"/>
      <c r="R21" s="782"/>
      <c r="S21" s="782"/>
      <c r="T21" s="782"/>
      <c r="U21" s="782"/>
      <c r="V21" s="782"/>
      <c r="W21" s="782"/>
      <c r="X21" s="782"/>
      <c r="Y21" s="782"/>
      <c r="Z21" s="782"/>
      <c r="AA21" s="782"/>
      <c r="AB21" s="782"/>
      <c r="AC21" s="782"/>
      <c r="AD21" s="782"/>
      <c r="AE21" s="782"/>
      <c r="AF21" s="782"/>
      <c r="AG21" s="782"/>
      <c r="AH21" s="782"/>
    </row>
    <row r="22" ht="15.75" customHeight="1">
      <c r="A22" s="791" t="s">
        <v>5339</v>
      </c>
      <c r="B22" s="784" t="s">
        <v>5345</v>
      </c>
      <c r="C22" s="785" t="s">
        <v>5341</v>
      </c>
      <c r="D22" s="829">
        <v>9.912387926E9</v>
      </c>
      <c r="E22" s="792">
        <v>4000.0</v>
      </c>
      <c r="F22" s="788">
        <v>42318.0</v>
      </c>
      <c r="G22" s="793" t="s">
        <v>5342</v>
      </c>
      <c r="H22" s="793" t="s">
        <v>5343</v>
      </c>
      <c r="I22" s="790" t="s">
        <v>5346</v>
      </c>
      <c r="J22" s="782"/>
      <c r="K22" s="782"/>
      <c r="L22" s="782"/>
      <c r="M22" s="782"/>
      <c r="N22" s="782" t="str">
        <f t="shared" si="2"/>
        <v>#REF!</v>
      </c>
      <c r="O22" s="782"/>
      <c r="P22" s="782"/>
      <c r="Q22" s="782"/>
      <c r="R22" s="782"/>
      <c r="S22" s="782"/>
      <c r="T22" s="782"/>
      <c r="U22" s="782"/>
      <c r="V22" s="782"/>
      <c r="W22" s="782"/>
      <c r="X22" s="782"/>
      <c r="Y22" s="782"/>
      <c r="Z22" s="782"/>
      <c r="AA22" s="782"/>
      <c r="AB22" s="782"/>
      <c r="AC22" s="782"/>
      <c r="AD22" s="782"/>
      <c r="AE22" s="782"/>
      <c r="AF22" s="782"/>
      <c r="AG22" s="782"/>
      <c r="AH22" s="782"/>
    </row>
    <row r="23" ht="39.0" customHeight="1">
      <c r="A23" s="791" t="s">
        <v>5347</v>
      </c>
      <c r="B23" s="784" t="s">
        <v>5348</v>
      </c>
      <c r="C23" s="785" t="s">
        <v>5349</v>
      </c>
      <c r="D23" s="785" t="s">
        <v>5350</v>
      </c>
      <c r="E23" s="786">
        <v>28000.0</v>
      </c>
      <c r="F23" s="788">
        <v>42090.0</v>
      </c>
      <c r="G23" s="789" t="s">
        <v>5351</v>
      </c>
      <c r="H23" s="793" t="s">
        <v>5343</v>
      </c>
      <c r="I23" s="830" t="s">
        <v>5352</v>
      </c>
      <c r="J23" s="782"/>
      <c r="K23" s="782"/>
      <c r="L23" s="782"/>
      <c r="M23" s="782"/>
      <c r="N23" s="782" t="str">
        <f t="shared" si="2"/>
        <v>#REF!</v>
      </c>
      <c r="O23" s="782"/>
      <c r="P23" s="782"/>
      <c r="Q23" s="782"/>
      <c r="R23" s="782"/>
      <c r="S23" s="782"/>
      <c r="T23" s="782"/>
      <c r="U23" s="782"/>
      <c r="V23" s="782"/>
      <c r="W23" s="782"/>
      <c r="X23" s="782"/>
      <c r="Y23" s="782"/>
      <c r="Z23" s="782"/>
      <c r="AA23" s="782"/>
      <c r="AB23" s="782"/>
      <c r="AC23" s="782"/>
      <c r="AD23" s="782"/>
      <c r="AE23" s="782"/>
      <c r="AF23" s="782"/>
      <c r="AG23" s="782"/>
      <c r="AH23" s="782"/>
    </row>
    <row r="24" ht="15.75" customHeight="1">
      <c r="A24" s="791" t="s">
        <v>5353</v>
      </c>
      <c r="B24" s="784" t="s">
        <v>5354</v>
      </c>
      <c r="C24" s="785" t="s">
        <v>5355</v>
      </c>
      <c r="D24" s="785" t="s">
        <v>5356</v>
      </c>
      <c r="E24" s="792">
        <v>2540.0</v>
      </c>
      <c r="F24" s="788">
        <v>42257.0</v>
      </c>
      <c r="G24" s="793" t="s">
        <v>5357</v>
      </c>
      <c r="H24" s="793" t="s">
        <v>5343</v>
      </c>
      <c r="I24" s="790" t="s">
        <v>5358</v>
      </c>
      <c r="J24" s="782"/>
      <c r="K24" s="782"/>
      <c r="L24" s="782"/>
      <c r="M24" s="782"/>
      <c r="N24" s="782" t="str">
        <f t="shared" si="2"/>
        <v>#REF!</v>
      </c>
      <c r="O24" s="782"/>
      <c r="P24" s="782"/>
      <c r="Q24" s="782"/>
      <c r="R24" s="782"/>
      <c r="S24" s="782"/>
      <c r="T24" s="782"/>
      <c r="U24" s="782"/>
      <c r="V24" s="782"/>
      <c r="W24" s="782"/>
      <c r="X24" s="782"/>
      <c r="Y24" s="782"/>
      <c r="Z24" s="782"/>
      <c r="AA24" s="782"/>
      <c r="AB24" s="782"/>
      <c r="AC24" s="782"/>
      <c r="AD24" s="782"/>
      <c r="AE24" s="782"/>
      <c r="AF24" s="782"/>
      <c r="AG24" s="782"/>
      <c r="AH24" s="782"/>
    </row>
    <row r="25" ht="39.0" customHeight="1">
      <c r="A25" s="791" t="s">
        <v>5359</v>
      </c>
      <c r="B25" s="784" t="s">
        <v>5360</v>
      </c>
      <c r="C25" s="785" t="s">
        <v>5361</v>
      </c>
      <c r="D25" s="785" t="s">
        <v>5362</v>
      </c>
      <c r="E25" s="786">
        <v>9192.0</v>
      </c>
      <c r="F25" s="788">
        <v>42075.0</v>
      </c>
      <c r="G25" s="789" t="s">
        <v>5363</v>
      </c>
      <c r="H25" s="789" t="s">
        <v>5343</v>
      </c>
      <c r="I25" s="790" t="s">
        <v>5364</v>
      </c>
      <c r="J25" s="782"/>
      <c r="K25" s="782"/>
      <c r="L25" s="782"/>
      <c r="M25" s="782"/>
      <c r="N25" s="782" t="str">
        <f t="shared" si="2"/>
        <v>#REF!</v>
      </c>
      <c r="O25" s="782"/>
      <c r="P25" s="782"/>
      <c r="Q25" s="782"/>
      <c r="R25" s="782"/>
      <c r="S25" s="782"/>
      <c r="T25" s="782"/>
      <c r="U25" s="782"/>
      <c r="V25" s="782"/>
      <c r="W25" s="782"/>
      <c r="X25" s="782"/>
      <c r="Y25" s="782"/>
      <c r="Z25" s="782"/>
      <c r="AA25" s="782"/>
      <c r="AB25" s="782"/>
      <c r="AC25" s="782"/>
      <c r="AD25" s="782"/>
      <c r="AE25" s="782"/>
      <c r="AF25" s="782"/>
      <c r="AG25" s="782"/>
      <c r="AH25" s="782"/>
    </row>
    <row r="26" ht="54.0" customHeight="1">
      <c r="A26" s="791" t="s">
        <v>5365</v>
      </c>
      <c r="B26" s="784" t="s">
        <v>5366</v>
      </c>
      <c r="C26" s="785" t="s">
        <v>5367</v>
      </c>
      <c r="D26" s="785" t="s">
        <v>5368</v>
      </c>
      <c r="E26" s="792">
        <v>2340.0</v>
      </c>
      <c r="F26" s="788">
        <v>42473.0</v>
      </c>
      <c r="G26" s="831" t="s">
        <v>5369</v>
      </c>
      <c r="H26" s="831" t="s">
        <v>5343</v>
      </c>
      <c r="I26" s="790" t="s">
        <v>5370</v>
      </c>
      <c r="J26" s="782"/>
      <c r="K26" s="782"/>
      <c r="L26" s="782"/>
      <c r="M26" s="782"/>
      <c r="N26" s="782" t="str">
        <f t="shared" si="2"/>
        <v>#REF!</v>
      </c>
      <c r="O26" s="782"/>
      <c r="P26" s="782"/>
      <c r="Q26" s="782"/>
      <c r="R26" s="782"/>
      <c r="S26" s="782"/>
      <c r="T26" s="782"/>
      <c r="U26" s="782"/>
      <c r="V26" s="782"/>
      <c r="W26" s="782"/>
      <c r="X26" s="782"/>
      <c r="Y26" s="782"/>
      <c r="Z26" s="782"/>
      <c r="AA26" s="782"/>
      <c r="AB26" s="782"/>
      <c r="AC26" s="782"/>
      <c r="AD26" s="782"/>
      <c r="AE26" s="782"/>
      <c r="AF26" s="782"/>
      <c r="AG26" s="782"/>
      <c r="AH26" s="782"/>
    </row>
    <row r="27" ht="15.75" customHeight="1">
      <c r="A27" s="791" t="s">
        <v>5371</v>
      </c>
      <c r="B27" s="784" t="s">
        <v>5372</v>
      </c>
      <c r="C27" s="785" t="s">
        <v>5373</v>
      </c>
      <c r="D27" s="785" t="s">
        <v>5197</v>
      </c>
      <c r="E27" s="792">
        <v>34800.0</v>
      </c>
      <c r="F27" s="788">
        <v>42275.0</v>
      </c>
      <c r="G27" s="793" t="s">
        <v>5374</v>
      </c>
      <c r="H27" s="793" t="s">
        <v>5343</v>
      </c>
      <c r="I27" s="790" t="s">
        <v>5375</v>
      </c>
      <c r="J27" s="782"/>
      <c r="K27" s="782"/>
      <c r="L27" s="782"/>
      <c r="M27" s="782"/>
      <c r="N27" s="782" t="str">
        <f t="shared" si="2"/>
        <v>#REF!</v>
      </c>
      <c r="O27" s="782"/>
      <c r="P27" s="782"/>
      <c r="Q27" s="782"/>
      <c r="R27" s="782"/>
      <c r="S27" s="782"/>
      <c r="T27" s="782"/>
      <c r="U27" s="782"/>
      <c r="V27" s="782"/>
      <c r="W27" s="782"/>
      <c r="X27" s="782"/>
      <c r="Y27" s="782"/>
      <c r="Z27" s="782"/>
      <c r="AA27" s="782"/>
      <c r="AB27" s="782"/>
      <c r="AC27" s="782"/>
      <c r="AD27" s="782"/>
      <c r="AE27" s="782"/>
      <c r="AF27" s="782"/>
      <c r="AG27" s="782"/>
      <c r="AH27" s="782"/>
    </row>
    <row r="28" ht="15.75" customHeight="1">
      <c r="A28" s="832" t="s">
        <v>5376</v>
      </c>
      <c r="B28" s="784" t="s">
        <v>5377</v>
      </c>
      <c r="C28" s="785" t="s">
        <v>5378</v>
      </c>
      <c r="D28" s="785" t="s">
        <v>5379</v>
      </c>
      <c r="E28" s="786">
        <v>5520.0</v>
      </c>
      <c r="F28" s="788">
        <v>42284.0</v>
      </c>
      <c r="G28" s="789" t="s">
        <v>5380</v>
      </c>
      <c r="H28" s="789" t="s">
        <v>5343</v>
      </c>
      <c r="I28" s="790" t="s">
        <v>5381</v>
      </c>
      <c r="J28" s="782"/>
      <c r="K28" s="782"/>
      <c r="L28" s="782"/>
      <c r="M28" s="782"/>
      <c r="N28" s="782" t="str">
        <f t="shared" si="2"/>
        <v>#REF!</v>
      </c>
      <c r="O28" s="782"/>
      <c r="P28" s="782"/>
      <c r="Q28" s="782"/>
      <c r="R28" s="782"/>
      <c r="S28" s="782"/>
      <c r="T28" s="782"/>
      <c r="U28" s="782"/>
      <c r="V28" s="782"/>
      <c r="W28" s="782"/>
      <c r="X28" s="782"/>
      <c r="Y28" s="782"/>
      <c r="Z28" s="782"/>
      <c r="AA28" s="782"/>
      <c r="AB28" s="782"/>
      <c r="AC28" s="782"/>
      <c r="AD28" s="782"/>
      <c r="AE28" s="782"/>
      <c r="AF28" s="782"/>
      <c r="AG28" s="782"/>
      <c r="AH28" s="782"/>
    </row>
    <row r="29" ht="15.75" customHeight="1">
      <c r="A29" s="791" t="s">
        <v>5382</v>
      </c>
      <c r="B29" s="784" t="s">
        <v>5383</v>
      </c>
      <c r="C29" s="785" t="s">
        <v>5384</v>
      </c>
      <c r="D29" s="785" t="s">
        <v>5385</v>
      </c>
      <c r="E29" s="792">
        <v>60000.0</v>
      </c>
      <c r="F29" s="788">
        <v>42268.0</v>
      </c>
      <c r="G29" s="793" t="s">
        <v>5386</v>
      </c>
      <c r="H29" s="793" t="s">
        <v>5343</v>
      </c>
      <c r="I29" s="833" t="s">
        <v>5387</v>
      </c>
      <c r="J29" s="782"/>
      <c r="K29" s="782"/>
      <c r="L29" s="782"/>
      <c r="M29" s="782"/>
      <c r="N29" s="782" t="str">
        <f t="shared" si="2"/>
        <v>#REF!</v>
      </c>
      <c r="O29" s="782"/>
      <c r="P29" s="782"/>
      <c r="Q29" s="782"/>
      <c r="R29" s="782"/>
      <c r="S29" s="782"/>
      <c r="T29" s="782"/>
      <c r="U29" s="782"/>
      <c r="V29" s="782"/>
      <c r="W29" s="782"/>
      <c r="X29" s="782"/>
      <c r="Y29" s="782"/>
      <c r="Z29" s="782"/>
      <c r="AA29" s="782"/>
      <c r="AB29" s="782"/>
      <c r="AC29" s="782"/>
      <c r="AD29" s="782"/>
      <c r="AE29" s="782"/>
      <c r="AF29" s="782"/>
      <c r="AG29" s="782"/>
      <c r="AH29" s="782"/>
    </row>
    <row r="30" ht="38.25" customHeight="1">
      <c r="A30" s="783" t="s">
        <v>5388</v>
      </c>
      <c r="B30" s="784" t="s">
        <v>5389</v>
      </c>
      <c r="C30" s="785" t="s">
        <v>5390</v>
      </c>
      <c r="D30" s="785" t="s">
        <v>5391</v>
      </c>
      <c r="E30" s="792">
        <v>5880.0</v>
      </c>
      <c r="F30" s="788">
        <v>42321.0</v>
      </c>
      <c r="G30" s="793" t="s">
        <v>5392</v>
      </c>
      <c r="H30" s="793" t="s">
        <v>5343</v>
      </c>
      <c r="I30" s="790" t="s">
        <v>5393</v>
      </c>
      <c r="J30" s="824"/>
      <c r="K30" s="782"/>
      <c r="L30" s="782"/>
      <c r="M30" s="782"/>
      <c r="N30" s="782" t="str">
        <f t="shared" si="2"/>
        <v>#REF!</v>
      </c>
      <c r="O30" s="782"/>
      <c r="P30" s="782"/>
      <c r="Q30" s="782"/>
      <c r="R30" s="782"/>
      <c r="S30" s="782"/>
      <c r="T30" s="782"/>
      <c r="U30" s="782"/>
      <c r="V30" s="782"/>
      <c r="W30" s="782"/>
      <c r="X30" s="782"/>
      <c r="Y30" s="782"/>
      <c r="Z30" s="782"/>
      <c r="AA30" s="782"/>
      <c r="AB30" s="782"/>
      <c r="AC30" s="782"/>
      <c r="AD30" s="782"/>
      <c r="AE30" s="782"/>
      <c r="AF30" s="782"/>
      <c r="AG30" s="782"/>
      <c r="AH30" s="782"/>
    </row>
    <row r="31" ht="48.75" customHeight="1">
      <c r="A31" s="791" t="s">
        <v>5394</v>
      </c>
      <c r="B31" s="784" t="s">
        <v>5395</v>
      </c>
      <c r="C31" s="785" t="s">
        <v>5396</v>
      </c>
      <c r="D31" s="785" t="s">
        <v>5397</v>
      </c>
      <c r="E31" s="792">
        <v>33600.0</v>
      </c>
      <c r="F31" s="788">
        <v>42241.0</v>
      </c>
      <c r="G31" s="793" t="s">
        <v>5398</v>
      </c>
      <c r="H31" s="793" t="s">
        <v>5399</v>
      </c>
      <c r="I31" s="833" t="s">
        <v>5400</v>
      </c>
      <c r="J31" s="782"/>
      <c r="K31" s="782"/>
      <c r="L31" s="782"/>
      <c r="M31" s="782"/>
      <c r="N31" s="782" t="str">
        <f t="shared" si="2"/>
        <v>#REF!</v>
      </c>
      <c r="O31" s="782"/>
      <c r="P31" s="782"/>
      <c r="Q31" s="782"/>
      <c r="R31" s="782"/>
      <c r="S31" s="782"/>
      <c r="T31" s="782"/>
      <c r="U31" s="782"/>
      <c r="V31" s="782"/>
      <c r="W31" s="782"/>
      <c r="X31" s="782"/>
      <c r="Y31" s="782"/>
      <c r="Z31" s="782"/>
      <c r="AA31" s="782"/>
      <c r="AB31" s="782"/>
      <c r="AC31" s="782"/>
      <c r="AD31" s="782"/>
      <c r="AE31" s="782"/>
      <c r="AF31" s="782"/>
      <c r="AG31" s="782"/>
      <c r="AH31" s="782"/>
    </row>
    <row r="32" ht="15.75" customHeight="1">
      <c r="A32" s="832" t="s">
        <v>5401</v>
      </c>
      <c r="B32" s="784" t="s">
        <v>5402</v>
      </c>
      <c r="C32" s="785" t="s">
        <v>5403</v>
      </c>
      <c r="D32" s="785" t="s">
        <v>5404</v>
      </c>
      <c r="E32" s="786">
        <f>(22*22*24*12)</f>
        <v>139392</v>
      </c>
      <c r="F32" s="788">
        <v>42273.0</v>
      </c>
      <c r="G32" s="789" t="s">
        <v>5405</v>
      </c>
      <c r="H32" s="793" t="s">
        <v>5399</v>
      </c>
      <c r="I32" s="833" t="s">
        <v>5406</v>
      </c>
      <c r="J32" s="782"/>
      <c r="K32" s="782"/>
      <c r="L32" s="782"/>
      <c r="M32" s="782"/>
      <c r="N32" s="782" t="str">
        <f t="shared" si="2"/>
        <v>#REF!</v>
      </c>
      <c r="O32" s="782"/>
      <c r="P32" s="782"/>
      <c r="Q32" s="782"/>
      <c r="R32" s="782"/>
      <c r="S32" s="782"/>
      <c r="T32" s="782"/>
      <c r="U32" s="782"/>
      <c r="V32" s="782"/>
      <c r="W32" s="782"/>
      <c r="X32" s="782"/>
      <c r="Y32" s="782"/>
      <c r="Z32" s="782"/>
      <c r="AA32" s="782"/>
      <c r="AB32" s="782"/>
      <c r="AC32" s="782"/>
      <c r="AD32" s="782"/>
      <c r="AE32" s="782"/>
      <c r="AF32" s="782"/>
      <c r="AG32" s="782"/>
      <c r="AH32" s="782"/>
    </row>
    <row r="33" ht="15.75" customHeight="1">
      <c r="A33" s="783" t="s">
        <v>5195</v>
      </c>
      <c r="B33" s="784" t="s">
        <v>5196</v>
      </c>
      <c r="C33" s="785" t="s">
        <v>5197</v>
      </c>
      <c r="D33" s="785" t="s">
        <v>5198</v>
      </c>
      <c r="E33" s="786">
        <v>360000.0</v>
      </c>
      <c r="F33" s="788">
        <v>42216.0</v>
      </c>
      <c r="G33" s="789" t="s">
        <v>5200</v>
      </c>
      <c r="H33" s="793" t="s">
        <v>5399</v>
      </c>
      <c r="I33" s="833" t="s">
        <v>5407</v>
      </c>
      <c r="J33" s="782"/>
      <c r="K33" s="782"/>
      <c r="L33" s="782"/>
      <c r="M33" s="782"/>
      <c r="N33" s="782" t="str">
        <f t="shared" si="2"/>
        <v>#REF!</v>
      </c>
      <c r="O33" s="782"/>
      <c r="P33" s="782"/>
      <c r="Q33" s="782"/>
      <c r="R33" s="782"/>
      <c r="S33" s="782"/>
      <c r="T33" s="782"/>
      <c r="U33" s="782"/>
      <c r="V33" s="782"/>
      <c r="W33" s="782"/>
      <c r="X33" s="782"/>
      <c r="Y33" s="782"/>
      <c r="Z33" s="782"/>
      <c r="AA33" s="782"/>
      <c r="AB33" s="782"/>
      <c r="AC33" s="782"/>
      <c r="AD33" s="782"/>
      <c r="AE33" s="782"/>
      <c r="AF33" s="782"/>
      <c r="AG33" s="782"/>
      <c r="AH33" s="782"/>
    </row>
    <row r="34" ht="15.75" customHeight="1">
      <c r="A34" s="791" t="s">
        <v>5408</v>
      </c>
      <c r="B34" s="784" t="s">
        <v>5409</v>
      </c>
      <c r="C34" s="785" t="s">
        <v>5410</v>
      </c>
      <c r="D34" s="785" t="s">
        <v>5411</v>
      </c>
      <c r="E34" s="786">
        <v>15960.0</v>
      </c>
      <c r="F34" s="788">
        <v>42198.0</v>
      </c>
      <c r="G34" s="789" t="s">
        <v>5412</v>
      </c>
      <c r="H34" s="789" t="s">
        <v>5399</v>
      </c>
      <c r="I34" s="834" t="s">
        <v>5413</v>
      </c>
      <c r="J34" s="782"/>
      <c r="K34" s="782"/>
      <c r="L34" s="782"/>
      <c r="M34" s="782"/>
      <c r="N34" s="782" t="str">
        <f t="shared" si="2"/>
        <v>#REF!</v>
      </c>
      <c r="O34" s="782"/>
      <c r="P34" s="782"/>
      <c r="Q34" s="782"/>
      <c r="R34" s="782"/>
      <c r="S34" s="782"/>
      <c r="T34" s="782"/>
      <c r="U34" s="782"/>
      <c r="V34" s="782"/>
      <c r="W34" s="782"/>
      <c r="X34" s="782"/>
      <c r="Y34" s="782"/>
      <c r="Z34" s="782"/>
      <c r="AA34" s="782"/>
      <c r="AB34" s="782"/>
      <c r="AC34" s="782"/>
      <c r="AD34" s="782"/>
      <c r="AE34" s="782"/>
      <c r="AF34" s="782"/>
      <c r="AG34" s="782"/>
      <c r="AH34" s="782"/>
    </row>
    <row r="35" ht="15.75" customHeight="1">
      <c r="A35" s="835"/>
      <c r="B35" s="8"/>
      <c r="C35" s="8"/>
      <c r="D35" s="8"/>
      <c r="E35" s="8"/>
      <c r="F35" s="8"/>
      <c r="G35" s="8"/>
      <c r="H35" s="8"/>
      <c r="I35" s="4"/>
      <c r="J35" s="772"/>
      <c r="K35" s="772"/>
      <c r="L35" s="772"/>
      <c r="M35" s="772"/>
      <c r="N35" s="782"/>
      <c r="O35" s="772"/>
      <c r="P35" s="772"/>
      <c r="Q35" s="772"/>
      <c r="R35" s="772"/>
      <c r="S35" s="772"/>
      <c r="T35" s="772"/>
      <c r="U35" s="772"/>
      <c r="V35" s="772"/>
      <c r="W35" s="772"/>
      <c r="X35" s="772"/>
      <c r="Y35" s="772"/>
      <c r="Z35" s="772"/>
      <c r="AA35" s="772"/>
      <c r="AB35" s="772"/>
      <c r="AC35" s="772"/>
      <c r="AD35" s="772"/>
      <c r="AE35" s="772"/>
      <c r="AF35" s="772"/>
      <c r="AG35" s="772"/>
      <c r="AH35" s="772"/>
    </row>
    <row r="36" ht="15.75" customHeight="1">
      <c r="A36" s="836"/>
      <c r="B36" s="837" t="s">
        <v>5414</v>
      </c>
      <c r="C36" s="836"/>
      <c r="D36" s="838"/>
      <c r="E36" s="836"/>
      <c r="F36" s="839"/>
      <c r="G36" s="836"/>
      <c r="H36" s="836"/>
      <c r="I36" s="836"/>
      <c r="J36" s="772"/>
      <c r="K36" s="772"/>
      <c r="L36" s="772"/>
      <c r="M36" s="772"/>
      <c r="N36" s="782"/>
      <c r="O36" s="772"/>
      <c r="P36" s="772"/>
      <c r="Q36" s="772"/>
      <c r="R36" s="772"/>
      <c r="S36" s="772"/>
      <c r="T36" s="772"/>
      <c r="U36" s="772"/>
      <c r="V36" s="772"/>
      <c r="W36" s="772"/>
      <c r="X36" s="772"/>
      <c r="Y36" s="772"/>
      <c r="Z36" s="772"/>
      <c r="AA36" s="772"/>
      <c r="AB36" s="772"/>
      <c r="AC36" s="772"/>
      <c r="AD36" s="772"/>
      <c r="AE36" s="772"/>
      <c r="AF36" s="772"/>
      <c r="AG36" s="772"/>
      <c r="AH36" s="772"/>
    </row>
    <row r="37" ht="15.75" customHeight="1">
      <c r="A37" s="840" t="s">
        <v>5415</v>
      </c>
      <c r="B37" s="784" t="s">
        <v>5416</v>
      </c>
      <c r="C37" s="785" t="s">
        <v>5286</v>
      </c>
      <c r="D37" s="785" t="s">
        <v>5417</v>
      </c>
      <c r="E37" s="786">
        <v>1100000.0</v>
      </c>
      <c r="F37" s="788">
        <v>42156.0</v>
      </c>
      <c r="G37" s="789" t="s">
        <v>5418</v>
      </c>
      <c r="H37" s="789"/>
      <c r="I37" s="833" t="s">
        <v>5419</v>
      </c>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row>
    <row r="38" ht="15.75" customHeight="1">
      <c r="A38" s="812" t="s">
        <v>5420</v>
      </c>
      <c r="B38" s="784" t="s">
        <v>5421</v>
      </c>
      <c r="C38" s="785" t="s">
        <v>5422</v>
      </c>
      <c r="D38" s="785" t="s">
        <v>5349</v>
      </c>
      <c r="E38" s="786">
        <v>239100.0</v>
      </c>
      <c r="F38" s="788">
        <v>42165.0</v>
      </c>
      <c r="G38" s="789" t="s">
        <v>5423</v>
      </c>
      <c r="H38" s="789"/>
      <c r="I38" s="790" t="s">
        <v>5424</v>
      </c>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row>
    <row r="39" ht="15.75" customHeight="1">
      <c r="A39" s="812" t="s">
        <v>5425</v>
      </c>
      <c r="B39" s="784" t="s">
        <v>5426</v>
      </c>
      <c r="C39" s="785" t="s">
        <v>5356</v>
      </c>
      <c r="D39" s="785" t="s">
        <v>5427</v>
      </c>
      <c r="E39" s="786">
        <f>1260000+301000</f>
        <v>1561000</v>
      </c>
      <c r="F39" s="788">
        <v>42165.0</v>
      </c>
      <c r="G39" s="789" t="s">
        <v>5428</v>
      </c>
      <c r="H39" s="789"/>
      <c r="I39" s="790" t="s">
        <v>5429</v>
      </c>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row>
    <row r="40" ht="15.75" hidden="1" customHeight="1">
      <c r="A40" s="841"/>
      <c r="B40" s="842" t="s">
        <v>5430</v>
      </c>
      <c r="C40" s="841"/>
      <c r="D40" s="843"/>
      <c r="E40" s="841"/>
      <c r="F40" s="844"/>
      <c r="G40" s="841"/>
      <c r="H40" s="841"/>
      <c r="I40" s="841"/>
      <c r="J40" s="772"/>
      <c r="K40" s="772"/>
      <c r="L40" s="772"/>
      <c r="M40" s="772"/>
      <c r="N40" s="782"/>
      <c r="O40" s="772"/>
      <c r="P40" s="772"/>
      <c r="Q40" s="772"/>
      <c r="R40" s="772"/>
      <c r="S40" s="772"/>
      <c r="T40" s="772"/>
      <c r="U40" s="772"/>
      <c r="V40" s="772"/>
      <c r="W40" s="772"/>
      <c r="X40" s="772"/>
      <c r="Y40" s="772"/>
      <c r="Z40" s="772"/>
      <c r="AA40" s="772"/>
      <c r="AB40" s="772"/>
      <c r="AC40" s="772"/>
      <c r="AD40" s="772"/>
      <c r="AE40" s="772"/>
      <c r="AF40" s="772"/>
      <c r="AG40" s="772"/>
      <c r="AH40" s="772"/>
    </row>
    <row r="41" ht="15.75" hidden="1" customHeight="1">
      <c r="A41" s="783" t="s">
        <v>5431</v>
      </c>
      <c r="B41" s="784" t="s">
        <v>5432</v>
      </c>
      <c r="C41" s="785" t="s">
        <v>5433</v>
      </c>
      <c r="D41" s="785" t="s">
        <v>5434</v>
      </c>
      <c r="E41" s="845">
        <v>15500.0</v>
      </c>
      <c r="F41" s="846">
        <v>41860.0</v>
      </c>
      <c r="G41" s="813" t="s">
        <v>5435</v>
      </c>
      <c r="H41" s="813"/>
      <c r="I41" s="847"/>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row>
    <row r="42" ht="15.75" hidden="1" customHeight="1">
      <c r="A42" s="783" t="s">
        <v>5436</v>
      </c>
      <c r="B42" s="784" t="s">
        <v>5437</v>
      </c>
      <c r="C42" s="785" t="s">
        <v>5438</v>
      </c>
      <c r="D42" s="785" t="s">
        <v>5439</v>
      </c>
      <c r="E42" s="845">
        <v>50733.0</v>
      </c>
      <c r="F42" s="846">
        <v>41519.0</v>
      </c>
      <c r="G42" s="813" t="s">
        <v>5440</v>
      </c>
      <c r="H42" s="813"/>
      <c r="I42" s="848"/>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row>
    <row r="43" ht="15.75" hidden="1" customHeight="1">
      <c r="A43" s="849" t="s">
        <v>5263</v>
      </c>
      <c r="B43" s="850" t="s">
        <v>5441</v>
      </c>
      <c r="C43" s="851" t="s">
        <v>5442</v>
      </c>
      <c r="D43" s="851" t="s">
        <v>5443</v>
      </c>
      <c r="E43" s="852">
        <v>264000.0</v>
      </c>
      <c r="F43" s="853">
        <v>41244.0</v>
      </c>
      <c r="G43" s="854" t="s">
        <v>5444</v>
      </c>
      <c r="H43" s="854"/>
      <c r="I43" s="855"/>
      <c r="J43" s="856"/>
      <c r="K43" s="856"/>
      <c r="L43" s="856"/>
      <c r="M43" s="856"/>
      <c r="N43" s="782"/>
      <c r="O43" s="856"/>
      <c r="P43" s="856"/>
      <c r="Q43" s="856"/>
      <c r="R43" s="856"/>
      <c r="S43" s="856"/>
      <c r="T43" s="856"/>
      <c r="U43" s="856"/>
      <c r="V43" s="856"/>
      <c r="W43" s="856"/>
      <c r="X43" s="856"/>
      <c r="Y43" s="856"/>
      <c r="Z43" s="856"/>
      <c r="AA43" s="856"/>
      <c r="AB43" s="856"/>
      <c r="AC43" s="856"/>
      <c r="AD43" s="856"/>
      <c r="AE43" s="856"/>
      <c r="AF43" s="856"/>
      <c r="AG43" s="856"/>
      <c r="AH43" s="856"/>
    </row>
    <row r="44" ht="15.75" hidden="1" customHeight="1">
      <c r="A44" s="783" t="s">
        <v>5445</v>
      </c>
      <c r="B44" s="784" t="s">
        <v>5446</v>
      </c>
      <c r="C44" s="785" t="s">
        <v>5447</v>
      </c>
      <c r="D44" s="785" t="s">
        <v>5248</v>
      </c>
      <c r="E44" s="845">
        <v>232800.0</v>
      </c>
      <c r="F44" s="846">
        <v>41859.0</v>
      </c>
      <c r="G44" s="813" t="s">
        <v>5448</v>
      </c>
      <c r="H44" s="813"/>
      <c r="I44" s="857"/>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row>
    <row r="45" ht="15.75" hidden="1" customHeight="1">
      <c r="A45" s="783" t="s">
        <v>5449</v>
      </c>
      <c r="B45" s="784" t="s">
        <v>5450</v>
      </c>
      <c r="C45" s="785" t="s">
        <v>5451</v>
      </c>
      <c r="D45" s="785" t="s">
        <v>5452</v>
      </c>
      <c r="E45" s="845">
        <v>15800.0</v>
      </c>
      <c r="F45" s="846">
        <v>41956.0</v>
      </c>
      <c r="G45" s="813" t="s">
        <v>5453</v>
      </c>
      <c r="H45" s="813"/>
      <c r="I45" s="857"/>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row>
    <row r="46" ht="15.75" hidden="1" customHeight="1">
      <c r="A46" s="783" t="s">
        <v>5454</v>
      </c>
      <c r="B46" s="784" t="s">
        <v>5455</v>
      </c>
      <c r="C46" s="785" t="s">
        <v>5456</v>
      </c>
      <c r="D46" s="785" t="s">
        <v>5457</v>
      </c>
      <c r="E46" s="845">
        <v>14818.0</v>
      </c>
      <c r="F46" s="846">
        <v>42003.0</v>
      </c>
      <c r="G46" s="813" t="s">
        <v>5458</v>
      </c>
      <c r="H46" s="813"/>
      <c r="I46" s="830"/>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row>
    <row r="47" ht="15.75" hidden="1" customHeight="1">
      <c r="A47" s="783" t="s">
        <v>5459</v>
      </c>
      <c r="B47" s="784" t="s">
        <v>5460</v>
      </c>
      <c r="C47" s="785" t="s">
        <v>5461</v>
      </c>
      <c r="D47" s="785" t="s">
        <v>5462</v>
      </c>
      <c r="E47" s="845">
        <v>0.0</v>
      </c>
      <c r="F47" s="846">
        <v>42072.0</v>
      </c>
      <c r="G47" s="813" t="s">
        <v>5463</v>
      </c>
      <c r="H47" s="813"/>
      <c r="I47" s="857"/>
      <c r="J47" s="772"/>
      <c r="K47" s="772"/>
      <c r="L47" s="772"/>
      <c r="M47" s="772"/>
      <c r="N47" s="782"/>
      <c r="O47" s="772"/>
      <c r="P47" s="772"/>
      <c r="Q47" s="772"/>
      <c r="R47" s="772"/>
      <c r="S47" s="772"/>
      <c r="T47" s="772"/>
      <c r="U47" s="772"/>
      <c r="V47" s="772"/>
      <c r="W47" s="772"/>
      <c r="X47" s="772"/>
      <c r="Y47" s="772"/>
      <c r="Z47" s="772"/>
      <c r="AA47" s="772"/>
      <c r="AB47" s="772"/>
      <c r="AC47" s="772"/>
      <c r="AD47" s="772"/>
      <c r="AE47" s="772"/>
      <c r="AF47" s="772"/>
      <c r="AG47" s="772"/>
      <c r="AH47" s="772"/>
    </row>
    <row r="48" ht="15.75" hidden="1" customHeight="1">
      <c r="A48" s="783" t="s">
        <v>5388</v>
      </c>
      <c r="B48" s="784" t="s">
        <v>5464</v>
      </c>
      <c r="C48" s="785" t="s">
        <v>5465</v>
      </c>
      <c r="D48" s="785" t="s">
        <v>5466</v>
      </c>
      <c r="E48" s="845">
        <v>4680.0</v>
      </c>
      <c r="F48" s="846">
        <v>41529.0</v>
      </c>
      <c r="G48" s="813" t="s">
        <v>5467</v>
      </c>
      <c r="H48" s="813"/>
      <c r="I48" s="790"/>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row>
    <row r="49" ht="15.75" hidden="1" customHeight="1">
      <c r="A49" s="858" t="s">
        <v>5468</v>
      </c>
      <c r="B49" s="784" t="s">
        <v>5469</v>
      </c>
      <c r="C49" s="785" t="s">
        <v>5470</v>
      </c>
      <c r="D49" s="785" t="s">
        <v>5471</v>
      </c>
      <c r="E49" s="845">
        <v>59998.0</v>
      </c>
      <c r="F49" s="846">
        <v>41550.0</v>
      </c>
      <c r="G49" s="813" t="s">
        <v>5472</v>
      </c>
      <c r="H49" s="813"/>
      <c r="I49" s="859"/>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row>
    <row r="50" ht="15.75" hidden="1" customHeight="1">
      <c r="A50" s="783" t="s">
        <v>5473</v>
      </c>
      <c r="B50" s="784" t="s">
        <v>5474</v>
      </c>
      <c r="C50" s="785" t="s">
        <v>5475</v>
      </c>
      <c r="D50" s="785" t="s">
        <v>5476</v>
      </c>
      <c r="E50" s="845">
        <v>20400.0</v>
      </c>
      <c r="F50" s="846">
        <v>40573.0</v>
      </c>
      <c r="G50" s="813" t="s">
        <v>5477</v>
      </c>
      <c r="H50" s="813"/>
      <c r="I50" s="830" t="s">
        <v>5478</v>
      </c>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row>
    <row r="51" ht="15.75" hidden="1" customHeight="1">
      <c r="A51" s="858" t="s">
        <v>5479</v>
      </c>
      <c r="B51" s="784" t="s">
        <v>5480</v>
      </c>
      <c r="C51" s="785" t="s">
        <v>5481</v>
      </c>
      <c r="D51" s="785" t="s">
        <v>5482</v>
      </c>
      <c r="E51" s="845">
        <v>204500.0</v>
      </c>
      <c r="F51" s="846">
        <v>41946.0</v>
      </c>
      <c r="G51" s="813" t="s">
        <v>5483</v>
      </c>
      <c r="H51" s="813"/>
      <c r="I51" s="790"/>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row>
    <row r="52" ht="15.75" hidden="1" customHeight="1">
      <c r="A52" s="783" t="s">
        <v>5484</v>
      </c>
      <c r="B52" s="784" t="s">
        <v>5485</v>
      </c>
      <c r="C52" s="785" t="s">
        <v>5486</v>
      </c>
      <c r="D52" s="785" t="s">
        <v>5487</v>
      </c>
      <c r="E52" s="792">
        <v>601050.24</v>
      </c>
      <c r="F52" s="788">
        <v>42248.0</v>
      </c>
      <c r="G52" s="793" t="s">
        <v>5488</v>
      </c>
      <c r="H52" s="793"/>
      <c r="I52" s="833" t="s">
        <v>5489</v>
      </c>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row>
    <row r="53" ht="15.75" hidden="1" customHeight="1">
      <c r="A53" s="783" t="s">
        <v>5408</v>
      </c>
      <c r="B53" s="784" t="s">
        <v>5490</v>
      </c>
      <c r="C53" s="785" t="s">
        <v>5491</v>
      </c>
      <c r="D53" s="785" t="s">
        <v>5492</v>
      </c>
      <c r="E53" s="792">
        <v>133800.0</v>
      </c>
      <c r="F53" s="788">
        <v>42334.0</v>
      </c>
      <c r="G53" s="789" t="s">
        <v>5493</v>
      </c>
      <c r="H53" s="789"/>
      <c r="I53" s="860"/>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row>
    <row r="54" ht="15.75" hidden="1" customHeight="1">
      <c r="A54" s="783" t="s">
        <v>5269</v>
      </c>
      <c r="B54" s="784" t="s">
        <v>5494</v>
      </c>
      <c r="C54" s="785" t="s">
        <v>5495</v>
      </c>
      <c r="D54" s="785" t="s">
        <v>5496</v>
      </c>
      <c r="E54" s="792">
        <v>90454.44</v>
      </c>
      <c r="F54" s="788">
        <v>42311.0</v>
      </c>
      <c r="G54" s="793" t="s">
        <v>5497</v>
      </c>
      <c r="H54" s="793"/>
      <c r="I54" s="790" t="s">
        <v>5498</v>
      </c>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row>
    <row r="55" ht="15.75" hidden="1" customHeight="1">
      <c r="A55" s="783" t="s">
        <v>5499</v>
      </c>
      <c r="B55" s="784" t="s">
        <v>5500</v>
      </c>
      <c r="C55" s="785" t="s">
        <v>5198</v>
      </c>
      <c r="D55" s="785" t="s">
        <v>5501</v>
      </c>
      <c r="E55" s="786">
        <v>3520.0</v>
      </c>
      <c r="F55" s="788">
        <v>42093.0</v>
      </c>
      <c r="G55" s="789" t="s">
        <v>5502</v>
      </c>
      <c r="H55" s="789"/>
      <c r="I55" s="833" t="s">
        <v>5503</v>
      </c>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row>
    <row r="56" ht="15.75" customHeight="1">
      <c r="A56" s="772"/>
      <c r="B56" s="772"/>
      <c r="C56" s="772"/>
      <c r="D56" s="772"/>
      <c r="E56" s="772"/>
      <c r="F56" s="772"/>
      <c r="G56" s="772"/>
      <c r="H56" s="772"/>
      <c r="I56" s="772"/>
      <c r="J56" s="772"/>
      <c r="K56" s="772"/>
      <c r="L56" s="772"/>
      <c r="M56" s="772"/>
      <c r="N56" s="772"/>
      <c r="O56" s="772"/>
      <c r="P56" s="772"/>
      <c r="Q56" s="772"/>
      <c r="R56" s="772"/>
      <c r="S56" s="772"/>
      <c r="T56" s="772"/>
      <c r="U56" s="772"/>
      <c r="V56" s="772"/>
      <c r="W56" s="772"/>
      <c r="X56" s="772"/>
      <c r="Y56" s="772"/>
      <c r="Z56" s="772"/>
      <c r="AA56" s="772"/>
      <c r="AB56" s="772"/>
      <c r="AC56" s="772"/>
      <c r="AD56" s="772"/>
      <c r="AE56" s="772"/>
      <c r="AF56" s="772"/>
      <c r="AG56" s="772"/>
      <c r="AH56" s="772"/>
    </row>
    <row r="57" ht="15.75" customHeight="1">
      <c r="A57" s="772"/>
      <c r="B57" s="772"/>
      <c r="C57" s="772"/>
      <c r="D57" s="772"/>
      <c r="E57" s="772"/>
      <c r="F57" s="772"/>
      <c r="G57" s="772"/>
      <c r="H57" s="772"/>
      <c r="I57" s="772"/>
      <c r="J57" s="772"/>
      <c r="K57" s="772"/>
      <c r="L57" s="772"/>
      <c r="M57" s="772"/>
      <c r="N57" s="772"/>
      <c r="O57" s="772"/>
      <c r="P57" s="772"/>
      <c r="Q57" s="772"/>
      <c r="R57" s="772"/>
      <c r="S57" s="772"/>
      <c r="T57" s="772"/>
      <c r="U57" s="772"/>
      <c r="V57" s="772"/>
      <c r="W57" s="772"/>
      <c r="X57" s="772"/>
      <c r="Y57" s="772"/>
      <c r="Z57" s="772"/>
      <c r="AA57" s="772"/>
      <c r="AB57" s="772"/>
      <c r="AC57" s="772"/>
      <c r="AD57" s="772"/>
      <c r="AE57" s="772"/>
      <c r="AF57" s="772"/>
      <c r="AG57" s="772"/>
      <c r="AH57" s="772"/>
    </row>
    <row r="58" ht="15.75" customHeight="1">
      <c r="A58" s="772"/>
      <c r="B58" s="772"/>
      <c r="C58" s="772"/>
      <c r="D58" s="772"/>
      <c r="E58" s="772"/>
      <c r="F58" s="772"/>
      <c r="G58" s="772"/>
      <c r="H58" s="772"/>
      <c r="I58" s="772"/>
      <c r="J58" s="772"/>
      <c r="K58" s="772"/>
      <c r="L58" s="772"/>
      <c r="M58" s="772"/>
      <c r="N58" s="772"/>
      <c r="O58" s="772"/>
      <c r="P58" s="772"/>
      <c r="Q58" s="772"/>
      <c r="R58" s="772"/>
      <c r="S58" s="772"/>
      <c r="T58" s="772"/>
      <c r="U58" s="772"/>
      <c r="V58" s="772"/>
      <c r="W58" s="772"/>
      <c r="X58" s="772"/>
      <c r="Y58" s="772"/>
      <c r="Z58" s="772"/>
      <c r="AA58" s="772"/>
      <c r="AB58" s="772"/>
      <c r="AC58" s="772"/>
      <c r="AD58" s="772"/>
      <c r="AE58" s="772"/>
      <c r="AF58" s="772"/>
      <c r="AG58" s="772"/>
      <c r="AH58" s="772"/>
    </row>
    <row r="59" ht="15.75" customHeight="1">
      <c r="A59" s="772"/>
      <c r="B59" s="772"/>
      <c r="C59" s="772"/>
      <c r="D59" s="772"/>
      <c r="E59" s="772"/>
      <c r="F59" s="772"/>
      <c r="G59" s="772"/>
      <c r="H59" s="772"/>
      <c r="I59" s="772"/>
      <c r="J59" s="772"/>
      <c r="K59" s="772"/>
      <c r="L59" s="772"/>
      <c r="M59" s="772"/>
      <c r="N59" s="772"/>
      <c r="O59" s="772"/>
      <c r="P59" s="772"/>
      <c r="Q59" s="772"/>
      <c r="R59" s="772"/>
      <c r="S59" s="772"/>
      <c r="T59" s="772"/>
      <c r="U59" s="772"/>
      <c r="V59" s="772"/>
      <c r="W59" s="772"/>
      <c r="X59" s="772"/>
      <c r="Y59" s="772"/>
      <c r="Z59" s="772"/>
      <c r="AA59" s="772"/>
      <c r="AB59" s="772"/>
      <c r="AC59" s="772"/>
      <c r="AD59" s="772"/>
      <c r="AE59" s="772"/>
      <c r="AF59" s="772"/>
      <c r="AG59" s="772"/>
      <c r="AH59" s="772"/>
    </row>
    <row r="60" ht="15.75" customHeight="1">
      <c r="A60" s="772"/>
      <c r="B60" s="772"/>
      <c r="C60" s="772"/>
      <c r="D60" s="772"/>
      <c r="E60" s="772"/>
      <c r="F60" s="772"/>
      <c r="G60" s="772"/>
      <c r="H60" s="772"/>
      <c r="I60" s="772"/>
      <c r="J60" s="772"/>
      <c r="K60" s="772"/>
      <c r="L60" s="772"/>
      <c r="M60" s="772"/>
      <c r="N60" s="772"/>
      <c r="O60" s="772"/>
      <c r="P60" s="772"/>
      <c r="Q60" s="772"/>
      <c r="R60" s="772"/>
      <c r="S60" s="772"/>
      <c r="T60" s="772"/>
      <c r="U60" s="772"/>
      <c r="V60" s="772"/>
      <c r="W60" s="772"/>
      <c r="X60" s="772"/>
      <c r="Y60" s="772"/>
      <c r="Z60" s="772"/>
      <c r="AA60" s="772"/>
      <c r="AB60" s="772"/>
      <c r="AC60" s="772"/>
      <c r="AD60" s="772"/>
      <c r="AE60" s="772"/>
      <c r="AF60" s="772"/>
      <c r="AG60" s="772"/>
      <c r="AH60" s="772"/>
    </row>
    <row r="61" ht="15.75" customHeight="1">
      <c r="A61" s="772"/>
      <c r="B61" s="772"/>
      <c r="C61" s="772"/>
      <c r="D61" s="772"/>
      <c r="E61" s="772"/>
      <c r="F61" s="772"/>
      <c r="G61" s="772"/>
      <c r="H61" s="772"/>
      <c r="I61" s="772"/>
      <c r="J61" s="772"/>
      <c r="K61" s="772"/>
      <c r="L61" s="772"/>
      <c r="M61" s="772"/>
      <c r="N61" s="772"/>
      <c r="O61" s="772"/>
      <c r="P61" s="772"/>
      <c r="Q61" s="772"/>
      <c r="R61" s="772"/>
      <c r="S61" s="772"/>
      <c r="T61" s="772"/>
      <c r="U61" s="772"/>
      <c r="V61" s="772"/>
      <c r="W61" s="772"/>
      <c r="X61" s="772"/>
      <c r="Y61" s="772"/>
      <c r="Z61" s="772"/>
      <c r="AA61" s="772"/>
      <c r="AB61" s="772"/>
      <c r="AC61" s="772"/>
      <c r="AD61" s="772"/>
      <c r="AE61" s="772"/>
      <c r="AF61" s="772"/>
      <c r="AG61" s="772"/>
      <c r="AH61" s="772"/>
    </row>
    <row r="62" ht="15.75" customHeight="1">
      <c r="A62" s="772"/>
      <c r="B62" s="772"/>
      <c r="C62" s="772"/>
      <c r="D62" s="772"/>
      <c r="E62" s="772"/>
      <c r="F62" s="772"/>
      <c r="G62" s="772"/>
      <c r="H62" s="772"/>
      <c r="I62" s="772"/>
      <c r="J62" s="772"/>
      <c r="K62" s="772"/>
      <c r="L62" s="772"/>
      <c r="M62" s="772"/>
      <c r="N62" s="772"/>
      <c r="O62" s="772"/>
      <c r="P62" s="772"/>
      <c r="Q62" s="772"/>
      <c r="R62" s="772"/>
      <c r="S62" s="772"/>
      <c r="T62" s="772"/>
      <c r="U62" s="772"/>
      <c r="V62" s="772"/>
      <c r="W62" s="772"/>
      <c r="X62" s="772"/>
      <c r="Y62" s="772"/>
      <c r="Z62" s="772"/>
      <c r="AA62" s="772"/>
      <c r="AB62" s="772"/>
      <c r="AC62" s="772"/>
      <c r="AD62" s="772"/>
      <c r="AE62" s="772"/>
      <c r="AF62" s="772"/>
      <c r="AG62" s="772"/>
      <c r="AH62" s="772"/>
    </row>
    <row r="63" ht="15.75" customHeight="1">
      <c r="A63" s="772"/>
      <c r="B63" s="772"/>
      <c r="C63" s="772"/>
      <c r="D63" s="772"/>
      <c r="E63" s="772"/>
      <c r="F63" s="772"/>
      <c r="G63" s="772"/>
      <c r="H63" s="772"/>
      <c r="I63" s="772"/>
      <c r="J63" s="772"/>
      <c r="K63" s="772"/>
      <c r="L63" s="772"/>
      <c r="M63" s="772"/>
      <c r="N63" s="772"/>
      <c r="O63" s="772"/>
      <c r="P63" s="772"/>
      <c r="Q63" s="772"/>
      <c r="R63" s="772"/>
      <c r="S63" s="772"/>
      <c r="T63" s="772"/>
      <c r="U63" s="772"/>
      <c r="V63" s="772"/>
      <c r="W63" s="772"/>
      <c r="X63" s="772"/>
      <c r="Y63" s="772"/>
      <c r="Z63" s="772"/>
      <c r="AA63" s="772"/>
      <c r="AB63" s="772"/>
      <c r="AC63" s="772"/>
      <c r="AD63" s="772"/>
      <c r="AE63" s="772"/>
      <c r="AF63" s="772"/>
      <c r="AG63" s="772"/>
      <c r="AH63" s="772"/>
    </row>
    <row r="64" ht="15.75" customHeight="1">
      <c r="A64" s="772"/>
      <c r="B64" s="772"/>
      <c r="C64" s="772"/>
      <c r="D64" s="772"/>
      <c r="E64" s="772"/>
      <c r="F64" s="772"/>
      <c r="G64" s="772"/>
      <c r="H64" s="772"/>
      <c r="I64" s="772"/>
      <c r="J64" s="772"/>
      <c r="K64" s="772"/>
      <c r="L64" s="772"/>
      <c r="M64" s="772"/>
      <c r="N64" s="772"/>
      <c r="O64" s="772"/>
      <c r="P64" s="772"/>
      <c r="Q64" s="772"/>
      <c r="R64" s="772"/>
      <c r="S64" s="772"/>
      <c r="T64" s="772"/>
      <c r="U64" s="772"/>
      <c r="V64" s="772"/>
      <c r="W64" s="772"/>
      <c r="X64" s="772"/>
      <c r="Y64" s="772"/>
      <c r="Z64" s="772"/>
      <c r="AA64" s="772"/>
      <c r="AB64" s="772"/>
      <c r="AC64" s="772"/>
      <c r="AD64" s="772"/>
      <c r="AE64" s="772"/>
      <c r="AF64" s="772"/>
      <c r="AG64" s="772"/>
      <c r="AH64" s="772"/>
    </row>
    <row r="65" ht="15.75" customHeight="1">
      <c r="A65" s="772"/>
      <c r="B65" s="772"/>
      <c r="C65" s="772"/>
      <c r="D65" s="772"/>
      <c r="E65" s="772"/>
      <c r="F65" s="772"/>
      <c r="G65" s="772"/>
      <c r="H65" s="772"/>
      <c r="I65" s="772"/>
      <c r="J65" s="772"/>
      <c r="K65" s="772"/>
      <c r="L65" s="772"/>
      <c r="M65" s="772"/>
      <c r="N65" s="772"/>
      <c r="O65" s="772"/>
      <c r="P65" s="772"/>
      <c r="Q65" s="772"/>
      <c r="R65" s="772"/>
      <c r="S65" s="772"/>
      <c r="T65" s="772"/>
      <c r="U65" s="772"/>
      <c r="V65" s="772"/>
      <c r="W65" s="772"/>
      <c r="X65" s="772"/>
      <c r="Y65" s="772"/>
      <c r="Z65" s="772"/>
      <c r="AA65" s="772"/>
      <c r="AB65" s="772"/>
      <c r="AC65" s="772"/>
      <c r="AD65" s="772"/>
      <c r="AE65" s="772"/>
      <c r="AF65" s="772"/>
      <c r="AG65" s="772"/>
      <c r="AH65" s="772"/>
    </row>
    <row r="66" ht="15.75" customHeight="1">
      <c r="A66" s="772"/>
      <c r="B66" s="772"/>
      <c r="C66" s="772"/>
      <c r="D66" s="772"/>
      <c r="E66" s="772"/>
      <c r="F66" s="772"/>
      <c r="G66" s="772"/>
      <c r="H66" s="772"/>
      <c r="I66" s="772"/>
      <c r="J66" s="772"/>
      <c r="K66" s="772"/>
      <c r="L66" s="772"/>
      <c r="M66" s="772"/>
      <c r="N66" s="772"/>
      <c r="O66" s="772"/>
      <c r="P66" s="772"/>
      <c r="Q66" s="772"/>
      <c r="R66" s="772"/>
      <c r="S66" s="772"/>
      <c r="T66" s="772"/>
      <c r="U66" s="772"/>
      <c r="V66" s="772"/>
      <c r="W66" s="772"/>
      <c r="X66" s="772"/>
      <c r="Y66" s="772"/>
      <c r="Z66" s="772"/>
      <c r="AA66" s="772"/>
      <c r="AB66" s="772"/>
      <c r="AC66" s="772"/>
      <c r="AD66" s="772"/>
      <c r="AE66" s="772"/>
      <c r="AF66" s="772"/>
      <c r="AG66" s="772"/>
      <c r="AH66" s="772"/>
    </row>
    <row r="67" ht="15.75" customHeight="1">
      <c r="A67" s="772"/>
      <c r="B67" s="772"/>
      <c r="C67" s="772"/>
      <c r="D67" s="772"/>
      <c r="E67" s="772"/>
      <c r="F67" s="772"/>
      <c r="G67" s="772"/>
      <c r="H67" s="772"/>
      <c r="I67" s="772"/>
      <c r="J67" s="772"/>
      <c r="K67" s="772"/>
      <c r="L67" s="772"/>
      <c r="M67" s="772"/>
      <c r="N67" s="772"/>
      <c r="O67" s="772"/>
      <c r="P67" s="772"/>
      <c r="Q67" s="772"/>
      <c r="R67" s="772"/>
      <c r="S67" s="772"/>
      <c r="T67" s="772"/>
      <c r="U67" s="772"/>
      <c r="V67" s="772"/>
      <c r="W67" s="772"/>
      <c r="X67" s="772"/>
      <c r="Y67" s="772"/>
      <c r="Z67" s="772"/>
      <c r="AA67" s="772"/>
      <c r="AB67" s="772"/>
      <c r="AC67" s="772"/>
      <c r="AD67" s="772"/>
      <c r="AE67" s="772"/>
      <c r="AF67" s="772"/>
      <c r="AG67" s="772"/>
      <c r="AH67" s="772"/>
    </row>
    <row r="68" ht="15.75" customHeight="1">
      <c r="A68" s="772"/>
      <c r="B68" s="772"/>
      <c r="C68" s="772"/>
      <c r="D68" s="772"/>
      <c r="E68" s="772"/>
      <c r="F68" s="772"/>
      <c r="G68" s="772"/>
      <c r="H68" s="772"/>
      <c r="I68" s="772"/>
      <c r="J68" s="772"/>
      <c r="K68" s="772"/>
      <c r="L68" s="772"/>
      <c r="M68" s="772"/>
      <c r="N68" s="772"/>
      <c r="O68" s="772"/>
      <c r="P68" s="772"/>
      <c r="Q68" s="772"/>
      <c r="R68" s="772"/>
      <c r="S68" s="772"/>
      <c r="T68" s="772"/>
      <c r="U68" s="772"/>
      <c r="V68" s="772"/>
      <c r="W68" s="772"/>
      <c r="X68" s="772"/>
      <c r="Y68" s="772"/>
      <c r="Z68" s="772"/>
      <c r="AA68" s="772"/>
      <c r="AB68" s="772"/>
      <c r="AC68" s="772"/>
      <c r="AD68" s="772"/>
      <c r="AE68" s="772"/>
      <c r="AF68" s="772"/>
      <c r="AG68" s="772"/>
      <c r="AH68" s="772"/>
    </row>
    <row r="69" ht="15.75" customHeight="1">
      <c r="A69" s="772"/>
      <c r="B69" s="772"/>
      <c r="C69" s="772"/>
      <c r="D69" s="772"/>
      <c r="E69" s="772"/>
      <c r="F69" s="772"/>
      <c r="G69" s="772"/>
      <c r="H69" s="772"/>
      <c r="I69" s="772"/>
      <c r="J69" s="772"/>
      <c r="K69" s="772"/>
      <c r="L69" s="772"/>
      <c r="M69" s="772"/>
      <c r="N69" s="772"/>
      <c r="O69" s="772"/>
      <c r="P69" s="772"/>
      <c r="Q69" s="772"/>
      <c r="R69" s="772"/>
      <c r="S69" s="772"/>
      <c r="T69" s="772"/>
      <c r="U69" s="772"/>
      <c r="V69" s="772"/>
      <c r="W69" s="772"/>
      <c r="X69" s="772"/>
      <c r="Y69" s="772"/>
      <c r="Z69" s="772"/>
      <c r="AA69" s="772"/>
      <c r="AB69" s="772"/>
      <c r="AC69" s="772"/>
      <c r="AD69" s="772"/>
      <c r="AE69" s="772"/>
      <c r="AF69" s="772"/>
      <c r="AG69" s="772"/>
      <c r="AH69" s="772"/>
    </row>
    <row r="70" ht="15.75" customHeight="1">
      <c r="A70" s="772"/>
      <c r="B70" s="772"/>
      <c r="C70" s="772"/>
      <c r="D70" s="772"/>
      <c r="E70" s="772"/>
      <c r="F70" s="772"/>
      <c r="G70" s="772"/>
      <c r="H70" s="772"/>
      <c r="I70" s="772"/>
      <c r="J70" s="772"/>
      <c r="K70" s="772"/>
      <c r="L70" s="772"/>
      <c r="M70" s="772"/>
      <c r="N70" s="772"/>
      <c r="O70" s="772"/>
      <c r="P70" s="772"/>
      <c r="Q70" s="772"/>
      <c r="R70" s="772"/>
      <c r="S70" s="772"/>
      <c r="T70" s="772"/>
      <c r="U70" s="772"/>
      <c r="V70" s="772"/>
      <c r="W70" s="772"/>
      <c r="X70" s="772"/>
      <c r="Y70" s="772"/>
      <c r="Z70" s="772"/>
      <c r="AA70" s="772"/>
      <c r="AB70" s="772"/>
      <c r="AC70" s="772"/>
      <c r="AD70" s="772"/>
      <c r="AE70" s="772"/>
      <c r="AF70" s="772"/>
      <c r="AG70" s="772"/>
      <c r="AH70" s="772"/>
    </row>
    <row r="71" ht="15.75" customHeight="1">
      <c r="A71" s="772"/>
      <c r="B71" s="772"/>
      <c r="C71" s="772"/>
      <c r="D71" s="772"/>
      <c r="E71" s="772"/>
      <c r="F71" s="772"/>
      <c r="G71" s="772"/>
      <c r="H71" s="772"/>
      <c r="I71" s="772"/>
      <c r="J71" s="772"/>
      <c r="K71" s="772"/>
      <c r="L71" s="772"/>
      <c r="M71" s="772"/>
      <c r="N71" s="772"/>
      <c r="O71" s="772"/>
      <c r="P71" s="772"/>
      <c r="Q71" s="772"/>
      <c r="R71" s="772"/>
      <c r="S71" s="772"/>
      <c r="T71" s="772"/>
      <c r="U71" s="772"/>
      <c r="V71" s="772"/>
      <c r="W71" s="772"/>
      <c r="X71" s="772"/>
      <c r="Y71" s="772"/>
      <c r="Z71" s="772"/>
      <c r="AA71" s="772"/>
      <c r="AB71" s="772"/>
      <c r="AC71" s="772"/>
      <c r="AD71" s="772"/>
      <c r="AE71" s="772"/>
      <c r="AF71" s="772"/>
      <c r="AG71" s="772"/>
      <c r="AH71" s="772"/>
    </row>
    <row r="72" ht="15.75" customHeight="1">
      <c r="A72" s="772"/>
      <c r="B72" s="772"/>
      <c r="C72" s="772"/>
      <c r="D72" s="772"/>
      <c r="E72" s="772"/>
      <c r="F72" s="772"/>
      <c r="G72" s="772"/>
      <c r="H72" s="772"/>
      <c r="I72" s="772"/>
      <c r="J72" s="772"/>
      <c r="K72" s="772"/>
      <c r="L72" s="772"/>
      <c r="M72" s="772"/>
      <c r="N72" s="772"/>
      <c r="O72" s="772"/>
      <c r="P72" s="772"/>
      <c r="Q72" s="772"/>
      <c r="R72" s="772"/>
      <c r="S72" s="772"/>
      <c r="T72" s="772"/>
      <c r="U72" s="772"/>
      <c r="V72" s="772"/>
      <c r="W72" s="772"/>
      <c r="X72" s="772"/>
      <c r="Y72" s="772"/>
      <c r="Z72" s="772"/>
      <c r="AA72" s="772"/>
      <c r="AB72" s="772"/>
      <c r="AC72" s="772"/>
      <c r="AD72" s="772"/>
      <c r="AE72" s="772"/>
      <c r="AF72" s="772"/>
      <c r="AG72" s="772"/>
      <c r="AH72" s="772"/>
    </row>
    <row r="73" ht="15.75" customHeight="1">
      <c r="A73" s="772"/>
      <c r="B73" s="772"/>
      <c r="C73" s="772"/>
      <c r="D73" s="772"/>
      <c r="E73" s="772"/>
      <c r="F73" s="772"/>
      <c r="G73" s="772"/>
      <c r="H73" s="772"/>
      <c r="I73" s="772"/>
      <c r="J73" s="772"/>
      <c r="K73" s="772"/>
      <c r="L73" s="772"/>
      <c r="M73" s="772"/>
      <c r="N73" s="772"/>
      <c r="O73" s="772"/>
      <c r="P73" s="772"/>
      <c r="Q73" s="772"/>
      <c r="R73" s="772"/>
      <c r="S73" s="772"/>
      <c r="T73" s="772"/>
      <c r="U73" s="772"/>
      <c r="V73" s="772"/>
      <c r="W73" s="772"/>
      <c r="X73" s="772"/>
      <c r="Y73" s="772"/>
      <c r="Z73" s="772"/>
      <c r="AA73" s="772"/>
      <c r="AB73" s="772"/>
      <c r="AC73" s="772"/>
      <c r="AD73" s="772"/>
      <c r="AE73" s="772"/>
      <c r="AF73" s="772"/>
      <c r="AG73" s="772"/>
      <c r="AH73" s="772"/>
    </row>
    <row r="74" ht="15.75" customHeight="1">
      <c r="A74" s="772"/>
      <c r="B74" s="772"/>
      <c r="C74" s="772"/>
      <c r="D74" s="772"/>
      <c r="E74" s="772"/>
      <c r="F74" s="772"/>
      <c r="G74" s="772"/>
      <c r="H74" s="772"/>
      <c r="I74" s="772"/>
      <c r="J74" s="772"/>
      <c r="K74" s="772"/>
      <c r="L74" s="772"/>
      <c r="M74" s="772"/>
      <c r="N74" s="772"/>
      <c r="O74" s="772"/>
      <c r="P74" s="772"/>
      <c r="Q74" s="772"/>
      <c r="R74" s="772"/>
      <c r="S74" s="772"/>
      <c r="T74" s="772"/>
      <c r="U74" s="772"/>
      <c r="V74" s="772"/>
      <c r="W74" s="772"/>
      <c r="X74" s="772"/>
      <c r="Y74" s="772"/>
      <c r="Z74" s="772"/>
      <c r="AA74" s="772"/>
      <c r="AB74" s="772"/>
      <c r="AC74" s="772"/>
      <c r="AD74" s="772"/>
      <c r="AE74" s="772"/>
      <c r="AF74" s="772"/>
      <c r="AG74" s="772"/>
      <c r="AH74" s="772"/>
    </row>
    <row r="75" ht="15.75" customHeight="1">
      <c r="A75" s="772"/>
      <c r="B75" s="772"/>
      <c r="C75" s="772"/>
      <c r="D75" s="772"/>
      <c r="E75" s="772"/>
      <c r="F75" s="772"/>
      <c r="G75" s="772"/>
      <c r="H75" s="772"/>
      <c r="I75" s="772"/>
      <c r="J75" s="772"/>
      <c r="K75" s="772"/>
      <c r="L75" s="772"/>
      <c r="M75" s="772"/>
      <c r="N75" s="772"/>
      <c r="O75" s="772"/>
      <c r="P75" s="772"/>
      <c r="Q75" s="772"/>
      <c r="R75" s="772"/>
      <c r="S75" s="772"/>
      <c r="T75" s="772"/>
      <c r="U75" s="772"/>
      <c r="V75" s="772"/>
      <c r="W75" s="772"/>
      <c r="X75" s="772"/>
      <c r="Y75" s="772"/>
      <c r="Z75" s="772"/>
      <c r="AA75" s="772"/>
      <c r="AB75" s="772"/>
      <c r="AC75" s="772"/>
      <c r="AD75" s="772"/>
      <c r="AE75" s="772"/>
      <c r="AF75" s="772"/>
      <c r="AG75" s="772"/>
      <c r="AH75" s="772"/>
    </row>
    <row r="76" ht="15.75" customHeight="1">
      <c r="A76" s="772"/>
      <c r="B76" s="772"/>
      <c r="C76" s="772"/>
      <c r="D76" s="772"/>
      <c r="E76" s="772"/>
      <c r="F76" s="772"/>
      <c r="G76" s="772"/>
      <c r="H76" s="772"/>
      <c r="I76" s="772"/>
      <c r="J76" s="772"/>
      <c r="K76" s="772"/>
      <c r="L76" s="772"/>
      <c r="M76" s="772"/>
      <c r="N76" s="772"/>
      <c r="O76" s="772"/>
      <c r="P76" s="772"/>
      <c r="Q76" s="772"/>
      <c r="R76" s="772"/>
      <c r="S76" s="772"/>
      <c r="T76" s="772"/>
      <c r="U76" s="772"/>
      <c r="V76" s="772"/>
      <c r="W76" s="772"/>
      <c r="X76" s="772"/>
      <c r="Y76" s="772"/>
      <c r="Z76" s="772"/>
      <c r="AA76" s="772"/>
      <c r="AB76" s="772"/>
      <c r="AC76" s="772"/>
      <c r="AD76" s="772"/>
      <c r="AE76" s="772"/>
      <c r="AF76" s="772"/>
      <c r="AG76" s="772"/>
      <c r="AH76" s="772"/>
    </row>
    <row r="77" ht="15.75" customHeight="1">
      <c r="A77" s="772"/>
      <c r="B77" s="772"/>
      <c r="C77" s="772"/>
      <c r="D77" s="772"/>
      <c r="E77" s="772"/>
      <c r="F77" s="772"/>
      <c r="G77" s="772"/>
      <c r="H77" s="772"/>
      <c r="I77" s="772"/>
      <c r="J77" s="772"/>
      <c r="K77" s="772"/>
      <c r="L77" s="772"/>
      <c r="M77" s="772"/>
      <c r="N77" s="772"/>
      <c r="O77" s="772"/>
      <c r="P77" s="772"/>
      <c r="Q77" s="772"/>
      <c r="R77" s="772"/>
      <c r="S77" s="772"/>
      <c r="T77" s="772"/>
      <c r="U77" s="772"/>
      <c r="V77" s="772"/>
      <c r="W77" s="772"/>
      <c r="X77" s="772"/>
      <c r="Y77" s="772"/>
      <c r="Z77" s="772"/>
      <c r="AA77" s="772"/>
      <c r="AB77" s="772"/>
      <c r="AC77" s="772"/>
      <c r="AD77" s="772"/>
      <c r="AE77" s="772"/>
      <c r="AF77" s="772"/>
      <c r="AG77" s="772"/>
      <c r="AH77" s="772"/>
    </row>
    <row r="78" ht="15.75" customHeight="1">
      <c r="A78" s="772"/>
      <c r="B78" s="772"/>
      <c r="C78" s="772"/>
      <c r="D78" s="772"/>
      <c r="E78" s="772"/>
      <c r="F78" s="772"/>
      <c r="G78" s="772"/>
      <c r="H78" s="772"/>
      <c r="I78" s="772"/>
      <c r="J78" s="772"/>
      <c r="K78" s="772"/>
      <c r="L78" s="772"/>
      <c r="M78" s="772"/>
      <c r="N78" s="772"/>
      <c r="O78" s="772"/>
      <c r="P78" s="772"/>
      <c r="Q78" s="772"/>
      <c r="R78" s="772"/>
      <c r="S78" s="772"/>
      <c r="T78" s="772"/>
      <c r="U78" s="772"/>
      <c r="V78" s="772"/>
      <c r="W78" s="772"/>
      <c r="X78" s="772"/>
      <c r="Y78" s="772"/>
      <c r="Z78" s="772"/>
      <c r="AA78" s="772"/>
      <c r="AB78" s="772"/>
      <c r="AC78" s="772"/>
      <c r="AD78" s="772"/>
      <c r="AE78" s="772"/>
      <c r="AF78" s="772"/>
      <c r="AG78" s="772"/>
      <c r="AH78" s="772"/>
    </row>
    <row r="79" ht="15.75" customHeight="1">
      <c r="A79" s="772"/>
      <c r="B79" s="772"/>
      <c r="C79" s="772"/>
      <c r="D79" s="772"/>
      <c r="E79" s="772"/>
      <c r="F79" s="772"/>
      <c r="G79" s="772"/>
      <c r="H79" s="772"/>
      <c r="I79" s="772"/>
      <c r="J79" s="772"/>
      <c r="K79" s="772"/>
      <c r="L79" s="772"/>
      <c r="M79" s="772"/>
      <c r="N79" s="772"/>
      <c r="O79" s="772"/>
      <c r="P79" s="772"/>
      <c r="Q79" s="772"/>
      <c r="R79" s="772"/>
      <c r="S79" s="772"/>
      <c r="T79" s="772"/>
      <c r="U79" s="772"/>
      <c r="V79" s="772"/>
      <c r="W79" s="772"/>
      <c r="X79" s="772"/>
      <c r="Y79" s="772"/>
      <c r="Z79" s="772"/>
      <c r="AA79" s="772"/>
      <c r="AB79" s="772"/>
      <c r="AC79" s="772"/>
      <c r="AD79" s="772"/>
      <c r="AE79" s="772"/>
      <c r="AF79" s="772"/>
      <c r="AG79" s="772"/>
      <c r="AH79" s="772"/>
    </row>
    <row r="80" ht="15.75" customHeight="1">
      <c r="A80" s="772"/>
      <c r="B80" s="772"/>
      <c r="C80" s="772"/>
      <c r="D80" s="772"/>
      <c r="E80" s="772"/>
      <c r="F80" s="772"/>
      <c r="G80" s="772"/>
      <c r="H80" s="772"/>
      <c r="I80" s="772"/>
      <c r="J80" s="772"/>
      <c r="K80" s="772"/>
      <c r="L80" s="772"/>
      <c r="M80" s="772"/>
      <c r="N80" s="772"/>
      <c r="O80" s="772"/>
      <c r="P80" s="772"/>
      <c r="Q80" s="772"/>
      <c r="R80" s="772"/>
      <c r="S80" s="772"/>
      <c r="T80" s="772"/>
      <c r="U80" s="772"/>
      <c r="V80" s="772"/>
      <c r="W80" s="772"/>
      <c r="X80" s="772"/>
      <c r="Y80" s="772"/>
      <c r="Z80" s="772"/>
      <c r="AA80" s="772"/>
      <c r="AB80" s="772"/>
      <c r="AC80" s="772"/>
      <c r="AD80" s="772"/>
      <c r="AE80" s="772"/>
      <c r="AF80" s="772"/>
      <c r="AG80" s="772"/>
      <c r="AH80" s="772"/>
    </row>
    <row r="81" ht="15.75" customHeight="1">
      <c r="A81" s="772"/>
      <c r="B81" s="772"/>
      <c r="C81" s="772"/>
      <c r="D81" s="772"/>
      <c r="E81" s="772"/>
      <c r="F81" s="772"/>
      <c r="G81" s="772"/>
      <c r="H81" s="772"/>
      <c r="I81" s="772"/>
      <c r="J81" s="772"/>
      <c r="K81" s="772"/>
      <c r="L81" s="772"/>
      <c r="M81" s="772"/>
      <c r="N81" s="772"/>
      <c r="O81" s="772"/>
      <c r="P81" s="772"/>
      <c r="Q81" s="772"/>
      <c r="R81" s="772"/>
      <c r="S81" s="772"/>
      <c r="T81" s="772"/>
      <c r="U81" s="772"/>
      <c r="V81" s="772"/>
      <c r="W81" s="772"/>
      <c r="X81" s="772"/>
      <c r="Y81" s="772"/>
      <c r="Z81" s="772"/>
      <c r="AA81" s="772"/>
      <c r="AB81" s="772"/>
      <c r="AC81" s="772"/>
      <c r="AD81" s="772"/>
      <c r="AE81" s="772"/>
      <c r="AF81" s="772"/>
      <c r="AG81" s="772"/>
      <c r="AH81" s="772"/>
    </row>
    <row r="82" ht="15.75" customHeight="1">
      <c r="A82" s="772"/>
      <c r="B82" s="772"/>
      <c r="C82" s="772"/>
      <c r="D82" s="772"/>
      <c r="E82" s="772"/>
      <c r="F82" s="772"/>
      <c r="G82" s="772"/>
      <c r="H82" s="772"/>
      <c r="I82" s="772"/>
      <c r="J82" s="772"/>
      <c r="K82" s="772"/>
      <c r="L82" s="772"/>
      <c r="M82" s="772"/>
      <c r="N82" s="772"/>
      <c r="O82" s="772"/>
      <c r="P82" s="772"/>
      <c r="Q82" s="772"/>
      <c r="R82" s="772"/>
      <c r="S82" s="772"/>
      <c r="T82" s="772"/>
      <c r="U82" s="772"/>
      <c r="V82" s="772"/>
      <c r="W82" s="772"/>
      <c r="X82" s="772"/>
      <c r="Y82" s="772"/>
      <c r="Z82" s="772"/>
      <c r="AA82" s="772"/>
      <c r="AB82" s="772"/>
      <c r="AC82" s="772"/>
      <c r="AD82" s="772"/>
      <c r="AE82" s="772"/>
      <c r="AF82" s="772"/>
      <c r="AG82" s="772"/>
      <c r="AH82" s="772"/>
    </row>
    <row r="83" ht="15.75" customHeight="1">
      <c r="A83" s="772"/>
      <c r="B83" s="772"/>
      <c r="C83" s="772"/>
      <c r="D83" s="772"/>
      <c r="E83" s="772"/>
      <c r="F83" s="772"/>
      <c r="G83" s="772"/>
      <c r="H83" s="772"/>
      <c r="I83" s="772"/>
      <c r="J83" s="772"/>
      <c r="K83" s="772"/>
      <c r="L83" s="772"/>
      <c r="M83" s="772"/>
      <c r="N83" s="772"/>
      <c r="O83" s="772"/>
      <c r="P83" s="772"/>
      <c r="Q83" s="772"/>
      <c r="R83" s="772"/>
      <c r="S83" s="772"/>
      <c r="T83" s="772"/>
      <c r="U83" s="772"/>
      <c r="V83" s="772"/>
      <c r="W83" s="772"/>
      <c r="X83" s="772"/>
      <c r="Y83" s="772"/>
      <c r="Z83" s="772"/>
      <c r="AA83" s="772"/>
      <c r="AB83" s="772"/>
      <c r="AC83" s="772"/>
      <c r="AD83" s="772"/>
      <c r="AE83" s="772"/>
      <c r="AF83" s="772"/>
      <c r="AG83" s="772"/>
      <c r="AH83" s="772"/>
    </row>
    <row r="84" ht="15.75" customHeight="1">
      <c r="A84" s="772"/>
      <c r="B84" s="772"/>
      <c r="C84" s="772"/>
      <c r="D84" s="772"/>
      <c r="E84" s="772"/>
      <c r="F84" s="772"/>
      <c r="G84" s="772"/>
      <c r="H84" s="772"/>
      <c r="I84" s="772"/>
      <c r="J84" s="772"/>
      <c r="K84" s="772"/>
      <c r="L84" s="772"/>
      <c r="M84" s="772"/>
      <c r="N84" s="772"/>
      <c r="O84" s="772"/>
      <c r="P84" s="772"/>
      <c r="Q84" s="772"/>
      <c r="R84" s="772"/>
      <c r="S84" s="772"/>
      <c r="T84" s="772"/>
      <c r="U84" s="772"/>
      <c r="V84" s="772"/>
      <c r="W84" s="772"/>
      <c r="X84" s="772"/>
      <c r="Y84" s="772"/>
      <c r="Z84" s="772"/>
      <c r="AA84" s="772"/>
      <c r="AB84" s="772"/>
      <c r="AC84" s="772"/>
      <c r="AD84" s="772"/>
      <c r="AE84" s="772"/>
      <c r="AF84" s="772"/>
      <c r="AG84" s="772"/>
      <c r="AH84" s="772"/>
    </row>
    <row r="85" ht="15.75" customHeight="1">
      <c r="A85" s="772"/>
      <c r="B85" s="772"/>
      <c r="C85" s="772"/>
      <c r="D85" s="772"/>
      <c r="E85" s="772"/>
      <c r="F85" s="772"/>
      <c r="G85" s="772"/>
      <c r="H85" s="772"/>
      <c r="I85" s="772"/>
      <c r="J85" s="772"/>
      <c r="K85" s="772"/>
      <c r="L85" s="772"/>
      <c r="M85" s="772"/>
      <c r="N85" s="772"/>
      <c r="O85" s="772"/>
      <c r="P85" s="772"/>
      <c r="Q85" s="772"/>
      <c r="R85" s="772"/>
      <c r="S85" s="772"/>
      <c r="T85" s="772"/>
      <c r="U85" s="772"/>
      <c r="V85" s="772"/>
      <c r="W85" s="772"/>
      <c r="X85" s="772"/>
      <c r="Y85" s="772"/>
      <c r="Z85" s="772"/>
      <c r="AA85" s="772"/>
      <c r="AB85" s="772"/>
      <c r="AC85" s="772"/>
      <c r="AD85" s="772"/>
      <c r="AE85" s="772"/>
      <c r="AF85" s="772"/>
      <c r="AG85" s="772"/>
      <c r="AH85" s="772"/>
    </row>
    <row r="86" ht="15.75" customHeight="1">
      <c r="A86" s="772"/>
      <c r="B86" s="772"/>
      <c r="C86" s="772"/>
      <c r="D86" s="772"/>
      <c r="E86" s="772"/>
      <c r="F86" s="772"/>
      <c r="G86" s="772"/>
      <c r="H86" s="772"/>
      <c r="I86" s="772"/>
      <c r="J86" s="772"/>
      <c r="K86" s="772"/>
      <c r="L86" s="772"/>
      <c r="M86" s="772"/>
      <c r="N86" s="772"/>
      <c r="O86" s="772"/>
      <c r="P86" s="772"/>
      <c r="Q86" s="772"/>
      <c r="R86" s="772"/>
      <c r="S86" s="772"/>
      <c r="T86" s="772"/>
      <c r="U86" s="772"/>
      <c r="V86" s="772"/>
      <c r="W86" s="772"/>
      <c r="X86" s="772"/>
      <c r="Y86" s="772"/>
      <c r="Z86" s="772"/>
      <c r="AA86" s="772"/>
      <c r="AB86" s="772"/>
      <c r="AC86" s="772"/>
      <c r="AD86" s="772"/>
      <c r="AE86" s="772"/>
      <c r="AF86" s="772"/>
      <c r="AG86" s="772"/>
      <c r="AH86" s="772"/>
    </row>
    <row r="87" ht="15.75" customHeight="1">
      <c r="A87" s="772"/>
      <c r="B87" s="772"/>
      <c r="C87" s="772"/>
      <c r="D87" s="772"/>
      <c r="E87" s="772"/>
      <c r="F87" s="772"/>
      <c r="G87" s="772"/>
      <c r="H87" s="772"/>
      <c r="I87" s="772"/>
      <c r="J87" s="772"/>
      <c r="K87" s="772"/>
      <c r="L87" s="772"/>
      <c r="M87" s="772"/>
      <c r="N87" s="772"/>
      <c r="O87" s="772"/>
      <c r="P87" s="772"/>
      <c r="Q87" s="772"/>
      <c r="R87" s="772"/>
      <c r="S87" s="772"/>
      <c r="T87" s="772"/>
      <c r="U87" s="772"/>
      <c r="V87" s="772"/>
      <c r="W87" s="772"/>
      <c r="X87" s="772"/>
      <c r="Y87" s="772"/>
      <c r="Z87" s="772"/>
      <c r="AA87" s="772"/>
      <c r="AB87" s="772"/>
      <c r="AC87" s="772"/>
      <c r="AD87" s="772"/>
      <c r="AE87" s="772"/>
      <c r="AF87" s="772"/>
      <c r="AG87" s="772"/>
      <c r="AH87" s="772"/>
    </row>
    <row r="88" ht="15.75" customHeight="1">
      <c r="A88" s="772"/>
      <c r="B88" s="772"/>
      <c r="C88" s="772"/>
      <c r="D88" s="772"/>
      <c r="E88" s="772"/>
      <c r="F88" s="772"/>
      <c r="G88" s="772"/>
      <c r="H88" s="772"/>
      <c r="I88" s="772"/>
      <c r="J88" s="772"/>
      <c r="K88" s="772"/>
      <c r="L88" s="772"/>
      <c r="M88" s="772"/>
      <c r="N88" s="772"/>
      <c r="O88" s="772"/>
      <c r="P88" s="772"/>
      <c r="Q88" s="772"/>
      <c r="R88" s="772"/>
      <c r="S88" s="772"/>
      <c r="T88" s="772"/>
      <c r="U88" s="772"/>
      <c r="V88" s="772"/>
      <c r="W88" s="772"/>
      <c r="X88" s="772"/>
      <c r="Y88" s="772"/>
      <c r="Z88" s="772"/>
      <c r="AA88" s="772"/>
      <c r="AB88" s="772"/>
      <c r="AC88" s="772"/>
      <c r="AD88" s="772"/>
      <c r="AE88" s="772"/>
      <c r="AF88" s="772"/>
      <c r="AG88" s="772"/>
      <c r="AH88" s="772"/>
    </row>
    <row r="89" ht="15.75" customHeight="1">
      <c r="A89" s="772"/>
      <c r="B89" s="772"/>
      <c r="C89" s="772"/>
      <c r="D89" s="772"/>
      <c r="E89" s="772"/>
      <c r="F89" s="772"/>
      <c r="G89" s="772"/>
      <c r="H89" s="772"/>
      <c r="I89" s="772"/>
      <c r="J89" s="772"/>
      <c r="K89" s="772"/>
      <c r="L89" s="772"/>
      <c r="M89" s="772"/>
      <c r="N89" s="772"/>
      <c r="O89" s="772"/>
      <c r="P89" s="772"/>
      <c r="Q89" s="772"/>
      <c r="R89" s="772"/>
      <c r="S89" s="772"/>
      <c r="T89" s="772"/>
      <c r="U89" s="772"/>
      <c r="V89" s="772"/>
      <c r="W89" s="772"/>
      <c r="X89" s="772"/>
      <c r="Y89" s="772"/>
      <c r="Z89" s="772"/>
      <c r="AA89" s="772"/>
      <c r="AB89" s="772"/>
      <c r="AC89" s="772"/>
      <c r="AD89" s="772"/>
      <c r="AE89" s="772"/>
      <c r="AF89" s="772"/>
      <c r="AG89" s="772"/>
      <c r="AH89" s="772"/>
    </row>
    <row r="90" ht="15.75" customHeight="1">
      <c r="A90" s="772"/>
      <c r="B90" s="772"/>
      <c r="C90" s="772"/>
      <c r="D90" s="772"/>
      <c r="E90" s="772"/>
      <c r="F90" s="772"/>
      <c r="G90" s="772"/>
      <c r="H90" s="772"/>
      <c r="I90" s="772"/>
      <c r="J90" s="772"/>
      <c r="K90" s="772"/>
      <c r="L90" s="772"/>
      <c r="M90" s="772"/>
      <c r="N90" s="772"/>
      <c r="O90" s="772"/>
      <c r="P90" s="772"/>
      <c r="Q90" s="772"/>
      <c r="R90" s="772"/>
      <c r="S90" s="772"/>
      <c r="T90" s="772"/>
      <c r="U90" s="772"/>
      <c r="V90" s="772"/>
      <c r="W90" s="772"/>
      <c r="X90" s="772"/>
      <c r="Y90" s="772"/>
      <c r="Z90" s="772"/>
      <c r="AA90" s="772"/>
      <c r="AB90" s="772"/>
      <c r="AC90" s="772"/>
      <c r="AD90" s="772"/>
      <c r="AE90" s="772"/>
      <c r="AF90" s="772"/>
      <c r="AG90" s="772"/>
      <c r="AH90" s="772"/>
    </row>
    <row r="91" ht="15.75" customHeight="1">
      <c r="A91" s="772"/>
      <c r="B91" s="772"/>
      <c r="C91" s="772"/>
      <c r="D91" s="772"/>
      <c r="E91" s="772"/>
      <c r="F91" s="772"/>
      <c r="G91" s="772"/>
      <c r="H91" s="772"/>
      <c r="I91" s="772"/>
      <c r="J91" s="772"/>
      <c r="K91" s="772"/>
      <c r="L91" s="772"/>
      <c r="M91" s="772"/>
      <c r="N91" s="772"/>
      <c r="O91" s="772"/>
      <c r="P91" s="772"/>
      <c r="Q91" s="772"/>
      <c r="R91" s="772"/>
      <c r="S91" s="772"/>
      <c r="T91" s="772"/>
      <c r="U91" s="772"/>
      <c r="V91" s="772"/>
      <c r="W91" s="772"/>
      <c r="X91" s="772"/>
      <c r="Y91" s="772"/>
      <c r="Z91" s="772"/>
      <c r="AA91" s="772"/>
      <c r="AB91" s="772"/>
      <c r="AC91" s="772"/>
      <c r="AD91" s="772"/>
      <c r="AE91" s="772"/>
      <c r="AF91" s="772"/>
      <c r="AG91" s="772"/>
      <c r="AH91" s="772"/>
    </row>
    <row r="92" ht="15.75" customHeight="1">
      <c r="A92" s="772"/>
      <c r="B92" s="772"/>
      <c r="C92" s="772"/>
      <c r="D92" s="772"/>
      <c r="E92" s="772"/>
      <c r="F92" s="772"/>
      <c r="G92" s="772"/>
      <c r="H92" s="772"/>
      <c r="I92" s="772"/>
      <c r="J92" s="772"/>
      <c r="K92" s="772"/>
      <c r="L92" s="772"/>
      <c r="M92" s="772"/>
      <c r="N92" s="772"/>
      <c r="O92" s="772"/>
      <c r="P92" s="772"/>
      <c r="Q92" s="772"/>
      <c r="R92" s="772"/>
      <c r="S92" s="772"/>
      <c r="T92" s="772"/>
      <c r="U92" s="772"/>
      <c r="V92" s="772"/>
      <c r="W92" s="772"/>
      <c r="X92" s="772"/>
      <c r="Y92" s="772"/>
      <c r="Z92" s="772"/>
      <c r="AA92" s="772"/>
      <c r="AB92" s="772"/>
      <c r="AC92" s="772"/>
      <c r="AD92" s="772"/>
      <c r="AE92" s="772"/>
      <c r="AF92" s="772"/>
      <c r="AG92" s="772"/>
      <c r="AH92" s="772"/>
    </row>
    <row r="93" ht="15.75" customHeight="1">
      <c r="A93" s="772"/>
      <c r="B93" s="772"/>
      <c r="C93" s="772"/>
      <c r="D93" s="772"/>
      <c r="E93" s="772"/>
      <c r="F93" s="772"/>
      <c r="G93" s="772"/>
      <c r="H93" s="772"/>
      <c r="I93" s="772"/>
      <c r="J93" s="772"/>
      <c r="K93" s="772"/>
      <c r="L93" s="772"/>
      <c r="M93" s="772"/>
      <c r="N93" s="772"/>
      <c r="O93" s="772"/>
      <c r="P93" s="772"/>
      <c r="Q93" s="772"/>
      <c r="R93" s="772"/>
      <c r="S93" s="772"/>
      <c r="T93" s="772"/>
      <c r="U93" s="772"/>
      <c r="V93" s="772"/>
      <c r="W93" s="772"/>
      <c r="X93" s="772"/>
      <c r="Y93" s="772"/>
      <c r="Z93" s="772"/>
      <c r="AA93" s="772"/>
      <c r="AB93" s="772"/>
      <c r="AC93" s="772"/>
      <c r="AD93" s="772"/>
      <c r="AE93" s="772"/>
      <c r="AF93" s="772"/>
      <c r="AG93" s="772"/>
      <c r="AH93" s="772"/>
    </row>
    <row r="94" ht="15.75" customHeight="1">
      <c r="A94" s="772"/>
      <c r="B94" s="772"/>
      <c r="C94" s="772"/>
      <c r="D94" s="772"/>
      <c r="E94" s="772"/>
      <c r="F94" s="772"/>
      <c r="G94" s="772"/>
      <c r="H94" s="772"/>
      <c r="I94" s="772"/>
      <c r="J94" s="772"/>
      <c r="K94" s="772"/>
      <c r="L94" s="772"/>
      <c r="M94" s="772"/>
      <c r="N94" s="772"/>
      <c r="O94" s="772"/>
      <c r="P94" s="772"/>
      <c r="Q94" s="772"/>
      <c r="R94" s="772"/>
      <c r="S94" s="772"/>
      <c r="T94" s="772"/>
      <c r="U94" s="772"/>
      <c r="V94" s="772"/>
      <c r="W94" s="772"/>
      <c r="X94" s="772"/>
      <c r="Y94" s="772"/>
      <c r="Z94" s="772"/>
      <c r="AA94" s="772"/>
      <c r="AB94" s="772"/>
      <c r="AC94" s="772"/>
      <c r="AD94" s="772"/>
      <c r="AE94" s="772"/>
      <c r="AF94" s="772"/>
      <c r="AG94" s="772"/>
      <c r="AH94" s="772"/>
    </row>
    <row r="95" ht="15.75" customHeight="1">
      <c r="A95" s="772"/>
      <c r="B95" s="772"/>
      <c r="C95" s="772"/>
      <c r="D95" s="772"/>
      <c r="E95" s="772"/>
      <c r="F95" s="772"/>
      <c r="G95" s="772"/>
      <c r="H95" s="772"/>
      <c r="I95" s="772"/>
      <c r="J95" s="772"/>
      <c r="K95" s="772"/>
      <c r="L95" s="772"/>
      <c r="M95" s="772"/>
      <c r="N95" s="772"/>
      <c r="O95" s="772"/>
      <c r="P95" s="772"/>
      <c r="Q95" s="772"/>
      <c r="R95" s="772"/>
      <c r="S95" s="772"/>
      <c r="T95" s="772"/>
      <c r="U95" s="772"/>
      <c r="V95" s="772"/>
      <c r="W95" s="772"/>
      <c r="X95" s="772"/>
      <c r="Y95" s="772"/>
      <c r="Z95" s="772"/>
      <c r="AA95" s="772"/>
      <c r="AB95" s="772"/>
      <c r="AC95" s="772"/>
      <c r="AD95" s="772"/>
      <c r="AE95" s="772"/>
      <c r="AF95" s="772"/>
      <c r="AG95" s="772"/>
      <c r="AH95" s="772"/>
    </row>
    <row r="96" ht="15.75" customHeight="1">
      <c r="A96" s="772"/>
      <c r="B96" s="772"/>
      <c r="C96" s="772"/>
      <c r="D96" s="772"/>
      <c r="E96" s="772"/>
      <c r="F96" s="772"/>
      <c r="G96" s="772"/>
      <c r="H96" s="772"/>
      <c r="I96" s="772"/>
      <c r="J96" s="772"/>
      <c r="K96" s="772"/>
      <c r="L96" s="772"/>
      <c r="M96" s="772"/>
      <c r="N96" s="772"/>
      <c r="O96" s="772"/>
      <c r="P96" s="772"/>
      <c r="Q96" s="772"/>
      <c r="R96" s="772"/>
      <c r="S96" s="772"/>
      <c r="T96" s="772"/>
      <c r="U96" s="772"/>
      <c r="V96" s="772"/>
      <c r="W96" s="772"/>
      <c r="X96" s="772"/>
      <c r="Y96" s="772"/>
      <c r="Z96" s="772"/>
      <c r="AA96" s="772"/>
      <c r="AB96" s="772"/>
      <c r="AC96" s="772"/>
      <c r="AD96" s="772"/>
      <c r="AE96" s="772"/>
      <c r="AF96" s="772"/>
      <c r="AG96" s="772"/>
      <c r="AH96" s="772"/>
    </row>
    <row r="97" ht="15.75" customHeight="1">
      <c r="A97" s="772"/>
      <c r="B97" s="772"/>
      <c r="C97" s="772"/>
      <c r="D97" s="772"/>
      <c r="E97" s="772"/>
      <c r="F97" s="772"/>
      <c r="G97" s="772"/>
      <c r="H97" s="772"/>
      <c r="I97" s="772"/>
      <c r="J97" s="772"/>
      <c r="K97" s="772"/>
      <c r="L97" s="772"/>
      <c r="M97" s="772"/>
      <c r="N97" s="772"/>
      <c r="O97" s="772"/>
      <c r="P97" s="772"/>
      <c r="Q97" s="772"/>
      <c r="R97" s="772"/>
      <c r="S97" s="772"/>
      <c r="T97" s="772"/>
      <c r="U97" s="772"/>
      <c r="V97" s="772"/>
      <c r="W97" s="772"/>
      <c r="X97" s="772"/>
      <c r="Y97" s="772"/>
      <c r="Z97" s="772"/>
      <c r="AA97" s="772"/>
      <c r="AB97" s="772"/>
      <c r="AC97" s="772"/>
      <c r="AD97" s="772"/>
      <c r="AE97" s="772"/>
      <c r="AF97" s="772"/>
      <c r="AG97" s="772"/>
      <c r="AH97" s="772"/>
    </row>
    <row r="98" ht="15.75" customHeight="1">
      <c r="A98" s="772"/>
      <c r="B98" s="772"/>
      <c r="C98" s="772"/>
      <c r="D98" s="772"/>
      <c r="E98" s="772"/>
      <c r="F98" s="772"/>
      <c r="G98" s="772"/>
      <c r="H98" s="772"/>
      <c r="I98" s="772"/>
      <c r="J98" s="772"/>
      <c r="K98" s="772"/>
      <c r="L98" s="772"/>
      <c r="M98" s="772"/>
      <c r="N98" s="772"/>
      <c r="O98" s="772"/>
      <c r="P98" s="772"/>
      <c r="Q98" s="772"/>
      <c r="R98" s="772"/>
      <c r="S98" s="772"/>
      <c r="T98" s="772"/>
      <c r="U98" s="772"/>
      <c r="V98" s="772"/>
      <c r="W98" s="772"/>
      <c r="X98" s="772"/>
      <c r="Y98" s="772"/>
      <c r="Z98" s="772"/>
      <c r="AA98" s="772"/>
      <c r="AB98" s="772"/>
      <c r="AC98" s="772"/>
      <c r="AD98" s="772"/>
      <c r="AE98" s="772"/>
      <c r="AF98" s="772"/>
      <c r="AG98" s="772"/>
      <c r="AH98" s="772"/>
    </row>
    <row r="99" ht="15.75" customHeight="1">
      <c r="A99" s="772"/>
      <c r="B99" s="772"/>
      <c r="C99" s="772"/>
      <c r="D99" s="772"/>
      <c r="E99" s="772"/>
      <c r="F99" s="772"/>
      <c r="G99" s="772"/>
      <c r="H99" s="772"/>
      <c r="I99" s="772"/>
      <c r="J99" s="772"/>
      <c r="K99" s="772"/>
      <c r="L99" s="772"/>
      <c r="M99" s="772"/>
      <c r="N99" s="772"/>
      <c r="O99" s="772"/>
      <c r="P99" s="772"/>
      <c r="Q99" s="772"/>
      <c r="R99" s="772"/>
      <c r="S99" s="772"/>
      <c r="T99" s="772"/>
      <c r="U99" s="772"/>
      <c r="V99" s="772"/>
      <c r="W99" s="772"/>
      <c r="X99" s="772"/>
      <c r="Y99" s="772"/>
      <c r="Z99" s="772"/>
      <c r="AA99" s="772"/>
      <c r="AB99" s="772"/>
      <c r="AC99" s="772"/>
      <c r="AD99" s="772"/>
      <c r="AE99" s="772"/>
      <c r="AF99" s="772"/>
      <c r="AG99" s="772"/>
      <c r="AH99" s="772"/>
    </row>
    <row r="100" ht="15.75" customHeight="1">
      <c r="A100" s="772"/>
      <c r="B100" s="772"/>
      <c r="C100" s="772"/>
      <c r="D100" s="772"/>
      <c r="E100" s="772"/>
      <c r="F100" s="772"/>
      <c r="G100" s="772"/>
      <c r="H100" s="772"/>
      <c r="I100" s="772"/>
      <c r="J100" s="772"/>
      <c r="K100" s="772"/>
      <c r="L100" s="772"/>
      <c r="M100" s="772"/>
      <c r="N100" s="772"/>
      <c r="O100" s="772"/>
      <c r="P100" s="772"/>
      <c r="Q100" s="772"/>
      <c r="R100" s="772"/>
      <c r="S100" s="772"/>
      <c r="T100" s="772"/>
      <c r="U100" s="772"/>
      <c r="V100" s="772"/>
      <c r="W100" s="772"/>
      <c r="X100" s="772"/>
      <c r="Y100" s="772"/>
      <c r="Z100" s="772"/>
      <c r="AA100" s="772"/>
      <c r="AB100" s="772"/>
      <c r="AC100" s="772"/>
      <c r="AD100" s="772"/>
      <c r="AE100" s="772"/>
      <c r="AF100" s="772"/>
      <c r="AG100" s="772"/>
      <c r="AH100" s="772"/>
    </row>
    <row r="101" ht="15.75" customHeight="1">
      <c r="A101" s="772"/>
      <c r="B101" s="772"/>
      <c r="C101" s="772"/>
      <c r="D101" s="772"/>
      <c r="E101" s="772"/>
      <c r="F101" s="772"/>
      <c r="G101" s="772"/>
      <c r="H101" s="772"/>
      <c r="I101" s="772"/>
      <c r="J101" s="772"/>
      <c r="K101" s="772"/>
      <c r="L101" s="772"/>
      <c r="M101" s="772"/>
      <c r="N101" s="772"/>
      <c r="O101" s="772"/>
      <c r="P101" s="772"/>
      <c r="Q101" s="772"/>
      <c r="R101" s="772"/>
      <c r="S101" s="772"/>
      <c r="T101" s="772"/>
      <c r="U101" s="772"/>
      <c r="V101" s="772"/>
      <c r="W101" s="772"/>
      <c r="X101" s="772"/>
      <c r="Y101" s="772"/>
      <c r="Z101" s="772"/>
      <c r="AA101" s="772"/>
      <c r="AB101" s="772"/>
      <c r="AC101" s="772"/>
      <c r="AD101" s="772"/>
      <c r="AE101" s="772"/>
      <c r="AF101" s="772"/>
      <c r="AG101" s="772"/>
      <c r="AH101" s="772"/>
    </row>
    <row r="102" ht="15.75" customHeight="1">
      <c r="A102" s="772"/>
      <c r="B102" s="772"/>
      <c r="C102" s="772"/>
      <c r="D102" s="772"/>
      <c r="E102" s="772"/>
      <c r="F102" s="772"/>
      <c r="G102" s="772"/>
      <c r="H102" s="772"/>
      <c r="I102" s="772"/>
      <c r="J102" s="772"/>
      <c r="K102" s="772"/>
      <c r="L102" s="772"/>
      <c r="M102" s="772"/>
      <c r="N102" s="772"/>
      <c r="O102" s="772"/>
      <c r="P102" s="772"/>
      <c r="Q102" s="772"/>
      <c r="R102" s="772"/>
      <c r="S102" s="772"/>
      <c r="T102" s="772"/>
      <c r="U102" s="772"/>
      <c r="V102" s="772"/>
      <c r="W102" s="772"/>
      <c r="X102" s="772"/>
      <c r="Y102" s="772"/>
      <c r="Z102" s="772"/>
      <c r="AA102" s="772"/>
      <c r="AB102" s="772"/>
      <c r="AC102" s="772"/>
      <c r="AD102" s="772"/>
      <c r="AE102" s="772"/>
      <c r="AF102" s="772"/>
      <c r="AG102" s="772"/>
      <c r="AH102" s="772"/>
    </row>
    <row r="103" ht="15.75" customHeight="1">
      <c r="A103" s="772"/>
      <c r="B103" s="772"/>
      <c r="C103" s="772"/>
      <c r="D103" s="772"/>
      <c r="E103" s="772"/>
      <c r="F103" s="772"/>
      <c r="G103" s="772"/>
      <c r="H103" s="772"/>
      <c r="I103" s="772"/>
      <c r="J103" s="772"/>
      <c r="K103" s="772"/>
      <c r="L103" s="772"/>
      <c r="M103" s="772"/>
      <c r="N103" s="772"/>
      <c r="O103" s="772"/>
      <c r="P103" s="772"/>
      <c r="Q103" s="772"/>
      <c r="R103" s="772"/>
      <c r="S103" s="772"/>
      <c r="T103" s="772"/>
      <c r="U103" s="772"/>
      <c r="V103" s="772"/>
      <c r="W103" s="772"/>
      <c r="X103" s="772"/>
      <c r="Y103" s="772"/>
      <c r="Z103" s="772"/>
      <c r="AA103" s="772"/>
      <c r="AB103" s="772"/>
      <c r="AC103" s="772"/>
      <c r="AD103" s="772"/>
      <c r="AE103" s="772"/>
      <c r="AF103" s="772"/>
      <c r="AG103" s="772"/>
      <c r="AH103" s="772"/>
    </row>
    <row r="104" ht="15.75" customHeight="1">
      <c r="A104" s="772"/>
      <c r="B104" s="772"/>
      <c r="C104" s="772"/>
      <c r="D104" s="772"/>
      <c r="E104" s="772"/>
      <c r="F104" s="772"/>
      <c r="G104" s="772"/>
      <c r="H104" s="772"/>
      <c r="I104" s="772"/>
      <c r="J104" s="772"/>
      <c r="K104" s="772"/>
      <c r="L104" s="772"/>
      <c r="M104" s="772"/>
      <c r="N104" s="772"/>
      <c r="O104" s="772"/>
      <c r="P104" s="772"/>
      <c r="Q104" s="772"/>
      <c r="R104" s="772"/>
      <c r="S104" s="772"/>
      <c r="T104" s="772"/>
      <c r="U104" s="772"/>
      <c r="V104" s="772"/>
      <c r="W104" s="772"/>
      <c r="X104" s="772"/>
      <c r="Y104" s="772"/>
      <c r="Z104" s="772"/>
      <c r="AA104" s="772"/>
      <c r="AB104" s="772"/>
      <c r="AC104" s="772"/>
      <c r="AD104" s="772"/>
      <c r="AE104" s="772"/>
      <c r="AF104" s="772"/>
      <c r="AG104" s="772"/>
      <c r="AH104" s="772"/>
    </row>
    <row r="105" ht="15.75" customHeight="1">
      <c r="A105" s="772"/>
      <c r="B105" s="772"/>
      <c r="C105" s="772"/>
      <c r="D105" s="772"/>
      <c r="E105" s="772"/>
      <c r="F105" s="772"/>
      <c r="G105" s="772"/>
      <c r="H105" s="772"/>
      <c r="I105" s="772"/>
      <c r="J105" s="772"/>
      <c r="K105" s="772"/>
      <c r="L105" s="772"/>
      <c r="M105" s="772"/>
      <c r="N105" s="772"/>
      <c r="O105" s="772"/>
      <c r="P105" s="772"/>
      <c r="Q105" s="772"/>
      <c r="R105" s="772"/>
      <c r="S105" s="772"/>
      <c r="T105" s="772"/>
      <c r="U105" s="772"/>
      <c r="V105" s="772"/>
      <c r="W105" s="772"/>
      <c r="X105" s="772"/>
      <c r="Y105" s="772"/>
      <c r="Z105" s="772"/>
      <c r="AA105" s="772"/>
      <c r="AB105" s="772"/>
      <c r="AC105" s="772"/>
      <c r="AD105" s="772"/>
      <c r="AE105" s="772"/>
      <c r="AF105" s="772"/>
      <c r="AG105" s="772"/>
      <c r="AH105" s="772"/>
    </row>
    <row r="106" ht="15.75" customHeight="1">
      <c r="A106" s="772"/>
      <c r="B106" s="772"/>
      <c r="C106" s="772"/>
      <c r="D106" s="772"/>
      <c r="E106" s="772"/>
      <c r="F106" s="772"/>
      <c r="G106" s="772"/>
      <c r="H106" s="772"/>
      <c r="I106" s="772"/>
      <c r="J106" s="772"/>
      <c r="K106" s="772"/>
      <c r="L106" s="772"/>
      <c r="M106" s="772"/>
      <c r="N106" s="772"/>
      <c r="O106" s="772"/>
      <c r="P106" s="772"/>
      <c r="Q106" s="772"/>
      <c r="R106" s="772"/>
      <c r="S106" s="772"/>
      <c r="T106" s="772"/>
      <c r="U106" s="772"/>
      <c r="V106" s="772"/>
      <c r="W106" s="772"/>
      <c r="X106" s="772"/>
      <c r="Y106" s="772"/>
      <c r="Z106" s="772"/>
      <c r="AA106" s="772"/>
      <c r="AB106" s="772"/>
      <c r="AC106" s="772"/>
      <c r="AD106" s="772"/>
      <c r="AE106" s="772"/>
      <c r="AF106" s="772"/>
      <c r="AG106" s="772"/>
      <c r="AH106" s="772"/>
    </row>
    <row r="107" ht="15.75" customHeight="1">
      <c r="A107" s="772"/>
      <c r="B107" s="772"/>
      <c r="C107" s="772"/>
      <c r="D107" s="772"/>
      <c r="E107" s="772"/>
      <c r="F107" s="772"/>
      <c r="G107" s="772"/>
      <c r="H107" s="772"/>
      <c r="I107" s="772"/>
      <c r="J107" s="772"/>
      <c r="K107" s="772"/>
      <c r="L107" s="772"/>
      <c r="M107" s="772"/>
      <c r="N107" s="772"/>
      <c r="O107" s="772"/>
      <c r="P107" s="772"/>
      <c r="Q107" s="772"/>
      <c r="R107" s="772"/>
      <c r="S107" s="772"/>
      <c r="T107" s="772"/>
      <c r="U107" s="772"/>
      <c r="V107" s="772"/>
      <c r="W107" s="772"/>
      <c r="X107" s="772"/>
      <c r="Y107" s="772"/>
      <c r="Z107" s="772"/>
      <c r="AA107" s="772"/>
      <c r="AB107" s="772"/>
      <c r="AC107" s="772"/>
      <c r="AD107" s="772"/>
      <c r="AE107" s="772"/>
      <c r="AF107" s="772"/>
      <c r="AG107" s="772"/>
      <c r="AH107" s="772"/>
    </row>
    <row r="108" ht="15.75" customHeight="1">
      <c r="A108" s="772"/>
      <c r="B108" s="772"/>
      <c r="C108" s="772"/>
      <c r="D108" s="772"/>
      <c r="E108" s="772"/>
      <c r="F108" s="772"/>
      <c r="G108" s="772"/>
      <c r="H108" s="772"/>
      <c r="I108" s="772"/>
      <c r="J108" s="772"/>
      <c r="K108" s="772"/>
      <c r="L108" s="772"/>
      <c r="M108" s="772"/>
      <c r="N108" s="772"/>
      <c r="O108" s="772"/>
      <c r="P108" s="772"/>
      <c r="Q108" s="772"/>
      <c r="R108" s="772"/>
      <c r="S108" s="772"/>
      <c r="T108" s="772"/>
      <c r="U108" s="772"/>
      <c r="V108" s="772"/>
      <c r="W108" s="772"/>
      <c r="X108" s="772"/>
      <c r="Y108" s="772"/>
      <c r="Z108" s="772"/>
      <c r="AA108" s="772"/>
      <c r="AB108" s="772"/>
      <c r="AC108" s="772"/>
      <c r="AD108" s="772"/>
      <c r="AE108" s="772"/>
      <c r="AF108" s="772"/>
      <c r="AG108" s="772"/>
      <c r="AH108" s="772"/>
    </row>
    <row r="109" ht="15.75" customHeight="1">
      <c r="A109" s="772"/>
      <c r="B109" s="772"/>
      <c r="C109" s="772"/>
      <c r="D109" s="772"/>
      <c r="E109" s="772"/>
      <c r="F109" s="772"/>
      <c r="G109" s="772"/>
      <c r="H109" s="772"/>
      <c r="I109" s="772"/>
      <c r="J109" s="772"/>
      <c r="K109" s="772"/>
      <c r="L109" s="772"/>
      <c r="M109" s="772"/>
      <c r="N109" s="772"/>
      <c r="O109" s="772"/>
      <c r="P109" s="772"/>
      <c r="Q109" s="772"/>
      <c r="R109" s="772"/>
      <c r="S109" s="772"/>
      <c r="T109" s="772"/>
      <c r="U109" s="772"/>
      <c r="V109" s="772"/>
      <c r="W109" s="772"/>
      <c r="X109" s="772"/>
      <c r="Y109" s="772"/>
      <c r="Z109" s="772"/>
      <c r="AA109" s="772"/>
      <c r="AB109" s="772"/>
      <c r="AC109" s="772"/>
      <c r="AD109" s="772"/>
      <c r="AE109" s="772"/>
      <c r="AF109" s="772"/>
      <c r="AG109" s="772"/>
      <c r="AH109" s="772"/>
    </row>
    <row r="110" ht="15.75" customHeight="1">
      <c r="A110" s="772"/>
      <c r="B110" s="772"/>
      <c r="C110" s="772"/>
      <c r="D110" s="772"/>
      <c r="E110" s="772"/>
      <c r="F110" s="772"/>
      <c r="G110" s="772"/>
      <c r="H110" s="772"/>
      <c r="I110" s="772"/>
      <c r="J110" s="772"/>
      <c r="K110" s="772"/>
      <c r="L110" s="772"/>
      <c r="M110" s="772"/>
      <c r="N110" s="772"/>
      <c r="O110" s="772"/>
      <c r="P110" s="772"/>
      <c r="Q110" s="772"/>
      <c r="R110" s="772"/>
      <c r="S110" s="772"/>
      <c r="T110" s="772"/>
      <c r="U110" s="772"/>
      <c r="V110" s="772"/>
      <c r="W110" s="772"/>
      <c r="X110" s="772"/>
      <c r="Y110" s="772"/>
      <c r="Z110" s="772"/>
      <c r="AA110" s="772"/>
      <c r="AB110" s="772"/>
      <c r="AC110" s="772"/>
      <c r="AD110" s="772"/>
      <c r="AE110" s="772"/>
      <c r="AF110" s="772"/>
      <c r="AG110" s="772"/>
      <c r="AH110" s="772"/>
    </row>
    <row r="111" ht="15.75" customHeight="1">
      <c r="A111" s="772"/>
      <c r="B111" s="772"/>
      <c r="C111" s="772"/>
      <c r="D111" s="772"/>
      <c r="E111" s="772"/>
      <c r="F111" s="772"/>
      <c r="G111" s="772"/>
      <c r="H111" s="772"/>
      <c r="I111" s="772"/>
      <c r="J111" s="772"/>
      <c r="K111" s="772"/>
      <c r="L111" s="772"/>
      <c r="M111" s="772"/>
      <c r="N111" s="772"/>
      <c r="O111" s="772"/>
      <c r="P111" s="772"/>
      <c r="Q111" s="772"/>
      <c r="R111" s="772"/>
      <c r="S111" s="772"/>
      <c r="T111" s="772"/>
      <c r="U111" s="772"/>
      <c r="V111" s="772"/>
      <c r="W111" s="772"/>
      <c r="X111" s="772"/>
      <c r="Y111" s="772"/>
      <c r="Z111" s="772"/>
      <c r="AA111" s="772"/>
      <c r="AB111" s="772"/>
      <c r="AC111" s="772"/>
      <c r="AD111" s="772"/>
      <c r="AE111" s="772"/>
      <c r="AF111" s="772"/>
      <c r="AG111" s="772"/>
      <c r="AH111" s="772"/>
    </row>
    <row r="112" ht="15.75" customHeight="1">
      <c r="A112" s="772"/>
      <c r="B112" s="772"/>
      <c r="C112" s="772"/>
      <c r="D112" s="772"/>
      <c r="E112" s="772"/>
      <c r="F112" s="772"/>
      <c r="G112" s="772"/>
      <c r="H112" s="772"/>
      <c r="I112" s="772"/>
      <c r="J112" s="772"/>
      <c r="K112" s="772"/>
      <c r="L112" s="772"/>
      <c r="M112" s="772"/>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row>
    <row r="113" ht="15.75" customHeight="1">
      <c r="A113" s="772"/>
      <c r="B113" s="772"/>
      <c r="C113" s="772"/>
      <c r="D113" s="772"/>
      <c r="E113" s="772"/>
      <c r="F113" s="772"/>
      <c r="G113" s="772"/>
      <c r="H113" s="772"/>
      <c r="I113" s="772"/>
      <c r="J113" s="772"/>
      <c r="K113" s="772"/>
      <c r="L113" s="772"/>
      <c r="M113" s="772"/>
      <c r="N113" s="772"/>
      <c r="O113" s="772"/>
      <c r="P113" s="772"/>
      <c r="Q113" s="772"/>
      <c r="R113" s="772"/>
      <c r="S113" s="772"/>
      <c r="T113" s="772"/>
      <c r="U113" s="772"/>
      <c r="V113" s="772"/>
      <c r="W113" s="772"/>
      <c r="X113" s="772"/>
      <c r="Y113" s="772"/>
      <c r="Z113" s="772"/>
      <c r="AA113" s="772"/>
      <c r="AB113" s="772"/>
      <c r="AC113" s="772"/>
      <c r="AD113" s="772"/>
      <c r="AE113" s="772"/>
      <c r="AF113" s="772"/>
      <c r="AG113" s="772"/>
      <c r="AH113" s="772"/>
    </row>
    <row r="114" ht="15.75" customHeight="1">
      <c r="A114" s="772"/>
      <c r="B114" s="772"/>
      <c r="C114" s="772"/>
      <c r="D114" s="772"/>
      <c r="E114" s="772"/>
      <c r="F114" s="772"/>
      <c r="G114" s="772"/>
      <c r="H114" s="772"/>
      <c r="I114" s="772"/>
      <c r="J114" s="772"/>
      <c r="K114" s="772"/>
      <c r="L114" s="772"/>
      <c r="M114" s="772"/>
      <c r="N114" s="772"/>
      <c r="O114" s="772"/>
      <c r="P114" s="772"/>
      <c r="Q114" s="772"/>
      <c r="R114" s="772"/>
      <c r="S114" s="772"/>
      <c r="T114" s="772"/>
      <c r="U114" s="772"/>
      <c r="V114" s="772"/>
      <c r="W114" s="772"/>
      <c r="X114" s="772"/>
      <c r="Y114" s="772"/>
      <c r="Z114" s="772"/>
      <c r="AA114" s="772"/>
      <c r="AB114" s="772"/>
      <c r="AC114" s="772"/>
      <c r="AD114" s="772"/>
      <c r="AE114" s="772"/>
      <c r="AF114" s="772"/>
      <c r="AG114" s="772"/>
      <c r="AH114" s="772"/>
    </row>
    <row r="115" ht="15.75" customHeight="1">
      <c r="A115" s="772"/>
      <c r="B115" s="772"/>
      <c r="C115" s="772"/>
      <c r="D115" s="772"/>
      <c r="E115" s="772"/>
      <c r="F115" s="772"/>
      <c r="G115" s="772"/>
      <c r="H115" s="772"/>
      <c r="I115" s="772"/>
      <c r="J115" s="772"/>
      <c r="K115" s="772"/>
      <c r="L115" s="772"/>
      <c r="M115" s="772"/>
      <c r="N115" s="772"/>
      <c r="O115" s="772"/>
      <c r="P115" s="772"/>
      <c r="Q115" s="772"/>
      <c r="R115" s="772"/>
      <c r="S115" s="772"/>
      <c r="T115" s="772"/>
      <c r="U115" s="772"/>
      <c r="V115" s="772"/>
      <c r="W115" s="772"/>
      <c r="X115" s="772"/>
      <c r="Y115" s="772"/>
      <c r="Z115" s="772"/>
      <c r="AA115" s="772"/>
      <c r="AB115" s="772"/>
      <c r="AC115" s="772"/>
      <c r="AD115" s="772"/>
      <c r="AE115" s="772"/>
      <c r="AF115" s="772"/>
      <c r="AG115" s="772"/>
      <c r="AH115" s="772"/>
    </row>
    <row r="116" ht="15.75" customHeight="1">
      <c r="A116" s="772"/>
      <c r="B116" s="772"/>
      <c r="C116" s="772"/>
      <c r="D116" s="772"/>
      <c r="E116" s="772"/>
      <c r="F116" s="772"/>
      <c r="G116" s="772"/>
      <c r="H116" s="772"/>
      <c r="I116" s="772"/>
      <c r="J116" s="772"/>
      <c r="K116" s="772"/>
      <c r="L116" s="772"/>
      <c r="M116" s="772"/>
      <c r="N116" s="772"/>
      <c r="O116" s="772"/>
      <c r="P116" s="772"/>
      <c r="Q116" s="772"/>
      <c r="R116" s="772"/>
      <c r="S116" s="772"/>
      <c r="T116" s="772"/>
      <c r="U116" s="772"/>
      <c r="V116" s="772"/>
      <c r="W116" s="772"/>
      <c r="X116" s="772"/>
      <c r="Y116" s="772"/>
      <c r="Z116" s="772"/>
      <c r="AA116" s="772"/>
      <c r="AB116" s="772"/>
      <c r="AC116" s="772"/>
      <c r="AD116" s="772"/>
      <c r="AE116" s="772"/>
      <c r="AF116" s="772"/>
      <c r="AG116" s="772"/>
      <c r="AH116" s="772"/>
    </row>
    <row r="117" ht="15.75" customHeight="1">
      <c r="A117" s="772"/>
      <c r="B117" s="772"/>
      <c r="C117" s="772"/>
      <c r="D117" s="772"/>
      <c r="E117" s="772"/>
      <c r="F117" s="772"/>
      <c r="G117" s="772"/>
      <c r="H117" s="772"/>
      <c r="I117" s="772"/>
      <c r="J117" s="772"/>
      <c r="K117" s="772"/>
      <c r="L117" s="772"/>
      <c r="M117" s="772"/>
      <c r="N117" s="772"/>
      <c r="O117" s="772"/>
      <c r="P117" s="772"/>
      <c r="Q117" s="772"/>
      <c r="R117" s="772"/>
      <c r="S117" s="772"/>
      <c r="T117" s="772"/>
      <c r="U117" s="772"/>
      <c r="V117" s="772"/>
      <c r="W117" s="772"/>
      <c r="X117" s="772"/>
      <c r="Y117" s="772"/>
      <c r="Z117" s="772"/>
      <c r="AA117" s="772"/>
      <c r="AB117" s="772"/>
      <c r="AC117" s="772"/>
      <c r="AD117" s="772"/>
      <c r="AE117" s="772"/>
      <c r="AF117" s="772"/>
      <c r="AG117" s="772"/>
      <c r="AH117" s="772"/>
    </row>
    <row r="118" ht="15.75" customHeight="1">
      <c r="A118" s="772"/>
      <c r="B118" s="772"/>
      <c r="C118" s="772"/>
      <c r="D118" s="772"/>
      <c r="E118" s="772"/>
      <c r="F118" s="772"/>
      <c r="G118" s="772"/>
      <c r="H118" s="772"/>
      <c r="I118" s="772"/>
      <c r="J118" s="772"/>
      <c r="K118" s="772"/>
      <c r="L118" s="772"/>
      <c r="M118" s="772"/>
      <c r="N118" s="772"/>
      <c r="O118" s="772"/>
      <c r="P118" s="772"/>
      <c r="Q118" s="772"/>
      <c r="R118" s="772"/>
      <c r="S118" s="772"/>
      <c r="T118" s="772"/>
      <c r="U118" s="772"/>
      <c r="V118" s="772"/>
      <c r="W118" s="772"/>
      <c r="X118" s="772"/>
      <c r="Y118" s="772"/>
      <c r="Z118" s="772"/>
      <c r="AA118" s="772"/>
      <c r="AB118" s="772"/>
      <c r="AC118" s="772"/>
      <c r="AD118" s="772"/>
      <c r="AE118" s="772"/>
      <c r="AF118" s="772"/>
      <c r="AG118" s="772"/>
      <c r="AH118" s="772"/>
    </row>
    <row r="119" ht="15.75" customHeight="1">
      <c r="A119" s="772"/>
      <c r="B119" s="772"/>
      <c r="C119" s="772"/>
      <c r="D119" s="772"/>
      <c r="E119" s="772"/>
      <c r="F119" s="772"/>
      <c r="G119" s="772"/>
      <c r="H119" s="772"/>
      <c r="I119" s="772"/>
      <c r="J119" s="772"/>
      <c r="K119" s="772"/>
      <c r="L119" s="772"/>
      <c r="M119" s="772"/>
      <c r="N119" s="772"/>
      <c r="O119" s="772"/>
      <c r="P119" s="772"/>
      <c r="Q119" s="772"/>
      <c r="R119" s="772"/>
      <c r="S119" s="772"/>
      <c r="T119" s="772"/>
      <c r="U119" s="772"/>
      <c r="V119" s="772"/>
      <c r="W119" s="772"/>
      <c r="X119" s="772"/>
      <c r="Y119" s="772"/>
      <c r="Z119" s="772"/>
      <c r="AA119" s="772"/>
      <c r="AB119" s="772"/>
      <c r="AC119" s="772"/>
      <c r="AD119" s="772"/>
      <c r="AE119" s="772"/>
      <c r="AF119" s="772"/>
      <c r="AG119" s="772"/>
      <c r="AH119" s="772"/>
    </row>
    <row r="120" ht="15.75" customHeight="1">
      <c r="A120" s="772"/>
      <c r="B120" s="772"/>
      <c r="C120" s="772"/>
      <c r="D120" s="772"/>
      <c r="E120" s="772"/>
      <c r="F120" s="772"/>
      <c r="G120" s="772"/>
      <c r="H120" s="772"/>
      <c r="I120" s="772"/>
      <c r="J120" s="772"/>
      <c r="K120" s="772"/>
      <c r="L120" s="772"/>
      <c r="M120" s="772"/>
      <c r="N120" s="772"/>
      <c r="O120" s="772"/>
      <c r="P120" s="772"/>
      <c r="Q120" s="772"/>
      <c r="R120" s="772"/>
      <c r="S120" s="772"/>
      <c r="T120" s="772"/>
      <c r="U120" s="772"/>
      <c r="V120" s="772"/>
      <c r="W120" s="772"/>
      <c r="X120" s="772"/>
      <c r="Y120" s="772"/>
      <c r="Z120" s="772"/>
      <c r="AA120" s="772"/>
      <c r="AB120" s="772"/>
      <c r="AC120" s="772"/>
      <c r="AD120" s="772"/>
      <c r="AE120" s="772"/>
      <c r="AF120" s="772"/>
      <c r="AG120" s="772"/>
      <c r="AH120" s="772"/>
    </row>
    <row r="121" ht="15.75" customHeight="1">
      <c r="A121" s="772"/>
      <c r="B121" s="772"/>
      <c r="C121" s="772"/>
      <c r="D121" s="772"/>
      <c r="E121" s="772"/>
      <c r="F121" s="772"/>
      <c r="G121" s="772"/>
      <c r="H121" s="772"/>
      <c r="I121" s="772"/>
      <c r="J121" s="772"/>
      <c r="K121" s="772"/>
      <c r="L121" s="772"/>
      <c r="M121" s="772"/>
      <c r="N121" s="772"/>
      <c r="O121" s="772"/>
      <c r="P121" s="772"/>
      <c r="Q121" s="772"/>
      <c r="R121" s="772"/>
      <c r="S121" s="772"/>
      <c r="T121" s="772"/>
      <c r="U121" s="772"/>
      <c r="V121" s="772"/>
      <c r="W121" s="772"/>
      <c r="X121" s="772"/>
      <c r="Y121" s="772"/>
      <c r="Z121" s="772"/>
      <c r="AA121" s="772"/>
      <c r="AB121" s="772"/>
      <c r="AC121" s="772"/>
      <c r="AD121" s="772"/>
      <c r="AE121" s="772"/>
      <c r="AF121" s="772"/>
      <c r="AG121" s="772"/>
      <c r="AH121" s="772"/>
    </row>
    <row r="122" ht="15.75" customHeight="1">
      <c r="A122" s="772"/>
      <c r="B122" s="772"/>
      <c r="C122" s="772"/>
      <c r="D122" s="772"/>
      <c r="E122" s="772"/>
      <c r="F122" s="772"/>
      <c r="G122" s="772"/>
      <c r="H122" s="772"/>
      <c r="I122" s="772"/>
      <c r="J122" s="772"/>
      <c r="K122" s="772"/>
      <c r="L122" s="772"/>
      <c r="M122" s="772"/>
      <c r="N122" s="772"/>
      <c r="O122" s="772"/>
      <c r="P122" s="772"/>
      <c r="Q122" s="772"/>
      <c r="R122" s="772"/>
      <c r="S122" s="772"/>
      <c r="T122" s="772"/>
      <c r="U122" s="772"/>
      <c r="V122" s="772"/>
      <c r="W122" s="772"/>
      <c r="X122" s="772"/>
      <c r="Y122" s="772"/>
      <c r="Z122" s="772"/>
      <c r="AA122" s="772"/>
      <c r="AB122" s="772"/>
      <c r="AC122" s="772"/>
      <c r="AD122" s="772"/>
      <c r="AE122" s="772"/>
      <c r="AF122" s="772"/>
      <c r="AG122" s="772"/>
      <c r="AH122" s="772"/>
    </row>
    <row r="123" ht="15.75" customHeight="1">
      <c r="A123" s="772"/>
      <c r="B123" s="772"/>
      <c r="C123" s="772"/>
      <c r="D123" s="772"/>
      <c r="E123" s="772"/>
      <c r="F123" s="772"/>
      <c r="G123" s="772"/>
      <c r="H123" s="772"/>
      <c r="I123" s="772"/>
      <c r="J123" s="772"/>
      <c r="K123" s="772"/>
      <c r="L123" s="772"/>
      <c r="M123" s="772"/>
      <c r="N123" s="772"/>
      <c r="O123" s="772"/>
      <c r="P123" s="772"/>
      <c r="Q123" s="772"/>
      <c r="R123" s="772"/>
      <c r="S123" s="772"/>
      <c r="T123" s="772"/>
      <c r="U123" s="772"/>
      <c r="V123" s="772"/>
      <c r="W123" s="772"/>
      <c r="X123" s="772"/>
      <c r="Y123" s="772"/>
      <c r="Z123" s="772"/>
      <c r="AA123" s="772"/>
      <c r="AB123" s="772"/>
      <c r="AC123" s="772"/>
      <c r="AD123" s="772"/>
      <c r="AE123" s="772"/>
      <c r="AF123" s="772"/>
      <c r="AG123" s="772"/>
      <c r="AH123" s="772"/>
    </row>
    <row r="124" ht="15.75" customHeight="1">
      <c r="A124" s="772"/>
      <c r="B124" s="772"/>
      <c r="C124" s="772"/>
      <c r="D124" s="772"/>
      <c r="E124" s="772"/>
      <c r="F124" s="772"/>
      <c r="G124" s="772"/>
      <c r="H124" s="772"/>
      <c r="I124" s="772"/>
      <c r="J124" s="772"/>
      <c r="K124" s="772"/>
      <c r="L124" s="772"/>
      <c r="M124" s="772"/>
      <c r="N124" s="772"/>
      <c r="O124" s="772"/>
      <c r="P124" s="772"/>
      <c r="Q124" s="772"/>
      <c r="R124" s="772"/>
      <c r="S124" s="772"/>
      <c r="T124" s="772"/>
      <c r="U124" s="772"/>
      <c r="V124" s="772"/>
      <c r="W124" s="772"/>
      <c r="X124" s="772"/>
      <c r="Y124" s="772"/>
      <c r="Z124" s="772"/>
      <c r="AA124" s="772"/>
      <c r="AB124" s="772"/>
      <c r="AC124" s="772"/>
      <c r="AD124" s="772"/>
      <c r="AE124" s="772"/>
      <c r="AF124" s="772"/>
      <c r="AG124" s="772"/>
      <c r="AH124" s="772"/>
    </row>
    <row r="125" ht="15.75" customHeight="1">
      <c r="A125" s="772"/>
      <c r="B125" s="772"/>
      <c r="C125" s="772"/>
      <c r="D125" s="772"/>
      <c r="E125" s="772"/>
      <c r="F125" s="772"/>
      <c r="G125" s="772"/>
      <c r="H125" s="772"/>
      <c r="I125" s="772"/>
      <c r="J125" s="772"/>
      <c r="K125" s="772"/>
      <c r="L125" s="772"/>
      <c r="M125" s="772"/>
      <c r="N125" s="772"/>
      <c r="O125" s="772"/>
      <c r="P125" s="772"/>
      <c r="Q125" s="772"/>
      <c r="R125" s="772"/>
      <c r="S125" s="772"/>
      <c r="T125" s="772"/>
      <c r="U125" s="772"/>
      <c r="V125" s="772"/>
      <c r="W125" s="772"/>
      <c r="X125" s="772"/>
      <c r="Y125" s="772"/>
      <c r="Z125" s="772"/>
      <c r="AA125" s="772"/>
      <c r="AB125" s="772"/>
      <c r="AC125" s="772"/>
      <c r="AD125" s="772"/>
      <c r="AE125" s="772"/>
      <c r="AF125" s="772"/>
      <c r="AG125" s="772"/>
      <c r="AH125" s="772"/>
    </row>
    <row r="126" ht="15.75" customHeight="1">
      <c r="A126" s="772"/>
      <c r="B126" s="772"/>
      <c r="C126" s="772"/>
      <c r="D126" s="772"/>
      <c r="E126" s="772"/>
      <c r="F126" s="772"/>
      <c r="G126" s="772"/>
      <c r="H126" s="772"/>
      <c r="I126" s="772"/>
      <c r="J126" s="772"/>
      <c r="K126" s="772"/>
      <c r="L126" s="772"/>
      <c r="M126" s="772"/>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row>
    <row r="127" ht="15.75" customHeight="1">
      <c r="A127" s="772"/>
      <c r="B127" s="772"/>
      <c r="C127" s="772"/>
      <c r="D127" s="772"/>
      <c r="E127" s="772"/>
      <c r="F127" s="772"/>
      <c r="G127" s="772"/>
      <c r="H127" s="772"/>
      <c r="I127" s="772"/>
      <c r="J127" s="772"/>
      <c r="K127" s="772"/>
      <c r="L127" s="772"/>
      <c r="M127" s="772"/>
      <c r="N127" s="772"/>
      <c r="O127" s="772"/>
      <c r="P127" s="772"/>
      <c r="Q127" s="772"/>
      <c r="R127" s="772"/>
      <c r="S127" s="772"/>
      <c r="T127" s="772"/>
      <c r="U127" s="772"/>
      <c r="V127" s="772"/>
      <c r="W127" s="772"/>
      <c r="X127" s="772"/>
      <c r="Y127" s="772"/>
      <c r="Z127" s="772"/>
      <c r="AA127" s="772"/>
      <c r="AB127" s="772"/>
      <c r="AC127" s="772"/>
      <c r="AD127" s="772"/>
      <c r="AE127" s="772"/>
      <c r="AF127" s="772"/>
      <c r="AG127" s="772"/>
      <c r="AH127" s="772"/>
    </row>
    <row r="128" ht="15.75" customHeight="1">
      <c r="A128" s="772"/>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2"/>
      <c r="AE128" s="772"/>
      <c r="AF128" s="772"/>
      <c r="AG128" s="772"/>
      <c r="AH128" s="772"/>
    </row>
    <row r="129" ht="15.75" customHeight="1">
      <c r="A129" s="772"/>
      <c r="B129" s="772"/>
      <c r="C129" s="772"/>
      <c r="D129" s="772"/>
      <c r="E129" s="772"/>
      <c r="F129" s="772"/>
      <c r="G129" s="772"/>
      <c r="H129" s="772"/>
      <c r="I129" s="772"/>
      <c r="J129" s="772"/>
      <c r="K129" s="772"/>
      <c r="L129" s="772"/>
      <c r="M129" s="772"/>
      <c r="N129" s="772"/>
      <c r="O129" s="772"/>
      <c r="P129" s="772"/>
      <c r="Q129" s="772"/>
      <c r="R129" s="772"/>
      <c r="S129" s="772"/>
      <c r="T129" s="772"/>
      <c r="U129" s="772"/>
      <c r="V129" s="772"/>
      <c r="W129" s="772"/>
      <c r="X129" s="772"/>
      <c r="Y129" s="772"/>
      <c r="Z129" s="772"/>
      <c r="AA129" s="772"/>
      <c r="AB129" s="772"/>
      <c r="AC129" s="772"/>
      <c r="AD129" s="772"/>
      <c r="AE129" s="772"/>
      <c r="AF129" s="772"/>
      <c r="AG129" s="772"/>
      <c r="AH129" s="772"/>
    </row>
    <row r="130" ht="15.75" customHeight="1">
      <c r="A130" s="772"/>
      <c r="B130" s="772"/>
      <c r="C130" s="772"/>
      <c r="D130" s="772"/>
      <c r="E130" s="772"/>
      <c r="F130" s="772"/>
      <c r="G130" s="772"/>
      <c r="H130" s="772"/>
      <c r="I130" s="772"/>
      <c r="J130" s="772"/>
      <c r="K130" s="772"/>
      <c r="L130" s="772"/>
      <c r="M130" s="772"/>
      <c r="N130" s="772"/>
      <c r="O130" s="772"/>
      <c r="P130" s="772"/>
      <c r="Q130" s="772"/>
      <c r="R130" s="772"/>
      <c r="S130" s="772"/>
      <c r="T130" s="772"/>
      <c r="U130" s="772"/>
      <c r="V130" s="772"/>
      <c r="W130" s="772"/>
      <c r="X130" s="772"/>
      <c r="Y130" s="772"/>
      <c r="Z130" s="772"/>
      <c r="AA130" s="772"/>
      <c r="AB130" s="772"/>
      <c r="AC130" s="772"/>
      <c r="AD130" s="772"/>
      <c r="AE130" s="772"/>
      <c r="AF130" s="772"/>
      <c r="AG130" s="772"/>
      <c r="AH130" s="772"/>
    </row>
    <row r="131" ht="15.75" customHeight="1">
      <c r="A131" s="772"/>
      <c r="B131" s="772"/>
      <c r="C131" s="772"/>
      <c r="D131" s="772"/>
      <c r="E131" s="772"/>
      <c r="F131" s="772"/>
      <c r="G131" s="772"/>
      <c r="H131" s="772"/>
      <c r="I131" s="772"/>
      <c r="J131" s="772"/>
      <c r="K131" s="772"/>
      <c r="L131" s="772"/>
      <c r="M131" s="772"/>
      <c r="N131" s="772"/>
      <c r="O131" s="772"/>
      <c r="P131" s="772"/>
      <c r="Q131" s="772"/>
      <c r="R131" s="772"/>
      <c r="S131" s="772"/>
      <c r="T131" s="772"/>
      <c r="U131" s="772"/>
      <c r="V131" s="772"/>
      <c r="W131" s="772"/>
      <c r="X131" s="772"/>
      <c r="Y131" s="772"/>
      <c r="Z131" s="772"/>
      <c r="AA131" s="772"/>
      <c r="AB131" s="772"/>
      <c r="AC131" s="772"/>
      <c r="AD131" s="772"/>
      <c r="AE131" s="772"/>
      <c r="AF131" s="772"/>
      <c r="AG131" s="772"/>
      <c r="AH131" s="772"/>
    </row>
    <row r="132" ht="15.75" customHeight="1">
      <c r="A132" s="772"/>
      <c r="B132" s="772"/>
      <c r="C132" s="772"/>
      <c r="D132" s="772"/>
      <c r="E132" s="772"/>
      <c r="F132" s="772"/>
      <c r="G132" s="772"/>
      <c r="H132" s="772"/>
      <c r="I132" s="772"/>
      <c r="J132" s="772"/>
      <c r="K132" s="772"/>
      <c r="L132" s="772"/>
      <c r="M132" s="772"/>
      <c r="N132" s="772"/>
      <c r="O132" s="772"/>
      <c r="P132" s="772"/>
      <c r="Q132" s="772"/>
      <c r="R132" s="772"/>
      <c r="S132" s="772"/>
      <c r="T132" s="772"/>
      <c r="U132" s="772"/>
      <c r="V132" s="772"/>
      <c r="W132" s="772"/>
      <c r="X132" s="772"/>
      <c r="Y132" s="772"/>
      <c r="Z132" s="772"/>
      <c r="AA132" s="772"/>
      <c r="AB132" s="772"/>
      <c r="AC132" s="772"/>
      <c r="AD132" s="772"/>
      <c r="AE132" s="772"/>
      <c r="AF132" s="772"/>
      <c r="AG132" s="772"/>
      <c r="AH132" s="772"/>
    </row>
    <row r="133" ht="15.75" customHeight="1">
      <c r="A133" s="772"/>
      <c r="B133" s="772"/>
      <c r="C133" s="772"/>
      <c r="D133" s="772"/>
      <c r="E133" s="772"/>
      <c r="F133" s="772"/>
      <c r="G133" s="772"/>
      <c r="H133" s="772"/>
      <c r="I133" s="772"/>
      <c r="J133" s="772"/>
      <c r="K133" s="772"/>
      <c r="L133" s="772"/>
      <c r="M133" s="772"/>
      <c r="N133" s="772"/>
      <c r="O133" s="772"/>
      <c r="P133" s="772"/>
      <c r="Q133" s="772"/>
      <c r="R133" s="772"/>
      <c r="S133" s="772"/>
      <c r="T133" s="772"/>
      <c r="U133" s="772"/>
      <c r="V133" s="772"/>
      <c r="W133" s="772"/>
      <c r="X133" s="772"/>
      <c r="Y133" s="772"/>
      <c r="Z133" s="772"/>
      <c r="AA133" s="772"/>
      <c r="AB133" s="772"/>
      <c r="AC133" s="772"/>
      <c r="AD133" s="772"/>
      <c r="AE133" s="772"/>
      <c r="AF133" s="772"/>
      <c r="AG133" s="772"/>
      <c r="AH133" s="772"/>
    </row>
    <row r="134" ht="15.75" customHeight="1">
      <c r="A134" s="772"/>
      <c r="B134" s="772"/>
      <c r="C134" s="772"/>
      <c r="D134" s="772"/>
      <c r="E134" s="772"/>
      <c r="F134" s="772"/>
      <c r="G134" s="772"/>
      <c r="H134" s="772"/>
      <c r="I134" s="772"/>
      <c r="J134" s="772"/>
      <c r="K134" s="772"/>
      <c r="L134" s="772"/>
      <c r="M134" s="772"/>
      <c r="N134" s="772"/>
      <c r="O134" s="772"/>
      <c r="P134" s="772"/>
      <c r="Q134" s="772"/>
      <c r="R134" s="772"/>
      <c r="S134" s="772"/>
      <c r="T134" s="772"/>
      <c r="U134" s="772"/>
      <c r="V134" s="772"/>
      <c r="W134" s="772"/>
      <c r="X134" s="772"/>
      <c r="Y134" s="772"/>
      <c r="Z134" s="772"/>
      <c r="AA134" s="772"/>
      <c r="AB134" s="772"/>
      <c r="AC134" s="772"/>
      <c r="AD134" s="772"/>
      <c r="AE134" s="772"/>
      <c r="AF134" s="772"/>
      <c r="AG134" s="772"/>
      <c r="AH134" s="772"/>
    </row>
    <row r="135" ht="15.75" customHeight="1">
      <c r="A135" s="772"/>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2"/>
      <c r="AE135" s="772"/>
      <c r="AF135" s="772"/>
      <c r="AG135" s="772"/>
      <c r="AH135" s="772"/>
    </row>
    <row r="136" ht="15.75" customHeight="1">
      <c r="A136" s="772"/>
      <c r="B136" s="772"/>
      <c r="C136" s="772"/>
      <c r="D136" s="772"/>
      <c r="E136" s="772"/>
      <c r="F136" s="772"/>
      <c r="G136" s="772"/>
      <c r="H136" s="772"/>
      <c r="I136" s="772"/>
      <c r="J136" s="772"/>
      <c r="K136" s="772"/>
      <c r="L136" s="772"/>
      <c r="M136" s="772"/>
      <c r="N136" s="772"/>
      <c r="O136" s="772"/>
      <c r="P136" s="772"/>
      <c r="Q136" s="772"/>
      <c r="R136" s="772"/>
      <c r="S136" s="772"/>
      <c r="T136" s="772"/>
      <c r="U136" s="772"/>
      <c r="V136" s="772"/>
      <c r="W136" s="772"/>
      <c r="X136" s="772"/>
      <c r="Y136" s="772"/>
      <c r="Z136" s="772"/>
      <c r="AA136" s="772"/>
      <c r="AB136" s="772"/>
      <c r="AC136" s="772"/>
      <c r="AD136" s="772"/>
      <c r="AE136" s="772"/>
      <c r="AF136" s="772"/>
      <c r="AG136" s="772"/>
      <c r="AH136" s="772"/>
    </row>
    <row r="137" ht="15.75" customHeight="1">
      <c r="A137" s="772"/>
      <c r="B137" s="772"/>
      <c r="C137" s="772"/>
      <c r="D137" s="772"/>
      <c r="E137" s="772"/>
      <c r="F137" s="772"/>
      <c r="G137" s="772"/>
      <c r="H137" s="772"/>
      <c r="I137" s="772"/>
      <c r="J137" s="772"/>
      <c r="K137" s="772"/>
      <c r="L137" s="772"/>
      <c r="M137" s="772"/>
      <c r="N137" s="772"/>
      <c r="O137" s="772"/>
      <c r="P137" s="772"/>
      <c r="Q137" s="772"/>
      <c r="R137" s="772"/>
      <c r="S137" s="772"/>
      <c r="T137" s="772"/>
      <c r="U137" s="772"/>
      <c r="V137" s="772"/>
      <c r="W137" s="772"/>
      <c r="X137" s="772"/>
      <c r="Y137" s="772"/>
      <c r="Z137" s="772"/>
      <c r="AA137" s="772"/>
      <c r="AB137" s="772"/>
      <c r="AC137" s="772"/>
      <c r="AD137" s="772"/>
      <c r="AE137" s="772"/>
      <c r="AF137" s="772"/>
      <c r="AG137" s="772"/>
      <c r="AH137" s="772"/>
    </row>
    <row r="138" ht="15.75" customHeight="1">
      <c r="A138" s="772"/>
      <c r="B138" s="772"/>
      <c r="C138" s="772"/>
      <c r="D138" s="772"/>
      <c r="E138" s="772"/>
      <c r="F138" s="772"/>
      <c r="G138" s="772"/>
      <c r="H138" s="772"/>
      <c r="I138" s="772"/>
      <c r="J138" s="772"/>
      <c r="K138" s="772"/>
      <c r="L138" s="772"/>
      <c r="M138" s="772"/>
      <c r="N138" s="772"/>
      <c r="O138" s="772"/>
      <c r="P138" s="772"/>
      <c r="Q138" s="772"/>
      <c r="R138" s="772"/>
      <c r="S138" s="772"/>
      <c r="T138" s="772"/>
      <c r="U138" s="772"/>
      <c r="V138" s="772"/>
      <c r="W138" s="772"/>
      <c r="X138" s="772"/>
      <c r="Y138" s="772"/>
      <c r="Z138" s="772"/>
      <c r="AA138" s="772"/>
      <c r="AB138" s="772"/>
      <c r="AC138" s="772"/>
      <c r="AD138" s="772"/>
      <c r="AE138" s="772"/>
      <c r="AF138" s="772"/>
      <c r="AG138" s="772"/>
      <c r="AH138" s="772"/>
    </row>
    <row r="139" ht="15.75" customHeight="1">
      <c r="A139" s="772"/>
      <c r="B139" s="772"/>
      <c r="C139" s="772"/>
      <c r="D139" s="772"/>
      <c r="E139" s="772"/>
      <c r="F139" s="772"/>
      <c r="G139" s="772"/>
      <c r="H139" s="772"/>
      <c r="I139" s="772"/>
      <c r="J139" s="772"/>
      <c r="K139" s="772"/>
      <c r="L139" s="772"/>
      <c r="M139" s="772"/>
      <c r="N139" s="772"/>
      <c r="O139" s="772"/>
      <c r="P139" s="772"/>
      <c r="Q139" s="772"/>
      <c r="R139" s="772"/>
      <c r="S139" s="772"/>
      <c r="T139" s="772"/>
      <c r="U139" s="772"/>
      <c r="V139" s="772"/>
      <c r="W139" s="772"/>
      <c r="X139" s="772"/>
      <c r="Y139" s="772"/>
      <c r="Z139" s="772"/>
      <c r="AA139" s="772"/>
      <c r="AB139" s="772"/>
      <c r="AC139" s="772"/>
      <c r="AD139" s="772"/>
      <c r="AE139" s="772"/>
      <c r="AF139" s="772"/>
      <c r="AG139" s="772"/>
      <c r="AH139" s="772"/>
    </row>
    <row r="140" ht="15.75" customHeight="1">
      <c r="A140" s="772"/>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2"/>
      <c r="AE140" s="772"/>
      <c r="AF140" s="772"/>
      <c r="AG140" s="772"/>
      <c r="AH140" s="772"/>
    </row>
    <row r="141" ht="15.75" customHeight="1">
      <c r="A141" s="772"/>
      <c r="B141" s="772"/>
      <c r="C141" s="772"/>
      <c r="D141" s="772"/>
      <c r="E141" s="772"/>
      <c r="F141" s="772"/>
      <c r="G141" s="772"/>
      <c r="H141" s="772"/>
      <c r="I141" s="772"/>
      <c r="J141" s="772"/>
      <c r="K141" s="772"/>
      <c r="L141" s="772"/>
      <c r="M141" s="772"/>
      <c r="N141" s="772"/>
      <c r="O141" s="772"/>
      <c r="P141" s="772"/>
      <c r="Q141" s="772"/>
      <c r="R141" s="772"/>
      <c r="S141" s="772"/>
      <c r="T141" s="772"/>
      <c r="U141" s="772"/>
      <c r="V141" s="772"/>
      <c r="W141" s="772"/>
      <c r="X141" s="772"/>
      <c r="Y141" s="772"/>
      <c r="Z141" s="772"/>
      <c r="AA141" s="772"/>
      <c r="AB141" s="772"/>
      <c r="AC141" s="772"/>
      <c r="AD141" s="772"/>
      <c r="AE141" s="772"/>
      <c r="AF141" s="772"/>
      <c r="AG141" s="772"/>
      <c r="AH141" s="772"/>
    </row>
    <row r="142" ht="15.75" customHeight="1">
      <c r="A142" s="772"/>
      <c r="B142" s="772"/>
      <c r="C142" s="772"/>
      <c r="D142" s="772"/>
      <c r="E142" s="772"/>
      <c r="F142" s="772"/>
      <c r="G142" s="772"/>
      <c r="H142" s="772"/>
      <c r="I142" s="772"/>
      <c r="J142" s="772"/>
      <c r="K142" s="772"/>
      <c r="L142" s="772"/>
      <c r="M142" s="772"/>
      <c r="N142" s="772"/>
      <c r="O142" s="772"/>
      <c r="P142" s="772"/>
      <c r="Q142" s="772"/>
      <c r="R142" s="772"/>
      <c r="S142" s="772"/>
      <c r="T142" s="772"/>
      <c r="U142" s="772"/>
      <c r="V142" s="772"/>
      <c r="W142" s="772"/>
      <c r="X142" s="772"/>
      <c r="Y142" s="772"/>
      <c r="Z142" s="772"/>
      <c r="AA142" s="772"/>
      <c r="AB142" s="772"/>
      <c r="AC142" s="772"/>
      <c r="AD142" s="772"/>
      <c r="AE142" s="772"/>
      <c r="AF142" s="772"/>
      <c r="AG142" s="772"/>
      <c r="AH142" s="772"/>
    </row>
    <row r="143" ht="15.75" customHeight="1">
      <c r="A143" s="772"/>
      <c r="B143" s="772"/>
      <c r="C143" s="772"/>
      <c r="D143" s="772"/>
      <c r="E143" s="772"/>
      <c r="F143" s="772"/>
      <c r="G143" s="772"/>
      <c r="H143" s="772"/>
      <c r="I143" s="772"/>
      <c r="J143" s="772"/>
      <c r="K143" s="772"/>
      <c r="L143" s="772"/>
      <c r="M143" s="772"/>
      <c r="N143" s="772"/>
      <c r="O143" s="772"/>
      <c r="P143" s="772"/>
      <c r="Q143" s="772"/>
      <c r="R143" s="772"/>
      <c r="S143" s="772"/>
      <c r="T143" s="772"/>
      <c r="U143" s="772"/>
      <c r="V143" s="772"/>
      <c r="W143" s="772"/>
      <c r="X143" s="772"/>
      <c r="Y143" s="772"/>
      <c r="Z143" s="772"/>
      <c r="AA143" s="772"/>
      <c r="AB143" s="772"/>
      <c r="AC143" s="772"/>
      <c r="AD143" s="772"/>
      <c r="AE143" s="772"/>
      <c r="AF143" s="772"/>
      <c r="AG143" s="772"/>
      <c r="AH143" s="772"/>
    </row>
    <row r="144" ht="15.75" customHeight="1">
      <c r="A144" s="772"/>
      <c r="B144" s="772"/>
      <c r="C144" s="772"/>
      <c r="D144" s="772"/>
      <c r="E144" s="772"/>
      <c r="F144" s="772"/>
      <c r="G144" s="772"/>
      <c r="H144" s="772"/>
      <c r="I144" s="772"/>
      <c r="J144" s="772"/>
      <c r="K144" s="772"/>
      <c r="L144" s="772"/>
      <c r="M144" s="772"/>
      <c r="N144" s="772"/>
      <c r="O144" s="772"/>
      <c r="P144" s="772"/>
      <c r="Q144" s="772"/>
      <c r="R144" s="772"/>
      <c r="S144" s="772"/>
      <c r="T144" s="772"/>
      <c r="U144" s="772"/>
      <c r="V144" s="772"/>
      <c r="W144" s="772"/>
      <c r="X144" s="772"/>
      <c r="Y144" s="772"/>
      <c r="Z144" s="772"/>
      <c r="AA144" s="772"/>
      <c r="AB144" s="772"/>
      <c r="AC144" s="772"/>
      <c r="AD144" s="772"/>
      <c r="AE144" s="772"/>
      <c r="AF144" s="772"/>
      <c r="AG144" s="772"/>
      <c r="AH144" s="772"/>
    </row>
    <row r="145" ht="15.75" customHeight="1">
      <c r="A145" s="772"/>
      <c r="B145" s="772"/>
      <c r="C145" s="772"/>
      <c r="D145" s="772"/>
      <c r="E145" s="772"/>
      <c r="F145" s="772"/>
      <c r="G145" s="772"/>
      <c r="H145" s="772"/>
      <c r="I145" s="772"/>
      <c r="J145" s="772"/>
      <c r="K145" s="772"/>
      <c r="L145" s="772"/>
      <c r="M145" s="772"/>
      <c r="N145" s="772"/>
      <c r="O145" s="772"/>
      <c r="P145" s="772"/>
      <c r="Q145" s="772"/>
      <c r="R145" s="772"/>
      <c r="S145" s="772"/>
      <c r="T145" s="772"/>
      <c r="U145" s="772"/>
      <c r="V145" s="772"/>
      <c r="W145" s="772"/>
      <c r="X145" s="772"/>
      <c r="Y145" s="772"/>
      <c r="Z145" s="772"/>
      <c r="AA145" s="772"/>
      <c r="AB145" s="772"/>
      <c r="AC145" s="772"/>
      <c r="AD145" s="772"/>
      <c r="AE145" s="772"/>
      <c r="AF145" s="772"/>
      <c r="AG145" s="772"/>
      <c r="AH145" s="772"/>
    </row>
    <row r="146" ht="15.75" customHeight="1">
      <c r="A146" s="772"/>
      <c r="B146" s="772"/>
      <c r="C146" s="772"/>
      <c r="D146" s="772"/>
      <c r="E146" s="772"/>
      <c r="F146" s="772"/>
      <c r="G146" s="772"/>
      <c r="H146" s="772"/>
      <c r="I146" s="772"/>
      <c r="J146" s="772"/>
      <c r="K146" s="772"/>
      <c r="L146" s="772"/>
      <c r="M146" s="772"/>
      <c r="N146" s="772"/>
      <c r="O146" s="772"/>
      <c r="P146" s="772"/>
      <c r="Q146" s="772"/>
      <c r="R146" s="772"/>
      <c r="S146" s="772"/>
      <c r="T146" s="772"/>
      <c r="U146" s="772"/>
      <c r="V146" s="772"/>
      <c r="W146" s="772"/>
      <c r="X146" s="772"/>
      <c r="Y146" s="772"/>
      <c r="Z146" s="772"/>
      <c r="AA146" s="772"/>
      <c r="AB146" s="772"/>
      <c r="AC146" s="772"/>
      <c r="AD146" s="772"/>
      <c r="AE146" s="772"/>
      <c r="AF146" s="772"/>
      <c r="AG146" s="772"/>
      <c r="AH146" s="772"/>
    </row>
    <row r="147" ht="15.75" customHeight="1">
      <c r="A147" s="772"/>
      <c r="B147" s="772"/>
      <c r="C147" s="772"/>
      <c r="D147" s="772"/>
      <c r="E147" s="772"/>
      <c r="F147" s="772"/>
      <c r="G147" s="772"/>
      <c r="H147" s="772"/>
      <c r="I147" s="772"/>
      <c r="J147" s="772"/>
      <c r="K147" s="772"/>
      <c r="L147" s="772"/>
      <c r="M147" s="772"/>
      <c r="N147" s="772"/>
      <c r="O147" s="772"/>
      <c r="P147" s="772"/>
      <c r="Q147" s="772"/>
      <c r="R147" s="772"/>
      <c r="S147" s="772"/>
      <c r="T147" s="772"/>
      <c r="U147" s="772"/>
      <c r="V147" s="772"/>
      <c r="W147" s="772"/>
      <c r="X147" s="772"/>
      <c r="Y147" s="772"/>
      <c r="Z147" s="772"/>
      <c r="AA147" s="772"/>
      <c r="AB147" s="772"/>
      <c r="AC147" s="772"/>
      <c r="AD147" s="772"/>
      <c r="AE147" s="772"/>
      <c r="AF147" s="772"/>
      <c r="AG147" s="772"/>
      <c r="AH147" s="772"/>
    </row>
    <row r="148" ht="15.75" customHeight="1">
      <c r="A148" s="772"/>
      <c r="B148" s="772"/>
      <c r="C148" s="772"/>
      <c r="D148" s="772"/>
      <c r="E148" s="772"/>
      <c r="F148" s="772"/>
      <c r="G148" s="772"/>
      <c r="H148" s="772"/>
      <c r="I148" s="772"/>
      <c r="J148" s="772"/>
      <c r="K148" s="772"/>
      <c r="L148" s="772"/>
      <c r="M148" s="772"/>
      <c r="N148" s="772"/>
      <c r="O148" s="772"/>
      <c r="P148" s="772"/>
      <c r="Q148" s="772"/>
      <c r="R148" s="772"/>
      <c r="S148" s="772"/>
      <c r="T148" s="772"/>
      <c r="U148" s="772"/>
      <c r="V148" s="772"/>
      <c r="W148" s="772"/>
      <c r="X148" s="772"/>
      <c r="Y148" s="772"/>
      <c r="Z148" s="772"/>
      <c r="AA148" s="772"/>
      <c r="AB148" s="772"/>
      <c r="AC148" s="772"/>
      <c r="AD148" s="772"/>
      <c r="AE148" s="772"/>
      <c r="AF148" s="772"/>
      <c r="AG148" s="772"/>
      <c r="AH148" s="772"/>
    </row>
    <row r="149" ht="15.75" customHeight="1">
      <c r="A149" s="772"/>
      <c r="B149" s="772"/>
      <c r="C149" s="772"/>
      <c r="D149" s="772"/>
      <c r="E149" s="772"/>
      <c r="F149" s="772"/>
      <c r="G149" s="772"/>
      <c r="H149" s="772"/>
      <c r="I149" s="772"/>
      <c r="J149" s="772"/>
      <c r="K149" s="772"/>
      <c r="L149" s="772"/>
      <c r="M149" s="772"/>
      <c r="N149" s="772"/>
      <c r="O149" s="772"/>
      <c r="P149" s="772"/>
      <c r="Q149" s="772"/>
      <c r="R149" s="772"/>
      <c r="S149" s="772"/>
      <c r="T149" s="772"/>
      <c r="U149" s="772"/>
      <c r="V149" s="772"/>
      <c r="W149" s="772"/>
      <c r="X149" s="772"/>
      <c r="Y149" s="772"/>
      <c r="Z149" s="772"/>
      <c r="AA149" s="772"/>
      <c r="AB149" s="772"/>
      <c r="AC149" s="772"/>
      <c r="AD149" s="772"/>
      <c r="AE149" s="772"/>
      <c r="AF149" s="772"/>
      <c r="AG149" s="772"/>
      <c r="AH149" s="772"/>
    </row>
    <row r="150" ht="15.75" customHeight="1">
      <c r="A150" s="772"/>
      <c r="B150" s="772"/>
      <c r="C150" s="772"/>
      <c r="D150" s="772"/>
      <c r="E150" s="772"/>
      <c r="F150" s="772"/>
      <c r="G150" s="772"/>
      <c r="H150" s="772"/>
      <c r="I150" s="772"/>
      <c r="J150" s="772"/>
      <c r="K150" s="772"/>
      <c r="L150" s="772"/>
      <c r="M150" s="772"/>
      <c r="N150" s="772"/>
      <c r="O150" s="772"/>
      <c r="P150" s="772"/>
      <c r="Q150" s="772"/>
      <c r="R150" s="772"/>
      <c r="S150" s="772"/>
      <c r="T150" s="772"/>
      <c r="U150" s="772"/>
      <c r="V150" s="772"/>
      <c r="W150" s="772"/>
      <c r="X150" s="772"/>
      <c r="Y150" s="772"/>
      <c r="Z150" s="772"/>
      <c r="AA150" s="772"/>
      <c r="AB150" s="772"/>
      <c r="AC150" s="772"/>
      <c r="AD150" s="772"/>
      <c r="AE150" s="772"/>
      <c r="AF150" s="772"/>
      <c r="AG150" s="772"/>
      <c r="AH150" s="772"/>
    </row>
    <row r="151" ht="15.75" customHeight="1">
      <c r="A151" s="772"/>
      <c r="B151" s="772"/>
      <c r="C151" s="772"/>
      <c r="D151" s="772"/>
      <c r="E151" s="772"/>
      <c r="F151" s="772"/>
      <c r="G151" s="772"/>
      <c r="H151" s="772"/>
      <c r="I151" s="772"/>
      <c r="J151" s="772"/>
      <c r="K151" s="772"/>
      <c r="L151" s="772"/>
      <c r="M151" s="772"/>
      <c r="N151" s="772"/>
      <c r="O151" s="772"/>
      <c r="P151" s="772"/>
      <c r="Q151" s="772"/>
      <c r="R151" s="772"/>
      <c r="S151" s="772"/>
      <c r="T151" s="772"/>
      <c r="U151" s="772"/>
      <c r="V151" s="772"/>
      <c r="W151" s="772"/>
      <c r="X151" s="772"/>
      <c r="Y151" s="772"/>
      <c r="Z151" s="772"/>
      <c r="AA151" s="772"/>
      <c r="AB151" s="772"/>
      <c r="AC151" s="772"/>
      <c r="AD151" s="772"/>
      <c r="AE151" s="772"/>
      <c r="AF151" s="772"/>
      <c r="AG151" s="772"/>
      <c r="AH151" s="772"/>
    </row>
    <row r="152" ht="15.75" customHeight="1">
      <c r="A152" s="772"/>
      <c r="B152" s="772"/>
      <c r="C152" s="772"/>
      <c r="D152" s="772"/>
      <c r="E152" s="772"/>
      <c r="F152" s="772"/>
      <c r="G152" s="772"/>
      <c r="H152" s="772"/>
      <c r="I152" s="772"/>
      <c r="J152" s="772"/>
      <c r="K152" s="772"/>
      <c r="L152" s="772"/>
      <c r="M152" s="772"/>
      <c r="N152" s="772"/>
      <c r="O152" s="772"/>
      <c r="P152" s="772"/>
      <c r="Q152" s="772"/>
      <c r="R152" s="772"/>
      <c r="S152" s="772"/>
      <c r="T152" s="772"/>
      <c r="U152" s="772"/>
      <c r="V152" s="772"/>
      <c r="W152" s="772"/>
      <c r="X152" s="772"/>
      <c r="Y152" s="772"/>
      <c r="Z152" s="772"/>
      <c r="AA152" s="772"/>
      <c r="AB152" s="772"/>
      <c r="AC152" s="772"/>
      <c r="AD152" s="772"/>
      <c r="AE152" s="772"/>
      <c r="AF152" s="772"/>
      <c r="AG152" s="772"/>
      <c r="AH152" s="772"/>
    </row>
    <row r="153" ht="15.75" customHeight="1">
      <c r="A153" s="772"/>
      <c r="B153" s="772"/>
      <c r="C153" s="772"/>
      <c r="D153" s="772"/>
      <c r="E153" s="772"/>
      <c r="F153" s="772"/>
      <c r="G153" s="772"/>
      <c r="H153" s="772"/>
      <c r="I153" s="772"/>
      <c r="J153" s="772"/>
      <c r="K153" s="772"/>
      <c r="L153" s="772"/>
      <c r="M153" s="772"/>
      <c r="N153" s="772"/>
      <c r="O153" s="772"/>
      <c r="P153" s="772"/>
      <c r="Q153" s="772"/>
      <c r="R153" s="772"/>
      <c r="S153" s="772"/>
      <c r="T153" s="772"/>
      <c r="U153" s="772"/>
      <c r="V153" s="772"/>
      <c r="W153" s="772"/>
      <c r="X153" s="772"/>
      <c r="Y153" s="772"/>
      <c r="Z153" s="772"/>
      <c r="AA153" s="772"/>
      <c r="AB153" s="772"/>
      <c r="AC153" s="772"/>
      <c r="AD153" s="772"/>
      <c r="AE153" s="772"/>
      <c r="AF153" s="772"/>
      <c r="AG153" s="772"/>
      <c r="AH153" s="772"/>
    </row>
    <row r="154" ht="15.75" customHeight="1">
      <c r="A154" s="772"/>
      <c r="B154" s="772"/>
      <c r="C154" s="772"/>
      <c r="D154" s="772"/>
      <c r="E154" s="772"/>
      <c r="F154" s="772"/>
      <c r="G154" s="772"/>
      <c r="H154" s="772"/>
      <c r="I154" s="772"/>
      <c r="J154" s="772"/>
      <c r="K154" s="772"/>
      <c r="L154" s="772"/>
      <c r="M154" s="772"/>
      <c r="N154" s="772"/>
      <c r="O154" s="772"/>
      <c r="P154" s="772"/>
      <c r="Q154" s="772"/>
      <c r="R154" s="772"/>
      <c r="S154" s="772"/>
      <c r="T154" s="772"/>
      <c r="U154" s="772"/>
      <c r="V154" s="772"/>
      <c r="W154" s="772"/>
      <c r="X154" s="772"/>
      <c r="Y154" s="772"/>
      <c r="Z154" s="772"/>
      <c r="AA154" s="772"/>
      <c r="AB154" s="772"/>
      <c r="AC154" s="772"/>
      <c r="AD154" s="772"/>
      <c r="AE154" s="772"/>
      <c r="AF154" s="772"/>
      <c r="AG154" s="772"/>
      <c r="AH154" s="772"/>
    </row>
    <row r="155" ht="15.75" customHeight="1">
      <c r="A155" s="772"/>
      <c r="B155" s="772"/>
      <c r="C155" s="772"/>
      <c r="D155" s="772"/>
      <c r="E155" s="772"/>
      <c r="F155" s="772"/>
      <c r="G155" s="772"/>
      <c r="H155" s="772"/>
      <c r="I155" s="772"/>
      <c r="J155" s="772"/>
      <c r="K155" s="772"/>
      <c r="L155" s="772"/>
      <c r="M155" s="772"/>
      <c r="N155" s="772"/>
      <c r="O155" s="772"/>
      <c r="P155" s="772"/>
      <c r="Q155" s="772"/>
      <c r="R155" s="772"/>
      <c r="S155" s="772"/>
      <c r="T155" s="772"/>
      <c r="U155" s="772"/>
      <c r="V155" s="772"/>
      <c r="W155" s="772"/>
      <c r="X155" s="772"/>
      <c r="Y155" s="772"/>
      <c r="Z155" s="772"/>
      <c r="AA155" s="772"/>
      <c r="AB155" s="772"/>
      <c r="AC155" s="772"/>
      <c r="AD155" s="772"/>
      <c r="AE155" s="772"/>
      <c r="AF155" s="772"/>
      <c r="AG155" s="772"/>
      <c r="AH155" s="772"/>
    </row>
    <row r="156" ht="15.75" customHeight="1">
      <c r="A156" s="772"/>
      <c r="B156" s="772"/>
      <c r="C156" s="772"/>
      <c r="D156" s="772"/>
      <c r="E156" s="772"/>
      <c r="F156" s="772"/>
      <c r="G156" s="772"/>
      <c r="H156" s="772"/>
      <c r="I156" s="772"/>
      <c r="J156" s="772"/>
      <c r="K156" s="772"/>
      <c r="L156" s="772"/>
      <c r="M156" s="772"/>
      <c r="N156" s="772"/>
      <c r="O156" s="772"/>
      <c r="P156" s="772"/>
      <c r="Q156" s="772"/>
      <c r="R156" s="772"/>
      <c r="S156" s="772"/>
      <c r="T156" s="772"/>
      <c r="U156" s="772"/>
      <c r="V156" s="772"/>
      <c r="W156" s="772"/>
      <c r="X156" s="772"/>
      <c r="Y156" s="772"/>
      <c r="Z156" s="772"/>
      <c r="AA156" s="772"/>
      <c r="AB156" s="772"/>
      <c r="AC156" s="772"/>
      <c r="AD156" s="772"/>
      <c r="AE156" s="772"/>
      <c r="AF156" s="772"/>
      <c r="AG156" s="772"/>
      <c r="AH156" s="772"/>
    </row>
    <row r="157" ht="15.75" customHeight="1">
      <c r="A157" s="772"/>
      <c r="B157" s="772"/>
      <c r="C157" s="772"/>
      <c r="D157" s="772"/>
      <c r="E157" s="772"/>
      <c r="F157" s="772"/>
      <c r="G157" s="772"/>
      <c r="H157" s="772"/>
      <c r="I157" s="772"/>
      <c r="J157" s="772"/>
      <c r="K157" s="772"/>
      <c r="L157" s="772"/>
      <c r="M157" s="772"/>
      <c r="N157" s="772"/>
      <c r="O157" s="772"/>
      <c r="P157" s="772"/>
      <c r="Q157" s="772"/>
      <c r="R157" s="772"/>
      <c r="S157" s="772"/>
      <c r="T157" s="772"/>
      <c r="U157" s="772"/>
      <c r="V157" s="772"/>
      <c r="W157" s="772"/>
      <c r="X157" s="772"/>
      <c r="Y157" s="772"/>
      <c r="Z157" s="772"/>
      <c r="AA157" s="772"/>
      <c r="AB157" s="772"/>
      <c r="AC157" s="772"/>
      <c r="AD157" s="772"/>
      <c r="AE157" s="772"/>
      <c r="AF157" s="772"/>
      <c r="AG157" s="772"/>
      <c r="AH157" s="772"/>
    </row>
    <row r="158" ht="15.75" customHeight="1">
      <c r="A158" s="772"/>
      <c r="B158" s="772"/>
      <c r="C158" s="772"/>
      <c r="D158" s="772"/>
      <c r="E158" s="772"/>
      <c r="F158" s="772"/>
      <c r="G158" s="772"/>
      <c r="H158" s="772"/>
      <c r="I158" s="772"/>
      <c r="J158" s="772"/>
      <c r="K158" s="772"/>
      <c r="L158" s="772"/>
      <c r="M158" s="772"/>
      <c r="N158" s="772"/>
      <c r="O158" s="772"/>
      <c r="P158" s="772"/>
      <c r="Q158" s="772"/>
      <c r="R158" s="772"/>
      <c r="S158" s="772"/>
      <c r="T158" s="772"/>
      <c r="U158" s="772"/>
      <c r="V158" s="772"/>
      <c r="W158" s="772"/>
      <c r="X158" s="772"/>
      <c r="Y158" s="772"/>
      <c r="Z158" s="772"/>
      <c r="AA158" s="772"/>
      <c r="AB158" s="772"/>
      <c r="AC158" s="772"/>
      <c r="AD158" s="772"/>
      <c r="AE158" s="772"/>
      <c r="AF158" s="772"/>
      <c r="AG158" s="772"/>
      <c r="AH158" s="772"/>
    </row>
    <row r="159" ht="15.75" customHeight="1">
      <c r="A159" s="772"/>
      <c r="B159" s="772"/>
      <c r="C159" s="772"/>
      <c r="D159" s="772"/>
      <c r="E159" s="772"/>
      <c r="F159" s="772"/>
      <c r="G159" s="772"/>
      <c r="H159" s="772"/>
      <c r="I159" s="772"/>
      <c r="J159" s="772"/>
      <c r="K159" s="772"/>
      <c r="L159" s="772"/>
      <c r="M159" s="772"/>
      <c r="N159" s="772"/>
      <c r="O159" s="772"/>
      <c r="P159" s="772"/>
      <c r="Q159" s="772"/>
      <c r="R159" s="772"/>
      <c r="S159" s="772"/>
      <c r="T159" s="772"/>
      <c r="U159" s="772"/>
      <c r="V159" s="772"/>
      <c r="W159" s="772"/>
      <c r="X159" s="772"/>
      <c r="Y159" s="772"/>
      <c r="Z159" s="772"/>
      <c r="AA159" s="772"/>
      <c r="AB159" s="772"/>
      <c r="AC159" s="772"/>
      <c r="AD159" s="772"/>
      <c r="AE159" s="772"/>
      <c r="AF159" s="772"/>
      <c r="AG159" s="772"/>
      <c r="AH159" s="772"/>
    </row>
    <row r="160" ht="15.75" customHeight="1">
      <c r="A160" s="772"/>
      <c r="B160" s="772"/>
      <c r="C160" s="772"/>
      <c r="D160" s="772"/>
      <c r="E160" s="772"/>
      <c r="F160" s="772"/>
      <c r="G160" s="772"/>
      <c r="H160" s="772"/>
      <c r="I160" s="772"/>
      <c r="J160" s="772"/>
      <c r="K160" s="772"/>
      <c r="L160" s="772"/>
      <c r="M160" s="772"/>
      <c r="N160" s="772"/>
      <c r="O160" s="772"/>
      <c r="P160" s="772"/>
      <c r="Q160" s="772"/>
      <c r="R160" s="772"/>
      <c r="S160" s="772"/>
      <c r="T160" s="772"/>
      <c r="U160" s="772"/>
      <c r="V160" s="772"/>
      <c r="W160" s="772"/>
      <c r="X160" s="772"/>
      <c r="Y160" s="772"/>
      <c r="Z160" s="772"/>
      <c r="AA160" s="772"/>
      <c r="AB160" s="772"/>
      <c r="AC160" s="772"/>
      <c r="AD160" s="772"/>
      <c r="AE160" s="772"/>
      <c r="AF160" s="772"/>
      <c r="AG160" s="772"/>
      <c r="AH160" s="772"/>
    </row>
    <row r="161" ht="15.75" customHeight="1">
      <c r="A161" s="772"/>
      <c r="B161" s="772"/>
      <c r="C161" s="772"/>
      <c r="D161" s="772"/>
      <c r="E161" s="772"/>
      <c r="F161" s="772"/>
      <c r="G161" s="772"/>
      <c r="H161" s="772"/>
      <c r="I161" s="772"/>
      <c r="J161" s="772"/>
      <c r="K161" s="772"/>
      <c r="L161" s="772"/>
      <c r="M161" s="772"/>
      <c r="N161" s="772"/>
      <c r="O161" s="772"/>
      <c r="P161" s="772"/>
      <c r="Q161" s="772"/>
      <c r="R161" s="772"/>
      <c r="S161" s="772"/>
      <c r="T161" s="772"/>
      <c r="U161" s="772"/>
      <c r="V161" s="772"/>
      <c r="W161" s="772"/>
      <c r="X161" s="772"/>
      <c r="Y161" s="772"/>
      <c r="Z161" s="772"/>
      <c r="AA161" s="772"/>
      <c r="AB161" s="772"/>
      <c r="AC161" s="772"/>
      <c r="AD161" s="772"/>
      <c r="AE161" s="772"/>
      <c r="AF161" s="772"/>
      <c r="AG161" s="772"/>
      <c r="AH161" s="772"/>
    </row>
    <row r="162" ht="15.75" customHeight="1">
      <c r="A162" s="772"/>
      <c r="B162" s="772"/>
      <c r="C162" s="772"/>
      <c r="D162" s="772"/>
      <c r="E162" s="772"/>
      <c r="F162" s="772"/>
      <c r="G162" s="772"/>
      <c r="H162" s="772"/>
      <c r="I162" s="772"/>
      <c r="J162" s="772"/>
      <c r="K162" s="772"/>
      <c r="L162" s="772"/>
      <c r="M162" s="772"/>
      <c r="N162" s="772"/>
      <c r="O162" s="772"/>
      <c r="P162" s="772"/>
      <c r="Q162" s="772"/>
      <c r="R162" s="772"/>
      <c r="S162" s="772"/>
      <c r="T162" s="772"/>
      <c r="U162" s="772"/>
      <c r="V162" s="772"/>
      <c r="W162" s="772"/>
      <c r="X162" s="772"/>
      <c r="Y162" s="772"/>
      <c r="Z162" s="772"/>
      <c r="AA162" s="772"/>
      <c r="AB162" s="772"/>
      <c r="AC162" s="772"/>
      <c r="AD162" s="772"/>
      <c r="AE162" s="772"/>
      <c r="AF162" s="772"/>
      <c r="AG162" s="772"/>
      <c r="AH162" s="772"/>
    </row>
    <row r="163" ht="15.75" customHeight="1">
      <c r="A163" s="772"/>
      <c r="B163" s="772"/>
      <c r="C163" s="772"/>
      <c r="D163" s="772"/>
      <c r="E163" s="772"/>
      <c r="F163" s="772"/>
      <c r="G163" s="772"/>
      <c r="H163" s="772"/>
      <c r="I163" s="772"/>
      <c r="J163" s="772"/>
      <c r="K163" s="772"/>
      <c r="L163" s="772"/>
      <c r="M163" s="772"/>
      <c r="N163" s="772"/>
      <c r="O163" s="772"/>
      <c r="P163" s="772"/>
      <c r="Q163" s="772"/>
      <c r="R163" s="772"/>
      <c r="S163" s="772"/>
      <c r="T163" s="772"/>
      <c r="U163" s="772"/>
      <c r="V163" s="772"/>
      <c r="W163" s="772"/>
      <c r="X163" s="772"/>
      <c r="Y163" s="772"/>
      <c r="Z163" s="772"/>
      <c r="AA163" s="772"/>
      <c r="AB163" s="772"/>
      <c r="AC163" s="772"/>
      <c r="AD163" s="772"/>
      <c r="AE163" s="772"/>
      <c r="AF163" s="772"/>
      <c r="AG163" s="772"/>
      <c r="AH163" s="772"/>
    </row>
    <row r="164" ht="15.75" customHeight="1">
      <c r="A164" s="772"/>
      <c r="B164" s="772"/>
      <c r="C164" s="772"/>
      <c r="D164" s="772"/>
      <c r="E164" s="772"/>
      <c r="F164" s="772"/>
      <c r="G164" s="772"/>
      <c r="H164" s="772"/>
      <c r="I164" s="772"/>
      <c r="J164" s="772"/>
      <c r="K164" s="772"/>
      <c r="L164" s="772"/>
      <c r="M164" s="772"/>
      <c r="N164" s="772"/>
      <c r="O164" s="772"/>
      <c r="P164" s="772"/>
      <c r="Q164" s="772"/>
      <c r="R164" s="772"/>
      <c r="S164" s="772"/>
      <c r="T164" s="772"/>
      <c r="U164" s="772"/>
      <c r="V164" s="772"/>
      <c r="W164" s="772"/>
      <c r="X164" s="772"/>
      <c r="Y164" s="772"/>
      <c r="Z164" s="772"/>
      <c r="AA164" s="772"/>
      <c r="AB164" s="772"/>
      <c r="AC164" s="772"/>
      <c r="AD164" s="772"/>
      <c r="AE164" s="772"/>
      <c r="AF164" s="772"/>
      <c r="AG164" s="772"/>
      <c r="AH164" s="772"/>
    </row>
    <row r="165" ht="15.75" customHeight="1">
      <c r="A165" s="772"/>
      <c r="B165" s="772"/>
      <c r="C165" s="772"/>
      <c r="D165" s="772"/>
      <c r="E165" s="772"/>
      <c r="F165" s="772"/>
      <c r="G165" s="772"/>
      <c r="H165" s="772"/>
      <c r="I165" s="772"/>
      <c r="J165" s="772"/>
      <c r="K165" s="772"/>
      <c r="L165" s="772"/>
      <c r="M165" s="772"/>
      <c r="N165" s="772"/>
      <c r="O165" s="772"/>
      <c r="P165" s="772"/>
      <c r="Q165" s="772"/>
      <c r="R165" s="772"/>
      <c r="S165" s="772"/>
      <c r="T165" s="772"/>
      <c r="U165" s="772"/>
      <c r="V165" s="772"/>
      <c r="W165" s="772"/>
      <c r="X165" s="772"/>
      <c r="Y165" s="772"/>
      <c r="Z165" s="772"/>
      <c r="AA165" s="772"/>
      <c r="AB165" s="772"/>
      <c r="AC165" s="772"/>
      <c r="AD165" s="772"/>
      <c r="AE165" s="772"/>
      <c r="AF165" s="772"/>
      <c r="AG165" s="772"/>
      <c r="AH165" s="772"/>
    </row>
    <row r="166" ht="15.75" customHeight="1">
      <c r="A166" s="772"/>
      <c r="B166" s="772"/>
      <c r="C166" s="772"/>
      <c r="D166" s="772"/>
      <c r="E166" s="772"/>
      <c r="F166" s="772"/>
      <c r="G166" s="772"/>
      <c r="H166" s="772"/>
      <c r="I166" s="772"/>
      <c r="J166" s="772"/>
      <c r="K166" s="772"/>
      <c r="L166" s="772"/>
      <c r="M166" s="772"/>
      <c r="N166" s="772"/>
      <c r="O166" s="772"/>
      <c r="P166" s="772"/>
      <c r="Q166" s="772"/>
      <c r="R166" s="772"/>
      <c r="S166" s="772"/>
      <c r="T166" s="772"/>
      <c r="U166" s="772"/>
      <c r="V166" s="772"/>
      <c r="W166" s="772"/>
      <c r="X166" s="772"/>
      <c r="Y166" s="772"/>
      <c r="Z166" s="772"/>
      <c r="AA166" s="772"/>
      <c r="AB166" s="772"/>
      <c r="AC166" s="772"/>
      <c r="AD166" s="772"/>
      <c r="AE166" s="772"/>
      <c r="AF166" s="772"/>
      <c r="AG166" s="772"/>
      <c r="AH166" s="772"/>
    </row>
    <row r="167" ht="15.75" customHeight="1">
      <c r="A167" s="772"/>
      <c r="B167" s="772"/>
      <c r="C167" s="772"/>
      <c r="D167" s="772"/>
      <c r="E167" s="772"/>
      <c r="F167" s="772"/>
      <c r="G167" s="772"/>
      <c r="H167" s="772"/>
      <c r="I167" s="772"/>
      <c r="J167" s="772"/>
      <c r="K167" s="772"/>
      <c r="L167" s="772"/>
      <c r="M167" s="772"/>
      <c r="N167" s="772"/>
      <c r="O167" s="772"/>
      <c r="P167" s="772"/>
      <c r="Q167" s="772"/>
      <c r="R167" s="772"/>
      <c r="S167" s="772"/>
      <c r="T167" s="772"/>
      <c r="U167" s="772"/>
      <c r="V167" s="772"/>
      <c r="W167" s="772"/>
      <c r="X167" s="772"/>
      <c r="Y167" s="772"/>
      <c r="Z167" s="772"/>
      <c r="AA167" s="772"/>
      <c r="AB167" s="772"/>
      <c r="AC167" s="772"/>
      <c r="AD167" s="772"/>
      <c r="AE167" s="772"/>
      <c r="AF167" s="772"/>
      <c r="AG167" s="772"/>
      <c r="AH167" s="772"/>
    </row>
    <row r="168" ht="15.75" customHeight="1">
      <c r="A168" s="772"/>
      <c r="B168" s="772"/>
      <c r="C168" s="772"/>
      <c r="D168" s="772"/>
      <c r="E168" s="772"/>
      <c r="F168" s="772"/>
      <c r="G168" s="772"/>
      <c r="H168" s="772"/>
      <c r="I168" s="772"/>
      <c r="J168" s="772"/>
      <c r="K168" s="772"/>
      <c r="L168" s="772"/>
      <c r="M168" s="772"/>
      <c r="N168" s="772"/>
      <c r="O168" s="772"/>
      <c r="P168" s="772"/>
      <c r="Q168" s="772"/>
      <c r="R168" s="772"/>
      <c r="S168" s="772"/>
      <c r="T168" s="772"/>
      <c r="U168" s="772"/>
      <c r="V168" s="772"/>
      <c r="W168" s="772"/>
      <c r="X168" s="772"/>
      <c r="Y168" s="772"/>
      <c r="Z168" s="772"/>
      <c r="AA168" s="772"/>
      <c r="AB168" s="772"/>
      <c r="AC168" s="772"/>
      <c r="AD168" s="772"/>
      <c r="AE168" s="772"/>
      <c r="AF168" s="772"/>
      <c r="AG168" s="772"/>
      <c r="AH168" s="772"/>
    </row>
    <row r="169" ht="15.75" customHeight="1">
      <c r="A169" s="772"/>
      <c r="B169" s="772"/>
      <c r="C169" s="772"/>
      <c r="D169" s="772"/>
      <c r="E169" s="772"/>
      <c r="F169" s="772"/>
      <c r="G169" s="772"/>
      <c r="H169" s="772"/>
      <c r="I169" s="772"/>
      <c r="J169" s="772"/>
      <c r="K169" s="772"/>
      <c r="L169" s="772"/>
      <c r="M169" s="772"/>
      <c r="N169" s="772"/>
      <c r="O169" s="772"/>
      <c r="P169" s="772"/>
      <c r="Q169" s="772"/>
      <c r="R169" s="772"/>
      <c r="S169" s="772"/>
      <c r="T169" s="772"/>
      <c r="U169" s="772"/>
      <c r="V169" s="772"/>
      <c r="W169" s="772"/>
      <c r="X169" s="772"/>
      <c r="Y169" s="772"/>
      <c r="Z169" s="772"/>
      <c r="AA169" s="772"/>
      <c r="AB169" s="772"/>
      <c r="AC169" s="772"/>
      <c r="AD169" s="772"/>
      <c r="AE169" s="772"/>
      <c r="AF169" s="772"/>
      <c r="AG169" s="772"/>
      <c r="AH169" s="772"/>
    </row>
    <row r="170" ht="15.75" customHeight="1">
      <c r="A170" s="772"/>
      <c r="B170" s="772"/>
      <c r="C170" s="772"/>
      <c r="D170" s="772"/>
      <c r="E170" s="772"/>
      <c r="F170" s="772"/>
      <c r="G170" s="772"/>
      <c r="H170" s="772"/>
      <c r="I170" s="772"/>
      <c r="J170" s="772"/>
      <c r="K170" s="772"/>
      <c r="L170" s="772"/>
      <c r="M170" s="772"/>
      <c r="N170" s="772"/>
      <c r="O170" s="772"/>
      <c r="P170" s="772"/>
      <c r="Q170" s="772"/>
      <c r="R170" s="772"/>
      <c r="S170" s="772"/>
      <c r="T170" s="772"/>
      <c r="U170" s="772"/>
      <c r="V170" s="772"/>
      <c r="W170" s="772"/>
      <c r="X170" s="772"/>
      <c r="Y170" s="772"/>
      <c r="Z170" s="772"/>
      <c r="AA170" s="772"/>
      <c r="AB170" s="772"/>
      <c r="AC170" s="772"/>
      <c r="AD170" s="772"/>
      <c r="AE170" s="772"/>
      <c r="AF170" s="772"/>
      <c r="AG170" s="772"/>
      <c r="AH170" s="772"/>
    </row>
    <row r="171" ht="15.75" customHeight="1">
      <c r="A171" s="772"/>
      <c r="B171" s="772"/>
      <c r="C171" s="772"/>
      <c r="D171" s="772"/>
      <c r="E171" s="772"/>
      <c r="F171" s="772"/>
      <c r="G171" s="772"/>
      <c r="H171" s="772"/>
      <c r="I171" s="772"/>
      <c r="J171" s="772"/>
      <c r="K171" s="772"/>
      <c r="L171" s="772"/>
      <c r="M171" s="772"/>
      <c r="N171" s="772"/>
      <c r="O171" s="772"/>
      <c r="P171" s="772"/>
      <c r="Q171" s="772"/>
      <c r="R171" s="772"/>
      <c r="S171" s="772"/>
      <c r="T171" s="772"/>
      <c r="U171" s="772"/>
      <c r="V171" s="772"/>
      <c r="W171" s="772"/>
      <c r="X171" s="772"/>
      <c r="Y171" s="772"/>
      <c r="Z171" s="772"/>
      <c r="AA171" s="772"/>
      <c r="AB171" s="772"/>
      <c r="AC171" s="772"/>
      <c r="AD171" s="772"/>
      <c r="AE171" s="772"/>
      <c r="AF171" s="772"/>
      <c r="AG171" s="772"/>
      <c r="AH171" s="772"/>
    </row>
    <row r="172" ht="15.75" customHeight="1">
      <c r="A172" s="772"/>
      <c r="B172" s="772"/>
      <c r="C172" s="772"/>
      <c r="D172" s="772"/>
      <c r="E172" s="772"/>
      <c r="F172" s="772"/>
      <c r="G172" s="772"/>
      <c r="H172" s="772"/>
      <c r="I172" s="772"/>
      <c r="J172" s="772"/>
      <c r="K172" s="772"/>
      <c r="L172" s="772"/>
      <c r="M172" s="772"/>
      <c r="N172" s="772"/>
      <c r="O172" s="772"/>
      <c r="P172" s="772"/>
      <c r="Q172" s="772"/>
      <c r="R172" s="772"/>
      <c r="S172" s="772"/>
      <c r="T172" s="772"/>
      <c r="U172" s="772"/>
      <c r="V172" s="772"/>
      <c r="W172" s="772"/>
      <c r="X172" s="772"/>
      <c r="Y172" s="772"/>
      <c r="Z172" s="772"/>
      <c r="AA172" s="772"/>
      <c r="AB172" s="772"/>
      <c r="AC172" s="772"/>
      <c r="AD172" s="772"/>
      <c r="AE172" s="772"/>
      <c r="AF172" s="772"/>
      <c r="AG172" s="772"/>
      <c r="AH172" s="772"/>
    </row>
    <row r="173" ht="15.75" customHeight="1">
      <c r="A173" s="772"/>
      <c r="B173" s="772"/>
      <c r="C173" s="772"/>
      <c r="D173" s="772"/>
      <c r="E173" s="772"/>
      <c r="F173" s="772"/>
      <c r="G173" s="772"/>
      <c r="H173" s="772"/>
      <c r="I173" s="772"/>
      <c r="J173" s="772"/>
      <c r="K173" s="772"/>
      <c r="L173" s="772"/>
      <c r="M173" s="772"/>
      <c r="N173" s="772"/>
      <c r="O173" s="772"/>
      <c r="P173" s="772"/>
      <c r="Q173" s="772"/>
      <c r="R173" s="772"/>
      <c r="S173" s="772"/>
      <c r="T173" s="772"/>
      <c r="U173" s="772"/>
      <c r="V173" s="772"/>
      <c r="W173" s="772"/>
      <c r="X173" s="772"/>
      <c r="Y173" s="772"/>
      <c r="Z173" s="772"/>
      <c r="AA173" s="772"/>
      <c r="AB173" s="772"/>
      <c r="AC173" s="772"/>
      <c r="AD173" s="772"/>
      <c r="AE173" s="772"/>
      <c r="AF173" s="772"/>
      <c r="AG173" s="772"/>
      <c r="AH173" s="772"/>
    </row>
    <row r="174" ht="15.75" customHeight="1">
      <c r="A174" s="772"/>
      <c r="B174" s="772"/>
      <c r="C174" s="772"/>
      <c r="D174" s="772"/>
      <c r="E174" s="772"/>
      <c r="F174" s="772"/>
      <c r="G174" s="772"/>
      <c r="H174" s="772"/>
      <c r="I174" s="772"/>
      <c r="J174" s="772"/>
      <c r="K174" s="772"/>
      <c r="L174" s="772"/>
      <c r="M174" s="772"/>
      <c r="N174" s="772"/>
      <c r="O174" s="772"/>
      <c r="P174" s="772"/>
      <c r="Q174" s="772"/>
      <c r="R174" s="772"/>
      <c r="S174" s="772"/>
      <c r="T174" s="772"/>
      <c r="U174" s="772"/>
      <c r="V174" s="772"/>
      <c r="W174" s="772"/>
      <c r="X174" s="772"/>
      <c r="Y174" s="772"/>
      <c r="Z174" s="772"/>
      <c r="AA174" s="772"/>
      <c r="AB174" s="772"/>
      <c r="AC174" s="772"/>
      <c r="AD174" s="772"/>
      <c r="AE174" s="772"/>
      <c r="AF174" s="772"/>
      <c r="AG174" s="772"/>
      <c r="AH174" s="772"/>
    </row>
    <row r="175" ht="15.75" customHeight="1">
      <c r="A175" s="772"/>
      <c r="B175" s="772"/>
      <c r="C175" s="772"/>
      <c r="D175" s="772"/>
      <c r="E175" s="772"/>
      <c r="F175" s="772"/>
      <c r="G175" s="772"/>
      <c r="H175" s="772"/>
      <c r="I175" s="772"/>
      <c r="J175" s="772"/>
      <c r="K175" s="772"/>
      <c r="L175" s="772"/>
      <c r="M175" s="772"/>
      <c r="N175" s="772"/>
      <c r="O175" s="772"/>
      <c r="P175" s="772"/>
      <c r="Q175" s="772"/>
      <c r="R175" s="772"/>
      <c r="S175" s="772"/>
      <c r="T175" s="772"/>
      <c r="U175" s="772"/>
      <c r="V175" s="772"/>
      <c r="W175" s="772"/>
      <c r="X175" s="772"/>
      <c r="Y175" s="772"/>
      <c r="Z175" s="772"/>
      <c r="AA175" s="772"/>
      <c r="AB175" s="772"/>
      <c r="AC175" s="772"/>
      <c r="AD175" s="772"/>
      <c r="AE175" s="772"/>
      <c r="AF175" s="772"/>
      <c r="AG175" s="772"/>
      <c r="AH175" s="772"/>
    </row>
    <row r="176" ht="15.75" customHeight="1">
      <c r="A176" s="772"/>
      <c r="B176" s="772"/>
      <c r="C176" s="772"/>
      <c r="D176" s="772"/>
      <c r="E176" s="772"/>
      <c r="F176" s="772"/>
      <c r="G176" s="772"/>
      <c r="H176" s="772"/>
      <c r="I176" s="772"/>
      <c r="J176" s="772"/>
      <c r="K176" s="772"/>
      <c r="L176" s="772"/>
      <c r="M176" s="772"/>
      <c r="N176" s="772"/>
      <c r="O176" s="772"/>
      <c r="P176" s="772"/>
      <c r="Q176" s="772"/>
      <c r="R176" s="772"/>
      <c r="S176" s="772"/>
      <c r="T176" s="772"/>
      <c r="U176" s="772"/>
      <c r="V176" s="772"/>
      <c r="W176" s="772"/>
      <c r="X176" s="772"/>
      <c r="Y176" s="772"/>
      <c r="Z176" s="772"/>
      <c r="AA176" s="772"/>
      <c r="AB176" s="772"/>
      <c r="AC176" s="772"/>
      <c r="AD176" s="772"/>
      <c r="AE176" s="772"/>
      <c r="AF176" s="772"/>
      <c r="AG176" s="772"/>
      <c r="AH176" s="772"/>
    </row>
    <row r="177" ht="15.75" customHeight="1">
      <c r="A177" s="772"/>
      <c r="B177" s="772"/>
      <c r="C177" s="772"/>
      <c r="D177" s="772"/>
      <c r="E177" s="772"/>
      <c r="F177" s="772"/>
      <c r="G177" s="772"/>
      <c r="H177" s="772"/>
      <c r="I177" s="772"/>
      <c r="J177" s="772"/>
      <c r="K177" s="772"/>
      <c r="L177" s="772"/>
      <c r="M177" s="772"/>
      <c r="N177" s="772"/>
      <c r="O177" s="772"/>
      <c r="P177" s="772"/>
      <c r="Q177" s="772"/>
      <c r="R177" s="772"/>
      <c r="S177" s="772"/>
      <c r="T177" s="772"/>
      <c r="U177" s="772"/>
      <c r="V177" s="772"/>
      <c r="W177" s="772"/>
      <c r="X177" s="772"/>
      <c r="Y177" s="772"/>
      <c r="Z177" s="772"/>
      <c r="AA177" s="772"/>
      <c r="AB177" s="772"/>
      <c r="AC177" s="772"/>
      <c r="AD177" s="772"/>
      <c r="AE177" s="772"/>
      <c r="AF177" s="772"/>
      <c r="AG177" s="772"/>
      <c r="AH177" s="772"/>
    </row>
    <row r="178" ht="15.75" customHeight="1">
      <c r="A178" s="772"/>
      <c r="B178" s="772"/>
      <c r="C178" s="772"/>
      <c r="D178" s="772"/>
      <c r="E178" s="772"/>
      <c r="F178" s="772"/>
      <c r="G178" s="772"/>
      <c r="H178" s="772"/>
      <c r="I178" s="772"/>
      <c r="J178" s="772"/>
      <c r="K178" s="772"/>
      <c r="L178" s="772"/>
      <c r="M178" s="772"/>
      <c r="N178" s="772"/>
      <c r="O178" s="772"/>
      <c r="P178" s="772"/>
      <c r="Q178" s="772"/>
      <c r="R178" s="772"/>
      <c r="S178" s="772"/>
      <c r="T178" s="772"/>
      <c r="U178" s="772"/>
      <c r="V178" s="772"/>
      <c r="W178" s="772"/>
      <c r="X178" s="772"/>
      <c r="Y178" s="772"/>
      <c r="Z178" s="772"/>
      <c r="AA178" s="772"/>
      <c r="AB178" s="772"/>
      <c r="AC178" s="772"/>
      <c r="AD178" s="772"/>
      <c r="AE178" s="772"/>
      <c r="AF178" s="772"/>
      <c r="AG178" s="772"/>
      <c r="AH178" s="772"/>
    </row>
    <row r="179" ht="15.75" customHeight="1">
      <c r="A179" s="772"/>
      <c r="B179" s="772"/>
      <c r="C179" s="772"/>
      <c r="D179" s="772"/>
      <c r="E179" s="772"/>
      <c r="F179" s="772"/>
      <c r="G179" s="772"/>
      <c r="H179" s="772"/>
      <c r="I179" s="772"/>
      <c r="J179" s="772"/>
      <c r="K179" s="772"/>
      <c r="L179" s="772"/>
      <c r="M179" s="772"/>
      <c r="N179" s="772"/>
      <c r="O179" s="772"/>
      <c r="P179" s="772"/>
      <c r="Q179" s="772"/>
      <c r="R179" s="772"/>
      <c r="S179" s="772"/>
      <c r="T179" s="772"/>
      <c r="U179" s="772"/>
      <c r="V179" s="772"/>
      <c r="W179" s="772"/>
      <c r="X179" s="772"/>
      <c r="Y179" s="772"/>
      <c r="Z179" s="772"/>
      <c r="AA179" s="772"/>
      <c r="AB179" s="772"/>
      <c r="AC179" s="772"/>
      <c r="AD179" s="772"/>
      <c r="AE179" s="772"/>
      <c r="AF179" s="772"/>
      <c r="AG179" s="772"/>
      <c r="AH179" s="772"/>
    </row>
    <row r="180" ht="15.75" customHeight="1">
      <c r="A180" s="772"/>
      <c r="B180" s="772"/>
      <c r="C180" s="772"/>
      <c r="D180" s="772"/>
      <c r="E180" s="772"/>
      <c r="F180" s="772"/>
      <c r="G180" s="772"/>
      <c r="H180" s="772"/>
      <c r="I180" s="772"/>
      <c r="J180" s="772"/>
      <c r="K180" s="772"/>
      <c r="L180" s="772"/>
      <c r="M180" s="772"/>
      <c r="N180" s="772"/>
      <c r="O180" s="772"/>
      <c r="P180" s="772"/>
      <c r="Q180" s="772"/>
      <c r="R180" s="772"/>
      <c r="S180" s="772"/>
      <c r="T180" s="772"/>
      <c r="U180" s="772"/>
      <c r="V180" s="772"/>
      <c r="W180" s="772"/>
      <c r="X180" s="772"/>
      <c r="Y180" s="772"/>
      <c r="Z180" s="772"/>
      <c r="AA180" s="772"/>
      <c r="AB180" s="772"/>
      <c r="AC180" s="772"/>
      <c r="AD180" s="772"/>
      <c r="AE180" s="772"/>
      <c r="AF180" s="772"/>
      <c r="AG180" s="772"/>
      <c r="AH180" s="772"/>
    </row>
    <row r="181" ht="15.75" customHeight="1">
      <c r="A181" s="772"/>
      <c r="B181" s="772"/>
      <c r="C181" s="772"/>
      <c r="D181" s="772"/>
      <c r="E181" s="772"/>
      <c r="F181" s="772"/>
      <c r="G181" s="772"/>
      <c r="H181" s="772"/>
      <c r="I181" s="772"/>
      <c r="J181" s="772"/>
      <c r="K181" s="772"/>
      <c r="L181" s="772"/>
      <c r="M181" s="772"/>
      <c r="N181" s="772"/>
      <c r="O181" s="772"/>
      <c r="P181" s="772"/>
      <c r="Q181" s="772"/>
      <c r="R181" s="772"/>
      <c r="S181" s="772"/>
      <c r="T181" s="772"/>
      <c r="U181" s="772"/>
      <c r="V181" s="772"/>
      <c r="W181" s="772"/>
      <c r="X181" s="772"/>
      <c r="Y181" s="772"/>
      <c r="Z181" s="772"/>
      <c r="AA181" s="772"/>
      <c r="AB181" s="772"/>
      <c r="AC181" s="772"/>
      <c r="AD181" s="772"/>
      <c r="AE181" s="772"/>
      <c r="AF181" s="772"/>
      <c r="AG181" s="772"/>
      <c r="AH181" s="772"/>
    </row>
    <row r="182" ht="15.75" customHeight="1">
      <c r="A182" s="772"/>
      <c r="B182" s="772"/>
      <c r="C182" s="772"/>
      <c r="D182" s="772"/>
      <c r="E182" s="772"/>
      <c r="F182" s="772"/>
      <c r="G182" s="772"/>
      <c r="H182" s="772"/>
      <c r="I182" s="772"/>
      <c r="J182" s="772"/>
      <c r="K182" s="772"/>
      <c r="L182" s="772"/>
      <c r="M182" s="772"/>
      <c r="N182" s="772"/>
      <c r="O182" s="772"/>
      <c r="P182" s="772"/>
      <c r="Q182" s="772"/>
      <c r="R182" s="772"/>
      <c r="S182" s="772"/>
      <c r="T182" s="772"/>
      <c r="U182" s="772"/>
      <c r="V182" s="772"/>
      <c r="W182" s="772"/>
      <c r="X182" s="772"/>
      <c r="Y182" s="772"/>
      <c r="Z182" s="772"/>
      <c r="AA182" s="772"/>
      <c r="AB182" s="772"/>
      <c r="AC182" s="772"/>
      <c r="AD182" s="772"/>
      <c r="AE182" s="772"/>
      <c r="AF182" s="772"/>
      <c r="AG182" s="772"/>
      <c r="AH182" s="772"/>
    </row>
    <row r="183" ht="15.75" customHeight="1">
      <c r="A183" s="772"/>
      <c r="B183" s="772"/>
      <c r="C183" s="772"/>
      <c r="D183" s="772"/>
      <c r="E183" s="772"/>
      <c r="F183" s="772"/>
      <c r="G183" s="772"/>
      <c r="H183" s="772"/>
      <c r="I183" s="772"/>
      <c r="J183" s="772"/>
      <c r="K183" s="772"/>
      <c r="L183" s="772"/>
      <c r="M183" s="772"/>
      <c r="N183" s="772"/>
      <c r="O183" s="772"/>
      <c r="P183" s="772"/>
      <c r="Q183" s="772"/>
      <c r="R183" s="772"/>
      <c r="S183" s="772"/>
      <c r="T183" s="772"/>
      <c r="U183" s="772"/>
      <c r="V183" s="772"/>
      <c r="W183" s="772"/>
      <c r="X183" s="772"/>
      <c r="Y183" s="772"/>
      <c r="Z183" s="772"/>
      <c r="AA183" s="772"/>
      <c r="AB183" s="772"/>
      <c r="AC183" s="772"/>
      <c r="AD183" s="772"/>
      <c r="AE183" s="772"/>
      <c r="AF183" s="772"/>
      <c r="AG183" s="772"/>
      <c r="AH183" s="772"/>
    </row>
    <row r="184" ht="15.75" customHeight="1">
      <c r="A184" s="772"/>
      <c r="B184" s="772"/>
      <c r="C184" s="772"/>
      <c r="D184" s="772"/>
      <c r="E184" s="772"/>
      <c r="F184" s="772"/>
      <c r="G184" s="772"/>
      <c r="H184" s="772"/>
      <c r="I184" s="772"/>
      <c r="J184" s="772"/>
      <c r="K184" s="772"/>
      <c r="L184" s="772"/>
      <c r="M184" s="772"/>
      <c r="N184" s="772"/>
      <c r="O184" s="772"/>
      <c r="P184" s="772"/>
      <c r="Q184" s="772"/>
      <c r="R184" s="772"/>
      <c r="S184" s="772"/>
      <c r="T184" s="772"/>
      <c r="U184" s="772"/>
      <c r="V184" s="772"/>
      <c r="W184" s="772"/>
      <c r="X184" s="772"/>
      <c r="Y184" s="772"/>
      <c r="Z184" s="772"/>
      <c r="AA184" s="772"/>
      <c r="AB184" s="772"/>
      <c r="AC184" s="772"/>
      <c r="AD184" s="772"/>
      <c r="AE184" s="772"/>
      <c r="AF184" s="772"/>
      <c r="AG184" s="772"/>
      <c r="AH184" s="772"/>
    </row>
    <row r="185" ht="15.75" customHeight="1">
      <c r="A185" s="772"/>
      <c r="B185" s="772"/>
      <c r="C185" s="772"/>
      <c r="D185" s="772"/>
      <c r="E185" s="772"/>
      <c r="F185" s="772"/>
      <c r="G185" s="772"/>
      <c r="H185" s="772"/>
      <c r="I185" s="772"/>
      <c r="J185" s="772"/>
      <c r="K185" s="772"/>
      <c r="L185" s="772"/>
      <c r="M185" s="772"/>
      <c r="N185" s="772"/>
      <c r="O185" s="772"/>
      <c r="P185" s="772"/>
      <c r="Q185" s="772"/>
      <c r="R185" s="772"/>
      <c r="S185" s="772"/>
      <c r="T185" s="772"/>
      <c r="U185" s="772"/>
      <c r="V185" s="772"/>
      <c r="W185" s="772"/>
      <c r="X185" s="772"/>
      <c r="Y185" s="772"/>
      <c r="Z185" s="772"/>
      <c r="AA185" s="772"/>
      <c r="AB185" s="772"/>
      <c r="AC185" s="772"/>
      <c r="AD185" s="772"/>
      <c r="AE185" s="772"/>
      <c r="AF185" s="772"/>
      <c r="AG185" s="772"/>
      <c r="AH185" s="772"/>
    </row>
    <row r="186" ht="15.75" customHeight="1">
      <c r="A186" s="772"/>
      <c r="B186" s="772"/>
      <c r="C186" s="772"/>
      <c r="D186" s="772"/>
      <c r="E186" s="772"/>
      <c r="F186" s="772"/>
      <c r="G186" s="772"/>
      <c r="H186" s="772"/>
      <c r="I186" s="772"/>
      <c r="J186" s="772"/>
      <c r="K186" s="772"/>
      <c r="L186" s="772"/>
      <c r="M186" s="772"/>
      <c r="N186" s="772"/>
      <c r="O186" s="772"/>
      <c r="P186" s="772"/>
      <c r="Q186" s="772"/>
      <c r="R186" s="772"/>
      <c r="S186" s="772"/>
      <c r="T186" s="772"/>
      <c r="U186" s="772"/>
      <c r="V186" s="772"/>
      <c r="W186" s="772"/>
      <c r="X186" s="772"/>
      <c r="Y186" s="772"/>
      <c r="Z186" s="772"/>
      <c r="AA186" s="772"/>
      <c r="AB186" s="772"/>
      <c r="AC186" s="772"/>
      <c r="AD186" s="772"/>
      <c r="AE186" s="772"/>
      <c r="AF186" s="772"/>
      <c r="AG186" s="772"/>
      <c r="AH186" s="772"/>
    </row>
    <row r="187" ht="15.75" customHeight="1">
      <c r="A187" s="772"/>
      <c r="B187" s="772"/>
      <c r="C187" s="772"/>
      <c r="D187" s="772"/>
      <c r="E187" s="772"/>
      <c r="F187" s="772"/>
      <c r="G187" s="772"/>
      <c r="H187" s="772"/>
      <c r="I187" s="772"/>
      <c r="J187" s="772"/>
      <c r="K187" s="772"/>
      <c r="L187" s="772"/>
      <c r="M187" s="772"/>
      <c r="N187" s="772"/>
      <c r="O187" s="772"/>
      <c r="P187" s="772"/>
      <c r="Q187" s="772"/>
      <c r="R187" s="772"/>
      <c r="S187" s="772"/>
      <c r="T187" s="772"/>
      <c r="U187" s="772"/>
      <c r="V187" s="772"/>
      <c r="W187" s="772"/>
      <c r="X187" s="772"/>
      <c r="Y187" s="772"/>
      <c r="Z187" s="772"/>
      <c r="AA187" s="772"/>
      <c r="AB187" s="772"/>
      <c r="AC187" s="772"/>
      <c r="AD187" s="772"/>
      <c r="AE187" s="772"/>
      <c r="AF187" s="772"/>
      <c r="AG187" s="772"/>
      <c r="AH187" s="772"/>
    </row>
    <row r="188" ht="15.75" customHeight="1">
      <c r="A188" s="772"/>
      <c r="B188" s="772"/>
      <c r="C188" s="772"/>
      <c r="D188" s="772"/>
      <c r="E188" s="772"/>
      <c r="F188" s="772"/>
      <c r="G188" s="772"/>
      <c r="H188" s="772"/>
      <c r="I188" s="772"/>
      <c r="J188" s="772"/>
      <c r="K188" s="772"/>
      <c r="L188" s="772"/>
      <c r="M188" s="772"/>
      <c r="N188" s="772"/>
      <c r="O188" s="772"/>
      <c r="P188" s="772"/>
      <c r="Q188" s="772"/>
      <c r="R188" s="772"/>
      <c r="S188" s="772"/>
      <c r="T188" s="772"/>
      <c r="U188" s="772"/>
      <c r="V188" s="772"/>
      <c r="W188" s="772"/>
      <c r="X188" s="772"/>
      <c r="Y188" s="772"/>
      <c r="Z188" s="772"/>
      <c r="AA188" s="772"/>
      <c r="AB188" s="772"/>
      <c r="AC188" s="772"/>
      <c r="AD188" s="772"/>
      <c r="AE188" s="772"/>
      <c r="AF188" s="772"/>
      <c r="AG188" s="772"/>
      <c r="AH188" s="772"/>
    </row>
    <row r="189" ht="15.75" customHeight="1">
      <c r="A189" s="772"/>
      <c r="B189" s="772"/>
      <c r="C189" s="772"/>
      <c r="D189" s="772"/>
      <c r="E189" s="772"/>
      <c r="F189" s="772"/>
      <c r="G189" s="772"/>
      <c r="H189" s="772"/>
      <c r="I189" s="772"/>
      <c r="J189" s="772"/>
      <c r="K189" s="772"/>
      <c r="L189" s="772"/>
      <c r="M189" s="772"/>
      <c r="N189" s="772"/>
      <c r="O189" s="772"/>
      <c r="P189" s="772"/>
      <c r="Q189" s="772"/>
      <c r="R189" s="772"/>
      <c r="S189" s="772"/>
      <c r="T189" s="772"/>
      <c r="U189" s="772"/>
      <c r="V189" s="772"/>
      <c r="W189" s="772"/>
      <c r="X189" s="772"/>
      <c r="Y189" s="772"/>
      <c r="Z189" s="772"/>
      <c r="AA189" s="772"/>
      <c r="AB189" s="772"/>
      <c r="AC189" s="772"/>
      <c r="AD189" s="772"/>
      <c r="AE189" s="772"/>
      <c r="AF189" s="772"/>
      <c r="AG189" s="772"/>
      <c r="AH189" s="772"/>
    </row>
    <row r="190" ht="15.75" customHeight="1">
      <c r="A190" s="772"/>
      <c r="B190" s="772"/>
      <c r="C190" s="772"/>
      <c r="D190" s="772"/>
      <c r="E190" s="772"/>
      <c r="F190" s="772"/>
      <c r="G190" s="772"/>
      <c r="H190" s="772"/>
      <c r="I190" s="772"/>
      <c r="J190" s="772"/>
      <c r="K190" s="772"/>
      <c r="L190" s="772"/>
      <c r="M190" s="772"/>
      <c r="N190" s="772"/>
      <c r="O190" s="772"/>
      <c r="P190" s="772"/>
      <c r="Q190" s="772"/>
      <c r="R190" s="772"/>
      <c r="S190" s="772"/>
      <c r="T190" s="772"/>
      <c r="U190" s="772"/>
      <c r="V190" s="772"/>
      <c r="W190" s="772"/>
      <c r="X190" s="772"/>
      <c r="Y190" s="772"/>
      <c r="Z190" s="772"/>
      <c r="AA190" s="772"/>
      <c r="AB190" s="772"/>
      <c r="AC190" s="772"/>
      <c r="AD190" s="772"/>
      <c r="AE190" s="772"/>
      <c r="AF190" s="772"/>
      <c r="AG190" s="772"/>
      <c r="AH190" s="772"/>
    </row>
    <row r="191" ht="15.75" customHeight="1">
      <c r="A191" s="772"/>
      <c r="B191" s="772"/>
      <c r="C191" s="772"/>
      <c r="D191" s="772"/>
      <c r="E191" s="772"/>
      <c r="F191" s="772"/>
      <c r="G191" s="772"/>
      <c r="H191" s="772"/>
      <c r="I191" s="772"/>
      <c r="J191" s="772"/>
      <c r="K191" s="772"/>
      <c r="L191" s="772"/>
      <c r="M191" s="772"/>
      <c r="N191" s="772"/>
      <c r="O191" s="772"/>
      <c r="P191" s="772"/>
      <c r="Q191" s="772"/>
      <c r="R191" s="772"/>
      <c r="S191" s="772"/>
      <c r="T191" s="772"/>
      <c r="U191" s="772"/>
      <c r="V191" s="772"/>
      <c r="W191" s="772"/>
      <c r="X191" s="772"/>
      <c r="Y191" s="772"/>
      <c r="Z191" s="772"/>
      <c r="AA191" s="772"/>
      <c r="AB191" s="772"/>
      <c r="AC191" s="772"/>
      <c r="AD191" s="772"/>
      <c r="AE191" s="772"/>
      <c r="AF191" s="772"/>
      <c r="AG191" s="772"/>
      <c r="AH191" s="772"/>
    </row>
    <row r="192" ht="15.75" customHeight="1">
      <c r="A192" s="772"/>
      <c r="B192" s="772"/>
      <c r="C192" s="772"/>
      <c r="D192" s="772"/>
      <c r="E192" s="772"/>
      <c r="F192" s="772"/>
      <c r="G192" s="772"/>
      <c r="H192" s="772"/>
      <c r="I192" s="772"/>
      <c r="J192" s="772"/>
      <c r="K192" s="772"/>
      <c r="L192" s="772"/>
      <c r="M192" s="772"/>
      <c r="N192" s="772"/>
      <c r="O192" s="772"/>
      <c r="P192" s="772"/>
      <c r="Q192" s="772"/>
      <c r="R192" s="772"/>
      <c r="S192" s="772"/>
      <c r="T192" s="772"/>
      <c r="U192" s="772"/>
      <c r="V192" s="772"/>
      <c r="W192" s="772"/>
      <c r="X192" s="772"/>
      <c r="Y192" s="772"/>
      <c r="Z192" s="772"/>
      <c r="AA192" s="772"/>
      <c r="AB192" s="772"/>
      <c r="AC192" s="772"/>
      <c r="AD192" s="772"/>
      <c r="AE192" s="772"/>
      <c r="AF192" s="772"/>
      <c r="AG192" s="772"/>
      <c r="AH192" s="772"/>
    </row>
    <row r="193" ht="15.75" customHeight="1">
      <c r="A193" s="772"/>
      <c r="B193" s="772"/>
      <c r="C193" s="772"/>
      <c r="D193" s="772"/>
      <c r="E193" s="772"/>
      <c r="F193" s="772"/>
      <c r="G193" s="772"/>
      <c r="H193" s="772"/>
      <c r="I193" s="772"/>
      <c r="J193" s="772"/>
      <c r="K193" s="772"/>
      <c r="L193" s="772"/>
      <c r="M193" s="772"/>
      <c r="N193" s="772"/>
      <c r="O193" s="772"/>
      <c r="P193" s="772"/>
      <c r="Q193" s="772"/>
      <c r="R193" s="772"/>
      <c r="S193" s="772"/>
      <c r="T193" s="772"/>
      <c r="U193" s="772"/>
      <c r="V193" s="772"/>
      <c r="W193" s="772"/>
      <c r="X193" s="772"/>
      <c r="Y193" s="772"/>
      <c r="Z193" s="772"/>
      <c r="AA193" s="772"/>
      <c r="AB193" s="772"/>
      <c r="AC193" s="772"/>
      <c r="AD193" s="772"/>
      <c r="AE193" s="772"/>
      <c r="AF193" s="772"/>
      <c r="AG193" s="772"/>
      <c r="AH193" s="772"/>
    </row>
    <row r="194" ht="15.75" customHeight="1">
      <c r="A194" s="772"/>
      <c r="B194" s="772"/>
      <c r="C194" s="772"/>
      <c r="D194" s="772"/>
      <c r="E194" s="772"/>
      <c r="F194" s="772"/>
      <c r="G194" s="772"/>
      <c r="H194" s="772"/>
      <c r="I194" s="772"/>
      <c r="J194" s="772"/>
      <c r="K194" s="772"/>
      <c r="L194" s="772"/>
      <c r="M194" s="772"/>
      <c r="N194" s="772"/>
      <c r="O194" s="772"/>
      <c r="P194" s="772"/>
      <c r="Q194" s="772"/>
      <c r="R194" s="772"/>
      <c r="S194" s="772"/>
      <c r="T194" s="772"/>
      <c r="U194" s="772"/>
      <c r="V194" s="772"/>
      <c r="W194" s="772"/>
      <c r="X194" s="772"/>
      <c r="Y194" s="772"/>
      <c r="Z194" s="772"/>
      <c r="AA194" s="772"/>
      <c r="AB194" s="772"/>
      <c r="AC194" s="772"/>
      <c r="AD194" s="772"/>
      <c r="AE194" s="772"/>
      <c r="AF194" s="772"/>
      <c r="AG194" s="772"/>
      <c r="AH194" s="772"/>
    </row>
    <row r="195" ht="15.75" customHeight="1">
      <c r="A195" s="772"/>
      <c r="B195" s="772"/>
      <c r="C195" s="772"/>
      <c r="D195" s="772"/>
      <c r="E195" s="772"/>
      <c r="F195" s="772"/>
      <c r="G195" s="772"/>
      <c r="H195" s="772"/>
      <c r="I195" s="772"/>
      <c r="J195" s="772"/>
      <c r="K195" s="772"/>
      <c r="L195" s="772"/>
      <c r="M195" s="772"/>
      <c r="N195" s="772"/>
      <c r="O195" s="772"/>
      <c r="P195" s="772"/>
      <c r="Q195" s="772"/>
      <c r="R195" s="772"/>
      <c r="S195" s="772"/>
      <c r="T195" s="772"/>
      <c r="U195" s="772"/>
      <c r="V195" s="772"/>
      <c r="W195" s="772"/>
      <c r="X195" s="772"/>
      <c r="Y195" s="772"/>
      <c r="Z195" s="772"/>
      <c r="AA195" s="772"/>
      <c r="AB195" s="772"/>
      <c r="AC195" s="772"/>
      <c r="AD195" s="772"/>
      <c r="AE195" s="772"/>
      <c r="AF195" s="772"/>
      <c r="AG195" s="772"/>
      <c r="AH195" s="772"/>
    </row>
    <row r="196" ht="15.75" customHeight="1">
      <c r="A196" s="772"/>
      <c r="B196" s="772"/>
      <c r="C196" s="772"/>
      <c r="D196" s="772"/>
      <c r="E196" s="772"/>
      <c r="F196" s="772"/>
      <c r="G196" s="772"/>
      <c r="H196" s="772"/>
      <c r="I196" s="772"/>
      <c r="J196" s="772"/>
      <c r="K196" s="772"/>
      <c r="L196" s="772"/>
      <c r="M196" s="772"/>
      <c r="N196" s="772"/>
      <c r="O196" s="772"/>
      <c r="P196" s="772"/>
      <c r="Q196" s="772"/>
      <c r="R196" s="772"/>
      <c r="S196" s="772"/>
      <c r="T196" s="772"/>
      <c r="U196" s="772"/>
      <c r="V196" s="772"/>
      <c r="W196" s="772"/>
      <c r="X196" s="772"/>
      <c r="Y196" s="772"/>
      <c r="Z196" s="772"/>
      <c r="AA196" s="772"/>
      <c r="AB196" s="772"/>
      <c r="AC196" s="772"/>
      <c r="AD196" s="772"/>
      <c r="AE196" s="772"/>
      <c r="AF196" s="772"/>
      <c r="AG196" s="772"/>
      <c r="AH196" s="772"/>
    </row>
    <row r="197" ht="15.75" customHeight="1">
      <c r="A197" s="772"/>
      <c r="B197" s="772"/>
      <c r="C197" s="772"/>
      <c r="D197" s="772"/>
      <c r="E197" s="772"/>
      <c r="F197" s="772"/>
      <c r="G197" s="772"/>
      <c r="H197" s="772"/>
      <c r="I197" s="772"/>
      <c r="J197" s="772"/>
      <c r="K197" s="772"/>
      <c r="L197" s="772"/>
      <c r="M197" s="772"/>
      <c r="N197" s="772"/>
      <c r="O197" s="772"/>
      <c r="P197" s="772"/>
      <c r="Q197" s="772"/>
      <c r="R197" s="772"/>
      <c r="S197" s="772"/>
      <c r="T197" s="772"/>
      <c r="U197" s="772"/>
      <c r="V197" s="772"/>
      <c r="W197" s="772"/>
      <c r="X197" s="772"/>
      <c r="Y197" s="772"/>
      <c r="Z197" s="772"/>
      <c r="AA197" s="772"/>
      <c r="AB197" s="772"/>
      <c r="AC197" s="772"/>
      <c r="AD197" s="772"/>
      <c r="AE197" s="772"/>
      <c r="AF197" s="772"/>
      <c r="AG197" s="772"/>
      <c r="AH197" s="772"/>
    </row>
    <row r="198" ht="15.75" customHeight="1">
      <c r="A198" s="772"/>
      <c r="B198" s="772"/>
      <c r="C198" s="772"/>
      <c r="D198" s="772"/>
      <c r="E198" s="772"/>
      <c r="F198" s="772"/>
      <c r="G198" s="772"/>
      <c r="H198" s="772"/>
      <c r="I198" s="772"/>
      <c r="J198" s="772"/>
      <c r="K198" s="772"/>
      <c r="L198" s="772"/>
      <c r="M198" s="772"/>
      <c r="N198" s="772"/>
      <c r="O198" s="772"/>
      <c r="P198" s="772"/>
      <c r="Q198" s="772"/>
      <c r="R198" s="772"/>
      <c r="S198" s="772"/>
      <c r="T198" s="772"/>
      <c r="U198" s="772"/>
      <c r="V198" s="772"/>
      <c r="W198" s="772"/>
      <c r="X198" s="772"/>
      <c r="Y198" s="772"/>
      <c r="Z198" s="772"/>
      <c r="AA198" s="772"/>
      <c r="AB198" s="772"/>
      <c r="AC198" s="772"/>
      <c r="AD198" s="772"/>
      <c r="AE198" s="772"/>
      <c r="AF198" s="772"/>
      <c r="AG198" s="772"/>
      <c r="AH198" s="772"/>
    </row>
    <row r="199" ht="15.75" customHeight="1">
      <c r="A199" s="772"/>
      <c r="B199" s="772"/>
      <c r="C199" s="772"/>
      <c r="D199" s="772"/>
      <c r="E199" s="772"/>
      <c r="F199" s="772"/>
      <c r="G199" s="772"/>
      <c r="H199" s="772"/>
      <c r="I199" s="772"/>
      <c r="J199" s="772"/>
      <c r="K199" s="772"/>
      <c r="L199" s="772"/>
      <c r="M199" s="772"/>
      <c r="N199" s="772"/>
      <c r="O199" s="772"/>
      <c r="P199" s="772"/>
      <c r="Q199" s="772"/>
      <c r="R199" s="772"/>
      <c r="S199" s="772"/>
      <c r="T199" s="772"/>
      <c r="U199" s="772"/>
      <c r="V199" s="772"/>
      <c r="W199" s="772"/>
      <c r="X199" s="772"/>
      <c r="Y199" s="772"/>
      <c r="Z199" s="772"/>
      <c r="AA199" s="772"/>
      <c r="AB199" s="772"/>
      <c r="AC199" s="772"/>
      <c r="AD199" s="772"/>
      <c r="AE199" s="772"/>
      <c r="AF199" s="772"/>
      <c r="AG199" s="772"/>
      <c r="AH199" s="772"/>
    </row>
    <row r="200" ht="15.75" customHeight="1">
      <c r="A200" s="772"/>
      <c r="B200" s="772"/>
      <c r="C200" s="772"/>
      <c r="D200" s="772"/>
      <c r="E200" s="772"/>
      <c r="F200" s="772"/>
      <c r="G200" s="772"/>
      <c r="H200" s="772"/>
      <c r="I200" s="772"/>
      <c r="J200" s="772"/>
      <c r="K200" s="772"/>
      <c r="L200" s="772"/>
      <c r="M200" s="772"/>
      <c r="N200" s="772"/>
      <c r="O200" s="772"/>
      <c r="P200" s="772"/>
      <c r="Q200" s="772"/>
      <c r="R200" s="772"/>
      <c r="S200" s="772"/>
      <c r="T200" s="772"/>
      <c r="U200" s="772"/>
      <c r="V200" s="772"/>
      <c r="W200" s="772"/>
      <c r="X200" s="772"/>
      <c r="Y200" s="772"/>
      <c r="Z200" s="772"/>
      <c r="AA200" s="772"/>
      <c r="AB200" s="772"/>
      <c r="AC200" s="772"/>
      <c r="AD200" s="772"/>
      <c r="AE200" s="772"/>
      <c r="AF200" s="772"/>
      <c r="AG200" s="772"/>
      <c r="AH200" s="772"/>
    </row>
    <row r="201" ht="15.75" customHeight="1">
      <c r="A201" s="772"/>
      <c r="B201" s="772"/>
      <c r="C201" s="772"/>
      <c r="D201" s="772"/>
      <c r="E201" s="772"/>
      <c r="F201" s="772"/>
      <c r="G201" s="772"/>
      <c r="H201" s="772"/>
      <c r="I201" s="772"/>
      <c r="J201" s="772"/>
      <c r="K201" s="772"/>
      <c r="L201" s="772"/>
      <c r="M201" s="772"/>
      <c r="N201" s="772"/>
      <c r="O201" s="772"/>
      <c r="P201" s="772"/>
      <c r="Q201" s="772"/>
      <c r="R201" s="772"/>
      <c r="S201" s="772"/>
      <c r="T201" s="772"/>
      <c r="U201" s="772"/>
      <c r="V201" s="772"/>
      <c r="W201" s="772"/>
      <c r="X201" s="772"/>
      <c r="Y201" s="772"/>
      <c r="Z201" s="772"/>
      <c r="AA201" s="772"/>
      <c r="AB201" s="772"/>
      <c r="AC201" s="772"/>
      <c r="AD201" s="772"/>
      <c r="AE201" s="772"/>
      <c r="AF201" s="772"/>
      <c r="AG201" s="772"/>
      <c r="AH201" s="772"/>
    </row>
    <row r="202" ht="15.75" customHeight="1">
      <c r="A202" s="772"/>
      <c r="B202" s="772"/>
      <c r="C202" s="772"/>
      <c r="D202" s="772"/>
      <c r="E202" s="772"/>
      <c r="F202" s="772"/>
      <c r="G202" s="772"/>
      <c r="H202" s="772"/>
      <c r="I202" s="772"/>
      <c r="J202" s="772"/>
      <c r="K202" s="772"/>
      <c r="L202" s="772"/>
      <c r="M202" s="772"/>
      <c r="N202" s="772"/>
      <c r="O202" s="772"/>
      <c r="P202" s="772"/>
      <c r="Q202" s="772"/>
      <c r="R202" s="772"/>
      <c r="S202" s="772"/>
      <c r="T202" s="772"/>
      <c r="U202" s="772"/>
      <c r="V202" s="772"/>
      <c r="W202" s="772"/>
      <c r="X202" s="772"/>
      <c r="Y202" s="772"/>
      <c r="Z202" s="772"/>
      <c r="AA202" s="772"/>
      <c r="AB202" s="772"/>
      <c r="AC202" s="772"/>
      <c r="AD202" s="772"/>
      <c r="AE202" s="772"/>
      <c r="AF202" s="772"/>
      <c r="AG202" s="772"/>
      <c r="AH202" s="772"/>
    </row>
    <row r="203" ht="15.75" customHeight="1">
      <c r="A203" s="772"/>
      <c r="B203" s="772"/>
      <c r="C203" s="772"/>
      <c r="D203" s="772"/>
      <c r="E203" s="772"/>
      <c r="F203" s="772"/>
      <c r="G203" s="772"/>
      <c r="H203" s="772"/>
      <c r="I203" s="772"/>
      <c r="J203" s="772"/>
      <c r="K203" s="772"/>
      <c r="L203" s="772"/>
      <c r="M203" s="772"/>
      <c r="N203" s="772"/>
      <c r="O203" s="772"/>
      <c r="P203" s="772"/>
      <c r="Q203" s="772"/>
      <c r="R203" s="772"/>
      <c r="S203" s="772"/>
      <c r="T203" s="772"/>
      <c r="U203" s="772"/>
      <c r="V203" s="772"/>
      <c r="W203" s="772"/>
      <c r="X203" s="772"/>
      <c r="Y203" s="772"/>
      <c r="Z203" s="772"/>
      <c r="AA203" s="772"/>
      <c r="AB203" s="772"/>
      <c r="AC203" s="772"/>
      <c r="AD203" s="772"/>
      <c r="AE203" s="772"/>
      <c r="AF203" s="772"/>
      <c r="AG203" s="772"/>
      <c r="AH203" s="772"/>
    </row>
    <row r="204" ht="15.75" customHeight="1">
      <c r="A204" s="772"/>
      <c r="B204" s="772"/>
      <c r="C204" s="772"/>
      <c r="D204" s="772"/>
      <c r="E204" s="772"/>
      <c r="F204" s="772"/>
      <c r="G204" s="772"/>
      <c r="H204" s="772"/>
      <c r="I204" s="772"/>
      <c r="J204" s="772"/>
      <c r="K204" s="772"/>
      <c r="L204" s="772"/>
      <c r="M204" s="772"/>
      <c r="N204" s="772"/>
      <c r="O204" s="772"/>
      <c r="P204" s="772"/>
      <c r="Q204" s="772"/>
      <c r="R204" s="772"/>
      <c r="S204" s="772"/>
      <c r="T204" s="772"/>
      <c r="U204" s="772"/>
      <c r="V204" s="772"/>
      <c r="W204" s="772"/>
      <c r="X204" s="772"/>
      <c r="Y204" s="772"/>
      <c r="Z204" s="772"/>
      <c r="AA204" s="772"/>
      <c r="AB204" s="772"/>
      <c r="AC204" s="772"/>
      <c r="AD204" s="772"/>
      <c r="AE204" s="772"/>
      <c r="AF204" s="772"/>
      <c r="AG204" s="772"/>
      <c r="AH204" s="772"/>
    </row>
    <row r="205" ht="15.75" customHeight="1">
      <c r="A205" s="772"/>
      <c r="B205" s="772"/>
      <c r="C205" s="772"/>
      <c r="D205" s="772"/>
      <c r="E205" s="772"/>
      <c r="F205" s="772"/>
      <c r="G205" s="772"/>
      <c r="H205" s="772"/>
      <c r="I205" s="772"/>
      <c r="J205" s="772"/>
      <c r="K205" s="772"/>
      <c r="L205" s="772"/>
      <c r="M205" s="772"/>
      <c r="N205" s="772"/>
      <c r="O205" s="772"/>
      <c r="P205" s="772"/>
      <c r="Q205" s="772"/>
      <c r="R205" s="772"/>
      <c r="S205" s="772"/>
      <c r="T205" s="772"/>
      <c r="U205" s="772"/>
      <c r="V205" s="772"/>
      <c r="W205" s="772"/>
      <c r="X205" s="772"/>
      <c r="Y205" s="772"/>
      <c r="Z205" s="772"/>
      <c r="AA205" s="772"/>
      <c r="AB205" s="772"/>
      <c r="AC205" s="772"/>
      <c r="AD205" s="772"/>
      <c r="AE205" s="772"/>
      <c r="AF205" s="772"/>
      <c r="AG205" s="772"/>
      <c r="AH205" s="772"/>
    </row>
    <row r="206" ht="15.75" customHeight="1">
      <c r="A206" s="772"/>
      <c r="B206" s="772"/>
      <c r="C206" s="772"/>
      <c r="D206" s="772"/>
      <c r="E206" s="772"/>
      <c r="F206" s="772"/>
      <c r="G206" s="772"/>
      <c r="H206" s="772"/>
      <c r="I206" s="772"/>
      <c r="J206" s="772"/>
      <c r="K206" s="772"/>
      <c r="L206" s="772"/>
      <c r="M206" s="772"/>
      <c r="N206" s="772"/>
      <c r="O206" s="772"/>
      <c r="P206" s="772"/>
      <c r="Q206" s="772"/>
      <c r="R206" s="772"/>
      <c r="S206" s="772"/>
      <c r="T206" s="772"/>
      <c r="U206" s="772"/>
      <c r="V206" s="772"/>
      <c r="W206" s="772"/>
      <c r="X206" s="772"/>
      <c r="Y206" s="772"/>
      <c r="Z206" s="772"/>
      <c r="AA206" s="772"/>
      <c r="AB206" s="772"/>
      <c r="AC206" s="772"/>
      <c r="AD206" s="772"/>
      <c r="AE206" s="772"/>
      <c r="AF206" s="772"/>
      <c r="AG206" s="772"/>
      <c r="AH206" s="772"/>
    </row>
    <row r="207" ht="15.75" customHeight="1">
      <c r="A207" s="772"/>
      <c r="B207" s="772"/>
      <c r="C207" s="772"/>
      <c r="D207" s="772"/>
      <c r="E207" s="772"/>
      <c r="F207" s="772"/>
      <c r="G207" s="772"/>
      <c r="H207" s="772"/>
      <c r="I207" s="772"/>
      <c r="J207" s="772"/>
      <c r="K207" s="772"/>
      <c r="L207" s="772"/>
      <c r="M207" s="772"/>
      <c r="N207" s="772"/>
      <c r="O207" s="772"/>
      <c r="P207" s="772"/>
      <c r="Q207" s="772"/>
      <c r="R207" s="772"/>
      <c r="S207" s="772"/>
      <c r="T207" s="772"/>
      <c r="U207" s="772"/>
      <c r="V207" s="772"/>
      <c r="W207" s="772"/>
      <c r="X207" s="772"/>
      <c r="Y207" s="772"/>
      <c r="Z207" s="772"/>
      <c r="AA207" s="772"/>
      <c r="AB207" s="772"/>
      <c r="AC207" s="772"/>
      <c r="AD207" s="772"/>
      <c r="AE207" s="772"/>
      <c r="AF207" s="772"/>
      <c r="AG207" s="772"/>
      <c r="AH207" s="772"/>
    </row>
    <row r="208" ht="15.75" customHeight="1">
      <c r="A208" s="772"/>
      <c r="B208" s="772"/>
      <c r="C208" s="772"/>
      <c r="D208" s="772"/>
      <c r="E208" s="772"/>
      <c r="F208" s="772"/>
      <c r="G208" s="772"/>
      <c r="H208" s="772"/>
      <c r="I208" s="772"/>
      <c r="J208" s="772"/>
      <c r="K208" s="772"/>
      <c r="L208" s="772"/>
      <c r="M208" s="772"/>
      <c r="N208" s="772"/>
      <c r="O208" s="772"/>
      <c r="P208" s="772"/>
      <c r="Q208" s="772"/>
      <c r="R208" s="772"/>
      <c r="S208" s="772"/>
      <c r="T208" s="772"/>
      <c r="U208" s="772"/>
      <c r="V208" s="772"/>
      <c r="W208" s="772"/>
      <c r="X208" s="772"/>
      <c r="Y208" s="772"/>
      <c r="Z208" s="772"/>
      <c r="AA208" s="772"/>
      <c r="AB208" s="772"/>
      <c r="AC208" s="772"/>
      <c r="AD208" s="772"/>
      <c r="AE208" s="772"/>
      <c r="AF208" s="772"/>
      <c r="AG208" s="772"/>
      <c r="AH208" s="772"/>
    </row>
    <row r="209" ht="15.75" customHeight="1">
      <c r="A209" s="772"/>
      <c r="B209" s="772"/>
      <c r="C209" s="772"/>
      <c r="D209" s="772"/>
      <c r="E209" s="772"/>
      <c r="F209" s="772"/>
      <c r="G209" s="772"/>
      <c r="H209" s="772"/>
      <c r="I209" s="772"/>
      <c r="J209" s="772"/>
      <c r="K209" s="772"/>
      <c r="L209" s="772"/>
      <c r="M209" s="772"/>
      <c r="N209" s="772"/>
      <c r="O209" s="772"/>
      <c r="P209" s="772"/>
      <c r="Q209" s="772"/>
      <c r="R209" s="772"/>
      <c r="S209" s="772"/>
      <c r="T209" s="772"/>
      <c r="U209" s="772"/>
      <c r="V209" s="772"/>
      <c r="W209" s="772"/>
      <c r="X209" s="772"/>
      <c r="Y209" s="772"/>
      <c r="Z209" s="772"/>
      <c r="AA209" s="772"/>
      <c r="AB209" s="772"/>
      <c r="AC209" s="772"/>
      <c r="AD209" s="772"/>
      <c r="AE209" s="772"/>
      <c r="AF209" s="772"/>
      <c r="AG209" s="772"/>
      <c r="AH209" s="772"/>
    </row>
    <row r="210" ht="15.75" customHeight="1">
      <c r="A210" s="772"/>
      <c r="B210" s="772"/>
      <c r="C210" s="772"/>
      <c r="D210" s="772"/>
      <c r="E210" s="772"/>
      <c r="F210" s="772"/>
      <c r="G210" s="772"/>
      <c r="H210" s="772"/>
      <c r="I210" s="772"/>
      <c r="J210" s="772"/>
      <c r="K210" s="772"/>
      <c r="L210" s="772"/>
      <c r="M210" s="772"/>
      <c r="N210" s="772"/>
      <c r="O210" s="772"/>
      <c r="P210" s="772"/>
      <c r="Q210" s="772"/>
      <c r="R210" s="772"/>
      <c r="S210" s="772"/>
      <c r="T210" s="772"/>
      <c r="U210" s="772"/>
      <c r="V210" s="772"/>
      <c r="W210" s="772"/>
      <c r="X210" s="772"/>
      <c r="Y210" s="772"/>
      <c r="Z210" s="772"/>
      <c r="AA210" s="772"/>
      <c r="AB210" s="772"/>
      <c r="AC210" s="772"/>
      <c r="AD210" s="772"/>
      <c r="AE210" s="772"/>
      <c r="AF210" s="772"/>
      <c r="AG210" s="772"/>
      <c r="AH210" s="772"/>
    </row>
    <row r="211" ht="15.75" customHeight="1">
      <c r="A211" s="772"/>
      <c r="B211" s="772"/>
      <c r="C211" s="772"/>
      <c r="D211" s="772"/>
      <c r="E211" s="772"/>
      <c r="F211" s="772"/>
      <c r="G211" s="772"/>
      <c r="H211" s="772"/>
      <c r="I211" s="772"/>
      <c r="J211" s="772"/>
      <c r="K211" s="772"/>
      <c r="L211" s="772"/>
      <c r="M211" s="772"/>
      <c r="N211" s="772"/>
      <c r="O211" s="772"/>
      <c r="P211" s="772"/>
      <c r="Q211" s="772"/>
      <c r="R211" s="772"/>
      <c r="S211" s="772"/>
      <c r="T211" s="772"/>
      <c r="U211" s="772"/>
      <c r="V211" s="772"/>
      <c r="W211" s="772"/>
      <c r="X211" s="772"/>
      <c r="Y211" s="772"/>
      <c r="Z211" s="772"/>
      <c r="AA211" s="772"/>
      <c r="AB211" s="772"/>
      <c r="AC211" s="772"/>
      <c r="AD211" s="772"/>
      <c r="AE211" s="772"/>
      <c r="AF211" s="772"/>
      <c r="AG211" s="772"/>
      <c r="AH211" s="772"/>
    </row>
    <row r="212" ht="15.75" customHeight="1">
      <c r="A212" s="772"/>
      <c r="B212" s="772"/>
      <c r="C212" s="772"/>
      <c r="D212" s="772"/>
      <c r="E212" s="772"/>
      <c r="F212" s="772"/>
      <c r="G212" s="772"/>
      <c r="H212" s="772"/>
      <c r="I212" s="772"/>
      <c r="J212" s="772"/>
      <c r="K212" s="772"/>
      <c r="L212" s="772"/>
      <c r="M212" s="772"/>
      <c r="N212" s="772"/>
      <c r="O212" s="772"/>
      <c r="P212" s="772"/>
      <c r="Q212" s="772"/>
      <c r="R212" s="772"/>
      <c r="S212" s="772"/>
      <c r="T212" s="772"/>
      <c r="U212" s="772"/>
      <c r="V212" s="772"/>
      <c r="W212" s="772"/>
      <c r="X212" s="772"/>
      <c r="Y212" s="772"/>
      <c r="Z212" s="772"/>
      <c r="AA212" s="772"/>
      <c r="AB212" s="772"/>
      <c r="AC212" s="772"/>
      <c r="AD212" s="772"/>
      <c r="AE212" s="772"/>
      <c r="AF212" s="772"/>
      <c r="AG212" s="772"/>
      <c r="AH212" s="772"/>
    </row>
    <row r="213" ht="15.75" customHeight="1">
      <c r="A213" s="772"/>
      <c r="B213" s="772"/>
      <c r="C213" s="772"/>
      <c r="D213" s="772"/>
      <c r="E213" s="772"/>
      <c r="F213" s="772"/>
      <c r="G213" s="772"/>
      <c r="H213" s="772"/>
      <c r="I213" s="772"/>
      <c r="J213" s="772"/>
      <c r="K213" s="772"/>
      <c r="L213" s="772"/>
      <c r="M213" s="772"/>
      <c r="N213" s="772"/>
      <c r="O213" s="772"/>
      <c r="P213" s="772"/>
      <c r="Q213" s="772"/>
      <c r="R213" s="772"/>
      <c r="S213" s="772"/>
      <c r="T213" s="772"/>
      <c r="U213" s="772"/>
      <c r="V213" s="772"/>
      <c r="W213" s="772"/>
      <c r="X213" s="772"/>
      <c r="Y213" s="772"/>
      <c r="Z213" s="772"/>
      <c r="AA213" s="772"/>
      <c r="AB213" s="772"/>
      <c r="AC213" s="772"/>
      <c r="AD213" s="772"/>
      <c r="AE213" s="772"/>
      <c r="AF213" s="772"/>
      <c r="AG213" s="772"/>
      <c r="AH213" s="772"/>
    </row>
    <row r="214" ht="15.75" customHeight="1">
      <c r="A214" s="772"/>
      <c r="B214" s="772"/>
      <c r="C214" s="772"/>
      <c r="D214" s="772"/>
      <c r="E214" s="772"/>
      <c r="F214" s="772"/>
      <c r="G214" s="772"/>
      <c r="H214" s="772"/>
      <c r="I214" s="772"/>
      <c r="J214" s="772"/>
      <c r="K214" s="772"/>
      <c r="L214" s="772"/>
      <c r="M214" s="772"/>
      <c r="N214" s="772"/>
      <c r="O214" s="772"/>
      <c r="P214" s="772"/>
      <c r="Q214" s="772"/>
      <c r="R214" s="772"/>
      <c r="S214" s="772"/>
      <c r="T214" s="772"/>
      <c r="U214" s="772"/>
      <c r="V214" s="772"/>
      <c r="W214" s="772"/>
      <c r="X214" s="772"/>
      <c r="Y214" s="772"/>
      <c r="Z214" s="772"/>
      <c r="AA214" s="772"/>
      <c r="AB214" s="772"/>
      <c r="AC214" s="772"/>
      <c r="AD214" s="772"/>
      <c r="AE214" s="772"/>
      <c r="AF214" s="772"/>
      <c r="AG214" s="772"/>
      <c r="AH214" s="772"/>
    </row>
    <row r="215" ht="15.75" customHeight="1">
      <c r="A215" s="772"/>
      <c r="B215" s="772"/>
      <c r="C215" s="772"/>
      <c r="D215" s="772"/>
      <c r="E215" s="772"/>
      <c r="F215" s="772"/>
      <c r="G215" s="772"/>
      <c r="H215" s="772"/>
      <c r="I215" s="772"/>
      <c r="J215" s="772"/>
      <c r="K215" s="772"/>
      <c r="L215" s="772"/>
      <c r="M215" s="772"/>
      <c r="N215" s="772"/>
      <c r="O215" s="772"/>
      <c r="P215" s="772"/>
      <c r="Q215" s="772"/>
      <c r="R215" s="772"/>
      <c r="S215" s="772"/>
      <c r="T215" s="772"/>
      <c r="U215" s="772"/>
      <c r="V215" s="772"/>
      <c r="W215" s="772"/>
      <c r="X215" s="772"/>
      <c r="Y215" s="772"/>
      <c r="Z215" s="772"/>
      <c r="AA215" s="772"/>
      <c r="AB215" s="772"/>
      <c r="AC215" s="772"/>
      <c r="AD215" s="772"/>
      <c r="AE215" s="772"/>
      <c r="AF215" s="772"/>
      <c r="AG215" s="772"/>
      <c r="AH215" s="772"/>
    </row>
    <row r="216" ht="15.75" customHeight="1">
      <c r="A216" s="772"/>
      <c r="B216" s="772"/>
      <c r="C216" s="772"/>
      <c r="D216" s="772"/>
      <c r="E216" s="772"/>
      <c r="F216" s="772"/>
      <c r="G216" s="772"/>
      <c r="H216" s="772"/>
      <c r="I216" s="772"/>
      <c r="J216" s="772"/>
      <c r="K216" s="772"/>
      <c r="L216" s="772"/>
      <c r="M216" s="772"/>
      <c r="N216" s="772"/>
      <c r="O216" s="772"/>
      <c r="P216" s="772"/>
      <c r="Q216" s="772"/>
      <c r="R216" s="772"/>
      <c r="S216" s="772"/>
      <c r="T216" s="772"/>
      <c r="U216" s="772"/>
      <c r="V216" s="772"/>
      <c r="W216" s="772"/>
      <c r="X216" s="772"/>
      <c r="Y216" s="772"/>
      <c r="Z216" s="772"/>
      <c r="AA216" s="772"/>
      <c r="AB216" s="772"/>
      <c r="AC216" s="772"/>
      <c r="AD216" s="772"/>
      <c r="AE216" s="772"/>
      <c r="AF216" s="772"/>
      <c r="AG216" s="772"/>
      <c r="AH216" s="772"/>
    </row>
    <row r="217" ht="15.75" customHeight="1">
      <c r="A217" s="772"/>
      <c r="B217" s="772"/>
      <c r="C217" s="772"/>
      <c r="D217" s="772"/>
      <c r="E217" s="772"/>
      <c r="F217" s="772"/>
      <c r="G217" s="772"/>
      <c r="H217" s="772"/>
      <c r="I217" s="772"/>
      <c r="J217" s="772"/>
      <c r="K217" s="772"/>
      <c r="L217" s="772"/>
      <c r="M217" s="772"/>
      <c r="N217" s="772"/>
      <c r="O217" s="772"/>
      <c r="P217" s="772"/>
      <c r="Q217" s="772"/>
      <c r="R217" s="772"/>
      <c r="S217" s="772"/>
      <c r="T217" s="772"/>
      <c r="U217" s="772"/>
      <c r="V217" s="772"/>
      <c r="W217" s="772"/>
      <c r="X217" s="772"/>
      <c r="Y217" s="772"/>
      <c r="Z217" s="772"/>
      <c r="AA217" s="772"/>
      <c r="AB217" s="772"/>
      <c r="AC217" s="772"/>
      <c r="AD217" s="772"/>
      <c r="AE217" s="772"/>
      <c r="AF217" s="772"/>
      <c r="AG217" s="772"/>
      <c r="AH217" s="772"/>
    </row>
    <row r="218" ht="15.75" customHeight="1">
      <c r="A218" s="772"/>
      <c r="B218" s="772"/>
      <c r="C218" s="772"/>
      <c r="D218" s="772"/>
      <c r="E218" s="772"/>
      <c r="F218" s="772"/>
      <c r="G218" s="772"/>
      <c r="H218" s="772"/>
      <c r="I218" s="772"/>
      <c r="J218" s="772"/>
      <c r="K218" s="772"/>
      <c r="L218" s="772"/>
      <c r="M218" s="772"/>
      <c r="N218" s="772"/>
      <c r="O218" s="772"/>
      <c r="P218" s="772"/>
      <c r="Q218" s="772"/>
      <c r="R218" s="772"/>
      <c r="S218" s="772"/>
      <c r="T218" s="772"/>
      <c r="U218" s="772"/>
      <c r="V218" s="772"/>
      <c r="W218" s="772"/>
      <c r="X218" s="772"/>
      <c r="Y218" s="772"/>
      <c r="Z218" s="772"/>
      <c r="AA218" s="772"/>
      <c r="AB218" s="772"/>
      <c r="AC218" s="772"/>
      <c r="AD218" s="772"/>
      <c r="AE218" s="772"/>
      <c r="AF218" s="772"/>
      <c r="AG218" s="772"/>
      <c r="AH218" s="772"/>
    </row>
    <row r="219" ht="15.75" customHeight="1">
      <c r="A219" s="772"/>
      <c r="B219" s="772"/>
      <c r="C219" s="772"/>
      <c r="D219" s="772"/>
      <c r="E219" s="772"/>
      <c r="F219" s="772"/>
      <c r="G219" s="772"/>
      <c r="H219" s="772"/>
      <c r="I219" s="772"/>
      <c r="J219" s="772"/>
      <c r="K219" s="772"/>
      <c r="L219" s="772"/>
      <c r="M219" s="772"/>
      <c r="N219" s="772"/>
      <c r="O219" s="772"/>
      <c r="P219" s="772"/>
      <c r="Q219" s="772"/>
      <c r="R219" s="772"/>
      <c r="S219" s="772"/>
      <c r="T219" s="772"/>
      <c r="U219" s="772"/>
      <c r="V219" s="772"/>
      <c r="W219" s="772"/>
      <c r="X219" s="772"/>
      <c r="Y219" s="772"/>
      <c r="Z219" s="772"/>
      <c r="AA219" s="772"/>
      <c r="AB219" s="772"/>
      <c r="AC219" s="772"/>
      <c r="AD219" s="772"/>
      <c r="AE219" s="772"/>
      <c r="AF219" s="772"/>
      <c r="AG219" s="772"/>
      <c r="AH219" s="772"/>
    </row>
    <row r="220" ht="15.75" customHeight="1">
      <c r="A220" s="772"/>
      <c r="B220" s="772"/>
      <c r="C220" s="772"/>
      <c r="D220" s="772"/>
      <c r="E220" s="772"/>
      <c r="F220" s="772"/>
      <c r="G220" s="772"/>
      <c r="H220" s="772"/>
      <c r="I220" s="772"/>
      <c r="J220" s="772"/>
      <c r="K220" s="772"/>
      <c r="L220" s="772"/>
      <c r="M220" s="772"/>
      <c r="N220" s="772"/>
      <c r="O220" s="772"/>
      <c r="P220" s="772"/>
      <c r="Q220" s="772"/>
      <c r="R220" s="772"/>
      <c r="S220" s="772"/>
      <c r="T220" s="772"/>
      <c r="U220" s="772"/>
      <c r="V220" s="772"/>
      <c r="W220" s="772"/>
      <c r="X220" s="772"/>
      <c r="Y220" s="772"/>
      <c r="Z220" s="772"/>
      <c r="AA220" s="772"/>
      <c r="AB220" s="772"/>
      <c r="AC220" s="772"/>
      <c r="AD220" s="772"/>
      <c r="AE220" s="772"/>
      <c r="AF220" s="772"/>
      <c r="AG220" s="772"/>
      <c r="AH220" s="772"/>
    </row>
    <row r="221" ht="15.75" customHeight="1">
      <c r="A221" s="815"/>
      <c r="B221" s="782"/>
      <c r="C221" s="782"/>
      <c r="D221" s="782"/>
      <c r="E221" s="816"/>
      <c r="F221" s="816"/>
      <c r="G221" s="817"/>
      <c r="H221" s="817"/>
      <c r="I221" s="818"/>
      <c r="J221" s="772"/>
      <c r="K221" s="772"/>
      <c r="L221" s="772"/>
      <c r="M221" s="772"/>
      <c r="N221" s="772"/>
      <c r="O221" s="772"/>
      <c r="P221" s="772"/>
      <c r="Q221" s="772"/>
      <c r="R221" s="772"/>
      <c r="S221" s="772"/>
      <c r="T221" s="772"/>
      <c r="U221" s="772"/>
      <c r="V221" s="772"/>
      <c r="W221" s="772"/>
      <c r="X221" s="772"/>
      <c r="Y221" s="772"/>
      <c r="Z221" s="772"/>
      <c r="AA221" s="772"/>
      <c r="AB221" s="772"/>
      <c r="AC221" s="772"/>
      <c r="AD221" s="772"/>
      <c r="AE221" s="772"/>
      <c r="AF221" s="772"/>
      <c r="AG221" s="772"/>
      <c r="AH221" s="772"/>
    </row>
    <row r="222" ht="15.75" customHeight="1">
      <c r="A222" s="815"/>
      <c r="B222" s="782"/>
      <c r="C222" s="782"/>
      <c r="D222" s="782"/>
      <c r="E222" s="816"/>
      <c r="F222" s="816"/>
      <c r="G222" s="817"/>
      <c r="H222" s="817"/>
      <c r="I222" s="818"/>
      <c r="J222" s="772"/>
      <c r="K222" s="772"/>
      <c r="L222" s="772"/>
      <c r="M222" s="772"/>
      <c r="N222" s="772"/>
      <c r="O222" s="772"/>
      <c r="P222" s="772"/>
      <c r="Q222" s="772"/>
      <c r="R222" s="772"/>
      <c r="S222" s="772"/>
      <c r="T222" s="772"/>
      <c r="U222" s="772"/>
      <c r="V222" s="772"/>
      <c r="W222" s="772"/>
      <c r="X222" s="772"/>
      <c r="Y222" s="772"/>
      <c r="Z222" s="772"/>
      <c r="AA222" s="772"/>
      <c r="AB222" s="772"/>
      <c r="AC222" s="772"/>
      <c r="AD222" s="772"/>
      <c r="AE222" s="772"/>
      <c r="AF222" s="772"/>
      <c r="AG222" s="772"/>
      <c r="AH222" s="772"/>
    </row>
    <row r="223" ht="15.75" customHeight="1">
      <c r="A223" s="815"/>
      <c r="B223" s="782"/>
      <c r="C223" s="782"/>
      <c r="D223" s="782"/>
      <c r="E223" s="816"/>
      <c r="F223" s="816"/>
      <c r="G223" s="817"/>
      <c r="H223" s="817"/>
      <c r="I223" s="818"/>
      <c r="J223" s="772"/>
      <c r="K223" s="772"/>
      <c r="L223" s="772"/>
      <c r="M223" s="772"/>
      <c r="N223" s="772"/>
      <c r="O223" s="772"/>
      <c r="P223" s="772"/>
      <c r="Q223" s="772"/>
      <c r="R223" s="772"/>
      <c r="S223" s="772"/>
      <c r="T223" s="772"/>
      <c r="U223" s="772"/>
      <c r="V223" s="772"/>
      <c r="W223" s="772"/>
      <c r="X223" s="772"/>
      <c r="Y223" s="772"/>
      <c r="Z223" s="772"/>
      <c r="AA223" s="772"/>
      <c r="AB223" s="772"/>
      <c r="AC223" s="772"/>
      <c r="AD223" s="772"/>
      <c r="AE223" s="772"/>
      <c r="AF223" s="772"/>
      <c r="AG223" s="772"/>
      <c r="AH223" s="772"/>
    </row>
    <row r="224" ht="15.75" customHeight="1">
      <c r="A224" s="815"/>
      <c r="B224" s="782"/>
      <c r="C224" s="782"/>
      <c r="D224" s="782"/>
      <c r="E224" s="816"/>
      <c r="F224" s="816"/>
      <c r="G224" s="817"/>
      <c r="H224" s="817"/>
      <c r="I224" s="818"/>
      <c r="J224" s="772"/>
      <c r="K224" s="772"/>
      <c r="L224" s="772"/>
      <c r="M224" s="772"/>
      <c r="N224" s="772"/>
      <c r="O224" s="772"/>
      <c r="P224" s="772"/>
      <c r="Q224" s="772"/>
      <c r="R224" s="772"/>
      <c r="S224" s="772"/>
      <c r="T224" s="772"/>
      <c r="U224" s="772"/>
      <c r="V224" s="772"/>
      <c r="W224" s="772"/>
      <c r="X224" s="772"/>
      <c r="Y224" s="772"/>
      <c r="Z224" s="772"/>
      <c r="AA224" s="772"/>
      <c r="AB224" s="772"/>
      <c r="AC224" s="772"/>
      <c r="AD224" s="772"/>
      <c r="AE224" s="772"/>
      <c r="AF224" s="772"/>
      <c r="AG224" s="772"/>
      <c r="AH224" s="772"/>
    </row>
    <row r="225" ht="15.75" customHeight="1">
      <c r="A225" s="815"/>
      <c r="B225" s="782"/>
      <c r="C225" s="782"/>
      <c r="D225" s="782"/>
      <c r="E225" s="816"/>
      <c r="F225" s="816"/>
      <c r="G225" s="817"/>
      <c r="H225" s="817"/>
      <c r="I225" s="818"/>
      <c r="J225" s="772"/>
      <c r="K225" s="772"/>
      <c r="L225" s="772"/>
      <c r="M225" s="772"/>
      <c r="N225" s="772"/>
      <c r="O225" s="772"/>
      <c r="P225" s="772"/>
      <c r="Q225" s="772"/>
      <c r="R225" s="772"/>
      <c r="S225" s="772"/>
      <c r="T225" s="772"/>
      <c r="U225" s="772"/>
      <c r="V225" s="772"/>
      <c r="W225" s="772"/>
      <c r="X225" s="772"/>
      <c r="Y225" s="772"/>
      <c r="Z225" s="772"/>
      <c r="AA225" s="772"/>
      <c r="AB225" s="772"/>
      <c r="AC225" s="772"/>
      <c r="AD225" s="772"/>
      <c r="AE225" s="772"/>
      <c r="AF225" s="772"/>
      <c r="AG225" s="772"/>
      <c r="AH225" s="772"/>
    </row>
    <row r="226" ht="15.75" customHeight="1">
      <c r="A226" s="815"/>
      <c r="B226" s="782"/>
      <c r="C226" s="782"/>
      <c r="D226" s="782"/>
      <c r="E226" s="816"/>
      <c r="F226" s="816"/>
      <c r="G226" s="817"/>
      <c r="H226" s="817"/>
      <c r="I226" s="818"/>
      <c r="J226" s="772"/>
      <c r="K226" s="772"/>
      <c r="L226" s="772"/>
      <c r="M226" s="772"/>
      <c r="N226" s="772"/>
      <c r="O226" s="772"/>
      <c r="P226" s="772"/>
      <c r="Q226" s="772"/>
      <c r="R226" s="772"/>
      <c r="S226" s="772"/>
      <c r="T226" s="772"/>
      <c r="U226" s="772"/>
      <c r="V226" s="772"/>
      <c r="W226" s="772"/>
      <c r="X226" s="772"/>
      <c r="Y226" s="772"/>
      <c r="Z226" s="772"/>
      <c r="AA226" s="772"/>
      <c r="AB226" s="772"/>
      <c r="AC226" s="772"/>
      <c r="AD226" s="772"/>
      <c r="AE226" s="772"/>
      <c r="AF226" s="772"/>
      <c r="AG226" s="772"/>
      <c r="AH226" s="772"/>
    </row>
    <row r="227" ht="15.75" customHeight="1">
      <c r="A227" s="815"/>
      <c r="B227" s="782"/>
      <c r="C227" s="782"/>
      <c r="D227" s="782"/>
      <c r="E227" s="816"/>
      <c r="F227" s="816"/>
      <c r="G227" s="817"/>
      <c r="H227" s="817"/>
      <c r="I227" s="818"/>
      <c r="J227" s="772"/>
      <c r="K227" s="772"/>
      <c r="L227" s="772"/>
      <c r="M227" s="772"/>
      <c r="N227" s="772"/>
      <c r="O227" s="772"/>
      <c r="P227" s="772"/>
      <c r="Q227" s="772"/>
      <c r="R227" s="772"/>
      <c r="S227" s="772"/>
      <c r="T227" s="772"/>
      <c r="U227" s="772"/>
      <c r="V227" s="772"/>
      <c r="W227" s="772"/>
      <c r="X227" s="772"/>
      <c r="Y227" s="772"/>
      <c r="Z227" s="772"/>
      <c r="AA227" s="772"/>
      <c r="AB227" s="772"/>
      <c r="AC227" s="772"/>
      <c r="AD227" s="772"/>
      <c r="AE227" s="772"/>
      <c r="AF227" s="772"/>
      <c r="AG227" s="772"/>
      <c r="AH227" s="772"/>
    </row>
    <row r="228" ht="15.75" customHeight="1">
      <c r="A228" s="815"/>
      <c r="B228" s="782"/>
      <c r="C228" s="782"/>
      <c r="D228" s="782"/>
      <c r="E228" s="816"/>
      <c r="F228" s="816"/>
      <c r="G228" s="817"/>
      <c r="H228" s="817"/>
      <c r="I228" s="818"/>
      <c r="J228" s="772"/>
      <c r="K228" s="772"/>
      <c r="L228" s="772"/>
      <c r="M228" s="772"/>
      <c r="N228" s="772"/>
      <c r="O228" s="772"/>
      <c r="P228" s="772"/>
      <c r="Q228" s="772"/>
      <c r="R228" s="772"/>
      <c r="S228" s="772"/>
      <c r="T228" s="772"/>
      <c r="U228" s="772"/>
      <c r="V228" s="772"/>
      <c r="W228" s="772"/>
      <c r="X228" s="772"/>
      <c r="Y228" s="772"/>
      <c r="Z228" s="772"/>
      <c r="AA228" s="772"/>
      <c r="AB228" s="772"/>
      <c r="AC228" s="772"/>
      <c r="AD228" s="772"/>
      <c r="AE228" s="772"/>
      <c r="AF228" s="772"/>
      <c r="AG228" s="772"/>
      <c r="AH228" s="772"/>
    </row>
    <row r="229" ht="15.75" customHeight="1">
      <c r="A229" s="815"/>
      <c r="B229" s="782"/>
      <c r="C229" s="782"/>
      <c r="D229" s="782"/>
      <c r="E229" s="816"/>
      <c r="F229" s="816"/>
      <c r="G229" s="817"/>
      <c r="H229" s="817"/>
      <c r="I229" s="818"/>
      <c r="J229" s="772"/>
      <c r="K229" s="772"/>
      <c r="L229" s="772"/>
      <c r="M229" s="772"/>
      <c r="N229" s="772"/>
      <c r="O229" s="772"/>
      <c r="P229" s="772"/>
      <c r="Q229" s="772"/>
      <c r="R229" s="772"/>
      <c r="S229" s="772"/>
      <c r="T229" s="772"/>
      <c r="U229" s="772"/>
      <c r="V229" s="772"/>
      <c r="W229" s="772"/>
      <c r="X229" s="772"/>
      <c r="Y229" s="772"/>
      <c r="Z229" s="772"/>
      <c r="AA229" s="772"/>
      <c r="AB229" s="772"/>
      <c r="AC229" s="772"/>
      <c r="AD229" s="772"/>
      <c r="AE229" s="772"/>
      <c r="AF229" s="772"/>
      <c r="AG229" s="772"/>
      <c r="AH229" s="772"/>
    </row>
    <row r="230" ht="15.75" customHeight="1">
      <c r="A230" s="815"/>
      <c r="B230" s="782"/>
      <c r="C230" s="782"/>
      <c r="D230" s="782"/>
      <c r="E230" s="816"/>
      <c r="F230" s="816"/>
      <c r="G230" s="817"/>
      <c r="H230" s="817"/>
      <c r="I230" s="818"/>
      <c r="J230" s="772"/>
      <c r="K230" s="772"/>
      <c r="L230" s="772"/>
      <c r="M230" s="772"/>
      <c r="N230" s="772"/>
      <c r="O230" s="772"/>
      <c r="P230" s="772"/>
      <c r="Q230" s="772"/>
      <c r="R230" s="772"/>
      <c r="S230" s="772"/>
      <c r="T230" s="772"/>
      <c r="U230" s="772"/>
      <c r="V230" s="772"/>
      <c r="W230" s="772"/>
      <c r="X230" s="772"/>
      <c r="Y230" s="772"/>
      <c r="Z230" s="772"/>
      <c r="AA230" s="772"/>
      <c r="AB230" s="772"/>
      <c r="AC230" s="772"/>
      <c r="AD230" s="772"/>
      <c r="AE230" s="772"/>
      <c r="AF230" s="772"/>
      <c r="AG230" s="772"/>
      <c r="AH230" s="772"/>
    </row>
    <row r="231" ht="15.75" customHeight="1">
      <c r="A231" s="815"/>
      <c r="B231" s="782"/>
      <c r="C231" s="782"/>
      <c r="D231" s="782"/>
      <c r="E231" s="816"/>
      <c r="F231" s="816"/>
      <c r="G231" s="817"/>
      <c r="H231" s="817"/>
      <c r="I231" s="818"/>
      <c r="J231" s="772"/>
      <c r="K231" s="772"/>
      <c r="L231" s="772"/>
      <c r="M231" s="772"/>
      <c r="N231" s="772"/>
      <c r="O231" s="772"/>
      <c r="P231" s="772"/>
      <c r="Q231" s="772"/>
      <c r="R231" s="772"/>
      <c r="S231" s="772"/>
      <c r="T231" s="772"/>
      <c r="U231" s="772"/>
      <c r="V231" s="772"/>
      <c r="W231" s="772"/>
      <c r="X231" s="772"/>
      <c r="Y231" s="772"/>
      <c r="Z231" s="772"/>
      <c r="AA231" s="772"/>
      <c r="AB231" s="772"/>
      <c r="AC231" s="772"/>
      <c r="AD231" s="772"/>
      <c r="AE231" s="772"/>
      <c r="AF231" s="772"/>
      <c r="AG231" s="772"/>
      <c r="AH231" s="772"/>
    </row>
    <row r="232" ht="15.75" customHeight="1">
      <c r="A232" s="815"/>
      <c r="B232" s="782"/>
      <c r="C232" s="782"/>
      <c r="D232" s="782"/>
      <c r="E232" s="816"/>
      <c r="F232" s="816"/>
      <c r="G232" s="817"/>
      <c r="H232" s="817"/>
      <c r="I232" s="818"/>
      <c r="J232" s="772"/>
      <c r="K232" s="772"/>
      <c r="L232" s="772"/>
      <c r="M232" s="772"/>
      <c r="N232" s="772"/>
      <c r="O232" s="772"/>
      <c r="P232" s="772"/>
      <c r="Q232" s="772"/>
      <c r="R232" s="772"/>
      <c r="S232" s="772"/>
      <c r="T232" s="772"/>
      <c r="U232" s="772"/>
      <c r="V232" s="772"/>
      <c r="W232" s="772"/>
      <c r="X232" s="772"/>
      <c r="Y232" s="772"/>
      <c r="Z232" s="772"/>
      <c r="AA232" s="772"/>
      <c r="AB232" s="772"/>
      <c r="AC232" s="772"/>
      <c r="AD232" s="772"/>
      <c r="AE232" s="772"/>
      <c r="AF232" s="772"/>
      <c r="AG232" s="772"/>
      <c r="AH232" s="772"/>
    </row>
    <row r="233" ht="15.75" customHeight="1">
      <c r="A233" s="815"/>
      <c r="B233" s="782"/>
      <c r="C233" s="782"/>
      <c r="D233" s="782"/>
      <c r="E233" s="816"/>
      <c r="F233" s="816"/>
      <c r="G233" s="817"/>
      <c r="H233" s="817"/>
      <c r="I233" s="818"/>
      <c r="J233" s="772"/>
      <c r="K233" s="772"/>
      <c r="L233" s="772"/>
      <c r="M233" s="772"/>
      <c r="N233" s="772"/>
      <c r="O233" s="772"/>
      <c r="P233" s="772"/>
      <c r="Q233" s="772"/>
      <c r="R233" s="772"/>
      <c r="S233" s="772"/>
      <c r="T233" s="772"/>
      <c r="U233" s="772"/>
      <c r="V233" s="772"/>
      <c r="W233" s="772"/>
      <c r="X233" s="772"/>
      <c r="Y233" s="772"/>
      <c r="Z233" s="772"/>
      <c r="AA233" s="772"/>
      <c r="AB233" s="772"/>
      <c r="AC233" s="772"/>
      <c r="AD233" s="772"/>
      <c r="AE233" s="772"/>
      <c r="AF233" s="772"/>
      <c r="AG233" s="772"/>
      <c r="AH233" s="772"/>
    </row>
    <row r="234" ht="15.75" customHeight="1">
      <c r="A234" s="815"/>
      <c r="B234" s="782"/>
      <c r="C234" s="782"/>
      <c r="D234" s="782"/>
      <c r="E234" s="816"/>
      <c r="F234" s="816"/>
      <c r="G234" s="817"/>
      <c r="H234" s="817"/>
      <c r="I234" s="818"/>
      <c r="J234" s="772"/>
      <c r="K234" s="772"/>
      <c r="L234" s="772"/>
      <c r="M234" s="772"/>
      <c r="N234" s="772"/>
      <c r="O234" s="772"/>
      <c r="P234" s="772"/>
      <c r="Q234" s="772"/>
      <c r="R234" s="772"/>
      <c r="S234" s="772"/>
      <c r="T234" s="772"/>
      <c r="U234" s="772"/>
      <c r="V234" s="772"/>
      <c r="W234" s="772"/>
      <c r="X234" s="772"/>
      <c r="Y234" s="772"/>
      <c r="Z234" s="772"/>
      <c r="AA234" s="772"/>
      <c r="AB234" s="772"/>
      <c r="AC234" s="772"/>
      <c r="AD234" s="772"/>
      <c r="AE234" s="772"/>
      <c r="AF234" s="772"/>
      <c r="AG234" s="772"/>
      <c r="AH234" s="772"/>
    </row>
    <row r="235" ht="15.75" customHeight="1">
      <c r="A235" s="815"/>
      <c r="B235" s="782"/>
      <c r="C235" s="782"/>
      <c r="D235" s="782"/>
      <c r="E235" s="816"/>
      <c r="F235" s="816"/>
      <c r="G235" s="817"/>
      <c r="H235" s="817"/>
      <c r="I235" s="818"/>
      <c r="J235" s="772"/>
      <c r="K235" s="772"/>
      <c r="L235" s="772"/>
      <c r="M235" s="772"/>
      <c r="N235" s="772"/>
      <c r="O235" s="772"/>
      <c r="P235" s="772"/>
      <c r="Q235" s="772"/>
      <c r="R235" s="772"/>
      <c r="S235" s="772"/>
      <c r="T235" s="772"/>
      <c r="U235" s="772"/>
      <c r="V235" s="772"/>
      <c r="W235" s="772"/>
      <c r="X235" s="772"/>
      <c r="Y235" s="772"/>
      <c r="Z235" s="772"/>
      <c r="AA235" s="772"/>
      <c r="AB235" s="772"/>
      <c r="AC235" s="772"/>
      <c r="AD235" s="772"/>
      <c r="AE235" s="772"/>
      <c r="AF235" s="772"/>
      <c r="AG235" s="772"/>
      <c r="AH235" s="772"/>
    </row>
    <row r="236" ht="15.75" customHeight="1">
      <c r="A236" s="815"/>
      <c r="B236" s="782"/>
      <c r="C236" s="782"/>
      <c r="D236" s="782"/>
      <c r="E236" s="816"/>
      <c r="F236" s="816"/>
      <c r="G236" s="817"/>
      <c r="H236" s="817"/>
      <c r="I236" s="818"/>
      <c r="J236" s="772"/>
      <c r="K236" s="772"/>
      <c r="L236" s="772"/>
      <c r="M236" s="772"/>
      <c r="N236" s="772"/>
      <c r="O236" s="772"/>
      <c r="P236" s="772"/>
      <c r="Q236" s="772"/>
      <c r="R236" s="772"/>
      <c r="S236" s="772"/>
      <c r="T236" s="772"/>
      <c r="U236" s="772"/>
      <c r="V236" s="772"/>
      <c r="W236" s="772"/>
      <c r="X236" s="772"/>
      <c r="Y236" s="772"/>
      <c r="Z236" s="772"/>
      <c r="AA236" s="772"/>
      <c r="AB236" s="772"/>
      <c r="AC236" s="772"/>
      <c r="AD236" s="772"/>
      <c r="AE236" s="772"/>
      <c r="AF236" s="772"/>
      <c r="AG236" s="772"/>
      <c r="AH236" s="772"/>
    </row>
    <row r="237" ht="15.75" customHeight="1">
      <c r="A237" s="815"/>
      <c r="B237" s="782"/>
      <c r="C237" s="782"/>
      <c r="D237" s="782"/>
      <c r="E237" s="816"/>
      <c r="F237" s="816"/>
      <c r="G237" s="817"/>
      <c r="H237" s="817"/>
      <c r="I237" s="818"/>
      <c r="J237" s="772"/>
      <c r="K237" s="772"/>
      <c r="L237" s="772"/>
      <c r="M237" s="772"/>
      <c r="N237" s="772"/>
      <c r="O237" s="772"/>
      <c r="P237" s="772"/>
      <c r="Q237" s="772"/>
      <c r="R237" s="772"/>
      <c r="S237" s="772"/>
      <c r="T237" s="772"/>
      <c r="U237" s="772"/>
      <c r="V237" s="772"/>
      <c r="W237" s="772"/>
      <c r="X237" s="772"/>
      <c r="Y237" s="772"/>
      <c r="Z237" s="772"/>
      <c r="AA237" s="772"/>
      <c r="AB237" s="772"/>
      <c r="AC237" s="772"/>
      <c r="AD237" s="772"/>
      <c r="AE237" s="772"/>
      <c r="AF237" s="772"/>
      <c r="AG237" s="772"/>
      <c r="AH237" s="772"/>
    </row>
    <row r="238" ht="15.75" customHeight="1">
      <c r="A238" s="815"/>
      <c r="B238" s="782"/>
      <c r="C238" s="782"/>
      <c r="D238" s="782"/>
      <c r="E238" s="816"/>
      <c r="F238" s="816"/>
      <c r="G238" s="817"/>
      <c r="H238" s="817"/>
      <c r="I238" s="818"/>
      <c r="J238" s="772"/>
      <c r="K238" s="772"/>
      <c r="L238" s="772"/>
      <c r="M238" s="772"/>
      <c r="N238" s="772"/>
      <c r="O238" s="772"/>
      <c r="P238" s="772"/>
      <c r="Q238" s="772"/>
      <c r="R238" s="772"/>
      <c r="S238" s="772"/>
      <c r="T238" s="772"/>
      <c r="U238" s="772"/>
      <c r="V238" s="772"/>
      <c r="W238" s="772"/>
      <c r="X238" s="772"/>
      <c r="Y238" s="772"/>
      <c r="Z238" s="772"/>
      <c r="AA238" s="772"/>
      <c r="AB238" s="772"/>
      <c r="AC238" s="772"/>
      <c r="AD238" s="772"/>
      <c r="AE238" s="772"/>
      <c r="AF238" s="772"/>
      <c r="AG238" s="772"/>
      <c r="AH238" s="772"/>
    </row>
    <row r="239" ht="15.75" customHeight="1">
      <c r="A239" s="815"/>
      <c r="B239" s="782"/>
      <c r="C239" s="782"/>
      <c r="D239" s="782"/>
      <c r="E239" s="816"/>
      <c r="F239" s="816"/>
      <c r="G239" s="817"/>
      <c r="H239" s="817"/>
      <c r="I239" s="818"/>
      <c r="J239" s="772"/>
      <c r="K239" s="772"/>
      <c r="L239" s="772"/>
      <c r="M239" s="772"/>
      <c r="N239" s="772"/>
      <c r="O239" s="772"/>
      <c r="P239" s="772"/>
      <c r="Q239" s="772"/>
      <c r="R239" s="772"/>
      <c r="S239" s="772"/>
      <c r="T239" s="772"/>
      <c r="U239" s="772"/>
      <c r="V239" s="772"/>
      <c r="W239" s="772"/>
      <c r="X239" s="772"/>
      <c r="Y239" s="772"/>
      <c r="Z239" s="772"/>
      <c r="AA239" s="772"/>
      <c r="AB239" s="772"/>
      <c r="AC239" s="772"/>
      <c r="AD239" s="772"/>
      <c r="AE239" s="772"/>
      <c r="AF239" s="772"/>
      <c r="AG239" s="772"/>
      <c r="AH239" s="772"/>
    </row>
    <row r="240" ht="15.75" customHeight="1">
      <c r="A240" s="815"/>
      <c r="B240" s="782"/>
      <c r="C240" s="782"/>
      <c r="D240" s="782"/>
      <c r="E240" s="816"/>
      <c r="F240" s="816"/>
      <c r="G240" s="817"/>
      <c r="H240" s="817"/>
      <c r="I240" s="818"/>
      <c r="J240" s="772"/>
      <c r="K240" s="772"/>
      <c r="L240" s="772"/>
      <c r="M240" s="772"/>
      <c r="N240" s="772"/>
      <c r="O240" s="772"/>
      <c r="P240" s="772"/>
      <c r="Q240" s="772"/>
      <c r="R240" s="772"/>
      <c r="S240" s="772"/>
      <c r="T240" s="772"/>
      <c r="U240" s="772"/>
      <c r="V240" s="772"/>
      <c r="W240" s="772"/>
      <c r="X240" s="772"/>
      <c r="Y240" s="772"/>
      <c r="Z240" s="772"/>
      <c r="AA240" s="772"/>
      <c r="AB240" s="772"/>
      <c r="AC240" s="772"/>
      <c r="AD240" s="772"/>
      <c r="AE240" s="772"/>
      <c r="AF240" s="772"/>
      <c r="AG240" s="772"/>
      <c r="AH240" s="772"/>
    </row>
    <row r="241" ht="15.75" customHeight="1">
      <c r="A241" s="815"/>
      <c r="B241" s="782"/>
      <c r="C241" s="782"/>
      <c r="D241" s="782"/>
      <c r="E241" s="816"/>
      <c r="F241" s="816"/>
      <c r="G241" s="817"/>
      <c r="H241" s="817"/>
      <c r="I241" s="818"/>
      <c r="J241" s="772"/>
      <c r="K241" s="772"/>
      <c r="L241" s="772"/>
      <c r="M241" s="772"/>
      <c r="N241" s="772"/>
      <c r="O241" s="772"/>
      <c r="P241" s="772"/>
      <c r="Q241" s="772"/>
      <c r="R241" s="772"/>
      <c r="S241" s="772"/>
      <c r="T241" s="772"/>
      <c r="U241" s="772"/>
      <c r="V241" s="772"/>
      <c r="W241" s="772"/>
      <c r="X241" s="772"/>
      <c r="Y241" s="772"/>
      <c r="Z241" s="772"/>
      <c r="AA241" s="772"/>
      <c r="AB241" s="772"/>
      <c r="AC241" s="772"/>
      <c r="AD241" s="772"/>
      <c r="AE241" s="772"/>
      <c r="AF241" s="772"/>
      <c r="AG241" s="772"/>
      <c r="AH241" s="772"/>
    </row>
    <row r="242" ht="15.75" customHeight="1">
      <c r="A242" s="815"/>
      <c r="B242" s="782"/>
      <c r="C242" s="782"/>
      <c r="D242" s="782"/>
      <c r="E242" s="816"/>
      <c r="F242" s="816"/>
      <c r="G242" s="817"/>
      <c r="H242" s="817"/>
      <c r="I242" s="818"/>
      <c r="J242" s="772"/>
      <c r="K242" s="772"/>
      <c r="L242" s="772"/>
      <c r="M242" s="772"/>
      <c r="N242" s="772"/>
      <c r="O242" s="772"/>
      <c r="P242" s="772"/>
      <c r="Q242" s="772"/>
      <c r="R242" s="772"/>
      <c r="S242" s="772"/>
      <c r="T242" s="772"/>
      <c r="U242" s="772"/>
      <c r="V242" s="772"/>
      <c r="W242" s="772"/>
      <c r="X242" s="772"/>
      <c r="Y242" s="772"/>
      <c r="Z242" s="772"/>
      <c r="AA242" s="772"/>
      <c r="AB242" s="772"/>
      <c r="AC242" s="772"/>
      <c r="AD242" s="772"/>
      <c r="AE242" s="772"/>
      <c r="AF242" s="772"/>
      <c r="AG242" s="772"/>
      <c r="AH242" s="772"/>
    </row>
    <row r="243" ht="15.75" customHeight="1">
      <c r="A243" s="815"/>
      <c r="B243" s="782"/>
      <c r="C243" s="782"/>
      <c r="D243" s="782"/>
      <c r="E243" s="816"/>
      <c r="F243" s="816"/>
      <c r="G243" s="817"/>
      <c r="H243" s="817"/>
      <c r="I243" s="818"/>
      <c r="J243" s="772"/>
      <c r="K243" s="772"/>
      <c r="L243" s="772"/>
      <c r="M243" s="772"/>
      <c r="N243" s="772"/>
      <c r="O243" s="772"/>
      <c r="P243" s="772"/>
      <c r="Q243" s="772"/>
      <c r="R243" s="772"/>
      <c r="S243" s="772"/>
      <c r="T243" s="772"/>
      <c r="U243" s="772"/>
      <c r="V243" s="772"/>
      <c r="W243" s="772"/>
      <c r="X243" s="772"/>
      <c r="Y243" s="772"/>
      <c r="Z243" s="772"/>
      <c r="AA243" s="772"/>
      <c r="AB243" s="772"/>
      <c r="AC243" s="772"/>
      <c r="AD243" s="772"/>
      <c r="AE243" s="772"/>
      <c r="AF243" s="772"/>
      <c r="AG243" s="772"/>
      <c r="AH243" s="772"/>
    </row>
    <row r="244" ht="15.75" customHeight="1">
      <c r="A244" s="815"/>
      <c r="B244" s="782"/>
      <c r="C244" s="782"/>
      <c r="D244" s="782"/>
      <c r="E244" s="816"/>
      <c r="F244" s="816"/>
      <c r="G244" s="817"/>
      <c r="H244" s="817"/>
      <c r="I244" s="818"/>
      <c r="J244" s="772"/>
      <c r="K244" s="772"/>
      <c r="L244" s="772"/>
      <c r="M244" s="772"/>
      <c r="N244" s="772"/>
      <c r="O244" s="772"/>
      <c r="P244" s="772"/>
      <c r="Q244" s="772"/>
      <c r="R244" s="772"/>
      <c r="S244" s="772"/>
      <c r="T244" s="772"/>
      <c r="U244" s="772"/>
      <c r="V244" s="772"/>
      <c r="W244" s="772"/>
      <c r="X244" s="772"/>
      <c r="Y244" s="772"/>
      <c r="Z244" s="772"/>
      <c r="AA244" s="772"/>
      <c r="AB244" s="772"/>
      <c r="AC244" s="772"/>
      <c r="AD244" s="772"/>
      <c r="AE244" s="772"/>
      <c r="AF244" s="772"/>
      <c r="AG244" s="772"/>
      <c r="AH244" s="772"/>
    </row>
    <row r="245" ht="15.75" customHeight="1">
      <c r="A245" s="815"/>
      <c r="B245" s="782"/>
      <c r="C245" s="782"/>
      <c r="D245" s="782"/>
      <c r="E245" s="816"/>
      <c r="F245" s="816"/>
      <c r="G245" s="817"/>
      <c r="H245" s="817"/>
      <c r="I245" s="818"/>
      <c r="J245" s="772"/>
      <c r="K245" s="772"/>
      <c r="L245" s="772"/>
      <c r="M245" s="772"/>
      <c r="N245" s="772"/>
      <c r="O245" s="772"/>
      <c r="P245" s="772"/>
      <c r="Q245" s="772"/>
      <c r="R245" s="772"/>
      <c r="S245" s="772"/>
      <c r="T245" s="772"/>
      <c r="U245" s="772"/>
      <c r="V245" s="772"/>
      <c r="W245" s="772"/>
      <c r="X245" s="772"/>
      <c r="Y245" s="772"/>
      <c r="Z245" s="772"/>
      <c r="AA245" s="772"/>
      <c r="AB245" s="772"/>
      <c r="AC245" s="772"/>
      <c r="AD245" s="772"/>
      <c r="AE245" s="772"/>
      <c r="AF245" s="772"/>
      <c r="AG245" s="772"/>
      <c r="AH245" s="772"/>
    </row>
    <row r="246" ht="15.75" customHeight="1">
      <c r="A246" s="815"/>
      <c r="B246" s="782"/>
      <c r="C246" s="782"/>
      <c r="D246" s="782"/>
      <c r="E246" s="816"/>
      <c r="F246" s="816"/>
      <c r="G246" s="817"/>
      <c r="H246" s="817"/>
      <c r="I246" s="818"/>
      <c r="J246" s="772"/>
      <c r="K246" s="772"/>
      <c r="L246" s="772"/>
      <c r="M246" s="772"/>
      <c r="N246" s="772"/>
      <c r="O246" s="772"/>
      <c r="P246" s="772"/>
      <c r="Q246" s="772"/>
      <c r="R246" s="772"/>
      <c r="S246" s="772"/>
      <c r="T246" s="772"/>
      <c r="U246" s="772"/>
      <c r="V246" s="772"/>
      <c r="W246" s="772"/>
      <c r="X246" s="772"/>
      <c r="Y246" s="772"/>
      <c r="Z246" s="772"/>
      <c r="AA246" s="772"/>
      <c r="AB246" s="772"/>
      <c r="AC246" s="772"/>
      <c r="AD246" s="772"/>
      <c r="AE246" s="772"/>
      <c r="AF246" s="772"/>
      <c r="AG246" s="772"/>
      <c r="AH246" s="772"/>
    </row>
    <row r="247" ht="15.75" customHeight="1">
      <c r="A247" s="815"/>
      <c r="B247" s="782"/>
      <c r="C247" s="782"/>
      <c r="D247" s="782"/>
      <c r="E247" s="816"/>
      <c r="F247" s="816"/>
      <c r="G247" s="817"/>
      <c r="H247" s="817"/>
      <c r="I247" s="818"/>
      <c r="J247" s="772"/>
      <c r="K247" s="772"/>
      <c r="L247" s="772"/>
      <c r="M247" s="772"/>
      <c r="N247" s="772"/>
      <c r="O247" s="772"/>
      <c r="P247" s="772"/>
      <c r="Q247" s="772"/>
      <c r="R247" s="772"/>
      <c r="S247" s="772"/>
      <c r="T247" s="772"/>
      <c r="U247" s="772"/>
      <c r="V247" s="772"/>
      <c r="W247" s="772"/>
      <c r="X247" s="772"/>
      <c r="Y247" s="772"/>
      <c r="Z247" s="772"/>
      <c r="AA247" s="772"/>
      <c r="AB247" s="772"/>
      <c r="AC247" s="772"/>
      <c r="AD247" s="772"/>
      <c r="AE247" s="772"/>
      <c r="AF247" s="772"/>
      <c r="AG247" s="772"/>
      <c r="AH247" s="772"/>
    </row>
    <row r="248" ht="15.75" customHeight="1">
      <c r="A248" s="815"/>
      <c r="B248" s="782"/>
      <c r="C248" s="782"/>
      <c r="D248" s="782"/>
      <c r="E248" s="816"/>
      <c r="F248" s="816"/>
      <c r="G248" s="817"/>
      <c r="H248" s="817"/>
      <c r="I248" s="818"/>
      <c r="J248" s="772"/>
      <c r="K248" s="772"/>
      <c r="L248" s="772"/>
      <c r="M248" s="772"/>
      <c r="N248" s="772"/>
      <c r="O248" s="772"/>
      <c r="P248" s="772"/>
      <c r="Q248" s="772"/>
      <c r="R248" s="772"/>
      <c r="S248" s="772"/>
      <c r="T248" s="772"/>
      <c r="U248" s="772"/>
      <c r="V248" s="772"/>
      <c r="W248" s="772"/>
      <c r="X248" s="772"/>
      <c r="Y248" s="772"/>
      <c r="Z248" s="772"/>
      <c r="AA248" s="772"/>
      <c r="AB248" s="772"/>
      <c r="AC248" s="772"/>
      <c r="AD248" s="772"/>
      <c r="AE248" s="772"/>
      <c r="AF248" s="772"/>
      <c r="AG248" s="772"/>
      <c r="AH248" s="772"/>
    </row>
    <row r="249" ht="15.75" customHeight="1">
      <c r="A249" s="815"/>
      <c r="B249" s="782"/>
      <c r="C249" s="782"/>
      <c r="D249" s="782"/>
      <c r="E249" s="816"/>
      <c r="F249" s="816"/>
      <c r="G249" s="817"/>
      <c r="H249" s="817"/>
      <c r="I249" s="818"/>
      <c r="J249" s="772"/>
      <c r="K249" s="772"/>
      <c r="L249" s="772"/>
      <c r="M249" s="772"/>
      <c r="N249" s="772"/>
      <c r="O249" s="772"/>
      <c r="P249" s="772"/>
      <c r="Q249" s="772"/>
      <c r="R249" s="772"/>
      <c r="S249" s="772"/>
      <c r="T249" s="772"/>
      <c r="U249" s="772"/>
      <c r="V249" s="772"/>
      <c r="W249" s="772"/>
      <c r="X249" s="772"/>
      <c r="Y249" s="772"/>
      <c r="Z249" s="772"/>
      <c r="AA249" s="772"/>
      <c r="AB249" s="772"/>
      <c r="AC249" s="772"/>
      <c r="AD249" s="772"/>
      <c r="AE249" s="772"/>
      <c r="AF249" s="772"/>
      <c r="AG249" s="772"/>
      <c r="AH249" s="772"/>
    </row>
    <row r="250" ht="15.75" customHeight="1">
      <c r="A250" s="815"/>
      <c r="B250" s="782"/>
      <c r="C250" s="782"/>
      <c r="D250" s="782"/>
      <c r="E250" s="816"/>
      <c r="F250" s="816"/>
      <c r="G250" s="817"/>
      <c r="H250" s="817"/>
      <c r="I250" s="818"/>
      <c r="J250" s="772"/>
      <c r="K250" s="772"/>
      <c r="L250" s="772"/>
      <c r="M250" s="772"/>
      <c r="N250" s="772"/>
      <c r="O250" s="772"/>
      <c r="P250" s="772"/>
      <c r="Q250" s="772"/>
      <c r="R250" s="772"/>
      <c r="S250" s="772"/>
      <c r="T250" s="772"/>
      <c r="U250" s="772"/>
      <c r="V250" s="772"/>
      <c r="W250" s="772"/>
      <c r="X250" s="772"/>
      <c r="Y250" s="772"/>
      <c r="Z250" s="772"/>
      <c r="AA250" s="772"/>
      <c r="AB250" s="772"/>
      <c r="AC250" s="772"/>
      <c r="AD250" s="772"/>
      <c r="AE250" s="772"/>
      <c r="AF250" s="772"/>
      <c r="AG250" s="772"/>
      <c r="AH250" s="772"/>
    </row>
    <row r="251" ht="15.75" customHeight="1">
      <c r="A251" s="815"/>
      <c r="B251" s="782"/>
      <c r="C251" s="782"/>
      <c r="D251" s="782"/>
      <c r="E251" s="816"/>
      <c r="F251" s="816"/>
      <c r="G251" s="817"/>
      <c r="H251" s="817"/>
      <c r="I251" s="818"/>
      <c r="J251" s="772"/>
      <c r="K251" s="772"/>
      <c r="L251" s="772"/>
      <c r="M251" s="772"/>
      <c r="N251" s="772"/>
      <c r="O251" s="772"/>
      <c r="P251" s="772"/>
      <c r="Q251" s="772"/>
      <c r="R251" s="772"/>
      <c r="S251" s="772"/>
      <c r="T251" s="772"/>
      <c r="U251" s="772"/>
      <c r="V251" s="772"/>
      <c r="W251" s="772"/>
      <c r="X251" s="772"/>
      <c r="Y251" s="772"/>
      <c r="Z251" s="772"/>
      <c r="AA251" s="772"/>
      <c r="AB251" s="772"/>
      <c r="AC251" s="772"/>
      <c r="AD251" s="772"/>
      <c r="AE251" s="772"/>
      <c r="AF251" s="772"/>
      <c r="AG251" s="772"/>
      <c r="AH251" s="772"/>
    </row>
    <row r="252" ht="15.75" customHeight="1">
      <c r="A252" s="815"/>
      <c r="B252" s="782"/>
      <c r="C252" s="782"/>
      <c r="D252" s="782"/>
      <c r="E252" s="816"/>
      <c r="F252" s="816"/>
      <c r="G252" s="817"/>
      <c r="H252" s="817"/>
      <c r="I252" s="818"/>
      <c r="J252" s="772"/>
      <c r="K252" s="772"/>
      <c r="L252" s="772"/>
      <c r="M252" s="772"/>
      <c r="N252" s="772"/>
      <c r="O252" s="772"/>
      <c r="P252" s="772"/>
      <c r="Q252" s="772"/>
      <c r="R252" s="772"/>
      <c r="S252" s="772"/>
      <c r="T252" s="772"/>
      <c r="U252" s="772"/>
      <c r="V252" s="772"/>
      <c r="W252" s="772"/>
      <c r="X252" s="772"/>
      <c r="Y252" s="772"/>
      <c r="Z252" s="772"/>
      <c r="AA252" s="772"/>
      <c r="AB252" s="772"/>
      <c r="AC252" s="772"/>
      <c r="AD252" s="772"/>
      <c r="AE252" s="772"/>
      <c r="AF252" s="772"/>
      <c r="AG252" s="772"/>
      <c r="AH252" s="772"/>
    </row>
    <row r="253" ht="15.75" customHeight="1">
      <c r="A253" s="815"/>
      <c r="B253" s="782"/>
      <c r="C253" s="782"/>
      <c r="D253" s="782"/>
      <c r="E253" s="816"/>
      <c r="F253" s="816"/>
      <c r="G253" s="817"/>
      <c r="H253" s="817"/>
      <c r="I253" s="818"/>
      <c r="J253" s="772"/>
      <c r="K253" s="772"/>
      <c r="L253" s="772"/>
      <c r="M253" s="772"/>
      <c r="N253" s="772"/>
      <c r="O253" s="772"/>
      <c r="P253" s="772"/>
      <c r="Q253" s="772"/>
      <c r="R253" s="772"/>
      <c r="S253" s="772"/>
      <c r="T253" s="772"/>
      <c r="U253" s="772"/>
      <c r="V253" s="772"/>
      <c r="W253" s="772"/>
      <c r="X253" s="772"/>
      <c r="Y253" s="772"/>
      <c r="Z253" s="772"/>
      <c r="AA253" s="772"/>
      <c r="AB253" s="772"/>
      <c r="AC253" s="772"/>
      <c r="AD253" s="772"/>
      <c r="AE253" s="772"/>
      <c r="AF253" s="772"/>
      <c r="AG253" s="772"/>
      <c r="AH253" s="772"/>
    </row>
    <row r="254" ht="15.75" customHeight="1">
      <c r="A254" s="815"/>
      <c r="B254" s="782"/>
      <c r="C254" s="782"/>
      <c r="D254" s="782"/>
      <c r="E254" s="816"/>
      <c r="F254" s="816"/>
      <c r="G254" s="817"/>
      <c r="H254" s="817"/>
      <c r="I254" s="818"/>
      <c r="J254" s="772"/>
      <c r="K254" s="772"/>
      <c r="L254" s="772"/>
      <c r="M254" s="772"/>
      <c r="N254" s="772"/>
      <c r="O254" s="772"/>
      <c r="P254" s="772"/>
      <c r="Q254" s="772"/>
      <c r="R254" s="772"/>
      <c r="S254" s="772"/>
      <c r="T254" s="772"/>
      <c r="U254" s="772"/>
      <c r="V254" s="772"/>
      <c r="W254" s="772"/>
      <c r="X254" s="772"/>
      <c r="Y254" s="772"/>
      <c r="Z254" s="772"/>
      <c r="AA254" s="772"/>
      <c r="AB254" s="772"/>
      <c r="AC254" s="772"/>
      <c r="AD254" s="772"/>
      <c r="AE254" s="772"/>
      <c r="AF254" s="772"/>
      <c r="AG254" s="772"/>
      <c r="AH254" s="772"/>
    </row>
    <row r="255" ht="15.75" customHeight="1">
      <c r="A255" s="815"/>
      <c r="B255" s="782"/>
      <c r="C255" s="782"/>
      <c r="D255" s="782"/>
      <c r="E255" s="816"/>
      <c r="F255" s="816"/>
      <c r="G255" s="817"/>
      <c r="H255" s="817"/>
      <c r="I255" s="818"/>
      <c r="J255" s="772"/>
      <c r="K255" s="772"/>
      <c r="L255" s="772"/>
      <c r="M255" s="772"/>
      <c r="N255" s="772"/>
      <c r="O255" s="772"/>
      <c r="P255" s="772"/>
      <c r="Q255" s="772"/>
      <c r="R255" s="772"/>
      <c r="S255" s="772"/>
      <c r="T255" s="772"/>
      <c r="U255" s="772"/>
      <c r="V255" s="772"/>
      <c r="W255" s="772"/>
      <c r="X255" s="772"/>
      <c r="Y255" s="772"/>
      <c r="Z255" s="772"/>
      <c r="AA255" s="772"/>
      <c r="AB255" s="772"/>
      <c r="AC255" s="772"/>
      <c r="AD255" s="772"/>
      <c r="AE255" s="772"/>
      <c r="AF255" s="772"/>
      <c r="AG255" s="772"/>
      <c r="AH255" s="772"/>
    </row>
    <row r="256" ht="15.75" customHeight="1">
      <c r="A256" s="815"/>
      <c r="B256" s="782"/>
      <c r="C256" s="782"/>
      <c r="D256" s="782"/>
      <c r="E256" s="816"/>
      <c r="F256" s="816"/>
      <c r="G256" s="817"/>
      <c r="H256" s="817"/>
      <c r="I256" s="818"/>
      <c r="J256" s="772"/>
      <c r="K256" s="772"/>
      <c r="L256" s="772"/>
      <c r="M256" s="772"/>
      <c r="N256" s="772"/>
      <c r="O256" s="772"/>
      <c r="P256" s="772"/>
      <c r="Q256" s="772"/>
      <c r="R256" s="772"/>
      <c r="S256" s="772"/>
      <c r="T256" s="772"/>
      <c r="U256" s="772"/>
      <c r="V256" s="772"/>
      <c r="W256" s="772"/>
      <c r="X256" s="772"/>
      <c r="Y256" s="772"/>
      <c r="Z256" s="772"/>
      <c r="AA256" s="772"/>
      <c r="AB256" s="772"/>
      <c r="AC256" s="772"/>
      <c r="AD256" s="772"/>
      <c r="AE256" s="772"/>
      <c r="AF256" s="772"/>
      <c r="AG256" s="772"/>
      <c r="AH256" s="772"/>
    </row>
    <row r="257" ht="15.75" customHeight="1">
      <c r="A257" s="815"/>
      <c r="B257" s="782"/>
      <c r="C257" s="782"/>
      <c r="D257" s="782"/>
      <c r="E257" s="816"/>
      <c r="F257" s="816"/>
      <c r="G257" s="817"/>
      <c r="H257" s="817"/>
      <c r="I257" s="818"/>
      <c r="J257" s="772"/>
      <c r="K257" s="772"/>
      <c r="L257" s="772"/>
      <c r="M257" s="772"/>
      <c r="N257" s="772"/>
      <c r="O257" s="772"/>
      <c r="P257" s="772"/>
      <c r="Q257" s="772"/>
      <c r="R257" s="772"/>
      <c r="S257" s="772"/>
      <c r="T257" s="772"/>
      <c r="U257" s="772"/>
      <c r="V257" s="772"/>
      <c r="W257" s="772"/>
      <c r="X257" s="772"/>
      <c r="Y257" s="772"/>
      <c r="Z257" s="772"/>
      <c r="AA257" s="772"/>
      <c r="AB257" s="772"/>
      <c r="AC257" s="772"/>
      <c r="AD257" s="772"/>
      <c r="AE257" s="772"/>
      <c r="AF257" s="772"/>
      <c r="AG257" s="772"/>
      <c r="AH257" s="772"/>
    </row>
    <row r="258" ht="15.75" customHeight="1">
      <c r="A258" s="815"/>
      <c r="B258" s="782"/>
      <c r="C258" s="782"/>
      <c r="D258" s="782"/>
      <c r="E258" s="816"/>
      <c r="F258" s="816"/>
      <c r="G258" s="817"/>
      <c r="H258" s="817"/>
      <c r="I258" s="818"/>
      <c r="J258" s="772"/>
      <c r="K258" s="772"/>
      <c r="L258" s="772"/>
      <c r="M258" s="772"/>
      <c r="N258" s="772"/>
      <c r="O258" s="772"/>
      <c r="P258" s="772"/>
      <c r="Q258" s="772"/>
      <c r="R258" s="772"/>
      <c r="S258" s="772"/>
      <c r="T258" s="772"/>
      <c r="U258" s="772"/>
      <c r="V258" s="772"/>
      <c r="W258" s="772"/>
      <c r="X258" s="772"/>
      <c r="Y258" s="772"/>
      <c r="Z258" s="772"/>
      <c r="AA258" s="772"/>
      <c r="AB258" s="772"/>
      <c r="AC258" s="772"/>
      <c r="AD258" s="772"/>
      <c r="AE258" s="772"/>
      <c r="AF258" s="772"/>
      <c r="AG258" s="772"/>
      <c r="AH258" s="772"/>
    </row>
    <row r="259" ht="15.75" customHeight="1">
      <c r="A259" s="815"/>
      <c r="B259" s="782"/>
      <c r="C259" s="782"/>
      <c r="D259" s="782"/>
      <c r="E259" s="816"/>
      <c r="F259" s="816"/>
      <c r="G259" s="817"/>
      <c r="H259" s="817"/>
      <c r="I259" s="818"/>
      <c r="J259" s="772"/>
      <c r="K259" s="772"/>
      <c r="L259" s="772"/>
      <c r="M259" s="772"/>
      <c r="N259" s="772"/>
      <c r="O259" s="772"/>
      <c r="P259" s="772"/>
      <c r="Q259" s="772"/>
      <c r="R259" s="772"/>
      <c r="S259" s="772"/>
      <c r="T259" s="772"/>
      <c r="U259" s="772"/>
      <c r="V259" s="772"/>
      <c r="W259" s="772"/>
      <c r="X259" s="772"/>
      <c r="Y259" s="772"/>
      <c r="Z259" s="772"/>
      <c r="AA259" s="772"/>
      <c r="AB259" s="772"/>
      <c r="AC259" s="772"/>
      <c r="AD259" s="772"/>
      <c r="AE259" s="772"/>
      <c r="AF259" s="772"/>
      <c r="AG259" s="772"/>
      <c r="AH259" s="772"/>
    </row>
    <row r="260" ht="15.75" customHeight="1">
      <c r="A260" s="815"/>
      <c r="B260" s="782"/>
      <c r="C260" s="782"/>
      <c r="D260" s="782"/>
      <c r="E260" s="816"/>
      <c r="F260" s="816"/>
      <c r="G260" s="817"/>
      <c r="H260" s="817"/>
      <c r="I260" s="818"/>
      <c r="J260" s="772"/>
      <c r="K260" s="772"/>
      <c r="L260" s="772"/>
      <c r="M260" s="772"/>
      <c r="N260" s="772"/>
      <c r="O260" s="772"/>
      <c r="P260" s="772"/>
      <c r="Q260" s="772"/>
      <c r="R260" s="772"/>
      <c r="S260" s="772"/>
      <c r="T260" s="772"/>
      <c r="U260" s="772"/>
      <c r="V260" s="772"/>
      <c r="W260" s="772"/>
      <c r="X260" s="772"/>
      <c r="Y260" s="772"/>
      <c r="Z260" s="772"/>
      <c r="AA260" s="772"/>
      <c r="AB260" s="772"/>
      <c r="AC260" s="772"/>
      <c r="AD260" s="772"/>
      <c r="AE260" s="772"/>
      <c r="AF260" s="772"/>
      <c r="AG260" s="772"/>
      <c r="AH260" s="772"/>
    </row>
    <row r="261" ht="15.75" customHeight="1">
      <c r="A261" s="815"/>
      <c r="B261" s="782"/>
      <c r="C261" s="782"/>
      <c r="D261" s="782"/>
      <c r="E261" s="816"/>
      <c r="F261" s="816"/>
      <c r="G261" s="817"/>
      <c r="H261" s="817"/>
      <c r="I261" s="818"/>
      <c r="J261" s="772"/>
      <c r="K261" s="772"/>
      <c r="L261" s="772"/>
      <c r="M261" s="772"/>
      <c r="N261" s="772"/>
      <c r="O261" s="772"/>
      <c r="P261" s="772"/>
      <c r="Q261" s="772"/>
      <c r="R261" s="772"/>
      <c r="S261" s="772"/>
      <c r="T261" s="772"/>
      <c r="U261" s="772"/>
      <c r="V261" s="772"/>
      <c r="W261" s="772"/>
      <c r="X261" s="772"/>
      <c r="Y261" s="772"/>
      <c r="Z261" s="772"/>
      <c r="AA261" s="772"/>
      <c r="AB261" s="772"/>
      <c r="AC261" s="772"/>
      <c r="AD261" s="772"/>
      <c r="AE261" s="772"/>
      <c r="AF261" s="772"/>
      <c r="AG261" s="772"/>
      <c r="AH261" s="772"/>
    </row>
    <row r="262" ht="15.75" customHeight="1">
      <c r="A262" s="815"/>
      <c r="B262" s="782"/>
      <c r="C262" s="782"/>
      <c r="D262" s="782"/>
      <c r="E262" s="816"/>
      <c r="F262" s="816"/>
      <c r="G262" s="817"/>
      <c r="H262" s="817"/>
      <c r="I262" s="818"/>
      <c r="J262" s="772"/>
      <c r="K262" s="772"/>
      <c r="L262" s="772"/>
      <c r="M262" s="772"/>
      <c r="N262" s="772"/>
      <c r="O262" s="772"/>
      <c r="P262" s="772"/>
      <c r="Q262" s="772"/>
      <c r="R262" s="772"/>
      <c r="S262" s="772"/>
      <c r="T262" s="772"/>
      <c r="U262" s="772"/>
      <c r="V262" s="772"/>
      <c r="W262" s="772"/>
      <c r="X262" s="772"/>
      <c r="Y262" s="772"/>
      <c r="Z262" s="772"/>
      <c r="AA262" s="772"/>
      <c r="AB262" s="772"/>
      <c r="AC262" s="772"/>
      <c r="AD262" s="772"/>
      <c r="AE262" s="772"/>
      <c r="AF262" s="772"/>
      <c r="AG262" s="772"/>
      <c r="AH262" s="772"/>
    </row>
    <row r="263" ht="15.75" customHeight="1">
      <c r="A263" s="815"/>
      <c r="B263" s="782"/>
      <c r="C263" s="782"/>
      <c r="D263" s="782"/>
      <c r="E263" s="816"/>
      <c r="F263" s="816"/>
      <c r="G263" s="817"/>
      <c r="H263" s="817"/>
      <c r="I263" s="818"/>
      <c r="J263" s="772"/>
      <c r="K263" s="772"/>
      <c r="L263" s="772"/>
      <c r="M263" s="772"/>
      <c r="N263" s="772"/>
      <c r="O263" s="772"/>
      <c r="P263" s="772"/>
      <c r="Q263" s="772"/>
      <c r="R263" s="772"/>
      <c r="S263" s="772"/>
      <c r="T263" s="772"/>
      <c r="U263" s="772"/>
      <c r="V263" s="772"/>
      <c r="W263" s="772"/>
      <c r="X263" s="772"/>
      <c r="Y263" s="772"/>
      <c r="Z263" s="772"/>
      <c r="AA263" s="772"/>
      <c r="AB263" s="772"/>
      <c r="AC263" s="772"/>
      <c r="AD263" s="772"/>
      <c r="AE263" s="772"/>
      <c r="AF263" s="772"/>
      <c r="AG263" s="772"/>
      <c r="AH263" s="772"/>
    </row>
    <row r="264" ht="15.75" customHeight="1">
      <c r="A264" s="815"/>
      <c r="B264" s="782"/>
      <c r="C264" s="782"/>
      <c r="D264" s="782"/>
      <c r="E264" s="816"/>
      <c r="F264" s="816"/>
      <c r="G264" s="817"/>
      <c r="H264" s="817"/>
      <c r="I264" s="818"/>
      <c r="J264" s="772"/>
      <c r="K264" s="772"/>
      <c r="L264" s="772"/>
      <c r="M264" s="772"/>
      <c r="N264" s="772"/>
      <c r="O264" s="772"/>
      <c r="P264" s="772"/>
      <c r="Q264" s="772"/>
      <c r="R264" s="772"/>
      <c r="S264" s="772"/>
      <c r="T264" s="772"/>
      <c r="U264" s="772"/>
      <c r="V264" s="772"/>
      <c r="W264" s="772"/>
      <c r="X264" s="772"/>
      <c r="Y264" s="772"/>
      <c r="Z264" s="772"/>
      <c r="AA264" s="772"/>
      <c r="AB264" s="772"/>
      <c r="AC264" s="772"/>
      <c r="AD264" s="772"/>
      <c r="AE264" s="772"/>
      <c r="AF264" s="772"/>
      <c r="AG264" s="772"/>
      <c r="AH264" s="772"/>
    </row>
    <row r="265" ht="15.75" customHeight="1">
      <c r="A265" s="815"/>
      <c r="B265" s="782"/>
      <c r="C265" s="782"/>
      <c r="D265" s="782"/>
      <c r="E265" s="816"/>
      <c r="F265" s="816"/>
      <c r="G265" s="817"/>
      <c r="H265" s="817"/>
      <c r="I265" s="818"/>
      <c r="J265" s="772"/>
      <c r="K265" s="772"/>
      <c r="L265" s="772"/>
      <c r="M265" s="772"/>
      <c r="N265" s="772"/>
      <c r="O265" s="772"/>
      <c r="P265" s="772"/>
      <c r="Q265" s="772"/>
      <c r="R265" s="772"/>
      <c r="S265" s="772"/>
      <c r="T265" s="772"/>
      <c r="U265" s="772"/>
      <c r="V265" s="772"/>
      <c r="W265" s="772"/>
      <c r="X265" s="772"/>
      <c r="Y265" s="772"/>
      <c r="Z265" s="772"/>
      <c r="AA265" s="772"/>
      <c r="AB265" s="772"/>
      <c r="AC265" s="772"/>
      <c r="AD265" s="772"/>
      <c r="AE265" s="772"/>
      <c r="AF265" s="772"/>
      <c r="AG265" s="772"/>
      <c r="AH265" s="772"/>
    </row>
    <row r="266" ht="15.75" customHeight="1">
      <c r="A266" s="815"/>
      <c r="B266" s="782"/>
      <c r="C266" s="782"/>
      <c r="D266" s="782"/>
      <c r="E266" s="816"/>
      <c r="F266" s="816"/>
      <c r="G266" s="817"/>
      <c r="H266" s="817"/>
      <c r="I266" s="818"/>
      <c r="J266" s="772"/>
      <c r="K266" s="772"/>
      <c r="L266" s="772"/>
      <c r="M266" s="772"/>
      <c r="N266" s="772"/>
      <c r="O266" s="772"/>
      <c r="P266" s="772"/>
      <c r="Q266" s="772"/>
      <c r="R266" s="772"/>
      <c r="S266" s="772"/>
      <c r="T266" s="772"/>
      <c r="U266" s="772"/>
      <c r="V266" s="772"/>
      <c r="W266" s="772"/>
      <c r="X266" s="772"/>
      <c r="Y266" s="772"/>
      <c r="Z266" s="772"/>
      <c r="AA266" s="772"/>
      <c r="AB266" s="772"/>
      <c r="AC266" s="772"/>
      <c r="AD266" s="772"/>
      <c r="AE266" s="772"/>
      <c r="AF266" s="772"/>
      <c r="AG266" s="772"/>
      <c r="AH266" s="772"/>
    </row>
    <row r="267" ht="15.75" customHeight="1">
      <c r="A267" s="815"/>
      <c r="B267" s="782"/>
      <c r="C267" s="782"/>
      <c r="D267" s="782"/>
      <c r="E267" s="816"/>
      <c r="F267" s="816"/>
      <c r="G267" s="817"/>
      <c r="H267" s="817"/>
      <c r="I267" s="818"/>
      <c r="J267" s="772"/>
      <c r="K267" s="772"/>
      <c r="L267" s="772"/>
      <c r="M267" s="772"/>
      <c r="N267" s="772"/>
      <c r="O267" s="772"/>
      <c r="P267" s="772"/>
      <c r="Q267" s="772"/>
      <c r="R267" s="772"/>
      <c r="S267" s="772"/>
      <c r="T267" s="772"/>
      <c r="U267" s="772"/>
      <c r="V267" s="772"/>
      <c r="W267" s="772"/>
      <c r="X267" s="772"/>
      <c r="Y267" s="772"/>
      <c r="Z267" s="772"/>
      <c r="AA267" s="772"/>
      <c r="AB267" s="772"/>
      <c r="AC267" s="772"/>
      <c r="AD267" s="772"/>
      <c r="AE267" s="772"/>
      <c r="AF267" s="772"/>
      <c r="AG267" s="772"/>
      <c r="AH267" s="772"/>
    </row>
    <row r="268" ht="15.75" customHeight="1">
      <c r="A268" s="815"/>
      <c r="B268" s="782"/>
      <c r="C268" s="782"/>
      <c r="D268" s="782"/>
      <c r="E268" s="816"/>
      <c r="F268" s="816"/>
      <c r="G268" s="817"/>
      <c r="H268" s="817"/>
      <c r="I268" s="818"/>
      <c r="J268" s="772"/>
      <c r="K268" s="772"/>
      <c r="L268" s="772"/>
      <c r="M268" s="772"/>
      <c r="N268" s="772"/>
      <c r="O268" s="772"/>
      <c r="P268" s="772"/>
      <c r="Q268" s="772"/>
      <c r="R268" s="772"/>
      <c r="S268" s="772"/>
      <c r="T268" s="772"/>
      <c r="U268" s="772"/>
      <c r="V268" s="772"/>
      <c r="W268" s="772"/>
      <c r="X268" s="772"/>
      <c r="Y268" s="772"/>
      <c r="Z268" s="772"/>
      <c r="AA268" s="772"/>
      <c r="AB268" s="772"/>
      <c r="AC268" s="772"/>
      <c r="AD268" s="772"/>
      <c r="AE268" s="772"/>
      <c r="AF268" s="772"/>
      <c r="AG268" s="772"/>
      <c r="AH268" s="772"/>
    </row>
    <row r="269" ht="15.75" customHeight="1">
      <c r="A269" s="815"/>
      <c r="B269" s="782"/>
      <c r="C269" s="782"/>
      <c r="D269" s="782"/>
      <c r="E269" s="816"/>
      <c r="F269" s="816"/>
      <c r="G269" s="817"/>
      <c r="H269" s="817"/>
      <c r="I269" s="818"/>
      <c r="J269" s="772"/>
      <c r="K269" s="772"/>
      <c r="L269" s="772"/>
      <c r="M269" s="772"/>
      <c r="N269" s="772"/>
      <c r="O269" s="772"/>
      <c r="P269" s="772"/>
      <c r="Q269" s="772"/>
      <c r="R269" s="772"/>
      <c r="S269" s="772"/>
      <c r="T269" s="772"/>
      <c r="U269" s="772"/>
      <c r="V269" s="772"/>
      <c r="W269" s="772"/>
      <c r="X269" s="772"/>
      <c r="Y269" s="772"/>
      <c r="Z269" s="772"/>
      <c r="AA269" s="772"/>
      <c r="AB269" s="772"/>
      <c r="AC269" s="772"/>
      <c r="AD269" s="772"/>
      <c r="AE269" s="772"/>
      <c r="AF269" s="772"/>
      <c r="AG269" s="772"/>
      <c r="AH269" s="772"/>
    </row>
    <row r="270" ht="15.75" customHeight="1">
      <c r="A270" s="815"/>
      <c r="B270" s="782"/>
      <c r="C270" s="782"/>
      <c r="D270" s="782"/>
      <c r="E270" s="816"/>
      <c r="F270" s="816"/>
      <c r="G270" s="817"/>
      <c r="H270" s="817"/>
      <c r="I270" s="818"/>
      <c r="J270" s="772"/>
      <c r="K270" s="772"/>
      <c r="L270" s="772"/>
      <c r="M270" s="772"/>
      <c r="N270" s="772"/>
      <c r="O270" s="772"/>
      <c r="P270" s="772"/>
      <c r="Q270" s="772"/>
      <c r="R270" s="772"/>
      <c r="S270" s="772"/>
      <c r="T270" s="772"/>
      <c r="U270" s="772"/>
      <c r="V270" s="772"/>
      <c r="W270" s="772"/>
      <c r="X270" s="772"/>
      <c r="Y270" s="772"/>
      <c r="Z270" s="772"/>
      <c r="AA270" s="772"/>
      <c r="AB270" s="772"/>
      <c r="AC270" s="772"/>
      <c r="AD270" s="772"/>
      <c r="AE270" s="772"/>
      <c r="AF270" s="772"/>
      <c r="AG270" s="772"/>
      <c r="AH270" s="772"/>
    </row>
    <row r="271" ht="15.75" customHeight="1">
      <c r="A271" s="815"/>
      <c r="B271" s="782"/>
      <c r="C271" s="782"/>
      <c r="D271" s="782"/>
      <c r="E271" s="816"/>
      <c r="F271" s="816"/>
      <c r="G271" s="817"/>
      <c r="H271" s="817"/>
      <c r="I271" s="818"/>
      <c r="J271" s="772"/>
      <c r="K271" s="772"/>
      <c r="L271" s="772"/>
      <c r="M271" s="772"/>
      <c r="N271" s="772"/>
      <c r="O271" s="772"/>
      <c r="P271" s="772"/>
      <c r="Q271" s="772"/>
      <c r="R271" s="772"/>
      <c r="S271" s="772"/>
      <c r="T271" s="772"/>
      <c r="U271" s="772"/>
      <c r="V271" s="772"/>
      <c r="W271" s="772"/>
      <c r="X271" s="772"/>
      <c r="Y271" s="772"/>
      <c r="Z271" s="772"/>
      <c r="AA271" s="772"/>
      <c r="AB271" s="772"/>
      <c r="AC271" s="772"/>
      <c r="AD271" s="772"/>
      <c r="AE271" s="772"/>
      <c r="AF271" s="772"/>
      <c r="AG271" s="772"/>
      <c r="AH271" s="772"/>
    </row>
    <row r="272" ht="15.75" customHeight="1">
      <c r="A272" s="815"/>
      <c r="B272" s="782"/>
      <c r="C272" s="782"/>
      <c r="D272" s="782"/>
      <c r="E272" s="816"/>
      <c r="F272" s="816"/>
      <c r="G272" s="817"/>
      <c r="H272" s="817"/>
      <c r="I272" s="818"/>
      <c r="J272" s="772"/>
      <c r="K272" s="772"/>
      <c r="L272" s="772"/>
      <c r="M272" s="772"/>
      <c r="N272" s="772"/>
      <c r="O272" s="772"/>
      <c r="P272" s="772"/>
      <c r="Q272" s="772"/>
      <c r="R272" s="772"/>
      <c r="S272" s="772"/>
      <c r="T272" s="772"/>
      <c r="U272" s="772"/>
      <c r="V272" s="772"/>
      <c r="W272" s="772"/>
      <c r="X272" s="772"/>
      <c r="Y272" s="772"/>
      <c r="Z272" s="772"/>
      <c r="AA272" s="772"/>
      <c r="AB272" s="772"/>
      <c r="AC272" s="772"/>
      <c r="AD272" s="772"/>
      <c r="AE272" s="772"/>
      <c r="AF272" s="772"/>
      <c r="AG272" s="772"/>
      <c r="AH272" s="772"/>
    </row>
    <row r="273" ht="15.75" customHeight="1">
      <c r="A273" s="815"/>
      <c r="B273" s="782"/>
      <c r="C273" s="782"/>
      <c r="D273" s="782"/>
      <c r="E273" s="816"/>
      <c r="F273" s="816"/>
      <c r="G273" s="817"/>
      <c r="H273" s="817"/>
      <c r="I273" s="818"/>
      <c r="J273" s="772"/>
      <c r="K273" s="772"/>
      <c r="L273" s="772"/>
      <c r="M273" s="772"/>
      <c r="N273" s="772"/>
      <c r="O273" s="772"/>
      <c r="P273" s="772"/>
      <c r="Q273" s="772"/>
      <c r="R273" s="772"/>
      <c r="S273" s="772"/>
      <c r="T273" s="772"/>
      <c r="U273" s="772"/>
      <c r="V273" s="772"/>
      <c r="W273" s="772"/>
      <c r="X273" s="772"/>
      <c r="Y273" s="772"/>
      <c r="Z273" s="772"/>
      <c r="AA273" s="772"/>
      <c r="AB273" s="772"/>
      <c r="AC273" s="772"/>
      <c r="AD273" s="772"/>
      <c r="AE273" s="772"/>
      <c r="AF273" s="772"/>
      <c r="AG273" s="772"/>
      <c r="AH273" s="772"/>
    </row>
    <row r="274" ht="15.75" customHeight="1">
      <c r="A274" s="815"/>
      <c r="B274" s="782"/>
      <c r="C274" s="782"/>
      <c r="D274" s="782"/>
      <c r="E274" s="816"/>
      <c r="F274" s="816"/>
      <c r="G274" s="817"/>
      <c r="H274" s="817"/>
      <c r="I274" s="818"/>
      <c r="J274" s="772"/>
      <c r="K274" s="772"/>
      <c r="L274" s="772"/>
      <c r="M274" s="772"/>
      <c r="N274" s="772"/>
      <c r="O274" s="772"/>
      <c r="P274" s="772"/>
      <c r="Q274" s="772"/>
      <c r="R274" s="772"/>
      <c r="S274" s="772"/>
      <c r="T274" s="772"/>
      <c r="U274" s="772"/>
      <c r="V274" s="772"/>
      <c r="W274" s="772"/>
      <c r="X274" s="772"/>
      <c r="Y274" s="772"/>
      <c r="Z274" s="772"/>
      <c r="AA274" s="772"/>
      <c r="AB274" s="772"/>
      <c r="AC274" s="772"/>
      <c r="AD274" s="772"/>
      <c r="AE274" s="772"/>
      <c r="AF274" s="772"/>
      <c r="AG274" s="772"/>
      <c r="AH274" s="772"/>
    </row>
    <row r="275" ht="15.75" customHeight="1">
      <c r="A275" s="815"/>
      <c r="B275" s="782"/>
      <c r="C275" s="782"/>
      <c r="D275" s="782"/>
      <c r="E275" s="816"/>
      <c r="F275" s="816"/>
      <c r="G275" s="817"/>
      <c r="H275" s="817"/>
      <c r="I275" s="818"/>
      <c r="J275" s="772"/>
      <c r="K275" s="772"/>
      <c r="L275" s="772"/>
      <c r="M275" s="772"/>
      <c r="N275" s="772"/>
      <c r="O275" s="772"/>
      <c r="P275" s="772"/>
      <c r="Q275" s="772"/>
      <c r="R275" s="772"/>
      <c r="S275" s="772"/>
      <c r="T275" s="772"/>
      <c r="U275" s="772"/>
      <c r="V275" s="772"/>
      <c r="W275" s="772"/>
      <c r="X275" s="772"/>
      <c r="Y275" s="772"/>
      <c r="Z275" s="772"/>
      <c r="AA275" s="772"/>
      <c r="AB275" s="772"/>
      <c r="AC275" s="772"/>
      <c r="AD275" s="772"/>
      <c r="AE275" s="772"/>
      <c r="AF275" s="772"/>
      <c r="AG275" s="772"/>
      <c r="AH275" s="772"/>
    </row>
    <row r="276" ht="15.75" customHeight="1">
      <c r="A276" s="815"/>
      <c r="B276" s="782"/>
      <c r="C276" s="782"/>
      <c r="D276" s="782"/>
      <c r="E276" s="816"/>
      <c r="F276" s="816"/>
      <c r="G276" s="817"/>
      <c r="H276" s="817"/>
      <c r="I276" s="818"/>
      <c r="J276" s="772"/>
      <c r="K276" s="772"/>
      <c r="L276" s="772"/>
      <c r="M276" s="772"/>
      <c r="N276" s="772"/>
      <c r="O276" s="772"/>
      <c r="P276" s="772"/>
      <c r="Q276" s="772"/>
      <c r="R276" s="772"/>
      <c r="S276" s="772"/>
      <c r="T276" s="772"/>
      <c r="U276" s="772"/>
      <c r="V276" s="772"/>
      <c r="W276" s="772"/>
      <c r="X276" s="772"/>
      <c r="Y276" s="772"/>
      <c r="Z276" s="772"/>
      <c r="AA276" s="772"/>
      <c r="AB276" s="772"/>
      <c r="AC276" s="772"/>
      <c r="AD276" s="772"/>
      <c r="AE276" s="772"/>
      <c r="AF276" s="772"/>
      <c r="AG276" s="772"/>
      <c r="AH276" s="772"/>
    </row>
    <row r="277" ht="15.75" customHeight="1">
      <c r="A277" s="815"/>
      <c r="B277" s="782"/>
      <c r="C277" s="782"/>
      <c r="D277" s="782"/>
      <c r="E277" s="816"/>
      <c r="F277" s="816"/>
      <c r="G277" s="817"/>
      <c r="H277" s="817"/>
      <c r="I277" s="818"/>
      <c r="J277" s="772"/>
      <c r="K277" s="772"/>
      <c r="L277" s="772"/>
      <c r="M277" s="772"/>
      <c r="N277" s="772"/>
      <c r="O277" s="772"/>
      <c r="P277" s="772"/>
      <c r="Q277" s="772"/>
      <c r="R277" s="772"/>
      <c r="S277" s="772"/>
      <c r="T277" s="772"/>
      <c r="U277" s="772"/>
      <c r="V277" s="772"/>
      <c r="W277" s="772"/>
      <c r="X277" s="772"/>
      <c r="Y277" s="772"/>
      <c r="Z277" s="772"/>
      <c r="AA277" s="772"/>
      <c r="AB277" s="772"/>
      <c r="AC277" s="772"/>
      <c r="AD277" s="772"/>
      <c r="AE277" s="772"/>
      <c r="AF277" s="772"/>
      <c r="AG277" s="772"/>
      <c r="AH277" s="772"/>
    </row>
    <row r="278" ht="15.75" customHeight="1">
      <c r="A278" s="815"/>
      <c r="B278" s="782"/>
      <c r="C278" s="782"/>
      <c r="D278" s="782"/>
      <c r="E278" s="816"/>
      <c r="F278" s="816"/>
      <c r="G278" s="817"/>
      <c r="H278" s="817"/>
      <c r="I278" s="818"/>
      <c r="J278" s="772"/>
      <c r="K278" s="772"/>
      <c r="L278" s="772"/>
      <c r="M278" s="772"/>
      <c r="N278" s="772"/>
      <c r="O278" s="772"/>
      <c r="P278" s="772"/>
      <c r="Q278" s="772"/>
      <c r="R278" s="772"/>
      <c r="S278" s="772"/>
      <c r="T278" s="772"/>
      <c r="U278" s="772"/>
      <c r="V278" s="772"/>
      <c r="W278" s="772"/>
      <c r="X278" s="772"/>
      <c r="Y278" s="772"/>
      <c r="Z278" s="772"/>
      <c r="AA278" s="772"/>
      <c r="AB278" s="772"/>
      <c r="AC278" s="772"/>
      <c r="AD278" s="772"/>
      <c r="AE278" s="772"/>
      <c r="AF278" s="772"/>
      <c r="AG278" s="772"/>
      <c r="AH278" s="772"/>
    </row>
    <row r="279" ht="15.75" customHeight="1">
      <c r="A279" s="815"/>
      <c r="B279" s="782"/>
      <c r="C279" s="782"/>
      <c r="D279" s="782"/>
      <c r="E279" s="816"/>
      <c r="F279" s="816"/>
      <c r="G279" s="817"/>
      <c r="H279" s="817"/>
      <c r="I279" s="818"/>
      <c r="J279" s="772"/>
      <c r="K279" s="772"/>
      <c r="L279" s="772"/>
      <c r="M279" s="772"/>
      <c r="N279" s="772"/>
      <c r="O279" s="772"/>
      <c r="P279" s="772"/>
      <c r="Q279" s="772"/>
      <c r="R279" s="772"/>
      <c r="S279" s="772"/>
      <c r="T279" s="772"/>
      <c r="U279" s="772"/>
      <c r="V279" s="772"/>
      <c r="W279" s="772"/>
      <c r="X279" s="772"/>
      <c r="Y279" s="772"/>
      <c r="Z279" s="772"/>
      <c r="AA279" s="772"/>
      <c r="AB279" s="772"/>
      <c r="AC279" s="772"/>
      <c r="AD279" s="772"/>
      <c r="AE279" s="772"/>
      <c r="AF279" s="772"/>
      <c r="AG279" s="772"/>
      <c r="AH279" s="772"/>
    </row>
    <row r="280" ht="15.75" customHeight="1">
      <c r="A280" s="815"/>
      <c r="B280" s="782"/>
      <c r="C280" s="782"/>
      <c r="D280" s="782"/>
      <c r="E280" s="816"/>
      <c r="F280" s="816"/>
      <c r="G280" s="817"/>
      <c r="H280" s="817"/>
      <c r="I280" s="818"/>
      <c r="J280" s="772"/>
      <c r="K280" s="772"/>
      <c r="L280" s="772"/>
      <c r="M280" s="772"/>
      <c r="N280" s="772"/>
      <c r="O280" s="772"/>
      <c r="P280" s="772"/>
      <c r="Q280" s="772"/>
      <c r="R280" s="772"/>
      <c r="S280" s="772"/>
      <c r="T280" s="772"/>
      <c r="U280" s="772"/>
      <c r="V280" s="772"/>
      <c r="W280" s="772"/>
      <c r="X280" s="772"/>
      <c r="Y280" s="772"/>
      <c r="Z280" s="772"/>
      <c r="AA280" s="772"/>
      <c r="AB280" s="772"/>
      <c r="AC280" s="772"/>
      <c r="AD280" s="772"/>
      <c r="AE280" s="772"/>
      <c r="AF280" s="772"/>
      <c r="AG280" s="772"/>
      <c r="AH280" s="772"/>
    </row>
    <row r="281" ht="15.75" customHeight="1">
      <c r="A281" s="815"/>
      <c r="B281" s="782"/>
      <c r="C281" s="782"/>
      <c r="D281" s="782"/>
      <c r="E281" s="816"/>
      <c r="F281" s="816"/>
      <c r="G281" s="817"/>
      <c r="H281" s="817"/>
      <c r="I281" s="818"/>
      <c r="J281" s="772"/>
      <c r="K281" s="772"/>
      <c r="L281" s="772"/>
      <c r="M281" s="772"/>
      <c r="N281" s="772"/>
      <c r="O281" s="772"/>
      <c r="P281" s="772"/>
      <c r="Q281" s="772"/>
      <c r="R281" s="772"/>
      <c r="S281" s="772"/>
      <c r="T281" s="772"/>
      <c r="U281" s="772"/>
      <c r="V281" s="772"/>
      <c r="W281" s="772"/>
      <c r="X281" s="772"/>
      <c r="Y281" s="772"/>
      <c r="Z281" s="772"/>
      <c r="AA281" s="772"/>
      <c r="AB281" s="772"/>
      <c r="AC281" s="772"/>
      <c r="AD281" s="772"/>
      <c r="AE281" s="772"/>
      <c r="AF281" s="772"/>
      <c r="AG281" s="772"/>
      <c r="AH281" s="772"/>
    </row>
    <row r="282" ht="15.75" customHeight="1">
      <c r="A282" s="815"/>
      <c r="B282" s="782"/>
      <c r="C282" s="782"/>
      <c r="D282" s="782"/>
      <c r="E282" s="816"/>
      <c r="F282" s="816"/>
      <c r="G282" s="817"/>
      <c r="H282" s="817"/>
      <c r="I282" s="818"/>
      <c r="J282" s="772"/>
      <c r="K282" s="772"/>
      <c r="L282" s="772"/>
      <c r="M282" s="772"/>
      <c r="N282" s="772"/>
      <c r="O282" s="772"/>
      <c r="P282" s="772"/>
      <c r="Q282" s="772"/>
      <c r="R282" s="772"/>
      <c r="S282" s="772"/>
      <c r="T282" s="772"/>
      <c r="U282" s="772"/>
      <c r="V282" s="772"/>
      <c r="W282" s="772"/>
      <c r="X282" s="772"/>
      <c r="Y282" s="772"/>
      <c r="Z282" s="772"/>
      <c r="AA282" s="772"/>
      <c r="AB282" s="772"/>
      <c r="AC282" s="772"/>
      <c r="AD282" s="772"/>
      <c r="AE282" s="772"/>
      <c r="AF282" s="772"/>
      <c r="AG282" s="772"/>
      <c r="AH282" s="772"/>
    </row>
    <row r="283" ht="15.75" customHeight="1">
      <c r="A283" s="815"/>
      <c r="B283" s="782"/>
      <c r="C283" s="782"/>
      <c r="D283" s="782"/>
      <c r="E283" s="816"/>
      <c r="F283" s="816"/>
      <c r="G283" s="817"/>
      <c r="H283" s="817"/>
      <c r="I283" s="818"/>
      <c r="J283" s="772"/>
      <c r="K283" s="772"/>
      <c r="L283" s="772"/>
      <c r="M283" s="772"/>
      <c r="N283" s="772"/>
      <c r="O283" s="772"/>
      <c r="P283" s="772"/>
      <c r="Q283" s="772"/>
      <c r="R283" s="772"/>
      <c r="S283" s="772"/>
      <c r="T283" s="772"/>
      <c r="U283" s="772"/>
      <c r="V283" s="772"/>
      <c r="W283" s="772"/>
      <c r="X283" s="772"/>
      <c r="Y283" s="772"/>
      <c r="Z283" s="772"/>
      <c r="AA283" s="772"/>
      <c r="AB283" s="772"/>
      <c r="AC283" s="772"/>
      <c r="AD283" s="772"/>
      <c r="AE283" s="772"/>
      <c r="AF283" s="772"/>
      <c r="AG283" s="772"/>
      <c r="AH283" s="772"/>
    </row>
    <row r="284" ht="15.75" customHeight="1">
      <c r="A284" s="815"/>
      <c r="B284" s="782"/>
      <c r="C284" s="782"/>
      <c r="D284" s="782"/>
      <c r="E284" s="816"/>
      <c r="F284" s="816"/>
      <c r="G284" s="817"/>
      <c r="H284" s="817"/>
      <c r="I284" s="818"/>
      <c r="J284" s="772"/>
      <c r="K284" s="772"/>
      <c r="L284" s="772"/>
      <c r="M284" s="772"/>
      <c r="N284" s="772"/>
      <c r="O284" s="772"/>
      <c r="P284" s="772"/>
      <c r="Q284" s="772"/>
      <c r="R284" s="772"/>
      <c r="S284" s="772"/>
      <c r="T284" s="772"/>
      <c r="U284" s="772"/>
      <c r="V284" s="772"/>
      <c r="W284" s="772"/>
      <c r="X284" s="772"/>
      <c r="Y284" s="772"/>
      <c r="Z284" s="772"/>
      <c r="AA284" s="772"/>
      <c r="AB284" s="772"/>
      <c r="AC284" s="772"/>
      <c r="AD284" s="772"/>
      <c r="AE284" s="772"/>
      <c r="AF284" s="772"/>
      <c r="AG284" s="772"/>
      <c r="AH284" s="772"/>
    </row>
    <row r="285" ht="15.75" customHeight="1">
      <c r="A285" s="815"/>
      <c r="B285" s="782"/>
      <c r="C285" s="782"/>
      <c r="D285" s="782"/>
      <c r="E285" s="816"/>
      <c r="F285" s="816"/>
      <c r="G285" s="817"/>
      <c r="H285" s="817"/>
      <c r="I285" s="818"/>
      <c r="J285" s="772"/>
      <c r="K285" s="772"/>
      <c r="L285" s="772"/>
      <c r="M285" s="772"/>
      <c r="N285" s="772"/>
      <c r="O285" s="772"/>
      <c r="P285" s="772"/>
      <c r="Q285" s="772"/>
      <c r="R285" s="772"/>
      <c r="S285" s="772"/>
      <c r="T285" s="772"/>
      <c r="U285" s="772"/>
      <c r="V285" s="772"/>
      <c r="W285" s="772"/>
      <c r="X285" s="772"/>
      <c r="Y285" s="772"/>
      <c r="Z285" s="772"/>
      <c r="AA285" s="772"/>
      <c r="AB285" s="772"/>
      <c r="AC285" s="772"/>
      <c r="AD285" s="772"/>
      <c r="AE285" s="772"/>
      <c r="AF285" s="772"/>
      <c r="AG285" s="772"/>
      <c r="AH285" s="772"/>
    </row>
    <row r="286" ht="15.75" customHeight="1">
      <c r="A286" s="815"/>
      <c r="B286" s="782"/>
      <c r="C286" s="782"/>
      <c r="D286" s="782"/>
      <c r="E286" s="816"/>
      <c r="F286" s="816"/>
      <c r="G286" s="817"/>
      <c r="H286" s="817"/>
      <c r="I286" s="818"/>
      <c r="J286" s="772"/>
      <c r="K286" s="772"/>
      <c r="L286" s="772"/>
      <c r="M286" s="772"/>
      <c r="N286" s="772"/>
      <c r="O286" s="772"/>
      <c r="P286" s="772"/>
      <c r="Q286" s="772"/>
      <c r="R286" s="772"/>
      <c r="S286" s="772"/>
      <c r="T286" s="772"/>
      <c r="U286" s="772"/>
      <c r="V286" s="772"/>
      <c r="W286" s="772"/>
      <c r="X286" s="772"/>
      <c r="Y286" s="772"/>
      <c r="Z286" s="772"/>
      <c r="AA286" s="772"/>
      <c r="AB286" s="772"/>
      <c r="AC286" s="772"/>
      <c r="AD286" s="772"/>
      <c r="AE286" s="772"/>
      <c r="AF286" s="772"/>
      <c r="AG286" s="772"/>
      <c r="AH286" s="772"/>
    </row>
    <row r="287" ht="15.75" customHeight="1">
      <c r="A287" s="815"/>
      <c r="B287" s="782"/>
      <c r="C287" s="782"/>
      <c r="D287" s="782"/>
      <c r="E287" s="816"/>
      <c r="F287" s="816"/>
      <c r="G287" s="817"/>
      <c r="H287" s="817"/>
      <c r="I287" s="818"/>
      <c r="J287" s="772"/>
      <c r="K287" s="772"/>
      <c r="L287" s="772"/>
      <c r="M287" s="772"/>
      <c r="N287" s="772"/>
      <c r="O287" s="772"/>
      <c r="P287" s="772"/>
      <c r="Q287" s="772"/>
      <c r="R287" s="772"/>
      <c r="S287" s="772"/>
      <c r="T287" s="772"/>
      <c r="U287" s="772"/>
      <c r="V287" s="772"/>
      <c r="W287" s="772"/>
      <c r="X287" s="772"/>
      <c r="Y287" s="772"/>
      <c r="Z287" s="772"/>
      <c r="AA287" s="772"/>
      <c r="AB287" s="772"/>
      <c r="AC287" s="772"/>
      <c r="AD287" s="772"/>
      <c r="AE287" s="772"/>
      <c r="AF287" s="772"/>
      <c r="AG287" s="772"/>
      <c r="AH287" s="772"/>
    </row>
    <row r="288" ht="15.75" customHeight="1">
      <c r="A288" s="815"/>
      <c r="B288" s="782"/>
      <c r="C288" s="782"/>
      <c r="D288" s="782"/>
      <c r="E288" s="816"/>
      <c r="F288" s="816"/>
      <c r="G288" s="817"/>
      <c r="H288" s="817"/>
      <c r="I288" s="818"/>
      <c r="J288" s="772"/>
      <c r="K288" s="772"/>
      <c r="L288" s="772"/>
      <c r="M288" s="772"/>
      <c r="N288" s="772"/>
      <c r="O288" s="772"/>
      <c r="P288" s="772"/>
      <c r="Q288" s="772"/>
      <c r="R288" s="772"/>
      <c r="S288" s="772"/>
      <c r="T288" s="772"/>
      <c r="U288" s="772"/>
      <c r="V288" s="772"/>
      <c r="W288" s="772"/>
      <c r="X288" s="772"/>
      <c r="Y288" s="772"/>
      <c r="Z288" s="772"/>
      <c r="AA288" s="772"/>
      <c r="AB288" s="772"/>
      <c r="AC288" s="772"/>
      <c r="AD288" s="772"/>
      <c r="AE288" s="772"/>
      <c r="AF288" s="772"/>
      <c r="AG288" s="772"/>
      <c r="AH288" s="772"/>
    </row>
    <row r="289" ht="15.75" customHeight="1">
      <c r="A289" s="815"/>
      <c r="B289" s="782"/>
      <c r="C289" s="782"/>
      <c r="D289" s="782"/>
      <c r="E289" s="816"/>
      <c r="F289" s="816"/>
      <c r="G289" s="817"/>
      <c r="H289" s="817"/>
      <c r="I289" s="818"/>
      <c r="J289" s="772"/>
      <c r="K289" s="772"/>
      <c r="L289" s="772"/>
      <c r="M289" s="772"/>
      <c r="N289" s="772"/>
      <c r="O289" s="772"/>
      <c r="P289" s="772"/>
      <c r="Q289" s="772"/>
      <c r="R289" s="772"/>
      <c r="S289" s="772"/>
      <c r="T289" s="772"/>
      <c r="U289" s="772"/>
      <c r="V289" s="772"/>
      <c r="W289" s="772"/>
      <c r="X289" s="772"/>
      <c r="Y289" s="772"/>
      <c r="Z289" s="772"/>
      <c r="AA289" s="772"/>
      <c r="AB289" s="772"/>
      <c r="AC289" s="772"/>
      <c r="AD289" s="772"/>
      <c r="AE289" s="772"/>
      <c r="AF289" s="772"/>
      <c r="AG289" s="772"/>
      <c r="AH289" s="772"/>
    </row>
    <row r="290" ht="15.75" customHeight="1">
      <c r="A290" s="815"/>
      <c r="B290" s="782"/>
      <c r="C290" s="782"/>
      <c r="D290" s="782"/>
      <c r="E290" s="816"/>
      <c r="F290" s="816"/>
      <c r="G290" s="817"/>
      <c r="H290" s="817"/>
      <c r="I290" s="818"/>
      <c r="J290" s="772"/>
      <c r="K290" s="772"/>
      <c r="L290" s="772"/>
      <c r="M290" s="772"/>
      <c r="N290" s="772"/>
      <c r="O290" s="772"/>
      <c r="P290" s="772"/>
      <c r="Q290" s="772"/>
      <c r="R290" s="772"/>
      <c r="S290" s="772"/>
      <c r="T290" s="772"/>
      <c r="U290" s="772"/>
      <c r="V290" s="772"/>
      <c r="W290" s="772"/>
      <c r="X290" s="772"/>
      <c r="Y290" s="772"/>
      <c r="Z290" s="772"/>
      <c r="AA290" s="772"/>
      <c r="AB290" s="772"/>
      <c r="AC290" s="772"/>
      <c r="AD290" s="772"/>
      <c r="AE290" s="772"/>
      <c r="AF290" s="772"/>
      <c r="AG290" s="772"/>
      <c r="AH290" s="772"/>
    </row>
    <row r="291" ht="15.75" customHeight="1">
      <c r="A291" s="815"/>
      <c r="B291" s="782"/>
      <c r="C291" s="782"/>
      <c r="D291" s="782"/>
      <c r="E291" s="816"/>
      <c r="F291" s="816"/>
      <c r="G291" s="817"/>
      <c r="H291" s="817"/>
      <c r="I291" s="818"/>
      <c r="J291" s="772"/>
      <c r="K291" s="772"/>
      <c r="L291" s="772"/>
      <c r="M291" s="772"/>
      <c r="N291" s="772"/>
      <c r="O291" s="772"/>
      <c r="P291" s="772"/>
      <c r="Q291" s="772"/>
      <c r="R291" s="772"/>
      <c r="S291" s="772"/>
      <c r="T291" s="772"/>
      <c r="U291" s="772"/>
      <c r="V291" s="772"/>
      <c r="W291" s="772"/>
      <c r="X291" s="772"/>
      <c r="Y291" s="772"/>
      <c r="Z291" s="772"/>
      <c r="AA291" s="772"/>
      <c r="AB291" s="772"/>
      <c r="AC291" s="772"/>
      <c r="AD291" s="772"/>
      <c r="AE291" s="772"/>
      <c r="AF291" s="772"/>
      <c r="AG291" s="772"/>
      <c r="AH291" s="772"/>
    </row>
    <row r="292" ht="15.75" customHeight="1">
      <c r="A292" s="815"/>
      <c r="B292" s="782"/>
      <c r="C292" s="782"/>
      <c r="D292" s="782"/>
      <c r="E292" s="816"/>
      <c r="F292" s="816"/>
      <c r="G292" s="817"/>
      <c r="H292" s="817"/>
      <c r="I292" s="818"/>
      <c r="J292" s="772"/>
      <c r="K292" s="772"/>
      <c r="L292" s="772"/>
      <c r="M292" s="772"/>
      <c r="N292" s="772"/>
      <c r="O292" s="772"/>
      <c r="P292" s="772"/>
      <c r="Q292" s="772"/>
      <c r="R292" s="772"/>
      <c r="S292" s="772"/>
      <c r="T292" s="772"/>
      <c r="U292" s="772"/>
      <c r="V292" s="772"/>
      <c r="W292" s="772"/>
      <c r="X292" s="772"/>
      <c r="Y292" s="772"/>
      <c r="Z292" s="772"/>
      <c r="AA292" s="772"/>
      <c r="AB292" s="772"/>
      <c r="AC292" s="772"/>
      <c r="AD292" s="772"/>
      <c r="AE292" s="772"/>
      <c r="AF292" s="772"/>
      <c r="AG292" s="772"/>
      <c r="AH292" s="772"/>
    </row>
    <row r="293" ht="15.75" customHeight="1">
      <c r="A293" s="815"/>
      <c r="B293" s="782"/>
      <c r="C293" s="782"/>
      <c r="D293" s="782"/>
      <c r="E293" s="816"/>
      <c r="F293" s="816"/>
      <c r="G293" s="817"/>
      <c r="H293" s="817"/>
      <c r="I293" s="818"/>
      <c r="J293" s="772"/>
      <c r="K293" s="772"/>
      <c r="L293" s="772"/>
      <c r="M293" s="772"/>
      <c r="N293" s="772"/>
      <c r="O293" s="772"/>
      <c r="P293" s="772"/>
      <c r="Q293" s="772"/>
      <c r="R293" s="772"/>
      <c r="S293" s="772"/>
      <c r="T293" s="772"/>
      <c r="U293" s="772"/>
      <c r="V293" s="772"/>
      <c r="W293" s="772"/>
      <c r="X293" s="772"/>
      <c r="Y293" s="772"/>
      <c r="Z293" s="772"/>
      <c r="AA293" s="772"/>
      <c r="AB293" s="772"/>
      <c r="AC293" s="772"/>
      <c r="AD293" s="772"/>
      <c r="AE293" s="772"/>
      <c r="AF293" s="772"/>
      <c r="AG293" s="772"/>
      <c r="AH293" s="772"/>
    </row>
    <row r="294" ht="15.75" customHeight="1">
      <c r="A294" s="815"/>
      <c r="B294" s="782"/>
      <c r="C294" s="782"/>
      <c r="D294" s="782"/>
      <c r="E294" s="816"/>
      <c r="F294" s="816"/>
      <c r="G294" s="817"/>
      <c r="H294" s="817"/>
      <c r="I294" s="818"/>
      <c r="J294" s="772"/>
      <c r="K294" s="772"/>
      <c r="L294" s="772"/>
      <c r="M294" s="772"/>
      <c r="N294" s="772"/>
      <c r="O294" s="772"/>
      <c r="P294" s="772"/>
      <c r="Q294" s="772"/>
      <c r="R294" s="772"/>
      <c r="S294" s="772"/>
      <c r="T294" s="772"/>
      <c r="U294" s="772"/>
      <c r="V294" s="772"/>
      <c r="W294" s="772"/>
      <c r="X294" s="772"/>
      <c r="Y294" s="772"/>
      <c r="Z294" s="772"/>
      <c r="AA294" s="772"/>
      <c r="AB294" s="772"/>
      <c r="AC294" s="772"/>
      <c r="AD294" s="772"/>
      <c r="AE294" s="772"/>
      <c r="AF294" s="772"/>
      <c r="AG294" s="772"/>
      <c r="AH294" s="772"/>
    </row>
    <row r="295" ht="15.75" customHeight="1">
      <c r="A295" s="815"/>
      <c r="B295" s="782"/>
      <c r="C295" s="782"/>
      <c r="D295" s="782"/>
      <c r="E295" s="816"/>
      <c r="F295" s="816"/>
      <c r="G295" s="817"/>
      <c r="H295" s="817"/>
      <c r="I295" s="818"/>
      <c r="J295" s="772"/>
      <c r="K295" s="772"/>
      <c r="L295" s="772"/>
      <c r="M295" s="772"/>
      <c r="N295" s="772"/>
      <c r="O295" s="772"/>
      <c r="P295" s="772"/>
      <c r="Q295" s="772"/>
      <c r="R295" s="772"/>
      <c r="S295" s="772"/>
      <c r="T295" s="772"/>
      <c r="U295" s="772"/>
      <c r="V295" s="772"/>
      <c r="W295" s="772"/>
      <c r="X295" s="772"/>
      <c r="Y295" s="772"/>
      <c r="Z295" s="772"/>
      <c r="AA295" s="772"/>
      <c r="AB295" s="772"/>
      <c r="AC295" s="772"/>
      <c r="AD295" s="772"/>
      <c r="AE295" s="772"/>
      <c r="AF295" s="772"/>
      <c r="AG295" s="772"/>
      <c r="AH295" s="772"/>
    </row>
    <row r="296" ht="15.75" customHeight="1">
      <c r="A296" s="815"/>
      <c r="B296" s="782"/>
      <c r="C296" s="782"/>
      <c r="D296" s="782"/>
      <c r="E296" s="816"/>
      <c r="F296" s="816"/>
      <c r="G296" s="817"/>
      <c r="H296" s="817"/>
      <c r="I296" s="818"/>
      <c r="J296" s="772"/>
      <c r="K296" s="772"/>
      <c r="L296" s="772"/>
      <c r="M296" s="772"/>
      <c r="N296" s="772"/>
      <c r="O296" s="772"/>
      <c r="P296" s="772"/>
      <c r="Q296" s="772"/>
      <c r="R296" s="772"/>
      <c r="S296" s="772"/>
      <c r="T296" s="772"/>
      <c r="U296" s="772"/>
      <c r="V296" s="772"/>
      <c r="W296" s="772"/>
      <c r="X296" s="772"/>
      <c r="Y296" s="772"/>
      <c r="Z296" s="772"/>
      <c r="AA296" s="772"/>
      <c r="AB296" s="772"/>
      <c r="AC296" s="772"/>
      <c r="AD296" s="772"/>
      <c r="AE296" s="772"/>
      <c r="AF296" s="772"/>
      <c r="AG296" s="772"/>
      <c r="AH296" s="772"/>
    </row>
    <row r="297" ht="15.75" customHeight="1">
      <c r="A297" s="815"/>
      <c r="B297" s="782"/>
      <c r="C297" s="782"/>
      <c r="D297" s="782"/>
      <c r="E297" s="816"/>
      <c r="F297" s="816"/>
      <c r="G297" s="817"/>
      <c r="H297" s="817"/>
      <c r="I297" s="818"/>
      <c r="J297" s="772"/>
      <c r="K297" s="772"/>
      <c r="L297" s="772"/>
      <c r="M297" s="772"/>
      <c r="N297" s="772"/>
      <c r="O297" s="772"/>
      <c r="P297" s="772"/>
      <c r="Q297" s="772"/>
      <c r="R297" s="772"/>
      <c r="S297" s="772"/>
      <c r="T297" s="772"/>
      <c r="U297" s="772"/>
      <c r="V297" s="772"/>
      <c r="W297" s="772"/>
      <c r="X297" s="772"/>
      <c r="Y297" s="772"/>
      <c r="Z297" s="772"/>
      <c r="AA297" s="772"/>
      <c r="AB297" s="772"/>
      <c r="AC297" s="772"/>
      <c r="AD297" s="772"/>
      <c r="AE297" s="772"/>
      <c r="AF297" s="772"/>
      <c r="AG297" s="772"/>
      <c r="AH297" s="772"/>
    </row>
    <row r="298" ht="15.75" customHeight="1">
      <c r="A298" s="815"/>
      <c r="B298" s="782"/>
      <c r="C298" s="782"/>
      <c r="D298" s="782"/>
      <c r="E298" s="816"/>
      <c r="F298" s="816"/>
      <c r="G298" s="817"/>
      <c r="H298" s="817"/>
      <c r="I298" s="818"/>
      <c r="J298" s="772"/>
      <c r="K298" s="772"/>
      <c r="L298" s="772"/>
      <c r="M298" s="772"/>
      <c r="N298" s="772"/>
      <c r="O298" s="772"/>
      <c r="P298" s="772"/>
      <c r="Q298" s="772"/>
      <c r="R298" s="772"/>
      <c r="S298" s="772"/>
      <c r="T298" s="772"/>
      <c r="U298" s="772"/>
      <c r="V298" s="772"/>
      <c r="W298" s="772"/>
      <c r="X298" s="772"/>
      <c r="Y298" s="772"/>
      <c r="Z298" s="772"/>
      <c r="AA298" s="772"/>
      <c r="AB298" s="772"/>
      <c r="AC298" s="772"/>
      <c r="AD298" s="772"/>
      <c r="AE298" s="772"/>
      <c r="AF298" s="772"/>
      <c r="AG298" s="772"/>
      <c r="AH298" s="772"/>
    </row>
    <row r="299" ht="15.75" customHeight="1">
      <c r="A299" s="815"/>
      <c r="B299" s="782"/>
      <c r="C299" s="782"/>
      <c r="D299" s="782"/>
      <c r="E299" s="816"/>
      <c r="F299" s="816"/>
      <c r="G299" s="817"/>
      <c r="H299" s="817"/>
      <c r="I299" s="818"/>
      <c r="J299" s="772"/>
      <c r="K299" s="772"/>
      <c r="L299" s="772"/>
      <c r="M299" s="772"/>
      <c r="N299" s="772"/>
      <c r="O299" s="772"/>
      <c r="P299" s="772"/>
      <c r="Q299" s="772"/>
      <c r="R299" s="772"/>
      <c r="S299" s="772"/>
      <c r="T299" s="772"/>
      <c r="U299" s="772"/>
      <c r="V299" s="772"/>
      <c r="W299" s="772"/>
      <c r="X299" s="772"/>
      <c r="Y299" s="772"/>
      <c r="Z299" s="772"/>
      <c r="AA299" s="772"/>
      <c r="AB299" s="772"/>
      <c r="AC299" s="772"/>
      <c r="AD299" s="772"/>
      <c r="AE299" s="772"/>
      <c r="AF299" s="772"/>
      <c r="AG299" s="772"/>
      <c r="AH299" s="772"/>
    </row>
    <row r="300" ht="15.75" customHeight="1">
      <c r="A300" s="815"/>
      <c r="B300" s="782"/>
      <c r="C300" s="782"/>
      <c r="D300" s="782"/>
      <c r="E300" s="816"/>
      <c r="F300" s="816"/>
      <c r="G300" s="817"/>
      <c r="H300" s="817"/>
      <c r="I300" s="818"/>
      <c r="J300" s="772"/>
      <c r="K300" s="772"/>
      <c r="L300" s="772"/>
      <c r="M300" s="772"/>
      <c r="N300" s="772"/>
      <c r="O300" s="772"/>
      <c r="P300" s="772"/>
      <c r="Q300" s="772"/>
      <c r="R300" s="772"/>
      <c r="S300" s="772"/>
      <c r="T300" s="772"/>
      <c r="U300" s="772"/>
      <c r="V300" s="772"/>
      <c r="W300" s="772"/>
      <c r="X300" s="772"/>
      <c r="Y300" s="772"/>
      <c r="Z300" s="772"/>
      <c r="AA300" s="772"/>
      <c r="AB300" s="772"/>
      <c r="AC300" s="772"/>
      <c r="AD300" s="772"/>
      <c r="AE300" s="772"/>
      <c r="AF300" s="772"/>
      <c r="AG300" s="772"/>
      <c r="AH300" s="772"/>
    </row>
    <row r="301" ht="15.75" customHeight="1">
      <c r="A301" s="815"/>
      <c r="B301" s="782"/>
      <c r="C301" s="782"/>
      <c r="D301" s="782"/>
      <c r="E301" s="816"/>
      <c r="F301" s="816"/>
      <c r="G301" s="817"/>
      <c r="H301" s="817"/>
      <c r="I301" s="818"/>
      <c r="J301" s="772"/>
      <c r="K301" s="772"/>
      <c r="L301" s="772"/>
      <c r="M301" s="772"/>
      <c r="N301" s="772"/>
      <c r="O301" s="772"/>
      <c r="P301" s="772"/>
      <c r="Q301" s="772"/>
      <c r="R301" s="772"/>
      <c r="S301" s="772"/>
      <c r="T301" s="772"/>
      <c r="U301" s="772"/>
      <c r="V301" s="772"/>
      <c r="W301" s="772"/>
      <c r="X301" s="772"/>
      <c r="Y301" s="772"/>
      <c r="Z301" s="772"/>
      <c r="AA301" s="772"/>
      <c r="AB301" s="772"/>
      <c r="AC301" s="772"/>
      <c r="AD301" s="772"/>
      <c r="AE301" s="772"/>
      <c r="AF301" s="772"/>
      <c r="AG301" s="772"/>
      <c r="AH301" s="772"/>
    </row>
    <row r="302" ht="15.75" customHeight="1">
      <c r="A302" s="815"/>
      <c r="B302" s="782"/>
      <c r="C302" s="782"/>
      <c r="D302" s="782"/>
      <c r="E302" s="816"/>
      <c r="F302" s="816"/>
      <c r="G302" s="817"/>
      <c r="H302" s="817"/>
      <c r="I302" s="818"/>
      <c r="J302" s="772"/>
      <c r="K302" s="772"/>
      <c r="L302" s="772"/>
      <c r="M302" s="772"/>
      <c r="N302" s="772"/>
      <c r="O302" s="772"/>
      <c r="P302" s="772"/>
      <c r="Q302" s="772"/>
      <c r="R302" s="772"/>
      <c r="S302" s="772"/>
      <c r="T302" s="772"/>
      <c r="U302" s="772"/>
      <c r="V302" s="772"/>
      <c r="W302" s="772"/>
      <c r="X302" s="772"/>
      <c r="Y302" s="772"/>
      <c r="Z302" s="772"/>
      <c r="AA302" s="772"/>
      <c r="AB302" s="772"/>
      <c r="AC302" s="772"/>
      <c r="AD302" s="772"/>
      <c r="AE302" s="772"/>
      <c r="AF302" s="772"/>
      <c r="AG302" s="772"/>
      <c r="AH302" s="772"/>
    </row>
    <row r="303" ht="15.75" customHeight="1">
      <c r="A303" s="815"/>
      <c r="B303" s="782"/>
      <c r="C303" s="782"/>
      <c r="D303" s="782"/>
      <c r="E303" s="816"/>
      <c r="F303" s="816"/>
      <c r="G303" s="817"/>
      <c r="H303" s="817"/>
      <c r="I303" s="818"/>
      <c r="J303" s="772"/>
      <c r="K303" s="772"/>
      <c r="L303" s="772"/>
      <c r="M303" s="772"/>
      <c r="N303" s="772"/>
      <c r="O303" s="772"/>
      <c r="P303" s="772"/>
      <c r="Q303" s="772"/>
      <c r="R303" s="772"/>
      <c r="S303" s="772"/>
      <c r="T303" s="772"/>
      <c r="U303" s="772"/>
      <c r="V303" s="772"/>
      <c r="W303" s="772"/>
      <c r="X303" s="772"/>
      <c r="Y303" s="772"/>
      <c r="Z303" s="772"/>
      <c r="AA303" s="772"/>
      <c r="AB303" s="772"/>
      <c r="AC303" s="772"/>
      <c r="AD303" s="772"/>
      <c r="AE303" s="772"/>
      <c r="AF303" s="772"/>
      <c r="AG303" s="772"/>
      <c r="AH303" s="772"/>
    </row>
    <row r="304" ht="15.75" customHeight="1">
      <c r="A304" s="815"/>
      <c r="B304" s="782"/>
      <c r="C304" s="782"/>
      <c r="D304" s="782"/>
      <c r="E304" s="816"/>
      <c r="F304" s="816"/>
      <c r="G304" s="817"/>
      <c r="H304" s="817"/>
      <c r="I304" s="818"/>
      <c r="J304" s="772"/>
      <c r="K304" s="772"/>
      <c r="L304" s="772"/>
      <c r="M304" s="772"/>
      <c r="N304" s="772"/>
      <c r="O304" s="772"/>
      <c r="P304" s="772"/>
      <c r="Q304" s="772"/>
      <c r="R304" s="772"/>
      <c r="S304" s="772"/>
      <c r="T304" s="772"/>
      <c r="U304" s="772"/>
      <c r="V304" s="772"/>
      <c r="W304" s="772"/>
      <c r="X304" s="772"/>
      <c r="Y304" s="772"/>
      <c r="Z304" s="772"/>
      <c r="AA304" s="772"/>
      <c r="AB304" s="772"/>
      <c r="AC304" s="772"/>
      <c r="AD304" s="772"/>
      <c r="AE304" s="772"/>
      <c r="AF304" s="772"/>
      <c r="AG304" s="772"/>
      <c r="AH304" s="772"/>
    </row>
    <row r="305" ht="15.75" customHeight="1">
      <c r="A305" s="815"/>
      <c r="B305" s="782"/>
      <c r="C305" s="782"/>
      <c r="D305" s="782"/>
      <c r="E305" s="816"/>
      <c r="F305" s="816"/>
      <c r="G305" s="817"/>
      <c r="H305" s="817"/>
      <c r="I305" s="818"/>
      <c r="J305" s="772"/>
      <c r="K305" s="772"/>
      <c r="L305" s="772"/>
      <c r="M305" s="772"/>
      <c r="N305" s="772"/>
      <c r="O305" s="772"/>
      <c r="P305" s="772"/>
      <c r="Q305" s="772"/>
      <c r="R305" s="772"/>
      <c r="S305" s="772"/>
      <c r="T305" s="772"/>
      <c r="U305" s="772"/>
      <c r="V305" s="772"/>
      <c r="W305" s="772"/>
      <c r="X305" s="772"/>
      <c r="Y305" s="772"/>
      <c r="Z305" s="772"/>
      <c r="AA305" s="772"/>
      <c r="AB305" s="772"/>
      <c r="AC305" s="772"/>
      <c r="AD305" s="772"/>
      <c r="AE305" s="772"/>
      <c r="AF305" s="772"/>
      <c r="AG305" s="772"/>
      <c r="AH305" s="772"/>
    </row>
    <row r="306" ht="15.75" customHeight="1">
      <c r="A306" s="815"/>
      <c r="B306" s="782"/>
      <c r="C306" s="782"/>
      <c r="D306" s="782"/>
      <c r="E306" s="816"/>
      <c r="F306" s="816"/>
      <c r="G306" s="817"/>
      <c r="H306" s="817"/>
      <c r="I306" s="818"/>
      <c r="J306" s="772"/>
      <c r="K306" s="772"/>
      <c r="L306" s="772"/>
      <c r="M306" s="772"/>
      <c r="N306" s="772"/>
      <c r="O306" s="772"/>
      <c r="P306" s="772"/>
      <c r="Q306" s="772"/>
      <c r="R306" s="772"/>
      <c r="S306" s="772"/>
      <c r="T306" s="772"/>
      <c r="U306" s="772"/>
      <c r="V306" s="772"/>
      <c r="W306" s="772"/>
      <c r="X306" s="772"/>
      <c r="Y306" s="772"/>
      <c r="Z306" s="772"/>
      <c r="AA306" s="772"/>
      <c r="AB306" s="772"/>
      <c r="AC306" s="772"/>
      <c r="AD306" s="772"/>
      <c r="AE306" s="772"/>
      <c r="AF306" s="772"/>
      <c r="AG306" s="772"/>
      <c r="AH306" s="772"/>
    </row>
    <row r="307" ht="15.75" customHeight="1">
      <c r="A307" s="815"/>
      <c r="B307" s="782"/>
      <c r="C307" s="782"/>
      <c r="D307" s="782"/>
      <c r="E307" s="816"/>
      <c r="F307" s="816"/>
      <c r="G307" s="817"/>
      <c r="H307" s="817"/>
      <c r="I307" s="818"/>
      <c r="J307" s="772"/>
      <c r="K307" s="772"/>
      <c r="L307" s="772"/>
      <c r="M307" s="772"/>
      <c r="N307" s="772"/>
      <c r="O307" s="772"/>
      <c r="P307" s="772"/>
      <c r="Q307" s="772"/>
      <c r="R307" s="772"/>
      <c r="S307" s="772"/>
      <c r="T307" s="772"/>
      <c r="U307" s="772"/>
      <c r="V307" s="772"/>
      <c r="W307" s="772"/>
      <c r="X307" s="772"/>
      <c r="Y307" s="772"/>
      <c r="Z307" s="772"/>
      <c r="AA307" s="772"/>
      <c r="AB307" s="772"/>
      <c r="AC307" s="772"/>
      <c r="AD307" s="772"/>
      <c r="AE307" s="772"/>
      <c r="AF307" s="772"/>
      <c r="AG307" s="772"/>
      <c r="AH307" s="772"/>
    </row>
    <row r="308" ht="15.75" customHeight="1">
      <c r="A308" s="815"/>
      <c r="B308" s="782"/>
      <c r="C308" s="782"/>
      <c r="D308" s="782"/>
      <c r="E308" s="816"/>
      <c r="F308" s="816"/>
      <c r="G308" s="817"/>
      <c r="H308" s="817"/>
      <c r="I308" s="818"/>
      <c r="J308" s="772"/>
      <c r="K308" s="772"/>
      <c r="L308" s="772"/>
      <c r="M308" s="772"/>
      <c r="N308" s="772"/>
      <c r="O308" s="772"/>
      <c r="P308" s="772"/>
      <c r="Q308" s="772"/>
      <c r="R308" s="772"/>
      <c r="S308" s="772"/>
      <c r="T308" s="772"/>
      <c r="U308" s="772"/>
      <c r="V308" s="772"/>
      <c r="W308" s="772"/>
      <c r="X308" s="772"/>
      <c r="Y308" s="772"/>
      <c r="Z308" s="772"/>
      <c r="AA308" s="772"/>
      <c r="AB308" s="772"/>
      <c r="AC308" s="772"/>
      <c r="AD308" s="772"/>
      <c r="AE308" s="772"/>
      <c r="AF308" s="772"/>
      <c r="AG308" s="772"/>
      <c r="AH308" s="772"/>
    </row>
    <row r="309" ht="15.75" customHeight="1">
      <c r="A309" s="815"/>
      <c r="B309" s="782"/>
      <c r="C309" s="782"/>
      <c r="D309" s="782"/>
      <c r="E309" s="816"/>
      <c r="F309" s="816"/>
      <c r="G309" s="817"/>
      <c r="H309" s="817"/>
      <c r="I309" s="818"/>
      <c r="J309" s="772"/>
      <c r="K309" s="772"/>
      <c r="L309" s="772"/>
      <c r="M309" s="772"/>
      <c r="N309" s="772"/>
      <c r="O309" s="772"/>
      <c r="P309" s="772"/>
      <c r="Q309" s="772"/>
      <c r="R309" s="772"/>
      <c r="S309" s="772"/>
      <c r="T309" s="772"/>
      <c r="U309" s="772"/>
      <c r="V309" s="772"/>
      <c r="W309" s="772"/>
      <c r="X309" s="772"/>
      <c r="Y309" s="772"/>
      <c r="Z309" s="772"/>
      <c r="AA309" s="772"/>
      <c r="AB309" s="772"/>
      <c r="AC309" s="772"/>
      <c r="AD309" s="772"/>
      <c r="AE309" s="772"/>
      <c r="AF309" s="772"/>
      <c r="AG309" s="772"/>
      <c r="AH309" s="772"/>
    </row>
    <row r="310" ht="15.75" customHeight="1">
      <c r="A310" s="815"/>
      <c r="B310" s="782"/>
      <c r="C310" s="782"/>
      <c r="D310" s="782"/>
      <c r="E310" s="816"/>
      <c r="F310" s="816"/>
      <c r="G310" s="817"/>
      <c r="H310" s="817"/>
      <c r="I310" s="818"/>
      <c r="J310" s="772"/>
      <c r="K310" s="772"/>
      <c r="L310" s="772"/>
      <c r="M310" s="772"/>
      <c r="N310" s="772"/>
      <c r="O310" s="772"/>
      <c r="P310" s="772"/>
      <c r="Q310" s="772"/>
      <c r="R310" s="772"/>
      <c r="S310" s="772"/>
      <c r="T310" s="772"/>
      <c r="U310" s="772"/>
      <c r="V310" s="772"/>
      <c r="W310" s="772"/>
      <c r="X310" s="772"/>
      <c r="Y310" s="772"/>
      <c r="Z310" s="772"/>
      <c r="AA310" s="772"/>
      <c r="AB310" s="772"/>
      <c r="AC310" s="772"/>
      <c r="AD310" s="772"/>
      <c r="AE310" s="772"/>
      <c r="AF310" s="772"/>
      <c r="AG310" s="772"/>
      <c r="AH310" s="772"/>
    </row>
    <row r="311" ht="15.75" customHeight="1">
      <c r="A311" s="815"/>
      <c r="B311" s="782"/>
      <c r="C311" s="782"/>
      <c r="D311" s="782"/>
      <c r="E311" s="816"/>
      <c r="F311" s="816"/>
      <c r="G311" s="817"/>
      <c r="H311" s="817"/>
      <c r="I311" s="818"/>
      <c r="J311" s="772"/>
      <c r="K311" s="772"/>
      <c r="L311" s="772"/>
      <c r="M311" s="772"/>
      <c r="N311" s="772"/>
      <c r="O311" s="772"/>
      <c r="P311" s="772"/>
      <c r="Q311" s="772"/>
      <c r="R311" s="772"/>
      <c r="S311" s="772"/>
      <c r="T311" s="772"/>
      <c r="U311" s="772"/>
      <c r="V311" s="772"/>
      <c r="W311" s="772"/>
      <c r="X311" s="772"/>
      <c r="Y311" s="772"/>
      <c r="Z311" s="772"/>
      <c r="AA311" s="772"/>
      <c r="AB311" s="772"/>
      <c r="AC311" s="772"/>
      <c r="AD311" s="772"/>
      <c r="AE311" s="772"/>
      <c r="AF311" s="772"/>
      <c r="AG311" s="772"/>
      <c r="AH311" s="772"/>
    </row>
    <row r="312" ht="15.75" customHeight="1">
      <c r="A312" s="815"/>
      <c r="B312" s="782"/>
      <c r="C312" s="782"/>
      <c r="D312" s="782"/>
      <c r="E312" s="816"/>
      <c r="F312" s="816"/>
      <c r="G312" s="817"/>
      <c r="H312" s="817"/>
      <c r="I312" s="818"/>
      <c r="J312" s="772"/>
      <c r="K312" s="772"/>
      <c r="L312" s="772"/>
      <c r="M312" s="772"/>
      <c r="N312" s="772"/>
      <c r="O312" s="772"/>
      <c r="P312" s="772"/>
      <c r="Q312" s="772"/>
      <c r="R312" s="772"/>
      <c r="S312" s="772"/>
      <c r="T312" s="772"/>
      <c r="U312" s="772"/>
      <c r="V312" s="772"/>
      <c r="W312" s="772"/>
      <c r="X312" s="772"/>
      <c r="Y312" s="772"/>
      <c r="Z312" s="772"/>
      <c r="AA312" s="772"/>
      <c r="AB312" s="772"/>
      <c r="AC312" s="772"/>
      <c r="AD312" s="772"/>
      <c r="AE312" s="772"/>
      <c r="AF312" s="772"/>
      <c r="AG312" s="772"/>
      <c r="AH312" s="772"/>
    </row>
    <row r="313" ht="15.75" customHeight="1">
      <c r="A313" s="815"/>
      <c r="B313" s="782"/>
      <c r="C313" s="782"/>
      <c r="D313" s="782"/>
      <c r="E313" s="816"/>
      <c r="F313" s="816"/>
      <c r="G313" s="817"/>
      <c r="H313" s="817"/>
      <c r="I313" s="818"/>
      <c r="J313" s="772"/>
      <c r="K313" s="772"/>
      <c r="L313" s="772"/>
      <c r="M313" s="772"/>
      <c r="N313" s="772"/>
      <c r="O313" s="772"/>
      <c r="P313" s="772"/>
      <c r="Q313" s="772"/>
      <c r="R313" s="772"/>
      <c r="S313" s="772"/>
      <c r="T313" s="772"/>
      <c r="U313" s="772"/>
      <c r="V313" s="772"/>
      <c r="W313" s="772"/>
      <c r="X313" s="772"/>
      <c r="Y313" s="772"/>
      <c r="Z313" s="772"/>
      <c r="AA313" s="772"/>
      <c r="AB313" s="772"/>
      <c r="AC313" s="772"/>
      <c r="AD313" s="772"/>
      <c r="AE313" s="772"/>
      <c r="AF313" s="772"/>
      <c r="AG313" s="772"/>
      <c r="AH313" s="772"/>
    </row>
    <row r="314" ht="15.75" customHeight="1">
      <c r="A314" s="815"/>
      <c r="B314" s="782"/>
      <c r="C314" s="782"/>
      <c r="D314" s="782"/>
      <c r="E314" s="816"/>
      <c r="F314" s="816"/>
      <c r="G314" s="817"/>
      <c r="H314" s="817"/>
      <c r="I314" s="818"/>
      <c r="J314" s="772"/>
      <c r="K314" s="772"/>
      <c r="L314" s="772"/>
      <c r="M314" s="772"/>
      <c r="N314" s="772"/>
      <c r="O314" s="772"/>
      <c r="P314" s="772"/>
      <c r="Q314" s="772"/>
      <c r="R314" s="772"/>
      <c r="S314" s="772"/>
      <c r="T314" s="772"/>
      <c r="U314" s="772"/>
      <c r="V314" s="772"/>
      <c r="W314" s="772"/>
      <c r="X314" s="772"/>
      <c r="Y314" s="772"/>
      <c r="Z314" s="772"/>
      <c r="AA314" s="772"/>
      <c r="AB314" s="772"/>
      <c r="AC314" s="772"/>
      <c r="AD314" s="772"/>
      <c r="AE314" s="772"/>
      <c r="AF314" s="772"/>
      <c r="AG314" s="772"/>
      <c r="AH314" s="772"/>
    </row>
    <row r="315" ht="15.75" customHeight="1">
      <c r="A315" s="815"/>
      <c r="B315" s="782"/>
      <c r="C315" s="782"/>
      <c r="D315" s="782"/>
      <c r="E315" s="816"/>
      <c r="F315" s="816"/>
      <c r="G315" s="817"/>
      <c r="H315" s="817"/>
      <c r="I315" s="818"/>
      <c r="J315" s="772"/>
      <c r="K315" s="772"/>
      <c r="L315" s="772"/>
      <c r="M315" s="772"/>
      <c r="N315" s="772"/>
      <c r="O315" s="772"/>
      <c r="P315" s="772"/>
      <c r="Q315" s="772"/>
      <c r="R315" s="772"/>
      <c r="S315" s="772"/>
      <c r="T315" s="772"/>
      <c r="U315" s="772"/>
      <c r="V315" s="772"/>
      <c r="W315" s="772"/>
      <c r="X315" s="772"/>
      <c r="Y315" s="772"/>
      <c r="Z315" s="772"/>
      <c r="AA315" s="772"/>
      <c r="AB315" s="772"/>
      <c r="AC315" s="772"/>
      <c r="AD315" s="772"/>
      <c r="AE315" s="772"/>
      <c r="AF315" s="772"/>
      <c r="AG315" s="772"/>
      <c r="AH315" s="772"/>
    </row>
    <row r="316" ht="15.75" customHeight="1">
      <c r="A316" s="815"/>
      <c r="B316" s="782"/>
      <c r="C316" s="782"/>
      <c r="D316" s="782"/>
      <c r="E316" s="816"/>
      <c r="F316" s="816"/>
      <c r="G316" s="817"/>
      <c r="H316" s="817"/>
      <c r="I316" s="818"/>
      <c r="J316" s="772"/>
      <c r="K316" s="772"/>
      <c r="L316" s="772"/>
      <c r="M316" s="772"/>
      <c r="N316" s="772"/>
      <c r="O316" s="772"/>
      <c r="P316" s="772"/>
      <c r="Q316" s="772"/>
      <c r="R316" s="772"/>
      <c r="S316" s="772"/>
      <c r="T316" s="772"/>
      <c r="U316" s="772"/>
      <c r="V316" s="772"/>
      <c r="W316" s="772"/>
      <c r="X316" s="772"/>
      <c r="Y316" s="772"/>
      <c r="Z316" s="772"/>
      <c r="AA316" s="772"/>
      <c r="AB316" s="772"/>
      <c r="AC316" s="772"/>
      <c r="AD316" s="772"/>
      <c r="AE316" s="772"/>
      <c r="AF316" s="772"/>
      <c r="AG316" s="772"/>
      <c r="AH316" s="772"/>
    </row>
    <row r="317" ht="15.75" customHeight="1">
      <c r="A317" s="815"/>
      <c r="B317" s="782"/>
      <c r="C317" s="782"/>
      <c r="D317" s="782"/>
      <c r="E317" s="816"/>
      <c r="F317" s="816"/>
      <c r="G317" s="817"/>
      <c r="H317" s="817"/>
      <c r="I317" s="818"/>
      <c r="J317" s="772"/>
      <c r="K317" s="772"/>
      <c r="L317" s="772"/>
      <c r="M317" s="772"/>
      <c r="N317" s="772"/>
      <c r="O317" s="772"/>
      <c r="P317" s="772"/>
      <c r="Q317" s="772"/>
      <c r="R317" s="772"/>
      <c r="S317" s="772"/>
      <c r="T317" s="772"/>
      <c r="U317" s="772"/>
      <c r="V317" s="772"/>
      <c r="W317" s="772"/>
      <c r="X317" s="772"/>
      <c r="Y317" s="772"/>
      <c r="Z317" s="772"/>
      <c r="AA317" s="772"/>
      <c r="AB317" s="772"/>
      <c r="AC317" s="772"/>
      <c r="AD317" s="772"/>
      <c r="AE317" s="772"/>
      <c r="AF317" s="772"/>
      <c r="AG317" s="772"/>
      <c r="AH317" s="772"/>
    </row>
    <row r="318" ht="15.75" customHeight="1">
      <c r="A318" s="815"/>
      <c r="B318" s="782"/>
      <c r="C318" s="782"/>
      <c r="D318" s="782"/>
      <c r="E318" s="816"/>
      <c r="F318" s="816"/>
      <c r="G318" s="817"/>
      <c r="H318" s="817"/>
      <c r="I318" s="818"/>
      <c r="J318" s="772"/>
      <c r="K318" s="772"/>
      <c r="L318" s="772"/>
      <c r="M318" s="772"/>
      <c r="N318" s="772"/>
      <c r="O318" s="772"/>
      <c r="P318" s="772"/>
      <c r="Q318" s="772"/>
      <c r="R318" s="772"/>
      <c r="S318" s="772"/>
      <c r="T318" s="772"/>
      <c r="U318" s="772"/>
      <c r="V318" s="772"/>
      <c r="W318" s="772"/>
      <c r="X318" s="772"/>
      <c r="Y318" s="772"/>
      <c r="Z318" s="772"/>
      <c r="AA318" s="772"/>
      <c r="AB318" s="772"/>
      <c r="AC318" s="772"/>
      <c r="AD318" s="772"/>
      <c r="AE318" s="772"/>
      <c r="AF318" s="772"/>
      <c r="AG318" s="772"/>
      <c r="AH318" s="772"/>
    </row>
    <row r="319" ht="15.75" customHeight="1">
      <c r="A319" s="815"/>
      <c r="B319" s="782"/>
      <c r="C319" s="782"/>
      <c r="D319" s="782"/>
      <c r="E319" s="816"/>
      <c r="F319" s="816"/>
      <c r="G319" s="817"/>
      <c r="H319" s="817"/>
      <c r="I319" s="818"/>
      <c r="J319" s="772"/>
      <c r="K319" s="772"/>
      <c r="L319" s="772"/>
      <c r="M319" s="772"/>
      <c r="N319" s="772"/>
      <c r="O319" s="772"/>
      <c r="P319" s="772"/>
      <c r="Q319" s="772"/>
      <c r="R319" s="772"/>
      <c r="S319" s="772"/>
      <c r="T319" s="772"/>
      <c r="U319" s="772"/>
      <c r="V319" s="772"/>
      <c r="W319" s="772"/>
      <c r="X319" s="772"/>
      <c r="Y319" s="772"/>
      <c r="Z319" s="772"/>
      <c r="AA319" s="772"/>
      <c r="AB319" s="772"/>
      <c r="AC319" s="772"/>
      <c r="AD319" s="772"/>
      <c r="AE319" s="772"/>
      <c r="AF319" s="772"/>
      <c r="AG319" s="772"/>
      <c r="AH319" s="772"/>
    </row>
    <row r="320" ht="15.75" customHeight="1">
      <c r="A320" s="815"/>
      <c r="B320" s="782"/>
      <c r="C320" s="782"/>
      <c r="D320" s="782"/>
      <c r="E320" s="816"/>
      <c r="F320" s="816"/>
      <c r="G320" s="817"/>
      <c r="H320" s="817"/>
      <c r="I320" s="818"/>
      <c r="J320" s="772"/>
      <c r="K320" s="772"/>
      <c r="L320" s="772"/>
      <c r="M320" s="772"/>
      <c r="N320" s="772"/>
      <c r="O320" s="772"/>
      <c r="P320" s="772"/>
      <c r="Q320" s="772"/>
      <c r="R320" s="772"/>
      <c r="S320" s="772"/>
      <c r="T320" s="772"/>
      <c r="U320" s="772"/>
      <c r="V320" s="772"/>
      <c r="W320" s="772"/>
      <c r="X320" s="772"/>
      <c r="Y320" s="772"/>
      <c r="Z320" s="772"/>
      <c r="AA320" s="772"/>
      <c r="AB320" s="772"/>
      <c r="AC320" s="772"/>
      <c r="AD320" s="772"/>
      <c r="AE320" s="772"/>
      <c r="AF320" s="772"/>
      <c r="AG320" s="772"/>
      <c r="AH320" s="772"/>
    </row>
    <row r="321" ht="15.75" customHeight="1">
      <c r="A321" s="815"/>
      <c r="B321" s="782"/>
      <c r="C321" s="782"/>
      <c r="D321" s="782"/>
      <c r="E321" s="816"/>
      <c r="F321" s="816"/>
      <c r="G321" s="817"/>
      <c r="H321" s="817"/>
      <c r="I321" s="818"/>
      <c r="J321" s="772"/>
      <c r="K321" s="772"/>
      <c r="L321" s="772"/>
      <c r="M321" s="772"/>
      <c r="N321" s="772"/>
      <c r="O321" s="772"/>
      <c r="P321" s="772"/>
      <c r="Q321" s="772"/>
      <c r="R321" s="772"/>
      <c r="S321" s="772"/>
      <c r="T321" s="772"/>
      <c r="U321" s="772"/>
      <c r="V321" s="772"/>
      <c r="W321" s="772"/>
      <c r="X321" s="772"/>
      <c r="Y321" s="772"/>
      <c r="Z321" s="772"/>
      <c r="AA321" s="772"/>
      <c r="AB321" s="772"/>
      <c r="AC321" s="772"/>
      <c r="AD321" s="772"/>
      <c r="AE321" s="772"/>
      <c r="AF321" s="772"/>
      <c r="AG321" s="772"/>
      <c r="AH321" s="772"/>
    </row>
    <row r="322" ht="15.75" customHeight="1">
      <c r="A322" s="815"/>
      <c r="B322" s="782"/>
      <c r="C322" s="782"/>
      <c r="D322" s="782"/>
      <c r="E322" s="816"/>
      <c r="F322" s="816"/>
      <c r="G322" s="817"/>
      <c r="H322" s="817"/>
      <c r="I322" s="818"/>
      <c r="J322" s="772"/>
      <c r="K322" s="772"/>
      <c r="L322" s="772"/>
      <c r="M322" s="772"/>
      <c r="N322" s="772"/>
      <c r="O322" s="772"/>
      <c r="P322" s="772"/>
      <c r="Q322" s="772"/>
      <c r="R322" s="772"/>
      <c r="S322" s="772"/>
      <c r="T322" s="772"/>
      <c r="U322" s="772"/>
      <c r="V322" s="772"/>
      <c r="W322" s="772"/>
      <c r="X322" s="772"/>
      <c r="Y322" s="772"/>
      <c r="Z322" s="772"/>
      <c r="AA322" s="772"/>
      <c r="AB322" s="772"/>
      <c r="AC322" s="772"/>
      <c r="AD322" s="772"/>
      <c r="AE322" s="772"/>
      <c r="AF322" s="772"/>
      <c r="AG322" s="772"/>
      <c r="AH322" s="772"/>
    </row>
    <row r="323" ht="15.75" customHeight="1">
      <c r="A323" s="815"/>
      <c r="B323" s="782"/>
      <c r="C323" s="782"/>
      <c r="D323" s="782"/>
      <c r="E323" s="816"/>
      <c r="F323" s="816"/>
      <c r="G323" s="817"/>
      <c r="H323" s="817"/>
      <c r="I323" s="818"/>
      <c r="J323" s="772"/>
      <c r="K323" s="772"/>
      <c r="L323" s="772"/>
      <c r="M323" s="772"/>
      <c r="N323" s="772"/>
      <c r="O323" s="772"/>
      <c r="P323" s="772"/>
      <c r="Q323" s="772"/>
      <c r="R323" s="772"/>
      <c r="S323" s="772"/>
      <c r="T323" s="772"/>
      <c r="U323" s="772"/>
      <c r="V323" s="772"/>
      <c r="W323" s="772"/>
      <c r="X323" s="772"/>
      <c r="Y323" s="772"/>
      <c r="Z323" s="772"/>
      <c r="AA323" s="772"/>
      <c r="AB323" s="772"/>
      <c r="AC323" s="772"/>
      <c r="AD323" s="772"/>
      <c r="AE323" s="772"/>
      <c r="AF323" s="772"/>
      <c r="AG323" s="772"/>
      <c r="AH323" s="772"/>
    </row>
    <row r="324" ht="15.75" customHeight="1">
      <c r="A324" s="815"/>
      <c r="B324" s="782"/>
      <c r="C324" s="782"/>
      <c r="D324" s="782"/>
      <c r="E324" s="816"/>
      <c r="F324" s="816"/>
      <c r="G324" s="817"/>
      <c r="H324" s="817"/>
      <c r="I324" s="818"/>
      <c r="J324" s="772"/>
      <c r="K324" s="772"/>
      <c r="L324" s="772"/>
      <c r="M324" s="772"/>
      <c r="N324" s="772"/>
      <c r="O324" s="772"/>
      <c r="P324" s="772"/>
      <c r="Q324" s="772"/>
      <c r="R324" s="772"/>
      <c r="S324" s="772"/>
      <c r="T324" s="772"/>
      <c r="U324" s="772"/>
      <c r="V324" s="772"/>
      <c r="W324" s="772"/>
      <c r="X324" s="772"/>
      <c r="Y324" s="772"/>
      <c r="Z324" s="772"/>
      <c r="AA324" s="772"/>
      <c r="AB324" s="772"/>
      <c r="AC324" s="772"/>
      <c r="AD324" s="772"/>
      <c r="AE324" s="772"/>
      <c r="AF324" s="772"/>
      <c r="AG324" s="772"/>
      <c r="AH324" s="772"/>
    </row>
    <row r="325" ht="15.75" customHeight="1">
      <c r="A325" s="815"/>
      <c r="B325" s="782"/>
      <c r="C325" s="782"/>
      <c r="D325" s="782"/>
      <c r="E325" s="816"/>
      <c r="F325" s="816"/>
      <c r="G325" s="817"/>
      <c r="H325" s="817"/>
      <c r="I325" s="818"/>
      <c r="J325" s="772"/>
      <c r="K325" s="772"/>
      <c r="L325" s="772"/>
      <c r="M325" s="772"/>
      <c r="N325" s="772"/>
      <c r="O325" s="772"/>
      <c r="P325" s="772"/>
      <c r="Q325" s="772"/>
      <c r="R325" s="772"/>
      <c r="S325" s="772"/>
      <c r="T325" s="772"/>
      <c r="U325" s="772"/>
      <c r="V325" s="772"/>
      <c r="W325" s="772"/>
      <c r="X325" s="772"/>
      <c r="Y325" s="772"/>
      <c r="Z325" s="772"/>
      <c r="AA325" s="772"/>
      <c r="AB325" s="772"/>
      <c r="AC325" s="772"/>
      <c r="AD325" s="772"/>
      <c r="AE325" s="772"/>
      <c r="AF325" s="772"/>
      <c r="AG325" s="772"/>
      <c r="AH325" s="772"/>
    </row>
    <row r="326" ht="15.75" customHeight="1">
      <c r="A326" s="815"/>
      <c r="B326" s="782"/>
      <c r="C326" s="782"/>
      <c r="D326" s="782"/>
      <c r="E326" s="816"/>
      <c r="F326" s="816"/>
      <c r="G326" s="817"/>
      <c r="H326" s="817"/>
      <c r="I326" s="818"/>
      <c r="J326" s="772"/>
      <c r="K326" s="772"/>
      <c r="L326" s="772"/>
      <c r="M326" s="772"/>
      <c r="N326" s="772"/>
      <c r="O326" s="772"/>
      <c r="P326" s="772"/>
      <c r="Q326" s="772"/>
      <c r="R326" s="772"/>
      <c r="S326" s="772"/>
      <c r="T326" s="772"/>
      <c r="U326" s="772"/>
      <c r="V326" s="772"/>
      <c r="W326" s="772"/>
      <c r="X326" s="772"/>
      <c r="Y326" s="772"/>
      <c r="Z326" s="772"/>
      <c r="AA326" s="772"/>
      <c r="AB326" s="772"/>
      <c r="AC326" s="772"/>
      <c r="AD326" s="772"/>
      <c r="AE326" s="772"/>
      <c r="AF326" s="772"/>
      <c r="AG326" s="772"/>
      <c r="AH326" s="772"/>
    </row>
    <row r="327" ht="15.75" customHeight="1">
      <c r="A327" s="815"/>
      <c r="B327" s="782"/>
      <c r="C327" s="782"/>
      <c r="D327" s="782"/>
      <c r="E327" s="816"/>
      <c r="F327" s="816"/>
      <c r="G327" s="817"/>
      <c r="H327" s="817"/>
      <c r="I327" s="818"/>
      <c r="J327" s="772"/>
      <c r="K327" s="772"/>
      <c r="L327" s="772"/>
      <c r="M327" s="772"/>
      <c r="N327" s="772"/>
      <c r="O327" s="772"/>
      <c r="P327" s="772"/>
      <c r="Q327" s="772"/>
      <c r="R327" s="772"/>
      <c r="S327" s="772"/>
      <c r="T327" s="772"/>
      <c r="U327" s="772"/>
      <c r="V327" s="772"/>
      <c r="W327" s="772"/>
      <c r="X327" s="772"/>
      <c r="Y327" s="772"/>
      <c r="Z327" s="772"/>
      <c r="AA327" s="772"/>
      <c r="AB327" s="772"/>
      <c r="AC327" s="772"/>
      <c r="AD327" s="772"/>
      <c r="AE327" s="772"/>
      <c r="AF327" s="772"/>
      <c r="AG327" s="772"/>
      <c r="AH327" s="772"/>
    </row>
    <row r="328" ht="15.75" customHeight="1">
      <c r="A328" s="815"/>
      <c r="B328" s="782"/>
      <c r="C328" s="782"/>
      <c r="D328" s="782"/>
      <c r="E328" s="816"/>
      <c r="F328" s="816"/>
      <c r="G328" s="817"/>
      <c r="H328" s="817"/>
      <c r="I328" s="818"/>
      <c r="J328" s="772"/>
      <c r="K328" s="772"/>
      <c r="L328" s="772"/>
      <c r="M328" s="772"/>
      <c r="N328" s="772"/>
      <c r="O328" s="772"/>
      <c r="P328" s="772"/>
      <c r="Q328" s="772"/>
      <c r="R328" s="772"/>
      <c r="S328" s="772"/>
      <c r="T328" s="772"/>
      <c r="U328" s="772"/>
      <c r="V328" s="772"/>
      <c r="W328" s="772"/>
      <c r="X328" s="772"/>
      <c r="Y328" s="772"/>
      <c r="Z328" s="772"/>
      <c r="AA328" s="772"/>
      <c r="AB328" s="772"/>
      <c r="AC328" s="772"/>
      <c r="AD328" s="772"/>
      <c r="AE328" s="772"/>
      <c r="AF328" s="772"/>
      <c r="AG328" s="772"/>
      <c r="AH328" s="772"/>
    </row>
    <row r="329" ht="15.75" customHeight="1">
      <c r="A329" s="815"/>
      <c r="B329" s="782"/>
      <c r="C329" s="782"/>
      <c r="D329" s="782"/>
      <c r="E329" s="816"/>
      <c r="F329" s="816"/>
      <c r="G329" s="817"/>
      <c r="H329" s="817"/>
      <c r="I329" s="818"/>
      <c r="J329" s="772"/>
      <c r="K329" s="772"/>
      <c r="L329" s="772"/>
      <c r="M329" s="772"/>
      <c r="N329" s="772"/>
      <c r="O329" s="772"/>
      <c r="P329" s="772"/>
      <c r="Q329" s="772"/>
      <c r="R329" s="772"/>
      <c r="S329" s="772"/>
      <c r="T329" s="772"/>
      <c r="U329" s="772"/>
      <c r="V329" s="772"/>
      <c r="W329" s="772"/>
      <c r="X329" s="772"/>
      <c r="Y329" s="772"/>
      <c r="Z329" s="772"/>
      <c r="AA329" s="772"/>
      <c r="AB329" s="772"/>
      <c r="AC329" s="772"/>
      <c r="AD329" s="772"/>
      <c r="AE329" s="772"/>
      <c r="AF329" s="772"/>
      <c r="AG329" s="772"/>
      <c r="AH329" s="772"/>
    </row>
    <row r="330" ht="15.75" customHeight="1">
      <c r="A330" s="815"/>
      <c r="B330" s="782"/>
      <c r="C330" s="782"/>
      <c r="D330" s="782"/>
      <c r="E330" s="816"/>
      <c r="F330" s="816"/>
      <c r="G330" s="817"/>
      <c r="H330" s="817"/>
      <c r="I330" s="818"/>
      <c r="J330" s="772"/>
      <c r="K330" s="772"/>
      <c r="L330" s="772"/>
      <c r="M330" s="772"/>
      <c r="N330" s="772"/>
      <c r="O330" s="772"/>
      <c r="P330" s="772"/>
      <c r="Q330" s="772"/>
      <c r="R330" s="772"/>
      <c r="S330" s="772"/>
      <c r="T330" s="772"/>
      <c r="U330" s="772"/>
      <c r="V330" s="772"/>
      <c r="W330" s="772"/>
      <c r="X330" s="772"/>
      <c r="Y330" s="772"/>
      <c r="Z330" s="772"/>
      <c r="AA330" s="772"/>
      <c r="AB330" s="772"/>
      <c r="AC330" s="772"/>
      <c r="AD330" s="772"/>
      <c r="AE330" s="772"/>
      <c r="AF330" s="772"/>
      <c r="AG330" s="772"/>
      <c r="AH330" s="772"/>
    </row>
    <row r="331" ht="15.75" customHeight="1">
      <c r="A331" s="815"/>
      <c r="B331" s="782"/>
      <c r="C331" s="782"/>
      <c r="D331" s="782"/>
      <c r="E331" s="816"/>
      <c r="F331" s="816"/>
      <c r="G331" s="817"/>
      <c r="H331" s="817"/>
      <c r="I331" s="818"/>
      <c r="J331" s="772"/>
      <c r="K331" s="772"/>
      <c r="L331" s="772"/>
      <c r="M331" s="772"/>
      <c r="N331" s="772"/>
      <c r="O331" s="772"/>
      <c r="P331" s="772"/>
      <c r="Q331" s="772"/>
      <c r="R331" s="772"/>
      <c r="S331" s="772"/>
      <c r="T331" s="772"/>
      <c r="U331" s="772"/>
      <c r="V331" s="772"/>
      <c r="W331" s="772"/>
      <c r="X331" s="772"/>
      <c r="Y331" s="772"/>
      <c r="Z331" s="772"/>
      <c r="AA331" s="772"/>
      <c r="AB331" s="772"/>
      <c r="AC331" s="772"/>
      <c r="AD331" s="772"/>
      <c r="AE331" s="772"/>
      <c r="AF331" s="772"/>
      <c r="AG331" s="772"/>
      <c r="AH331" s="772"/>
    </row>
    <row r="332" ht="15.75" customHeight="1">
      <c r="A332" s="815"/>
      <c r="B332" s="782"/>
      <c r="C332" s="782"/>
      <c r="D332" s="782"/>
      <c r="E332" s="816"/>
      <c r="F332" s="816"/>
      <c r="G332" s="817"/>
      <c r="H332" s="817"/>
      <c r="I332" s="818"/>
      <c r="J332" s="772"/>
      <c r="K332" s="772"/>
      <c r="L332" s="772"/>
      <c r="M332" s="772"/>
      <c r="N332" s="772"/>
      <c r="O332" s="772"/>
      <c r="P332" s="772"/>
      <c r="Q332" s="772"/>
      <c r="R332" s="772"/>
      <c r="S332" s="772"/>
      <c r="T332" s="772"/>
      <c r="U332" s="772"/>
      <c r="V332" s="772"/>
      <c r="W332" s="772"/>
      <c r="X332" s="772"/>
      <c r="Y332" s="772"/>
      <c r="Z332" s="772"/>
      <c r="AA332" s="772"/>
      <c r="AB332" s="772"/>
      <c r="AC332" s="772"/>
      <c r="AD332" s="772"/>
      <c r="AE332" s="772"/>
      <c r="AF332" s="772"/>
      <c r="AG332" s="772"/>
      <c r="AH332" s="772"/>
    </row>
    <row r="333" ht="15.75" customHeight="1">
      <c r="A333" s="815"/>
      <c r="B333" s="782"/>
      <c r="C333" s="782"/>
      <c r="D333" s="782"/>
      <c r="E333" s="816"/>
      <c r="F333" s="816"/>
      <c r="G333" s="817"/>
      <c r="H333" s="817"/>
      <c r="I333" s="818"/>
      <c r="J333" s="772"/>
      <c r="K333" s="772"/>
      <c r="L333" s="772"/>
      <c r="M333" s="772"/>
      <c r="N333" s="772"/>
      <c r="O333" s="772"/>
      <c r="P333" s="772"/>
      <c r="Q333" s="772"/>
      <c r="R333" s="772"/>
      <c r="S333" s="772"/>
      <c r="T333" s="772"/>
      <c r="U333" s="772"/>
      <c r="V333" s="772"/>
      <c r="W333" s="772"/>
      <c r="X333" s="772"/>
      <c r="Y333" s="772"/>
      <c r="Z333" s="772"/>
      <c r="AA333" s="772"/>
      <c r="AB333" s="772"/>
      <c r="AC333" s="772"/>
      <c r="AD333" s="772"/>
      <c r="AE333" s="772"/>
      <c r="AF333" s="772"/>
      <c r="AG333" s="772"/>
      <c r="AH333" s="772"/>
    </row>
    <row r="334" ht="15.75" customHeight="1">
      <c r="A334" s="815"/>
      <c r="B334" s="782"/>
      <c r="C334" s="782"/>
      <c r="D334" s="782"/>
      <c r="E334" s="816"/>
      <c r="F334" s="816"/>
      <c r="G334" s="817"/>
      <c r="H334" s="817"/>
      <c r="I334" s="818"/>
      <c r="J334" s="772"/>
      <c r="K334" s="772"/>
      <c r="L334" s="772"/>
      <c r="M334" s="772"/>
      <c r="N334" s="772"/>
      <c r="O334" s="772"/>
      <c r="P334" s="772"/>
      <c r="Q334" s="772"/>
      <c r="R334" s="772"/>
      <c r="S334" s="772"/>
      <c r="T334" s="772"/>
      <c r="U334" s="772"/>
      <c r="V334" s="772"/>
      <c r="W334" s="772"/>
      <c r="X334" s="772"/>
      <c r="Y334" s="772"/>
      <c r="Z334" s="772"/>
      <c r="AA334" s="772"/>
      <c r="AB334" s="772"/>
      <c r="AC334" s="772"/>
      <c r="AD334" s="772"/>
      <c r="AE334" s="772"/>
      <c r="AF334" s="772"/>
      <c r="AG334" s="772"/>
      <c r="AH334" s="772"/>
    </row>
    <row r="335" ht="15.75" customHeight="1">
      <c r="A335" s="815"/>
      <c r="B335" s="782"/>
      <c r="C335" s="782"/>
      <c r="D335" s="782"/>
      <c r="E335" s="816"/>
      <c r="F335" s="816"/>
      <c r="G335" s="817"/>
      <c r="H335" s="817"/>
      <c r="I335" s="818"/>
      <c r="J335" s="772"/>
      <c r="K335" s="772"/>
      <c r="L335" s="772"/>
      <c r="M335" s="772"/>
      <c r="N335" s="772"/>
      <c r="O335" s="772"/>
      <c r="P335" s="772"/>
      <c r="Q335" s="772"/>
      <c r="R335" s="772"/>
      <c r="S335" s="772"/>
      <c r="T335" s="772"/>
      <c r="U335" s="772"/>
      <c r="V335" s="772"/>
      <c r="W335" s="772"/>
      <c r="X335" s="772"/>
      <c r="Y335" s="772"/>
      <c r="Z335" s="772"/>
      <c r="AA335" s="772"/>
      <c r="AB335" s="772"/>
      <c r="AC335" s="772"/>
      <c r="AD335" s="772"/>
      <c r="AE335" s="772"/>
      <c r="AF335" s="772"/>
      <c r="AG335" s="772"/>
      <c r="AH335" s="772"/>
    </row>
    <row r="336" ht="15.75" customHeight="1">
      <c r="A336" s="815"/>
      <c r="B336" s="782"/>
      <c r="C336" s="782"/>
      <c r="D336" s="782"/>
      <c r="E336" s="816"/>
      <c r="F336" s="816"/>
      <c r="G336" s="817"/>
      <c r="H336" s="817"/>
      <c r="I336" s="818"/>
      <c r="J336" s="772"/>
      <c r="K336" s="772"/>
      <c r="L336" s="772"/>
      <c r="M336" s="772"/>
      <c r="N336" s="772"/>
      <c r="O336" s="772"/>
      <c r="P336" s="772"/>
      <c r="Q336" s="772"/>
      <c r="R336" s="772"/>
      <c r="S336" s="772"/>
      <c r="T336" s="772"/>
      <c r="U336" s="772"/>
      <c r="V336" s="772"/>
      <c r="W336" s="772"/>
      <c r="X336" s="772"/>
      <c r="Y336" s="772"/>
      <c r="Z336" s="772"/>
      <c r="AA336" s="772"/>
      <c r="AB336" s="772"/>
      <c r="AC336" s="772"/>
      <c r="AD336" s="772"/>
      <c r="AE336" s="772"/>
      <c r="AF336" s="772"/>
      <c r="AG336" s="772"/>
      <c r="AH336" s="772"/>
    </row>
    <row r="337" ht="15.75" customHeight="1">
      <c r="A337" s="815"/>
      <c r="B337" s="782"/>
      <c r="C337" s="782"/>
      <c r="D337" s="782"/>
      <c r="E337" s="816"/>
      <c r="F337" s="816"/>
      <c r="G337" s="817"/>
      <c r="H337" s="817"/>
      <c r="I337" s="818"/>
      <c r="J337" s="772"/>
      <c r="K337" s="772"/>
      <c r="L337" s="772"/>
      <c r="M337" s="772"/>
      <c r="N337" s="772"/>
      <c r="O337" s="772"/>
      <c r="P337" s="772"/>
      <c r="Q337" s="772"/>
      <c r="R337" s="772"/>
      <c r="S337" s="772"/>
      <c r="T337" s="772"/>
      <c r="U337" s="772"/>
      <c r="V337" s="772"/>
      <c r="W337" s="772"/>
      <c r="X337" s="772"/>
      <c r="Y337" s="772"/>
      <c r="Z337" s="772"/>
      <c r="AA337" s="772"/>
      <c r="AB337" s="772"/>
      <c r="AC337" s="772"/>
      <c r="AD337" s="772"/>
      <c r="AE337" s="772"/>
      <c r="AF337" s="772"/>
      <c r="AG337" s="772"/>
      <c r="AH337" s="772"/>
    </row>
    <row r="338" ht="15.75" customHeight="1">
      <c r="A338" s="815"/>
      <c r="B338" s="782"/>
      <c r="C338" s="782"/>
      <c r="D338" s="782"/>
      <c r="E338" s="816"/>
      <c r="F338" s="816"/>
      <c r="G338" s="817"/>
      <c r="H338" s="817"/>
      <c r="I338" s="818"/>
      <c r="J338" s="772"/>
      <c r="K338" s="772"/>
      <c r="L338" s="772"/>
      <c r="M338" s="772"/>
      <c r="N338" s="772"/>
      <c r="O338" s="772"/>
      <c r="P338" s="772"/>
      <c r="Q338" s="772"/>
      <c r="R338" s="772"/>
      <c r="S338" s="772"/>
      <c r="T338" s="772"/>
      <c r="U338" s="772"/>
      <c r="V338" s="772"/>
      <c r="W338" s="772"/>
      <c r="X338" s="772"/>
      <c r="Y338" s="772"/>
      <c r="Z338" s="772"/>
      <c r="AA338" s="772"/>
      <c r="AB338" s="772"/>
      <c r="AC338" s="772"/>
      <c r="AD338" s="772"/>
      <c r="AE338" s="772"/>
      <c r="AF338" s="772"/>
      <c r="AG338" s="772"/>
      <c r="AH338" s="772"/>
    </row>
    <row r="339" ht="15.75" customHeight="1">
      <c r="A339" s="815"/>
      <c r="B339" s="782"/>
      <c r="C339" s="782"/>
      <c r="D339" s="782"/>
      <c r="E339" s="816"/>
      <c r="F339" s="816"/>
      <c r="G339" s="817"/>
      <c r="H339" s="817"/>
      <c r="I339" s="818"/>
      <c r="J339" s="772"/>
      <c r="K339" s="772"/>
      <c r="L339" s="772"/>
      <c r="M339" s="772"/>
      <c r="N339" s="772"/>
      <c r="O339" s="772"/>
      <c r="P339" s="772"/>
      <c r="Q339" s="772"/>
      <c r="R339" s="772"/>
      <c r="S339" s="772"/>
      <c r="T339" s="772"/>
      <c r="U339" s="772"/>
      <c r="V339" s="772"/>
      <c r="W339" s="772"/>
      <c r="X339" s="772"/>
      <c r="Y339" s="772"/>
      <c r="Z339" s="772"/>
      <c r="AA339" s="772"/>
      <c r="AB339" s="772"/>
      <c r="AC339" s="772"/>
      <c r="AD339" s="772"/>
      <c r="AE339" s="772"/>
      <c r="AF339" s="772"/>
      <c r="AG339" s="772"/>
      <c r="AH339" s="772"/>
    </row>
    <row r="340" ht="15.75" customHeight="1">
      <c r="A340" s="815"/>
      <c r="B340" s="782"/>
      <c r="C340" s="782"/>
      <c r="D340" s="782"/>
      <c r="E340" s="816"/>
      <c r="F340" s="816"/>
      <c r="G340" s="817"/>
      <c r="H340" s="817"/>
      <c r="I340" s="818"/>
      <c r="J340" s="772"/>
      <c r="K340" s="772"/>
      <c r="L340" s="772"/>
      <c r="M340" s="772"/>
      <c r="N340" s="772"/>
      <c r="O340" s="772"/>
      <c r="P340" s="772"/>
      <c r="Q340" s="772"/>
      <c r="R340" s="772"/>
      <c r="S340" s="772"/>
      <c r="T340" s="772"/>
      <c r="U340" s="772"/>
      <c r="V340" s="772"/>
      <c r="W340" s="772"/>
      <c r="X340" s="772"/>
      <c r="Y340" s="772"/>
      <c r="Z340" s="772"/>
      <c r="AA340" s="772"/>
      <c r="AB340" s="772"/>
      <c r="AC340" s="772"/>
      <c r="AD340" s="772"/>
      <c r="AE340" s="772"/>
      <c r="AF340" s="772"/>
      <c r="AG340" s="772"/>
      <c r="AH340" s="772"/>
    </row>
    <row r="341" ht="15.75" customHeight="1">
      <c r="A341" s="815"/>
      <c r="B341" s="782"/>
      <c r="C341" s="782"/>
      <c r="D341" s="782"/>
      <c r="E341" s="816"/>
      <c r="F341" s="816"/>
      <c r="G341" s="817"/>
      <c r="H341" s="817"/>
      <c r="I341" s="818"/>
      <c r="J341" s="772"/>
      <c r="K341" s="772"/>
      <c r="L341" s="772"/>
      <c r="M341" s="772"/>
      <c r="N341" s="772"/>
      <c r="O341" s="772"/>
      <c r="P341" s="772"/>
      <c r="Q341" s="772"/>
      <c r="R341" s="772"/>
      <c r="S341" s="772"/>
      <c r="T341" s="772"/>
      <c r="U341" s="772"/>
      <c r="V341" s="772"/>
      <c r="W341" s="772"/>
      <c r="X341" s="772"/>
      <c r="Y341" s="772"/>
      <c r="Z341" s="772"/>
      <c r="AA341" s="772"/>
      <c r="AB341" s="772"/>
      <c r="AC341" s="772"/>
      <c r="AD341" s="772"/>
      <c r="AE341" s="772"/>
      <c r="AF341" s="772"/>
      <c r="AG341" s="772"/>
      <c r="AH341" s="772"/>
    </row>
    <row r="342" ht="15.75" customHeight="1">
      <c r="A342" s="815"/>
      <c r="B342" s="782"/>
      <c r="C342" s="782"/>
      <c r="D342" s="782"/>
      <c r="E342" s="816"/>
      <c r="F342" s="816"/>
      <c r="G342" s="817"/>
      <c r="H342" s="817"/>
      <c r="I342" s="818"/>
      <c r="J342" s="772"/>
      <c r="K342" s="772"/>
      <c r="L342" s="772"/>
      <c r="M342" s="772"/>
      <c r="N342" s="772"/>
      <c r="O342" s="772"/>
      <c r="P342" s="772"/>
      <c r="Q342" s="772"/>
      <c r="R342" s="772"/>
      <c r="S342" s="772"/>
      <c r="T342" s="772"/>
      <c r="U342" s="772"/>
      <c r="V342" s="772"/>
      <c r="W342" s="772"/>
      <c r="X342" s="772"/>
      <c r="Y342" s="772"/>
      <c r="Z342" s="772"/>
      <c r="AA342" s="772"/>
      <c r="AB342" s="772"/>
      <c r="AC342" s="772"/>
      <c r="AD342" s="772"/>
      <c r="AE342" s="772"/>
      <c r="AF342" s="772"/>
      <c r="AG342" s="772"/>
      <c r="AH342" s="772"/>
    </row>
    <row r="343" ht="15.75" customHeight="1">
      <c r="A343" s="815"/>
      <c r="B343" s="782"/>
      <c r="C343" s="782"/>
      <c r="D343" s="782"/>
      <c r="E343" s="816"/>
      <c r="F343" s="816"/>
      <c r="G343" s="817"/>
      <c r="H343" s="817"/>
      <c r="I343" s="818"/>
      <c r="J343" s="772"/>
      <c r="K343" s="772"/>
      <c r="L343" s="772"/>
      <c r="M343" s="772"/>
      <c r="N343" s="772"/>
      <c r="O343" s="772"/>
      <c r="P343" s="772"/>
      <c r="Q343" s="772"/>
      <c r="R343" s="772"/>
      <c r="S343" s="772"/>
      <c r="T343" s="772"/>
      <c r="U343" s="772"/>
      <c r="V343" s="772"/>
      <c r="W343" s="772"/>
      <c r="X343" s="772"/>
      <c r="Y343" s="772"/>
      <c r="Z343" s="772"/>
      <c r="AA343" s="772"/>
      <c r="AB343" s="772"/>
      <c r="AC343" s="772"/>
      <c r="AD343" s="772"/>
      <c r="AE343" s="772"/>
      <c r="AF343" s="772"/>
      <c r="AG343" s="772"/>
      <c r="AH343" s="772"/>
    </row>
    <row r="344" ht="15.75" customHeight="1">
      <c r="A344" s="815"/>
      <c r="B344" s="782"/>
      <c r="C344" s="782"/>
      <c r="D344" s="782"/>
      <c r="E344" s="816"/>
      <c r="F344" s="816"/>
      <c r="G344" s="817"/>
      <c r="H344" s="817"/>
      <c r="I344" s="818"/>
      <c r="J344" s="772"/>
      <c r="K344" s="772"/>
      <c r="L344" s="772"/>
      <c r="M344" s="772"/>
      <c r="N344" s="772"/>
      <c r="O344" s="772"/>
      <c r="P344" s="772"/>
      <c r="Q344" s="772"/>
      <c r="R344" s="772"/>
      <c r="S344" s="772"/>
      <c r="T344" s="772"/>
      <c r="U344" s="772"/>
      <c r="V344" s="772"/>
      <c r="W344" s="772"/>
      <c r="X344" s="772"/>
      <c r="Y344" s="772"/>
      <c r="Z344" s="772"/>
      <c r="AA344" s="772"/>
      <c r="AB344" s="772"/>
      <c r="AC344" s="772"/>
      <c r="AD344" s="772"/>
      <c r="AE344" s="772"/>
      <c r="AF344" s="772"/>
      <c r="AG344" s="772"/>
      <c r="AH344" s="772"/>
    </row>
    <row r="345" ht="15.75" customHeight="1">
      <c r="A345" s="815"/>
      <c r="B345" s="782"/>
      <c r="C345" s="782"/>
      <c r="D345" s="782"/>
      <c r="E345" s="816"/>
      <c r="F345" s="816"/>
      <c r="G345" s="817"/>
      <c r="H345" s="817"/>
      <c r="I345" s="818"/>
      <c r="J345" s="772"/>
      <c r="K345" s="772"/>
      <c r="L345" s="772"/>
      <c r="M345" s="772"/>
      <c r="N345" s="772"/>
      <c r="O345" s="772"/>
      <c r="P345" s="772"/>
      <c r="Q345" s="772"/>
      <c r="R345" s="772"/>
      <c r="S345" s="772"/>
      <c r="T345" s="772"/>
      <c r="U345" s="772"/>
      <c r="V345" s="772"/>
      <c r="W345" s="772"/>
      <c r="X345" s="772"/>
      <c r="Y345" s="772"/>
      <c r="Z345" s="772"/>
      <c r="AA345" s="772"/>
      <c r="AB345" s="772"/>
      <c r="AC345" s="772"/>
      <c r="AD345" s="772"/>
      <c r="AE345" s="772"/>
      <c r="AF345" s="772"/>
      <c r="AG345" s="772"/>
      <c r="AH345" s="772"/>
    </row>
    <row r="346" ht="15.75" customHeight="1">
      <c r="A346" s="815"/>
      <c r="B346" s="782"/>
      <c r="C346" s="782"/>
      <c r="D346" s="782"/>
      <c r="E346" s="816"/>
      <c r="F346" s="816"/>
      <c r="G346" s="817"/>
      <c r="H346" s="817"/>
      <c r="I346" s="818"/>
      <c r="J346" s="772"/>
      <c r="K346" s="772"/>
      <c r="L346" s="772"/>
      <c r="M346" s="772"/>
      <c r="N346" s="772"/>
      <c r="O346" s="772"/>
      <c r="P346" s="772"/>
      <c r="Q346" s="772"/>
      <c r="R346" s="772"/>
      <c r="S346" s="772"/>
      <c r="T346" s="772"/>
      <c r="U346" s="772"/>
      <c r="V346" s="772"/>
      <c r="W346" s="772"/>
      <c r="X346" s="772"/>
      <c r="Y346" s="772"/>
      <c r="Z346" s="772"/>
      <c r="AA346" s="772"/>
      <c r="AB346" s="772"/>
      <c r="AC346" s="772"/>
      <c r="AD346" s="772"/>
      <c r="AE346" s="772"/>
      <c r="AF346" s="772"/>
      <c r="AG346" s="772"/>
      <c r="AH346" s="772"/>
    </row>
    <row r="347" ht="15.75" customHeight="1">
      <c r="A347" s="815"/>
      <c r="B347" s="782"/>
      <c r="C347" s="782"/>
      <c r="D347" s="782"/>
      <c r="E347" s="816"/>
      <c r="F347" s="816"/>
      <c r="G347" s="817"/>
      <c r="H347" s="817"/>
      <c r="I347" s="818"/>
      <c r="J347" s="772"/>
      <c r="K347" s="772"/>
      <c r="L347" s="772"/>
      <c r="M347" s="772"/>
      <c r="N347" s="772"/>
      <c r="O347" s="772"/>
      <c r="P347" s="772"/>
      <c r="Q347" s="772"/>
      <c r="R347" s="772"/>
      <c r="S347" s="772"/>
      <c r="T347" s="772"/>
      <c r="U347" s="772"/>
      <c r="V347" s="772"/>
      <c r="W347" s="772"/>
      <c r="X347" s="772"/>
      <c r="Y347" s="772"/>
      <c r="Z347" s="772"/>
      <c r="AA347" s="772"/>
      <c r="AB347" s="772"/>
      <c r="AC347" s="772"/>
      <c r="AD347" s="772"/>
      <c r="AE347" s="772"/>
      <c r="AF347" s="772"/>
      <c r="AG347" s="772"/>
      <c r="AH347" s="772"/>
    </row>
    <row r="348" ht="15.75" customHeight="1">
      <c r="A348" s="815"/>
      <c r="B348" s="782"/>
      <c r="C348" s="782"/>
      <c r="D348" s="782"/>
      <c r="E348" s="816"/>
      <c r="F348" s="816"/>
      <c r="G348" s="817"/>
      <c r="H348" s="817"/>
      <c r="I348" s="818"/>
      <c r="J348" s="772"/>
      <c r="K348" s="772"/>
      <c r="L348" s="772"/>
      <c r="M348" s="772"/>
      <c r="N348" s="772"/>
      <c r="O348" s="772"/>
      <c r="P348" s="772"/>
      <c r="Q348" s="772"/>
      <c r="R348" s="772"/>
      <c r="S348" s="772"/>
      <c r="T348" s="772"/>
      <c r="U348" s="772"/>
      <c r="V348" s="772"/>
      <c r="W348" s="772"/>
      <c r="X348" s="772"/>
      <c r="Y348" s="772"/>
      <c r="Z348" s="772"/>
      <c r="AA348" s="772"/>
      <c r="AB348" s="772"/>
      <c r="AC348" s="772"/>
      <c r="AD348" s="772"/>
      <c r="AE348" s="772"/>
      <c r="AF348" s="772"/>
      <c r="AG348" s="772"/>
      <c r="AH348" s="772"/>
    </row>
    <row r="349" ht="15.75" customHeight="1">
      <c r="A349" s="815"/>
      <c r="B349" s="782"/>
      <c r="C349" s="782"/>
      <c r="D349" s="782"/>
      <c r="E349" s="816"/>
      <c r="F349" s="816"/>
      <c r="G349" s="817"/>
      <c r="H349" s="817"/>
      <c r="I349" s="818"/>
      <c r="J349" s="772"/>
      <c r="K349" s="772"/>
      <c r="L349" s="772"/>
      <c r="M349" s="772"/>
      <c r="N349" s="772"/>
      <c r="O349" s="772"/>
      <c r="P349" s="772"/>
      <c r="Q349" s="772"/>
      <c r="R349" s="772"/>
      <c r="S349" s="772"/>
      <c r="T349" s="772"/>
      <c r="U349" s="772"/>
      <c r="V349" s="772"/>
      <c r="W349" s="772"/>
      <c r="X349" s="772"/>
      <c r="Y349" s="772"/>
      <c r="Z349" s="772"/>
      <c r="AA349" s="772"/>
      <c r="AB349" s="772"/>
      <c r="AC349" s="772"/>
      <c r="AD349" s="772"/>
      <c r="AE349" s="772"/>
      <c r="AF349" s="772"/>
      <c r="AG349" s="772"/>
      <c r="AH349" s="772"/>
    </row>
    <row r="350" ht="15.75" customHeight="1">
      <c r="A350" s="815"/>
      <c r="B350" s="782"/>
      <c r="C350" s="782"/>
      <c r="D350" s="782"/>
      <c r="E350" s="816"/>
      <c r="F350" s="816"/>
      <c r="G350" s="817"/>
      <c r="H350" s="817"/>
      <c r="I350" s="818"/>
      <c r="J350" s="772"/>
      <c r="K350" s="772"/>
      <c r="L350" s="772"/>
      <c r="M350" s="772"/>
      <c r="N350" s="772"/>
      <c r="O350" s="772"/>
      <c r="P350" s="772"/>
      <c r="Q350" s="772"/>
      <c r="R350" s="772"/>
      <c r="S350" s="772"/>
      <c r="T350" s="772"/>
      <c r="U350" s="772"/>
      <c r="V350" s="772"/>
      <c r="W350" s="772"/>
      <c r="X350" s="772"/>
      <c r="Y350" s="772"/>
      <c r="Z350" s="772"/>
      <c r="AA350" s="772"/>
      <c r="AB350" s="772"/>
      <c r="AC350" s="772"/>
      <c r="AD350" s="772"/>
      <c r="AE350" s="772"/>
      <c r="AF350" s="772"/>
      <c r="AG350" s="772"/>
      <c r="AH350" s="772"/>
    </row>
    <row r="351" ht="15.75" customHeight="1">
      <c r="A351" s="815"/>
      <c r="B351" s="782"/>
      <c r="C351" s="782"/>
      <c r="D351" s="782"/>
      <c r="E351" s="816"/>
      <c r="F351" s="816"/>
      <c r="G351" s="817"/>
      <c r="H351" s="817"/>
      <c r="I351" s="818"/>
      <c r="J351" s="772"/>
      <c r="K351" s="772"/>
      <c r="L351" s="772"/>
      <c r="M351" s="772"/>
      <c r="N351" s="772"/>
      <c r="O351" s="772"/>
      <c r="P351" s="772"/>
      <c r="Q351" s="772"/>
      <c r="R351" s="772"/>
      <c r="S351" s="772"/>
      <c r="T351" s="772"/>
      <c r="U351" s="772"/>
      <c r="V351" s="772"/>
      <c r="W351" s="772"/>
      <c r="X351" s="772"/>
      <c r="Y351" s="772"/>
      <c r="Z351" s="772"/>
      <c r="AA351" s="772"/>
      <c r="AB351" s="772"/>
      <c r="AC351" s="772"/>
      <c r="AD351" s="772"/>
      <c r="AE351" s="772"/>
      <c r="AF351" s="772"/>
      <c r="AG351" s="772"/>
      <c r="AH351" s="772"/>
    </row>
    <row r="352" ht="15.75" customHeight="1">
      <c r="A352" s="815"/>
      <c r="B352" s="782"/>
      <c r="C352" s="782"/>
      <c r="D352" s="782"/>
      <c r="E352" s="816"/>
      <c r="F352" s="816"/>
      <c r="G352" s="817"/>
      <c r="H352" s="817"/>
      <c r="I352" s="818"/>
      <c r="J352" s="772"/>
      <c r="K352" s="772"/>
      <c r="L352" s="772"/>
      <c r="M352" s="772"/>
      <c r="N352" s="772"/>
      <c r="O352" s="772"/>
      <c r="P352" s="772"/>
      <c r="Q352" s="772"/>
      <c r="R352" s="772"/>
      <c r="S352" s="772"/>
      <c r="T352" s="772"/>
      <c r="U352" s="772"/>
      <c r="V352" s="772"/>
      <c r="W352" s="772"/>
      <c r="X352" s="772"/>
      <c r="Y352" s="772"/>
      <c r="Z352" s="772"/>
      <c r="AA352" s="772"/>
      <c r="AB352" s="772"/>
      <c r="AC352" s="772"/>
      <c r="AD352" s="772"/>
      <c r="AE352" s="772"/>
      <c r="AF352" s="772"/>
      <c r="AG352" s="772"/>
      <c r="AH352" s="772"/>
    </row>
    <row r="353" ht="15.75" customHeight="1">
      <c r="A353" s="815"/>
      <c r="B353" s="782"/>
      <c r="C353" s="782"/>
      <c r="D353" s="782"/>
      <c r="E353" s="816"/>
      <c r="F353" s="816"/>
      <c r="G353" s="817"/>
      <c r="H353" s="817"/>
      <c r="I353" s="818"/>
      <c r="J353" s="772"/>
      <c r="K353" s="772"/>
      <c r="L353" s="772"/>
      <c r="M353" s="772"/>
      <c r="N353" s="772"/>
      <c r="O353" s="772"/>
      <c r="P353" s="772"/>
      <c r="Q353" s="772"/>
      <c r="R353" s="772"/>
      <c r="S353" s="772"/>
      <c r="T353" s="772"/>
      <c r="U353" s="772"/>
      <c r="V353" s="772"/>
      <c r="W353" s="772"/>
      <c r="X353" s="772"/>
      <c r="Y353" s="772"/>
      <c r="Z353" s="772"/>
      <c r="AA353" s="772"/>
      <c r="AB353" s="772"/>
      <c r="AC353" s="772"/>
      <c r="AD353" s="772"/>
      <c r="AE353" s="772"/>
      <c r="AF353" s="772"/>
      <c r="AG353" s="772"/>
      <c r="AH353" s="772"/>
    </row>
    <row r="354" ht="15.75" customHeight="1">
      <c r="A354" s="815"/>
      <c r="B354" s="782"/>
      <c r="C354" s="782"/>
      <c r="D354" s="782"/>
      <c r="E354" s="816"/>
      <c r="F354" s="816"/>
      <c r="G354" s="817"/>
      <c r="H354" s="817"/>
      <c r="I354" s="818"/>
      <c r="J354" s="772"/>
      <c r="K354" s="772"/>
      <c r="L354" s="772"/>
      <c r="M354" s="772"/>
      <c r="N354" s="772"/>
      <c r="O354" s="772"/>
      <c r="P354" s="772"/>
      <c r="Q354" s="772"/>
      <c r="R354" s="772"/>
      <c r="S354" s="772"/>
      <c r="T354" s="772"/>
      <c r="U354" s="772"/>
      <c r="V354" s="772"/>
      <c r="W354" s="772"/>
      <c r="X354" s="772"/>
      <c r="Y354" s="772"/>
      <c r="Z354" s="772"/>
      <c r="AA354" s="772"/>
      <c r="AB354" s="772"/>
      <c r="AC354" s="772"/>
      <c r="AD354" s="772"/>
      <c r="AE354" s="772"/>
      <c r="AF354" s="772"/>
      <c r="AG354" s="772"/>
      <c r="AH354" s="772"/>
    </row>
    <row r="355" ht="15.75" customHeight="1">
      <c r="A355" s="815"/>
      <c r="B355" s="782"/>
      <c r="C355" s="782"/>
      <c r="D355" s="782"/>
      <c r="E355" s="816"/>
      <c r="F355" s="816"/>
      <c r="G355" s="817"/>
      <c r="H355" s="817"/>
      <c r="I355" s="818"/>
      <c r="J355" s="772"/>
      <c r="K355" s="772"/>
      <c r="L355" s="772"/>
      <c r="M355" s="772"/>
      <c r="N355" s="772"/>
      <c r="O355" s="772"/>
      <c r="P355" s="772"/>
      <c r="Q355" s="772"/>
      <c r="R355" s="772"/>
      <c r="S355" s="772"/>
      <c r="T355" s="772"/>
      <c r="U355" s="772"/>
      <c r="V355" s="772"/>
      <c r="W355" s="772"/>
      <c r="X355" s="772"/>
      <c r="Y355" s="772"/>
      <c r="Z355" s="772"/>
      <c r="AA355" s="772"/>
      <c r="AB355" s="772"/>
      <c r="AC355" s="772"/>
      <c r="AD355" s="772"/>
      <c r="AE355" s="772"/>
      <c r="AF355" s="772"/>
      <c r="AG355" s="772"/>
      <c r="AH355" s="772"/>
    </row>
    <row r="356" ht="15.75" customHeight="1">
      <c r="A356" s="815"/>
      <c r="B356" s="782"/>
      <c r="C356" s="782"/>
      <c r="D356" s="782"/>
      <c r="E356" s="816"/>
      <c r="F356" s="816"/>
      <c r="G356" s="817"/>
      <c r="H356" s="817"/>
      <c r="I356" s="818"/>
      <c r="J356" s="772"/>
      <c r="K356" s="772"/>
      <c r="L356" s="772"/>
      <c r="M356" s="772"/>
      <c r="N356" s="772"/>
      <c r="O356" s="772"/>
      <c r="P356" s="772"/>
      <c r="Q356" s="772"/>
      <c r="R356" s="772"/>
      <c r="S356" s="772"/>
      <c r="T356" s="772"/>
      <c r="U356" s="772"/>
      <c r="V356" s="772"/>
      <c r="W356" s="772"/>
      <c r="X356" s="772"/>
      <c r="Y356" s="772"/>
      <c r="Z356" s="772"/>
      <c r="AA356" s="772"/>
      <c r="AB356" s="772"/>
      <c r="AC356" s="772"/>
      <c r="AD356" s="772"/>
      <c r="AE356" s="772"/>
      <c r="AF356" s="772"/>
      <c r="AG356" s="772"/>
      <c r="AH356" s="772"/>
    </row>
    <row r="357" ht="15.75" customHeight="1">
      <c r="A357" s="815"/>
      <c r="B357" s="782"/>
      <c r="C357" s="782"/>
      <c r="D357" s="782"/>
      <c r="E357" s="816"/>
      <c r="F357" s="816"/>
      <c r="G357" s="817"/>
      <c r="H357" s="817"/>
      <c r="I357" s="818"/>
      <c r="J357" s="772"/>
      <c r="K357" s="772"/>
      <c r="L357" s="772"/>
      <c r="M357" s="772"/>
      <c r="N357" s="772"/>
      <c r="O357" s="772"/>
      <c r="P357" s="772"/>
      <c r="Q357" s="772"/>
      <c r="R357" s="772"/>
      <c r="S357" s="772"/>
      <c r="T357" s="772"/>
      <c r="U357" s="772"/>
      <c r="V357" s="772"/>
      <c r="W357" s="772"/>
      <c r="X357" s="772"/>
      <c r="Y357" s="772"/>
      <c r="Z357" s="772"/>
      <c r="AA357" s="772"/>
      <c r="AB357" s="772"/>
      <c r="AC357" s="772"/>
      <c r="AD357" s="772"/>
      <c r="AE357" s="772"/>
      <c r="AF357" s="772"/>
      <c r="AG357" s="772"/>
      <c r="AH357" s="772"/>
    </row>
    <row r="358" ht="15.75" customHeight="1">
      <c r="A358" s="815"/>
      <c r="B358" s="782"/>
      <c r="C358" s="782"/>
      <c r="D358" s="782"/>
      <c r="E358" s="816"/>
      <c r="F358" s="816"/>
      <c r="G358" s="817"/>
      <c r="H358" s="817"/>
      <c r="I358" s="818"/>
      <c r="J358" s="772"/>
      <c r="K358" s="772"/>
      <c r="L358" s="772"/>
      <c r="M358" s="772"/>
      <c r="N358" s="772"/>
      <c r="O358" s="772"/>
      <c r="P358" s="772"/>
      <c r="Q358" s="772"/>
      <c r="R358" s="772"/>
      <c r="S358" s="772"/>
      <c r="T358" s="772"/>
      <c r="U358" s="772"/>
      <c r="V358" s="772"/>
      <c r="W358" s="772"/>
      <c r="X358" s="772"/>
      <c r="Y358" s="772"/>
      <c r="Z358" s="772"/>
      <c r="AA358" s="772"/>
      <c r="AB358" s="772"/>
      <c r="AC358" s="772"/>
      <c r="AD358" s="772"/>
      <c r="AE358" s="772"/>
      <c r="AF358" s="772"/>
      <c r="AG358" s="772"/>
      <c r="AH358" s="772"/>
    </row>
    <row r="359" ht="15.75" customHeight="1">
      <c r="A359" s="815"/>
      <c r="B359" s="782"/>
      <c r="C359" s="782"/>
      <c r="D359" s="782"/>
      <c r="E359" s="816"/>
      <c r="F359" s="816"/>
      <c r="G359" s="817"/>
      <c r="H359" s="817"/>
      <c r="I359" s="818"/>
      <c r="J359" s="772"/>
      <c r="K359" s="772"/>
      <c r="L359" s="772"/>
      <c r="M359" s="772"/>
      <c r="N359" s="772"/>
      <c r="O359" s="772"/>
      <c r="P359" s="772"/>
      <c r="Q359" s="772"/>
      <c r="R359" s="772"/>
      <c r="S359" s="772"/>
      <c r="T359" s="772"/>
      <c r="U359" s="772"/>
      <c r="V359" s="772"/>
      <c r="W359" s="772"/>
      <c r="X359" s="772"/>
      <c r="Y359" s="772"/>
      <c r="Z359" s="772"/>
      <c r="AA359" s="772"/>
      <c r="AB359" s="772"/>
      <c r="AC359" s="772"/>
      <c r="AD359" s="772"/>
      <c r="AE359" s="772"/>
      <c r="AF359" s="772"/>
      <c r="AG359" s="772"/>
      <c r="AH359" s="772"/>
    </row>
    <row r="360" ht="15.75" customHeight="1">
      <c r="A360" s="815"/>
      <c r="B360" s="782"/>
      <c r="C360" s="782"/>
      <c r="D360" s="782"/>
      <c r="E360" s="816"/>
      <c r="F360" s="816"/>
      <c r="G360" s="817"/>
      <c r="H360" s="817"/>
      <c r="I360" s="818"/>
      <c r="J360" s="772"/>
      <c r="K360" s="772"/>
      <c r="L360" s="772"/>
      <c r="M360" s="772"/>
      <c r="N360" s="772"/>
      <c r="O360" s="772"/>
      <c r="P360" s="772"/>
      <c r="Q360" s="772"/>
      <c r="R360" s="772"/>
      <c r="S360" s="772"/>
      <c r="T360" s="772"/>
      <c r="U360" s="772"/>
      <c r="V360" s="772"/>
      <c r="W360" s="772"/>
      <c r="X360" s="772"/>
      <c r="Y360" s="772"/>
      <c r="Z360" s="772"/>
      <c r="AA360" s="772"/>
      <c r="AB360" s="772"/>
      <c r="AC360" s="772"/>
      <c r="AD360" s="772"/>
      <c r="AE360" s="772"/>
      <c r="AF360" s="772"/>
      <c r="AG360" s="772"/>
      <c r="AH360" s="772"/>
    </row>
    <row r="361" ht="15.75" customHeight="1">
      <c r="A361" s="815"/>
      <c r="B361" s="782"/>
      <c r="C361" s="782"/>
      <c r="D361" s="782"/>
      <c r="E361" s="816"/>
      <c r="F361" s="816"/>
      <c r="G361" s="817"/>
      <c r="H361" s="817"/>
      <c r="I361" s="818"/>
      <c r="J361" s="772"/>
      <c r="K361" s="772"/>
      <c r="L361" s="772"/>
      <c r="M361" s="772"/>
      <c r="N361" s="772"/>
      <c r="O361" s="772"/>
      <c r="P361" s="772"/>
      <c r="Q361" s="772"/>
      <c r="R361" s="772"/>
      <c r="S361" s="772"/>
      <c r="T361" s="772"/>
      <c r="U361" s="772"/>
      <c r="V361" s="772"/>
      <c r="W361" s="772"/>
      <c r="X361" s="772"/>
      <c r="Y361" s="772"/>
      <c r="Z361" s="772"/>
      <c r="AA361" s="772"/>
      <c r="AB361" s="772"/>
      <c r="AC361" s="772"/>
      <c r="AD361" s="772"/>
      <c r="AE361" s="772"/>
      <c r="AF361" s="772"/>
      <c r="AG361" s="772"/>
      <c r="AH361" s="772"/>
    </row>
    <row r="362" ht="15.75" customHeight="1">
      <c r="A362" s="815"/>
      <c r="B362" s="782"/>
      <c r="C362" s="782"/>
      <c r="D362" s="782"/>
      <c r="E362" s="816"/>
      <c r="F362" s="816"/>
      <c r="G362" s="817"/>
      <c r="H362" s="817"/>
      <c r="I362" s="818"/>
      <c r="J362" s="772"/>
      <c r="K362" s="772"/>
      <c r="L362" s="772"/>
      <c r="M362" s="772"/>
      <c r="N362" s="772"/>
      <c r="O362" s="772"/>
      <c r="P362" s="772"/>
      <c r="Q362" s="772"/>
      <c r="R362" s="772"/>
      <c r="S362" s="772"/>
      <c r="T362" s="772"/>
      <c r="U362" s="772"/>
      <c r="V362" s="772"/>
      <c r="W362" s="772"/>
      <c r="X362" s="772"/>
      <c r="Y362" s="772"/>
      <c r="Z362" s="772"/>
      <c r="AA362" s="772"/>
      <c r="AB362" s="772"/>
      <c r="AC362" s="772"/>
      <c r="AD362" s="772"/>
      <c r="AE362" s="772"/>
      <c r="AF362" s="772"/>
      <c r="AG362" s="772"/>
      <c r="AH362" s="772"/>
    </row>
    <row r="363" ht="15.75" customHeight="1">
      <c r="A363" s="815"/>
      <c r="B363" s="782"/>
      <c r="C363" s="782"/>
      <c r="D363" s="782"/>
      <c r="E363" s="816"/>
      <c r="F363" s="816"/>
      <c r="G363" s="817"/>
      <c r="H363" s="817"/>
      <c r="I363" s="818"/>
      <c r="J363" s="772"/>
      <c r="K363" s="772"/>
      <c r="L363" s="772"/>
      <c r="M363" s="772"/>
      <c r="N363" s="772"/>
      <c r="O363" s="772"/>
      <c r="P363" s="772"/>
      <c r="Q363" s="772"/>
      <c r="R363" s="772"/>
      <c r="S363" s="772"/>
      <c r="T363" s="772"/>
      <c r="U363" s="772"/>
      <c r="V363" s="772"/>
      <c r="W363" s="772"/>
      <c r="X363" s="772"/>
      <c r="Y363" s="772"/>
      <c r="Z363" s="772"/>
      <c r="AA363" s="772"/>
      <c r="AB363" s="772"/>
      <c r="AC363" s="772"/>
      <c r="AD363" s="772"/>
      <c r="AE363" s="772"/>
      <c r="AF363" s="772"/>
      <c r="AG363" s="772"/>
      <c r="AH363" s="772"/>
    </row>
    <row r="364" ht="15.75" customHeight="1">
      <c r="A364" s="815"/>
      <c r="B364" s="782"/>
      <c r="C364" s="782"/>
      <c r="D364" s="782"/>
      <c r="E364" s="816"/>
      <c r="F364" s="816"/>
      <c r="G364" s="817"/>
      <c r="H364" s="817"/>
      <c r="I364" s="818"/>
      <c r="J364" s="772"/>
      <c r="K364" s="772"/>
      <c r="L364" s="772"/>
      <c r="M364" s="772"/>
      <c r="N364" s="772"/>
      <c r="O364" s="772"/>
      <c r="P364" s="772"/>
      <c r="Q364" s="772"/>
      <c r="R364" s="772"/>
      <c r="S364" s="772"/>
      <c r="T364" s="772"/>
      <c r="U364" s="772"/>
      <c r="V364" s="772"/>
      <c r="W364" s="772"/>
      <c r="X364" s="772"/>
      <c r="Y364" s="772"/>
      <c r="Z364" s="772"/>
      <c r="AA364" s="772"/>
      <c r="AB364" s="772"/>
      <c r="AC364" s="772"/>
      <c r="AD364" s="772"/>
      <c r="AE364" s="772"/>
      <c r="AF364" s="772"/>
      <c r="AG364" s="772"/>
      <c r="AH364" s="772"/>
    </row>
    <row r="365" ht="15.75" customHeight="1">
      <c r="A365" s="815"/>
      <c r="B365" s="782"/>
      <c r="C365" s="782"/>
      <c r="D365" s="782"/>
      <c r="E365" s="816"/>
      <c r="F365" s="816"/>
      <c r="G365" s="817"/>
      <c r="H365" s="817"/>
      <c r="I365" s="818"/>
      <c r="J365" s="772"/>
      <c r="K365" s="772"/>
      <c r="L365" s="772"/>
      <c r="M365" s="772"/>
      <c r="N365" s="772"/>
      <c r="O365" s="772"/>
      <c r="P365" s="772"/>
      <c r="Q365" s="772"/>
      <c r="R365" s="772"/>
      <c r="S365" s="772"/>
      <c r="T365" s="772"/>
      <c r="U365" s="772"/>
      <c r="V365" s="772"/>
      <c r="W365" s="772"/>
      <c r="X365" s="772"/>
      <c r="Y365" s="772"/>
      <c r="Z365" s="772"/>
      <c r="AA365" s="772"/>
      <c r="AB365" s="772"/>
      <c r="AC365" s="772"/>
      <c r="AD365" s="772"/>
      <c r="AE365" s="772"/>
      <c r="AF365" s="772"/>
      <c r="AG365" s="772"/>
      <c r="AH365" s="772"/>
    </row>
    <row r="366" ht="15.75" customHeight="1">
      <c r="A366" s="815"/>
      <c r="B366" s="782"/>
      <c r="C366" s="782"/>
      <c r="D366" s="782"/>
      <c r="E366" s="816"/>
      <c r="F366" s="816"/>
      <c r="G366" s="817"/>
      <c r="H366" s="817"/>
      <c r="I366" s="818"/>
      <c r="J366" s="772"/>
      <c r="K366" s="772"/>
      <c r="L366" s="772"/>
      <c r="M366" s="772"/>
      <c r="N366" s="772"/>
      <c r="O366" s="772"/>
      <c r="P366" s="772"/>
      <c r="Q366" s="772"/>
      <c r="R366" s="772"/>
      <c r="S366" s="772"/>
      <c r="T366" s="772"/>
      <c r="U366" s="772"/>
      <c r="V366" s="772"/>
      <c r="W366" s="772"/>
      <c r="X366" s="772"/>
      <c r="Y366" s="772"/>
      <c r="Z366" s="772"/>
      <c r="AA366" s="772"/>
      <c r="AB366" s="772"/>
      <c r="AC366" s="772"/>
      <c r="AD366" s="772"/>
      <c r="AE366" s="772"/>
      <c r="AF366" s="772"/>
      <c r="AG366" s="772"/>
      <c r="AH366" s="772"/>
    </row>
    <row r="367" ht="15.75" customHeight="1">
      <c r="A367" s="815"/>
      <c r="B367" s="782"/>
      <c r="C367" s="782"/>
      <c r="D367" s="782"/>
      <c r="E367" s="816"/>
      <c r="F367" s="816"/>
      <c r="G367" s="817"/>
      <c r="H367" s="817"/>
      <c r="I367" s="818"/>
      <c r="J367" s="772"/>
      <c r="K367" s="772"/>
      <c r="L367" s="772"/>
      <c r="M367" s="772"/>
      <c r="N367" s="772"/>
      <c r="O367" s="772"/>
      <c r="P367" s="772"/>
      <c r="Q367" s="772"/>
      <c r="R367" s="772"/>
      <c r="S367" s="772"/>
      <c r="T367" s="772"/>
      <c r="U367" s="772"/>
      <c r="V367" s="772"/>
      <c r="W367" s="772"/>
      <c r="X367" s="772"/>
      <c r="Y367" s="772"/>
      <c r="Z367" s="772"/>
      <c r="AA367" s="772"/>
      <c r="AB367" s="772"/>
      <c r="AC367" s="772"/>
      <c r="AD367" s="772"/>
      <c r="AE367" s="772"/>
      <c r="AF367" s="772"/>
      <c r="AG367" s="772"/>
      <c r="AH367" s="772"/>
    </row>
    <row r="368" ht="15.75" customHeight="1">
      <c r="A368" s="815"/>
      <c r="B368" s="782"/>
      <c r="C368" s="782"/>
      <c r="D368" s="782"/>
      <c r="E368" s="816"/>
      <c r="F368" s="816"/>
      <c r="G368" s="817"/>
      <c r="H368" s="817"/>
      <c r="I368" s="818"/>
      <c r="J368" s="772"/>
      <c r="K368" s="772"/>
      <c r="L368" s="772"/>
      <c r="M368" s="772"/>
      <c r="N368" s="772"/>
      <c r="O368" s="772"/>
      <c r="P368" s="772"/>
      <c r="Q368" s="772"/>
      <c r="R368" s="772"/>
      <c r="S368" s="772"/>
      <c r="T368" s="772"/>
      <c r="U368" s="772"/>
      <c r="V368" s="772"/>
      <c r="W368" s="772"/>
      <c r="X368" s="772"/>
      <c r="Y368" s="772"/>
      <c r="Z368" s="772"/>
      <c r="AA368" s="772"/>
      <c r="AB368" s="772"/>
      <c r="AC368" s="772"/>
      <c r="AD368" s="772"/>
      <c r="AE368" s="772"/>
      <c r="AF368" s="772"/>
      <c r="AG368" s="772"/>
      <c r="AH368" s="772"/>
    </row>
    <row r="369" ht="15.75" customHeight="1">
      <c r="A369" s="815"/>
      <c r="B369" s="782"/>
      <c r="C369" s="782"/>
      <c r="D369" s="782"/>
      <c r="E369" s="816"/>
      <c r="F369" s="816"/>
      <c r="G369" s="817"/>
      <c r="H369" s="817"/>
      <c r="I369" s="818"/>
      <c r="J369" s="772"/>
      <c r="K369" s="772"/>
      <c r="L369" s="772"/>
      <c r="M369" s="772"/>
      <c r="N369" s="772"/>
      <c r="O369" s="772"/>
      <c r="P369" s="772"/>
      <c r="Q369" s="772"/>
      <c r="R369" s="772"/>
      <c r="S369" s="772"/>
      <c r="T369" s="772"/>
      <c r="U369" s="772"/>
      <c r="V369" s="772"/>
      <c r="W369" s="772"/>
      <c r="X369" s="772"/>
      <c r="Y369" s="772"/>
      <c r="Z369" s="772"/>
      <c r="AA369" s="772"/>
      <c r="AB369" s="772"/>
      <c r="AC369" s="772"/>
      <c r="AD369" s="772"/>
      <c r="AE369" s="772"/>
      <c r="AF369" s="772"/>
      <c r="AG369" s="772"/>
      <c r="AH369" s="772"/>
    </row>
    <row r="370" ht="15.75" customHeight="1">
      <c r="A370" s="815"/>
      <c r="B370" s="782"/>
      <c r="C370" s="782"/>
      <c r="D370" s="782"/>
      <c r="E370" s="816"/>
      <c r="F370" s="816"/>
      <c r="G370" s="817"/>
      <c r="H370" s="817"/>
      <c r="I370" s="818"/>
      <c r="J370" s="772"/>
      <c r="K370" s="772"/>
      <c r="L370" s="772"/>
      <c r="M370" s="772"/>
      <c r="N370" s="772"/>
      <c r="O370" s="772"/>
      <c r="P370" s="772"/>
      <c r="Q370" s="772"/>
      <c r="R370" s="772"/>
      <c r="S370" s="772"/>
      <c r="T370" s="772"/>
      <c r="U370" s="772"/>
      <c r="V370" s="772"/>
      <c r="W370" s="772"/>
      <c r="X370" s="772"/>
      <c r="Y370" s="772"/>
      <c r="Z370" s="772"/>
      <c r="AA370" s="772"/>
      <c r="AB370" s="772"/>
      <c r="AC370" s="772"/>
      <c r="AD370" s="772"/>
      <c r="AE370" s="772"/>
      <c r="AF370" s="772"/>
      <c r="AG370" s="772"/>
      <c r="AH370" s="772"/>
    </row>
    <row r="371" ht="15.75" customHeight="1">
      <c r="A371" s="815"/>
      <c r="B371" s="782"/>
      <c r="C371" s="782"/>
      <c r="D371" s="782"/>
      <c r="E371" s="816"/>
      <c r="F371" s="816"/>
      <c r="G371" s="817"/>
      <c r="H371" s="817"/>
      <c r="I371" s="818"/>
      <c r="J371" s="772"/>
      <c r="K371" s="772"/>
      <c r="L371" s="772"/>
      <c r="M371" s="772"/>
      <c r="N371" s="772"/>
      <c r="O371" s="772"/>
      <c r="P371" s="772"/>
      <c r="Q371" s="772"/>
      <c r="R371" s="772"/>
      <c r="S371" s="772"/>
      <c r="T371" s="772"/>
      <c r="U371" s="772"/>
      <c r="V371" s="772"/>
      <c r="W371" s="772"/>
      <c r="X371" s="772"/>
      <c r="Y371" s="772"/>
      <c r="Z371" s="772"/>
      <c r="AA371" s="772"/>
      <c r="AB371" s="772"/>
      <c r="AC371" s="772"/>
      <c r="AD371" s="772"/>
      <c r="AE371" s="772"/>
      <c r="AF371" s="772"/>
      <c r="AG371" s="772"/>
      <c r="AH371" s="772"/>
    </row>
    <row r="372" ht="15.75" customHeight="1">
      <c r="A372" s="815"/>
      <c r="B372" s="782"/>
      <c r="C372" s="782"/>
      <c r="D372" s="782"/>
      <c r="E372" s="816"/>
      <c r="F372" s="816"/>
      <c r="G372" s="817"/>
      <c r="H372" s="817"/>
      <c r="I372" s="818"/>
      <c r="J372" s="772"/>
      <c r="K372" s="772"/>
      <c r="L372" s="772"/>
      <c r="M372" s="772"/>
      <c r="N372" s="772"/>
      <c r="O372" s="772"/>
      <c r="P372" s="772"/>
      <c r="Q372" s="772"/>
      <c r="R372" s="772"/>
      <c r="S372" s="772"/>
      <c r="T372" s="772"/>
      <c r="U372" s="772"/>
      <c r="V372" s="772"/>
      <c r="W372" s="772"/>
      <c r="X372" s="772"/>
      <c r="Y372" s="772"/>
      <c r="Z372" s="772"/>
      <c r="AA372" s="772"/>
      <c r="AB372" s="772"/>
      <c r="AC372" s="772"/>
      <c r="AD372" s="772"/>
      <c r="AE372" s="772"/>
      <c r="AF372" s="772"/>
      <c r="AG372" s="772"/>
      <c r="AH372" s="772"/>
    </row>
    <row r="373" ht="15.75" customHeight="1">
      <c r="A373" s="815"/>
      <c r="B373" s="782"/>
      <c r="C373" s="782"/>
      <c r="D373" s="782"/>
      <c r="E373" s="816"/>
      <c r="F373" s="816"/>
      <c r="G373" s="817"/>
      <c r="H373" s="817"/>
      <c r="I373" s="818"/>
      <c r="J373" s="772"/>
      <c r="K373" s="772"/>
      <c r="L373" s="772"/>
      <c r="M373" s="772"/>
      <c r="N373" s="772"/>
      <c r="O373" s="772"/>
      <c r="P373" s="772"/>
      <c r="Q373" s="772"/>
      <c r="R373" s="772"/>
      <c r="S373" s="772"/>
      <c r="T373" s="772"/>
      <c r="U373" s="772"/>
      <c r="V373" s="772"/>
      <c r="W373" s="772"/>
      <c r="X373" s="772"/>
      <c r="Y373" s="772"/>
      <c r="Z373" s="772"/>
      <c r="AA373" s="772"/>
      <c r="AB373" s="772"/>
      <c r="AC373" s="772"/>
      <c r="AD373" s="772"/>
      <c r="AE373" s="772"/>
      <c r="AF373" s="772"/>
      <c r="AG373" s="772"/>
      <c r="AH373" s="772"/>
    </row>
    <row r="374" ht="15.75" customHeight="1">
      <c r="A374" s="815"/>
      <c r="B374" s="782"/>
      <c r="C374" s="782"/>
      <c r="D374" s="782"/>
      <c r="E374" s="816"/>
      <c r="F374" s="816"/>
      <c r="G374" s="817"/>
      <c r="H374" s="817"/>
      <c r="I374" s="818"/>
      <c r="J374" s="772"/>
      <c r="K374" s="772"/>
      <c r="L374" s="772"/>
      <c r="M374" s="772"/>
      <c r="N374" s="772"/>
      <c r="O374" s="772"/>
      <c r="P374" s="772"/>
      <c r="Q374" s="772"/>
      <c r="R374" s="772"/>
      <c r="S374" s="772"/>
      <c r="T374" s="772"/>
      <c r="U374" s="772"/>
      <c r="V374" s="772"/>
      <c r="W374" s="772"/>
      <c r="X374" s="772"/>
      <c r="Y374" s="772"/>
      <c r="Z374" s="772"/>
      <c r="AA374" s="772"/>
      <c r="AB374" s="772"/>
      <c r="AC374" s="772"/>
      <c r="AD374" s="772"/>
      <c r="AE374" s="772"/>
      <c r="AF374" s="772"/>
      <c r="AG374" s="772"/>
      <c r="AH374" s="772"/>
    </row>
    <row r="375" ht="15.75" customHeight="1">
      <c r="A375" s="815"/>
      <c r="B375" s="782"/>
      <c r="C375" s="782"/>
      <c r="D375" s="782"/>
      <c r="E375" s="816"/>
      <c r="F375" s="816"/>
      <c r="G375" s="817"/>
      <c r="H375" s="817"/>
      <c r="I375" s="818"/>
      <c r="J375" s="772"/>
      <c r="K375" s="772"/>
      <c r="L375" s="772"/>
      <c r="M375" s="772"/>
      <c r="N375" s="772"/>
      <c r="O375" s="772"/>
      <c r="P375" s="772"/>
      <c r="Q375" s="772"/>
      <c r="R375" s="772"/>
      <c r="S375" s="772"/>
      <c r="T375" s="772"/>
      <c r="U375" s="772"/>
      <c r="V375" s="772"/>
      <c r="W375" s="772"/>
      <c r="X375" s="772"/>
      <c r="Y375" s="772"/>
      <c r="Z375" s="772"/>
      <c r="AA375" s="772"/>
      <c r="AB375" s="772"/>
      <c r="AC375" s="772"/>
      <c r="AD375" s="772"/>
      <c r="AE375" s="772"/>
      <c r="AF375" s="772"/>
      <c r="AG375" s="772"/>
      <c r="AH375" s="772"/>
    </row>
    <row r="376" ht="15.75" customHeight="1">
      <c r="A376" s="815"/>
      <c r="B376" s="782"/>
      <c r="C376" s="782"/>
      <c r="D376" s="782"/>
      <c r="E376" s="816"/>
      <c r="F376" s="816"/>
      <c r="G376" s="817"/>
      <c r="H376" s="817"/>
      <c r="I376" s="818"/>
      <c r="J376" s="772"/>
      <c r="K376" s="772"/>
      <c r="L376" s="772"/>
      <c r="M376" s="772"/>
      <c r="N376" s="772"/>
      <c r="O376" s="772"/>
      <c r="P376" s="772"/>
      <c r="Q376" s="772"/>
      <c r="R376" s="772"/>
      <c r="S376" s="772"/>
      <c r="T376" s="772"/>
      <c r="U376" s="772"/>
      <c r="V376" s="772"/>
      <c r="W376" s="772"/>
      <c r="X376" s="772"/>
      <c r="Y376" s="772"/>
      <c r="Z376" s="772"/>
      <c r="AA376" s="772"/>
      <c r="AB376" s="772"/>
      <c r="AC376" s="772"/>
      <c r="AD376" s="772"/>
      <c r="AE376" s="772"/>
      <c r="AF376" s="772"/>
      <c r="AG376" s="772"/>
      <c r="AH376" s="772"/>
    </row>
    <row r="377" ht="15.75" customHeight="1">
      <c r="A377" s="815"/>
      <c r="B377" s="782"/>
      <c r="C377" s="782"/>
      <c r="D377" s="782"/>
      <c r="E377" s="816"/>
      <c r="F377" s="816"/>
      <c r="G377" s="817"/>
      <c r="H377" s="817"/>
      <c r="I377" s="818"/>
      <c r="J377" s="772"/>
      <c r="K377" s="772"/>
      <c r="L377" s="772"/>
      <c r="M377" s="772"/>
      <c r="N377" s="772"/>
      <c r="O377" s="772"/>
      <c r="P377" s="772"/>
      <c r="Q377" s="772"/>
      <c r="R377" s="772"/>
      <c r="S377" s="772"/>
      <c r="T377" s="772"/>
      <c r="U377" s="772"/>
      <c r="V377" s="772"/>
      <c r="W377" s="772"/>
      <c r="X377" s="772"/>
      <c r="Y377" s="772"/>
      <c r="Z377" s="772"/>
      <c r="AA377" s="772"/>
      <c r="AB377" s="772"/>
      <c r="AC377" s="772"/>
      <c r="AD377" s="772"/>
      <c r="AE377" s="772"/>
      <c r="AF377" s="772"/>
      <c r="AG377" s="772"/>
      <c r="AH377" s="772"/>
    </row>
    <row r="378" ht="15.75" customHeight="1">
      <c r="A378" s="815"/>
      <c r="B378" s="782"/>
      <c r="C378" s="782"/>
      <c r="D378" s="782"/>
      <c r="E378" s="816"/>
      <c r="F378" s="816"/>
      <c r="G378" s="817"/>
      <c r="H378" s="817"/>
      <c r="I378" s="818"/>
      <c r="J378" s="772"/>
      <c r="K378" s="772"/>
      <c r="L378" s="772"/>
      <c r="M378" s="772"/>
      <c r="N378" s="772"/>
      <c r="O378" s="772"/>
      <c r="P378" s="772"/>
      <c r="Q378" s="772"/>
      <c r="R378" s="772"/>
      <c r="S378" s="772"/>
      <c r="T378" s="772"/>
      <c r="U378" s="772"/>
      <c r="V378" s="772"/>
      <c r="W378" s="772"/>
      <c r="X378" s="772"/>
      <c r="Y378" s="772"/>
      <c r="Z378" s="772"/>
      <c r="AA378" s="772"/>
      <c r="AB378" s="772"/>
      <c r="AC378" s="772"/>
      <c r="AD378" s="772"/>
      <c r="AE378" s="772"/>
      <c r="AF378" s="772"/>
      <c r="AG378" s="772"/>
      <c r="AH378" s="772"/>
    </row>
    <row r="379" ht="15.75" customHeight="1">
      <c r="A379" s="815"/>
      <c r="B379" s="782"/>
      <c r="C379" s="782"/>
      <c r="D379" s="782"/>
      <c r="E379" s="816"/>
      <c r="F379" s="816"/>
      <c r="G379" s="817"/>
      <c r="H379" s="817"/>
      <c r="I379" s="818"/>
      <c r="J379" s="772"/>
      <c r="K379" s="772"/>
      <c r="L379" s="772"/>
      <c r="M379" s="772"/>
      <c r="N379" s="772"/>
      <c r="O379" s="772"/>
      <c r="P379" s="772"/>
      <c r="Q379" s="772"/>
      <c r="R379" s="772"/>
      <c r="S379" s="772"/>
      <c r="T379" s="772"/>
      <c r="U379" s="772"/>
      <c r="V379" s="772"/>
      <c r="W379" s="772"/>
      <c r="X379" s="772"/>
      <c r="Y379" s="772"/>
      <c r="Z379" s="772"/>
      <c r="AA379" s="772"/>
      <c r="AB379" s="772"/>
      <c r="AC379" s="772"/>
      <c r="AD379" s="772"/>
      <c r="AE379" s="772"/>
      <c r="AF379" s="772"/>
      <c r="AG379" s="772"/>
      <c r="AH379" s="772"/>
    </row>
    <row r="380" ht="15.75" customHeight="1">
      <c r="A380" s="815"/>
      <c r="B380" s="782"/>
      <c r="C380" s="782"/>
      <c r="D380" s="782"/>
      <c r="E380" s="816"/>
      <c r="F380" s="816"/>
      <c r="G380" s="817"/>
      <c r="H380" s="817"/>
      <c r="I380" s="818"/>
      <c r="J380" s="772"/>
      <c r="K380" s="772"/>
      <c r="L380" s="772"/>
      <c r="M380" s="772"/>
      <c r="N380" s="772"/>
      <c r="O380" s="772"/>
      <c r="P380" s="772"/>
      <c r="Q380" s="772"/>
      <c r="R380" s="772"/>
      <c r="S380" s="772"/>
      <c r="T380" s="772"/>
      <c r="U380" s="772"/>
      <c r="V380" s="772"/>
      <c r="W380" s="772"/>
      <c r="X380" s="772"/>
      <c r="Y380" s="772"/>
      <c r="Z380" s="772"/>
      <c r="AA380" s="772"/>
      <c r="AB380" s="772"/>
      <c r="AC380" s="772"/>
      <c r="AD380" s="772"/>
      <c r="AE380" s="772"/>
      <c r="AF380" s="772"/>
      <c r="AG380" s="772"/>
      <c r="AH380" s="772"/>
    </row>
    <row r="381" ht="15.75" customHeight="1">
      <c r="A381" s="815"/>
      <c r="B381" s="782"/>
      <c r="C381" s="782"/>
      <c r="D381" s="782"/>
      <c r="E381" s="816"/>
      <c r="F381" s="816"/>
      <c r="G381" s="817"/>
      <c r="H381" s="817"/>
      <c r="I381" s="818"/>
      <c r="J381" s="772"/>
      <c r="K381" s="772"/>
      <c r="L381" s="772"/>
      <c r="M381" s="772"/>
      <c r="N381" s="772"/>
      <c r="O381" s="772"/>
      <c r="P381" s="772"/>
      <c r="Q381" s="772"/>
      <c r="R381" s="772"/>
      <c r="S381" s="772"/>
      <c r="T381" s="772"/>
      <c r="U381" s="772"/>
      <c r="V381" s="772"/>
      <c r="W381" s="772"/>
      <c r="X381" s="772"/>
      <c r="Y381" s="772"/>
      <c r="Z381" s="772"/>
      <c r="AA381" s="772"/>
      <c r="AB381" s="772"/>
      <c r="AC381" s="772"/>
      <c r="AD381" s="772"/>
      <c r="AE381" s="772"/>
      <c r="AF381" s="772"/>
      <c r="AG381" s="772"/>
      <c r="AH381" s="772"/>
    </row>
    <row r="382" ht="15.75" customHeight="1">
      <c r="A382" s="815"/>
      <c r="B382" s="782"/>
      <c r="C382" s="782"/>
      <c r="D382" s="782"/>
      <c r="E382" s="816"/>
      <c r="F382" s="816"/>
      <c r="G382" s="817"/>
      <c r="H382" s="817"/>
      <c r="I382" s="818"/>
      <c r="J382" s="772"/>
      <c r="K382" s="772"/>
      <c r="L382" s="772"/>
      <c r="M382" s="772"/>
      <c r="N382" s="772"/>
      <c r="O382" s="772"/>
      <c r="P382" s="772"/>
      <c r="Q382" s="772"/>
      <c r="R382" s="772"/>
      <c r="S382" s="772"/>
      <c r="T382" s="772"/>
      <c r="U382" s="772"/>
      <c r="V382" s="772"/>
      <c r="W382" s="772"/>
      <c r="X382" s="772"/>
      <c r="Y382" s="772"/>
      <c r="Z382" s="772"/>
      <c r="AA382" s="772"/>
      <c r="AB382" s="772"/>
      <c r="AC382" s="772"/>
      <c r="AD382" s="772"/>
      <c r="AE382" s="772"/>
      <c r="AF382" s="772"/>
      <c r="AG382" s="772"/>
      <c r="AH382" s="772"/>
    </row>
    <row r="383" ht="15.75" customHeight="1">
      <c r="A383" s="815"/>
      <c r="B383" s="782"/>
      <c r="C383" s="782"/>
      <c r="D383" s="782"/>
      <c r="E383" s="816"/>
      <c r="F383" s="816"/>
      <c r="G383" s="817"/>
      <c r="H383" s="817"/>
      <c r="I383" s="818"/>
      <c r="J383" s="772"/>
      <c r="K383" s="772"/>
      <c r="L383" s="772"/>
      <c r="M383" s="772"/>
      <c r="N383" s="772"/>
      <c r="O383" s="772"/>
      <c r="P383" s="772"/>
      <c r="Q383" s="772"/>
      <c r="R383" s="772"/>
      <c r="S383" s="772"/>
      <c r="T383" s="772"/>
      <c r="U383" s="772"/>
      <c r="V383" s="772"/>
      <c r="W383" s="772"/>
      <c r="X383" s="772"/>
      <c r="Y383" s="772"/>
      <c r="Z383" s="772"/>
      <c r="AA383" s="772"/>
      <c r="AB383" s="772"/>
      <c r="AC383" s="772"/>
      <c r="AD383" s="772"/>
      <c r="AE383" s="772"/>
      <c r="AF383" s="772"/>
      <c r="AG383" s="772"/>
      <c r="AH383" s="772"/>
    </row>
    <row r="384" ht="15.75" customHeight="1">
      <c r="A384" s="815"/>
      <c r="B384" s="782"/>
      <c r="C384" s="782"/>
      <c r="D384" s="782"/>
      <c r="E384" s="816"/>
      <c r="F384" s="816"/>
      <c r="G384" s="817"/>
      <c r="H384" s="817"/>
      <c r="I384" s="818"/>
      <c r="J384" s="772"/>
      <c r="K384" s="772"/>
      <c r="L384" s="772"/>
      <c r="M384" s="772"/>
      <c r="N384" s="772"/>
      <c r="O384" s="772"/>
      <c r="P384" s="772"/>
      <c r="Q384" s="772"/>
      <c r="R384" s="772"/>
      <c r="S384" s="772"/>
      <c r="T384" s="772"/>
      <c r="U384" s="772"/>
      <c r="V384" s="772"/>
      <c r="W384" s="772"/>
      <c r="X384" s="772"/>
      <c r="Y384" s="772"/>
      <c r="Z384" s="772"/>
      <c r="AA384" s="772"/>
      <c r="AB384" s="772"/>
      <c r="AC384" s="772"/>
      <c r="AD384" s="772"/>
      <c r="AE384" s="772"/>
      <c r="AF384" s="772"/>
      <c r="AG384" s="772"/>
      <c r="AH384" s="772"/>
    </row>
    <row r="385" ht="15.75" customHeight="1">
      <c r="A385" s="815"/>
      <c r="B385" s="782"/>
      <c r="C385" s="782"/>
      <c r="D385" s="782"/>
      <c r="E385" s="816"/>
      <c r="F385" s="816"/>
      <c r="G385" s="817"/>
      <c r="H385" s="817"/>
      <c r="I385" s="818"/>
      <c r="J385" s="772"/>
      <c r="K385" s="772"/>
      <c r="L385" s="772"/>
      <c r="M385" s="772"/>
      <c r="N385" s="772"/>
      <c r="O385" s="772"/>
      <c r="P385" s="772"/>
      <c r="Q385" s="772"/>
      <c r="R385" s="772"/>
      <c r="S385" s="772"/>
      <c r="T385" s="772"/>
      <c r="U385" s="772"/>
      <c r="V385" s="772"/>
      <c r="W385" s="772"/>
      <c r="X385" s="772"/>
      <c r="Y385" s="772"/>
      <c r="Z385" s="772"/>
      <c r="AA385" s="772"/>
      <c r="AB385" s="772"/>
      <c r="AC385" s="772"/>
      <c r="AD385" s="772"/>
      <c r="AE385" s="772"/>
      <c r="AF385" s="772"/>
      <c r="AG385" s="772"/>
      <c r="AH385" s="772"/>
    </row>
    <row r="386" ht="15.75" customHeight="1">
      <c r="A386" s="815"/>
      <c r="B386" s="782"/>
      <c r="C386" s="782"/>
      <c r="D386" s="782"/>
      <c r="E386" s="816"/>
      <c r="F386" s="816"/>
      <c r="G386" s="817"/>
      <c r="H386" s="817"/>
      <c r="I386" s="818"/>
      <c r="J386" s="772"/>
      <c r="K386" s="772"/>
      <c r="L386" s="772"/>
      <c r="M386" s="772"/>
      <c r="N386" s="772"/>
      <c r="O386" s="772"/>
      <c r="P386" s="772"/>
      <c r="Q386" s="772"/>
      <c r="R386" s="772"/>
      <c r="S386" s="772"/>
      <c r="T386" s="772"/>
      <c r="U386" s="772"/>
      <c r="V386" s="772"/>
      <c r="W386" s="772"/>
      <c r="X386" s="772"/>
      <c r="Y386" s="772"/>
      <c r="Z386" s="772"/>
      <c r="AA386" s="772"/>
      <c r="AB386" s="772"/>
      <c r="AC386" s="772"/>
      <c r="AD386" s="772"/>
      <c r="AE386" s="772"/>
      <c r="AF386" s="772"/>
      <c r="AG386" s="772"/>
      <c r="AH386" s="772"/>
    </row>
    <row r="387" ht="15.75" customHeight="1">
      <c r="A387" s="815"/>
      <c r="B387" s="782"/>
      <c r="C387" s="782"/>
      <c r="D387" s="782"/>
      <c r="E387" s="816"/>
      <c r="F387" s="816"/>
      <c r="G387" s="817"/>
      <c r="H387" s="817"/>
      <c r="I387" s="818"/>
      <c r="J387" s="772"/>
      <c r="K387" s="772"/>
      <c r="L387" s="772"/>
      <c r="M387" s="772"/>
      <c r="N387" s="772"/>
      <c r="O387" s="772"/>
      <c r="P387" s="772"/>
      <c r="Q387" s="772"/>
      <c r="R387" s="772"/>
      <c r="S387" s="772"/>
      <c r="T387" s="772"/>
      <c r="U387" s="772"/>
      <c r="V387" s="772"/>
      <c r="W387" s="772"/>
      <c r="X387" s="772"/>
      <c r="Y387" s="772"/>
      <c r="Z387" s="772"/>
      <c r="AA387" s="772"/>
      <c r="AB387" s="772"/>
      <c r="AC387" s="772"/>
      <c r="AD387" s="772"/>
      <c r="AE387" s="772"/>
      <c r="AF387" s="772"/>
      <c r="AG387" s="772"/>
      <c r="AH387" s="772"/>
    </row>
    <row r="388" ht="15.75" customHeight="1">
      <c r="A388" s="815"/>
      <c r="B388" s="782"/>
      <c r="C388" s="782"/>
      <c r="D388" s="782"/>
      <c r="E388" s="816"/>
      <c r="F388" s="816"/>
      <c r="G388" s="817"/>
      <c r="H388" s="817"/>
      <c r="I388" s="818"/>
      <c r="J388" s="772"/>
      <c r="K388" s="772"/>
      <c r="L388" s="772"/>
      <c r="M388" s="772"/>
      <c r="N388" s="772"/>
      <c r="O388" s="772"/>
      <c r="P388" s="772"/>
      <c r="Q388" s="772"/>
      <c r="R388" s="772"/>
      <c r="S388" s="772"/>
      <c r="T388" s="772"/>
      <c r="U388" s="772"/>
      <c r="V388" s="772"/>
      <c r="W388" s="772"/>
      <c r="X388" s="772"/>
      <c r="Y388" s="772"/>
      <c r="Z388" s="772"/>
      <c r="AA388" s="772"/>
      <c r="AB388" s="772"/>
      <c r="AC388" s="772"/>
      <c r="AD388" s="772"/>
      <c r="AE388" s="772"/>
      <c r="AF388" s="772"/>
      <c r="AG388" s="772"/>
      <c r="AH388" s="772"/>
    </row>
    <row r="389" ht="15.75" customHeight="1">
      <c r="A389" s="815"/>
      <c r="B389" s="782"/>
      <c r="C389" s="782"/>
      <c r="D389" s="782"/>
      <c r="E389" s="816"/>
      <c r="F389" s="816"/>
      <c r="G389" s="817"/>
      <c r="H389" s="817"/>
      <c r="I389" s="818"/>
      <c r="J389" s="772"/>
      <c r="K389" s="772"/>
      <c r="L389" s="772"/>
      <c r="M389" s="772"/>
      <c r="N389" s="772"/>
      <c r="O389" s="772"/>
      <c r="P389" s="772"/>
      <c r="Q389" s="772"/>
      <c r="R389" s="772"/>
      <c r="S389" s="772"/>
      <c r="T389" s="772"/>
      <c r="U389" s="772"/>
      <c r="V389" s="772"/>
      <c r="W389" s="772"/>
      <c r="X389" s="772"/>
      <c r="Y389" s="772"/>
      <c r="Z389" s="772"/>
      <c r="AA389" s="772"/>
      <c r="AB389" s="772"/>
      <c r="AC389" s="772"/>
      <c r="AD389" s="772"/>
      <c r="AE389" s="772"/>
      <c r="AF389" s="772"/>
      <c r="AG389" s="772"/>
      <c r="AH389" s="772"/>
    </row>
    <row r="390" ht="15.75" customHeight="1">
      <c r="A390" s="815"/>
      <c r="B390" s="782"/>
      <c r="C390" s="782"/>
      <c r="D390" s="782"/>
      <c r="E390" s="816"/>
      <c r="F390" s="816"/>
      <c r="G390" s="817"/>
      <c r="H390" s="817"/>
      <c r="I390" s="818"/>
      <c r="J390" s="772"/>
      <c r="K390" s="772"/>
      <c r="L390" s="772"/>
      <c r="M390" s="772"/>
      <c r="N390" s="772"/>
      <c r="O390" s="772"/>
      <c r="P390" s="772"/>
      <c r="Q390" s="772"/>
      <c r="R390" s="772"/>
      <c r="S390" s="772"/>
      <c r="T390" s="772"/>
      <c r="U390" s="772"/>
      <c r="V390" s="772"/>
      <c r="W390" s="772"/>
      <c r="X390" s="772"/>
      <c r="Y390" s="772"/>
      <c r="Z390" s="772"/>
      <c r="AA390" s="772"/>
      <c r="AB390" s="772"/>
      <c r="AC390" s="772"/>
      <c r="AD390" s="772"/>
      <c r="AE390" s="772"/>
      <c r="AF390" s="772"/>
      <c r="AG390" s="772"/>
      <c r="AH390" s="772"/>
    </row>
    <row r="391" ht="15.75" customHeight="1">
      <c r="A391" s="815"/>
      <c r="B391" s="782"/>
      <c r="C391" s="782"/>
      <c r="D391" s="782"/>
      <c r="E391" s="816"/>
      <c r="F391" s="816"/>
      <c r="G391" s="817"/>
      <c r="H391" s="817"/>
      <c r="I391" s="818"/>
      <c r="J391" s="772"/>
      <c r="K391" s="772"/>
      <c r="L391" s="772"/>
      <c r="M391" s="772"/>
      <c r="N391" s="772"/>
      <c r="O391" s="772"/>
      <c r="P391" s="772"/>
      <c r="Q391" s="772"/>
      <c r="R391" s="772"/>
      <c r="S391" s="772"/>
      <c r="T391" s="772"/>
      <c r="U391" s="772"/>
      <c r="V391" s="772"/>
      <c r="W391" s="772"/>
      <c r="X391" s="772"/>
      <c r="Y391" s="772"/>
      <c r="Z391" s="772"/>
      <c r="AA391" s="772"/>
      <c r="AB391" s="772"/>
      <c r="AC391" s="772"/>
      <c r="AD391" s="772"/>
      <c r="AE391" s="772"/>
      <c r="AF391" s="772"/>
      <c r="AG391" s="772"/>
      <c r="AH391" s="772"/>
    </row>
    <row r="392" ht="15.75" customHeight="1">
      <c r="A392" s="815"/>
      <c r="B392" s="782"/>
      <c r="C392" s="782"/>
      <c r="D392" s="782"/>
      <c r="E392" s="816"/>
      <c r="F392" s="816"/>
      <c r="G392" s="817"/>
      <c r="H392" s="817"/>
      <c r="I392" s="818"/>
      <c r="J392" s="772"/>
      <c r="K392" s="772"/>
      <c r="L392" s="772"/>
      <c r="M392" s="772"/>
      <c r="N392" s="772"/>
      <c r="O392" s="772"/>
      <c r="P392" s="772"/>
      <c r="Q392" s="772"/>
      <c r="R392" s="772"/>
      <c r="S392" s="772"/>
      <c r="T392" s="772"/>
      <c r="U392" s="772"/>
      <c r="V392" s="772"/>
      <c r="W392" s="772"/>
      <c r="X392" s="772"/>
      <c r="Y392" s="772"/>
      <c r="Z392" s="772"/>
      <c r="AA392" s="772"/>
      <c r="AB392" s="772"/>
      <c r="AC392" s="772"/>
      <c r="AD392" s="772"/>
      <c r="AE392" s="772"/>
      <c r="AF392" s="772"/>
      <c r="AG392" s="772"/>
      <c r="AH392" s="772"/>
    </row>
    <row r="393" ht="15.75" customHeight="1">
      <c r="A393" s="815"/>
      <c r="B393" s="782"/>
      <c r="C393" s="782"/>
      <c r="D393" s="782"/>
      <c r="E393" s="816"/>
      <c r="F393" s="816"/>
      <c r="G393" s="817"/>
      <c r="H393" s="817"/>
      <c r="I393" s="818"/>
      <c r="J393" s="772"/>
      <c r="K393" s="772"/>
      <c r="L393" s="772"/>
      <c r="M393" s="772"/>
      <c r="N393" s="772"/>
      <c r="O393" s="772"/>
      <c r="P393" s="772"/>
      <c r="Q393" s="772"/>
      <c r="R393" s="772"/>
      <c r="S393" s="772"/>
      <c r="T393" s="772"/>
      <c r="U393" s="772"/>
      <c r="V393" s="772"/>
      <c r="W393" s="772"/>
      <c r="X393" s="772"/>
      <c r="Y393" s="772"/>
      <c r="Z393" s="772"/>
      <c r="AA393" s="772"/>
      <c r="AB393" s="772"/>
      <c r="AC393" s="772"/>
      <c r="AD393" s="772"/>
      <c r="AE393" s="772"/>
      <c r="AF393" s="772"/>
      <c r="AG393" s="772"/>
      <c r="AH393" s="772"/>
    </row>
    <row r="394" ht="15.75" customHeight="1">
      <c r="A394" s="815"/>
      <c r="B394" s="782"/>
      <c r="C394" s="782"/>
      <c r="D394" s="782"/>
      <c r="E394" s="816"/>
      <c r="F394" s="816"/>
      <c r="G394" s="817"/>
      <c r="H394" s="817"/>
      <c r="I394" s="818"/>
      <c r="J394" s="772"/>
      <c r="K394" s="772"/>
      <c r="L394" s="772"/>
      <c r="M394" s="772"/>
      <c r="N394" s="772"/>
      <c r="O394" s="772"/>
      <c r="P394" s="772"/>
      <c r="Q394" s="772"/>
      <c r="R394" s="772"/>
      <c r="S394" s="772"/>
      <c r="T394" s="772"/>
      <c r="U394" s="772"/>
      <c r="V394" s="772"/>
      <c r="W394" s="772"/>
      <c r="X394" s="772"/>
      <c r="Y394" s="772"/>
      <c r="Z394" s="772"/>
      <c r="AA394" s="772"/>
      <c r="AB394" s="772"/>
      <c r="AC394" s="772"/>
      <c r="AD394" s="772"/>
      <c r="AE394" s="772"/>
      <c r="AF394" s="772"/>
      <c r="AG394" s="772"/>
      <c r="AH394" s="772"/>
    </row>
    <row r="395" ht="15.75" customHeight="1">
      <c r="A395" s="815"/>
      <c r="B395" s="782"/>
      <c r="C395" s="782"/>
      <c r="D395" s="782"/>
      <c r="E395" s="816"/>
      <c r="F395" s="816"/>
      <c r="G395" s="817"/>
      <c r="H395" s="817"/>
      <c r="I395" s="818"/>
      <c r="J395" s="772"/>
      <c r="K395" s="772"/>
      <c r="L395" s="772"/>
      <c r="M395" s="772"/>
      <c r="N395" s="772"/>
      <c r="O395" s="772"/>
      <c r="P395" s="772"/>
      <c r="Q395" s="772"/>
      <c r="R395" s="772"/>
      <c r="S395" s="772"/>
      <c r="T395" s="772"/>
      <c r="U395" s="772"/>
      <c r="V395" s="772"/>
      <c r="W395" s="772"/>
      <c r="X395" s="772"/>
      <c r="Y395" s="772"/>
      <c r="Z395" s="772"/>
      <c r="AA395" s="772"/>
      <c r="AB395" s="772"/>
      <c r="AC395" s="772"/>
      <c r="AD395" s="772"/>
      <c r="AE395" s="772"/>
      <c r="AF395" s="772"/>
      <c r="AG395" s="772"/>
      <c r="AH395" s="772"/>
    </row>
    <row r="396" ht="15.75" customHeight="1">
      <c r="A396" s="815"/>
      <c r="B396" s="782"/>
      <c r="C396" s="782"/>
      <c r="D396" s="782"/>
      <c r="E396" s="816"/>
      <c r="F396" s="816"/>
      <c r="G396" s="817"/>
      <c r="H396" s="817"/>
      <c r="I396" s="818"/>
      <c r="J396" s="772"/>
      <c r="K396" s="772"/>
      <c r="L396" s="772"/>
      <c r="M396" s="772"/>
      <c r="N396" s="772"/>
      <c r="O396" s="772"/>
      <c r="P396" s="772"/>
      <c r="Q396" s="772"/>
      <c r="R396" s="772"/>
      <c r="S396" s="772"/>
      <c r="T396" s="772"/>
      <c r="U396" s="772"/>
      <c r="V396" s="772"/>
      <c r="W396" s="772"/>
      <c r="X396" s="772"/>
      <c r="Y396" s="772"/>
      <c r="Z396" s="772"/>
      <c r="AA396" s="772"/>
      <c r="AB396" s="772"/>
      <c r="AC396" s="772"/>
      <c r="AD396" s="772"/>
      <c r="AE396" s="772"/>
      <c r="AF396" s="772"/>
      <c r="AG396" s="772"/>
      <c r="AH396" s="772"/>
    </row>
    <row r="397" ht="15.75" customHeight="1">
      <c r="A397" s="815"/>
      <c r="B397" s="782"/>
      <c r="C397" s="782"/>
      <c r="D397" s="782"/>
      <c r="E397" s="816"/>
      <c r="F397" s="816"/>
      <c r="G397" s="817"/>
      <c r="H397" s="817"/>
      <c r="I397" s="818"/>
      <c r="J397" s="772"/>
      <c r="K397" s="772"/>
      <c r="L397" s="772"/>
      <c r="M397" s="772"/>
      <c r="N397" s="772"/>
      <c r="O397" s="772"/>
      <c r="P397" s="772"/>
      <c r="Q397" s="772"/>
      <c r="R397" s="772"/>
      <c r="S397" s="772"/>
      <c r="T397" s="772"/>
      <c r="U397" s="772"/>
      <c r="V397" s="772"/>
      <c r="W397" s="772"/>
      <c r="X397" s="772"/>
      <c r="Y397" s="772"/>
      <c r="Z397" s="772"/>
      <c r="AA397" s="772"/>
      <c r="AB397" s="772"/>
      <c r="AC397" s="772"/>
      <c r="AD397" s="772"/>
      <c r="AE397" s="772"/>
      <c r="AF397" s="772"/>
      <c r="AG397" s="772"/>
      <c r="AH397" s="772"/>
    </row>
    <row r="398" ht="15.75" customHeight="1">
      <c r="A398" s="815"/>
      <c r="B398" s="782"/>
      <c r="C398" s="782"/>
      <c r="D398" s="782"/>
      <c r="E398" s="816"/>
      <c r="F398" s="816"/>
      <c r="G398" s="817"/>
      <c r="H398" s="817"/>
      <c r="I398" s="818"/>
      <c r="J398" s="772"/>
      <c r="K398" s="772"/>
      <c r="L398" s="772"/>
      <c r="M398" s="772"/>
      <c r="N398" s="772"/>
      <c r="O398" s="772"/>
      <c r="P398" s="772"/>
      <c r="Q398" s="772"/>
      <c r="R398" s="772"/>
      <c r="S398" s="772"/>
      <c r="T398" s="772"/>
      <c r="U398" s="772"/>
      <c r="V398" s="772"/>
      <c r="W398" s="772"/>
      <c r="X398" s="772"/>
      <c r="Y398" s="772"/>
      <c r="Z398" s="772"/>
      <c r="AA398" s="772"/>
      <c r="AB398" s="772"/>
      <c r="AC398" s="772"/>
      <c r="AD398" s="772"/>
      <c r="AE398" s="772"/>
      <c r="AF398" s="772"/>
      <c r="AG398" s="772"/>
      <c r="AH398" s="772"/>
    </row>
    <row r="399" ht="15.75" customHeight="1">
      <c r="A399" s="815"/>
      <c r="B399" s="782"/>
      <c r="C399" s="782"/>
      <c r="D399" s="782"/>
      <c r="E399" s="816"/>
      <c r="F399" s="816"/>
      <c r="G399" s="817"/>
      <c r="H399" s="817"/>
      <c r="I399" s="818"/>
      <c r="J399" s="772"/>
      <c r="K399" s="772"/>
      <c r="L399" s="772"/>
      <c r="M399" s="772"/>
      <c r="N399" s="772"/>
      <c r="O399" s="772"/>
      <c r="P399" s="772"/>
      <c r="Q399" s="772"/>
      <c r="R399" s="772"/>
      <c r="S399" s="772"/>
      <c r="T399" s="772"/>
      <c r="U399" s="772"/>
      <c r="V399" s="772"/>
      <c r="W399" s="772"/>
      <c r="X399" s="772"/>
      <c r="Y399" s="772"/>
      <c r="Z399" s="772"/>
      <c r="AA399" s="772"/>
      <c r="AB399" s="772"/>
      <c r="AC399" s="772"/>
      <c r="AD399" s="772"/>
      <c r="AE399" s="772"/>
      <c r="AF399" s="772"/>
      <c r="AG399" s="772"/>
      <c r="AH399" s="772"/>
    </row>
    <row r="400" ht="15.75" customHeight="1">
      <c r="A400" s="815"/>
      <c r="B400" s="782"/>
      <c r="C400" s="782"/>
      <c r="D400" s="782"/>
      <c r="E400" s="816"/>
      <c r="F400" s="816"/>
      <c r="G400" s="817"/>
      <c r="H400" s="817"/>
      <c r="I400" s="818"/>
      <c r="J400" s="772"/>
      <c r="K400" s="772"/>
      <c r="L400" s="772"/>
      <c r="M400" s="772"/>
      <c r="N400" s="772"/>
      <c r="O400" s="772"/>
      <c r="P400" s="772"/>
      <c r="Q400" s="772"/>
      <c r="R400" s="772"/>
      <c r="S400" s="772"/>
      <c r="T400" s="772"/>
      <c r="U400" s="772"/>
      <c r="V400" s="772"/>
      <c r="W400" s="772"/>
      <c r="X400" s="772"/>
      <c r="Y400" s="772"/>
      <c r="Z400" s="772"/>
      <c r="AA400" s="772"/>
      <c r="AB400" s="772"/>
      <c r="AC400" s="772"/>
      <c r="AD400" s="772"/>
      <c r="AE400" s="772"/>
      <c r="AF400" s="772"/>
      <c r="AG400" s="772"/>
      <c r="AH400" s="772"/>
    </row>
    <row r="401" ht="15.75" customHeight="1">
      <c r="A401" s="815"/>
      <c r="B401" s="782"/>
      <c r="C401" s="782"/>
      <c r="D401" s="782"/>
      <c r="E401" s="816"/>
      <c r="F401" s="816"/>
      <c r="G401" s="817"/>
      <c r="H401" s="817"/>
      <c r="I401" s="818"/>
      <c r="J401" s="772"/>
      <c r="K401" s="772"/>
      <c r="L401" s="772"/>
      <c r="M401" s="772"/>
      <c r="N401" s="772"/>
      <c r="O401" s="772"/>
      <c r="P401" s="772"/>
      <c r="Q401" s="772"/>
      <c r="R401" s="772"/>
      <c r="S401" s="772"/>
      <c r="T401" s="772"/>
      <c r="U401" s="772"/>
      <c r="V401" s="772"/>
      <c r="W401" s="772"/>
      <c r="X401" s="772"/>
      <c r="Y401" s="772"/>
      <c r="Z401" s="772"/>
      <c r="AA401" s="772"/>
      <c r="AB401" s="772"/>
      <c r="AC401" s="772"/>
      <c r="AD401" s="772"/>
      <c r="AE401" s="772"/>
      <c r="AF401" s="772"/>
      <c r="AG401" s="772"/>
      <c r="AH401" s="772"/>
    </row>
    <row r="402" ht="15.75" customHeight="1">
      <c r="A402" s="815"/>
      <c r="B402" s="782"/>
      <c r="C402" s="782"/>
      <c r="D402" s="782"/>
      <c r="E402" s="816"/>
      <c r="F402" s="816"/>
      <c r="G402" s="817"/>
      <c r="H402" s="817"/>
      <c r="I402" s="818"/>
      <c r="J402" s="772"/>
      <c r="K402" s="772"/>
      <c r="L402" s="772"/>
      <c r="M402" s="772"/>
      <c r="N402" s="772"/>
      <c r="O402" s="772"/>
      <c r="P402" s="772"/>
      <c r="Q402" s="772"/>
      <c r="R402" s="772"/>
      <c r="S402" s="772"/>
      <c r="T402" s="772"/>
      <c r="U402" s="772"/>
      <c r="V402" s="772"/>
      <c r="W402" s="772"/>
      <c r="X402" s="772"/>
      <c r="Y402" s="772"/>
      <c r="Z402" s="772"/>
      <c r="AA402" s="772"/>
      <c r="AB402" s="772"/>
      <c r="AC402" s="772"/>
      <c r="AD402" s="772"/>
      <c r="AE402" s="772"/>
      <c r="AF402" s="772"/>
      <c r="AG402" s="772"/>
      <c r="AH402" s="772"/>
    </row>
    <row r="403" ht="15.75" customHeight="1">
      <c r="A403" s="815"/>
      <c r="B403" s="782"/>
      <c r="C403" s="782"/>
      <c r="D403" s="782"/>
      <c r="E403" s="816"/>
      <c r="F403" s="816"/>
      <c r="G403" s="817"/>
      <c r="H403" s="817"/>
      <c r="I403" s="818"/>
      <c r="J403" s="772"/>
      <c r="K403" s="772"/>
      <c r="L403" s="772"/>
      <c r="M403" s="772"/>
      <c r="N403" s="772"/>
      <c r="O403" s="772"/>
      <c r="P403" s="772"/>
      <c r="Q403" s="772"/>
      <c r="R403" s="772"/>
      <c r="S403" s="772"/>
      <c r="T403" s="772"/>
      <c r="U403" s="772"/>
      <c r="V403" s="772"/>
      <c r="W403" s="772"/>
      <c r="X403" s="772"/>
      <c r="Y403" s="772"/>
      <c r="Z403" s="772"/>
      <c r="AA403" s="772"/>
      <c r="AB403" s="772"/>
      <c r="AC403" s="772"/>
      <c r="AD403" s="772"/>
      <c r="AE403" s="772"/>
      <c r="AF403" s="772"/>
      <c r="AG403" s="772"/>
      <c r="AH403" s="772"/>
    </row>
    <row r="404" ht="15.75" customHeight="1">
      <c r="A404" s="815"/>
      <c r="B404" s="782"/>
      <c r="C404" s="782"/>
      <c r="D404" s="782"/>
      <c r="E404" s="816"/>
      <c r="F404" s="816"/>
      <c r="G404" s="817"/>
      <c r="H404" s="817"/>
      <c r="I404" s="818"/>
      <c r="J404" s="772"/>
      <c r="K404" s="772"/>
      <c r="L404" s="772"/>
      <c r="M404" s="772"/>
      <c r="N404" s="772"/>
      <c r="O404" s="772"/>
      <c r="P404" s="772"/>
      <c r="Q404" s="772"/>
      <c r="R404" s="772"/>
      <c r="S404" s="772"/>
      <c r="T404" s="772"/>
      <c r="U404" s="772"/>
      <c r="V404" s="772"/>
      <c r="W404" s="772"/>
      <c r="X404" s="772"/>
      <c r="Y404" s="772"/>
      <c r="Z404" s="772"/>
      <c r="AA404" s="772"/>
      <c r="AB404" s="772"/>
      <c r="AC404" s="772"/>
      <c r="AD404" s="772"/>
      <c r="AE404" s="772"/>
      <c r="AF404" s="772"/>
      <c r="AG404" s="772"/>
      <c r="AH404" s="772"/>
    </row>
    <row r="405" ht="15.75" customHeight="1">
      <c r="A405" s="815"/>
      <c r="B405" s="782"/>
      <c r="C405" s="782"/>
      <c r="D405" s="782"/>
      <c r="E405" s="816"/>
      <c r="F405" s="816"/>
      <c r="G405" s="817"/>
      <c r="H405" s="817"/>
      <c r="I405" s="818"/>
      <c r="J405" s="772"/>
      <c r="K405" s="772"/>
      <c r="L405" s="772"/>
      <c r="M405" s="772"/>
      <c r="N405" s="772"/>
      <c r="O405" s="772"/>
      <c r="P405" s="772"/>
      <c r="Q405" s="772"/>
      <c r="R405" s="772"/>
      <c r="S405" s="772"/>
      <c r="T405" s="772"/>
      <c r="U405" s="772"/>
      <c r="V405" s="772"/>
      <c r="W405" s="772"/>
      <c r="X405" s="772"/>
      <c r="Y405" s="772"/>
      <c r="Z405" s="772"/>
      <c r="AA405" s="772"/>
      <c r="AB405" s="772"/>
      <c r="AC405" s="772"/>
      <c r="AD405" s="772"/>
      <c r="AE405" s="772"/>
      <c r="AF405" s="772"/>
      <c r="AG405" s="772"/>
      <c r="AH405" s="772"/>
    </row>
    <row r="406" ht="15.75" customHeight="1">
      <c r="A406" s="815"/>
      <c r="B406" s="782"/>
      <c r="C406" s="782"/>
      <c r="D406" s="782"/>
      <c r="E406" s="816"/>
      <c r="F406" s="816"/>
      <c r="G406" s="817"/>
      <c r="H406" s="817"/>
      <c r="I406" s="818"/>
      <c r="J406" s="772"/>
      <c r="K406" s="772"/>
      <c r="L406" s="772"/>
      <c r="M406" s="772"/>
      <c r="N406" s="772"/>
      <c r="O406" s="772"/>
      <c r="P406" s="772"/>
      <c r="Q406" s="772"/>
      <c r="R406" s="772"/>
      <c r="S406" s="772"/>
      <c r="T406" s="772"/>
      <c r="U406" s="772"/>
      <c r="V406" s="772"/>
      <c r="W406" s="772"/>
      <c r="X406" s="772"/>
      <c r="Y406" s="772"/>
      <c r="Z406" s="772"/>
      <c r="AA406" s="772"/>
      <c r="AB406" s="772"/>
      <c r="AC406" s="772"/>
      <c r="AD406" s="772"/>
      <c r="AE406" s="772"/>
      <c r="AF406" s="772"/>
      <c r="AG406" s="772"/>
      <c r="AH406" s="772"/>
    </row>
    <row r="407" ht="15.75" customHeight="1">
      <c r="A407" s="815"/>
      <c r="B407" s="782"/>
      <c r="C407" s="782"/>
      <c r="D407" s="782"/>
      <c r="E407" s="816"/>
      <c r="F407" s="816"/>
      <c r="G407" s="817"/>
      <c r="H407" s="817"/>
      <c r="I407" s="818"/>
      <c r="J407" s="772"/>
      <c r="K407" s="772"/>
      <c r="L407" s="772"/>
      <c r="M407" s="772"/>
      <c r="N407" s="772"/>
      <c r="O407" s="772"/>
      <c r="P407" s="772"/>
      <c r="Q407" s="772"/>
      <c r="R407" s="772"/>
      <c r="S407" s="772"/>
      <c r="T407" s="772"/>
      <c r="U407" s="772"/>
      <c r="V407" s="772"/>
      <c r="W407" s="772"/>
      <c r="X407" s="772"/>
      <c r="Y407" s="772"/>
      <c r="Z407" s="772"/>
      <c r="AA407" s="772"/>
      <c r="AB407" s="772"/>
      <c r="AC407" s="772"/>
      <c r="AD407" s="772"/>
      <c r="AE407" s="772"/>
      <c r="AF407" s="772"/>
      <c r="AG407" s="772"/>
      <c r="AH407" s="772"/>
    </row>
    <row r="408" ht="15.75" customHeight="1">
      <c r="A408" s="815"/>
      <c r="B408" s="782"/>
      <c r="C408" s="782"/>
      <c r="D408" s="782"/>
      <c r="E408" s="816"/>
      <c r="F408" s="816"/>
      <c r="G408" s="817"/>
      <c r="H408" s="817"/>
      <c r="I408" s="818"/>
      <c r="J408" s="772"/>
      <c r="K408" s="772"/>
      <c r="L408" s="772"/>
      <c r="M408" s="772"/>
      <c r="N408" s="772"/>
      <c r="O408" s="772"/>
      <c r="P408" s="772"/>
      <c r="Q408" s="772"/>
      <c r="R408" s="772"/>
      <c r="S408" s="772"/>
      <c r="T408" s="772"/>
      <c r="U408" s="772"/>
      <c r="V408" s="772"/>
      <c r="W408" s="772"/>
      <c r="X408" s="772"/>
      <c r="Y408" s="772"/>
      <c r="Z408" s="772"/>
      <c r="AA408" s="772"/>
      <c r="AB408" s="772"/>
      <c r="AC408" s="772"/>
      <c r="AD408" s="772"/>
      <c r="AE408" s="772"/>
      <c r="AF408" s="772"/>
      <c r="AG408" s="772"/>
      <c r="AH408" s="772"/>
    </row>
    <row r="409" ht="15.75" customHeight="1">
      <c r="A409" s="815"/>
      <c r="B409" s="782"/>
      <c r="C409" s="782"/>
      <c r="D409" s="782"/>
      <c r="E409" s="816"/>
      <c r="F409" s="816"/>
      <c r="G409" s="817"/>
      <c r="H409" s="817"/>
      <c r="I409" s="818"/>
      <c r="J409" s="772"/>
      <c r="K409" s="772"/>
      <c r="L409" s="772"/>
      <c r="M409" s="772"/>
      <c r="N409" s="772"/>
      <c r="O409" s="772"/>
      <c r="P409" s="772"/>
      <c r="Q409" s="772"/>
      <c r="R409" s="772"/>
      <c r="S409" s="772"/>
      <c r="T409" s="772"/>
      <c r="U409" s="772"/>
      <c r="V409" s="772"/>
      <c r="W409" s="772"/>
      <c r="X409" s="772"/>
      <c r="Y409" s="772"/>
      <c r="Z409" s="772"/>
      <c r="AA409" s="772"/>
      <c r="AB409" s="772"/>
      <c r="AC409" s="772"/>
      <c r="AD409" s="772"/>
      <c r="AE409" s="772"/>
      <c r="AF409" s="772"/>
      <c r="AG409" s="772"/>
      <c r="AH409" s="772"/>
    </row>
    <row r="410" ht="15.75" customHeight="1">
      <c r="A410" s="815"/>
      <c r="B410" s="782"/>
      <c r="C410" s="782"/>
      <c r="D410" s="782"/>
      <c r="E410" s="816"/>
      <c r="F410" s="816"/>
      <c r="G410" s="817"/>
      <c r="H410" s="817"/>
      <c r="I410" s="818"/>
      <c r="J410" s="772"/>
      <c r="K410" s="772"/>
      <c r="L410" s="772"/>
      <c r="M410" s="772"/>
      <c r="N410" s="772"/>
      <c r="O410" s="772"/>
      <c r="P410" s="772"/>
      <c r="Q410" s="772"/>
      <c r="R410" s="772"/>
      <c r="S410" s="772"/>
      <c r="T410" s="772"/>
      <c r="U410" s="772"/>
      <c r="V410" s="772"/>
      <c r="W410" s="772"/>
      <c r="X410" s="772"/>
      <c r="Y410" s="772"/>
      <c r="Z410" s="772"/>
      <c r="AA410" s="772"/>
      <c r="AB410" s="772"/>
      <c r="AC410" s="772"/>
      <c r="AD410" s="772"/>
      <c r="AE410" s="772"/>
      <c r="AF410" s="772"/>
      <c r="AG410" s="772"/>
      <c r="AH410" s="772"/>
    </row>
    <row r="411" ht="15.75" customHeight="1">
      <c r="A411" s="815"/>
      <c r="B411" s="782"/>
      <c r="C411" s="782"/>
      <c r="D411" s="782"/>
      <c r="E411" s="816"/>
      <c r="F411" s="816"/>
      <c r="G411" s="817"/>
      <c r="H411" s="817"/>
      <c r="I411" s="818"/>
      <c r="J411" s="772"/>
      <c r="K411" s="772"/>
      <c r="L411" s="772"/>
      <c r="M411" s="772"/>
      <c r="N411" s="772"/>
      <c r="O411" s="772"/>
      <c r="P411" s="772"/>
      <c r="Q411" s="772"/>
      <c r="R411" s="772"/>
      <c r="S411" s="772"/>
      <c r="T411" s="772"/>
      <c r="U411" s="772"/>
      <c r="V411" s="772"/>
      <c r="W411" s="772"/>
      <c r="X411" s="772"/>
      <c r="Y411" s="772"/>
      <c r="Z411" s="772"/>
      <c r="AA411" s="772"/>
      <c r="AB411" s="772"/>
      <c r="AC411" s="772"/>
      <c r="AD411" s="772"/>
      <c r="AE411" s="772"/>
      <c r="AF411" s="772"/>
      <c r="AG411" s="772"/>
      <c r="AH411" s="772"/>
    </row>
    <row r="412" ht="15.75" customHeight="1">
      <c r="A412" s="815"/>
      <c r="B412" s="782"/>
      <c r="C412" s="782"/>
      <c r="D412" s="782"/>
      <c r="E412" s="816"/>
      <c r="F412" s="816"/>
      <c r="G412" s="817"/>
      <c r="H412" s="817"/>
      <c r="I412" s="818"/>
      <c r="J412" s="772"/>
      <c r="K412" s="772"/>
      <c r="L412" s="772"/>
      <c r="M412" s="772"/>
      <c r="N412" s="772"/>
      <c r="O412" s="772"/>
      <c r="P412" s="772"/>
      <c r="Q412" s="772"/>
      <c r="R412" s="772"/>
      <c r="S412" s="772"/>
      <c r="T412" s="772"/>
      <c r="U412" s="772"/>
      <c r="V412" s="772"/>
      <c r="W412" s="772"/>
      <c r="X412" s="772"/>
      <c r="Y412" s="772"/>
      <c r="Z412" s="772"/>
      <c r="AA412" s="772"/>
      <c r="AB412" s="772"/>
      <c r="AC412" s="772"/>
      <c r="AD412" s="772"/>
      <c r="AE412" s="772"/>
      <c r="AF412" s="772"/>
      <c r="AG412" s="772"/>
      <c r="AH412" s="772"/>
    </row>
    <row r="413" ht="15.75" customHeight="1">
      <c r="A413" s="815"/>
      <c r="B413" s="782"/>
      <c r="C413" s="782"/>
      <c r="D413" s="782"/>
      <c r="E413" s="816"/>
      <c r="F413" s="816"/>
      <c r="G413" s="817"/>
      <c r="H413" s="817"/>
      <c r="I413" s="818"/>
      <c r="J413" s="772"/>
      <c r="K413" s="772"/>
      <c r="L413" s="772"/>
      <c r="M413" s="772"/>
      <c r="N413" s="772"/>
      <c r="O413" s="772"/>
      <c r="P413" s="772"/>
      <c r="Q413" s="772"/>
      <c r="R413" s="772"/>
      <c r="S413" s="772"/>
      <c r="T413" s="772"/>
      <c r="U413" s="772"/>
      <c r="V413" s="772"/>
      <c r="W413" s="772"/>
      <c r="X413" s="772"/>
      <c r="Y413" s="772"/>
      <c r="Z413" s="772"/>
      <c r="AA413" s="772"/>
      <c r="AB413" s="772"/>
      <c r="AC413" s="772"/>
      <c r="AD413" s="772"/>
      <c r="AE413" s="772"/>
      <c r="AF413" s="772"/>
      <c r="AG413" s="772"/>
      <c r="AH413" s="772"/>
    </row>
    <row r="414" ht="15.75" customHeight="1">
      <c r="A414" s="815"/>
      <c r="B414" s="782"/>
      <c r="C414" s="782"/>
      <c r="D414" s="782"/>
      <c r="E414" s="816"/>
      <c r="F414" s="816"/>
      <c r="G414" s="817"/>
      <c r="H414" s="817"/>
      <c r="I414" s="818"/>
      <c r="J414" s="772"/>
      <c r="K414" s="772"/>
      <c r="L414" s="772"/>
      <c r="M414" s="772"/>
      <c r="N414" s="772"/>
      <c r="O414" s="772"/>
      <c r="P414" s="772"/>
      <c r="Q414" s="772"/>
      <c r="R414" s="772"/>
      <c r="S414" s="772"/>
      <c r="T414" s="772"/>
      <c r="U414" s="772"/>
      <c r="V414" s="772"/>
      <c r="W414" s="772"/>
      <c r="X414" s="772"/>
      <c r="Y414" s="772"/>
      <c r="Z414" s="772"/>
      <c r="AA414" s="772"/>
      <c r="AB414" s="772"/>
      <c r="AC414" s="772"/>
      <c r="AD414" s="772"/>
      <c r="AE414" s="772"/>
      <c r="AF414" s="772"/>
      <c r="AG414" s="772"/>
      <c r="AH414" s="772"/>
    </row>
    <row r="415" ht="15.75" customHeight="1">
      <c r="A415" s="815"/>
      <c r="B415" s="782"/>
      <c r="C415" s="782"/>
      <c r="D415" s="782"/>
      <c r="E415" s="816"/>
      <c r="F415" s="816"/>
      <c r="G415" s="817"/>
      <c r="H415" s="817"/>
      <c r="I415" s="818"/>
      <c r="J415" s="772"/>
      <c r="K415" s="772"/>
      <c r="L415" s="772"/>
      <c r="M415" s="772"/>
      <c r="N415" s="772"/>
      <c r="O415" s="772"/>
      <c r="P415" s="772"/>
      <c r="Q415" s="772"/>
      <c r="R415" s="772"/>
      <c r="S415" s="772"/>
      <c r="T415" s="772"/>
      <c r="U415" s="772"/>
      <c r="V415" s="772"/>
      <c r="W415" s="772"/>
      <c r="X415" s="772"/>
      <c r="Y415" s="772"/>
      <c r="Z415" s="772"/>
      <c r="AA415" s="772"/>
      <c r="AB415" s="772"/>
      <c r="AC415" s="772"/>
      <c r="AD415" s="772"/>
      <c r="AE415" s="772"/>
      <c r="AF415" s="772"/>
      <c r="AG415" s="772"/>
      <c r="AH415" s="772"/>
    </row>
    <row r="416" ht="15.75" customHeight="1">
      <c r="A416" s="815"/>
      <c r="B416" s="782"/>
      <c r="C416" s="782"/>
      <c r="D416" s="782"/>
      <c r="E416" s="816"/>
      <c r="F416" s="816"/>
      <c r="G416" s="817"/>
      <c r="H416" s="817"/>
      <c r="I416" s="818"/>
      <c r="J416" s="772"/>
      <c r="K416" s="772"/>
      <c r="L416" s="772"/>
      <c r="M416" s="772"/>
      <c r="N416" s="772"/>
      <c r="O416" s="772"/>
      <c r="P416" s="772"/>
      <c r="Q416" s="772"/>
      <c r="R416" s="772"/>
      <c r="S416" s="772"/>
      <c r="T416" s="772"/>
      <c r="U416" s="772"/>
      <c r="V416" s="772"/>
      <c r="W416" s="772"/>
      <c r="X416" s="772"/>
      <c r="Y416" s="772"/>
      <c r="Z416" s="772"/>
      <c r="AA416" s="772"/>
      <c r="AB416" s="772"/>
      <c r="AC416" s="772"/>
      <c r="AD416" s="772"/>
      <c r="AE416" s="772"/>
      <c r="AF416" s="772"/>
      <c r="AG416" s="772"/>
      <c r="AH416" s="772"/>
    </row>
    <row r="417" ht="15.75" customHeight="1">
      <c r="A417" s="815"/>
      <c r="B417" s="782"/>
      <c r="C417" s="782"/>
      <c r="D417" s="782"/>
      <c r="E417" s="816"/>
      <c r="F417" s="816"/>
      <c r="G417" s="817"/>
      <c r="H417" s="817"/>
      <c r="I417" s="818"/>
      <c r="J417" s="772"/>
      <c r="K417" s="772"/>
      <c r="L417" s="772"/>
      <c r="M417" s="772"/>
      <c r="N417" s="772"/>
      <c r="O417" s="772"/>
      <c r="P417" s="772"/>
      <c r="Q417" s="772"/>
      <c r="R417" s="772"/>
      <c r="S417" s="772"/>
      <c r="T417" s="772"/>
      <c r="U417" s="772"/>
      <c r="V417" s="772"/>
      <c r="W417" s="772"/>
      <c r="X417" s="772"/>
      <c r="Y417" s="772"/>
      <c r="Z417" s="772"/>
      <c r="AA417" s="772"/>
      <c r="AB417" s="772"/>
      <c r="AC417" s="772"/>
      <c r="AD417" s="772"/>
      <c r="AE417" s="772"/>
      <c r="AF417" s="772"/>
      <c r="AG417" s="772"/>
      <c r="AH417" s="772"/>
    </row>
    <row r="418" ht="15.75" customHeight="1">
      <c r="A418" s="815"/>
      <c r="B418" s="782"/>
      <c r="C418" s="782"/>
      <c r="D418" s="782"/>
      <c r="E418" s="816"/>
      <c r="F418" s="816"/>
      <c r="G418" s="817"/>
      <c r="H418" s="817"/>
      <c r="I418" s="818"/>
      <c r="J418" s="772"/>
      <c r="K418" s="772"/>
      <c r="L418" s="772"/>
      <c r="M418" s="772"/>
      <c r="N418" s="772"/>
      <c r="O418" s="772"/>
      <c r="P418" s="772"/>
      <c r="Q418" s="772"/>
      <c r="R418" s="772"/>
      <c r="S418" s="772"/>
      <c r="T418" s="772"/>
      <c r="U418" s="772"/>
      <c r="V418" s="772"/>
      <c r="W418" s="772"/>
      <c r="X418" s="772"/>
      <c r="Y418" s="772"/>
      <c r="Z418" s="772"/>
      <c r="AA418" s="772"/>
      <c r="AB418" s="772"/>
      <c r="AC418" s="772"/>
      <c r="AD418" s="772"/>
      <c r="AE418" s="772"/>
      <c r="AF418" s="772"/>
      <c r="AG418" s="772"/>
      <c r="AH418" s="772"/>
    </row>
    <row r="419" ht="15.75" customHeight="1">
      <c r="A419" s="815"/>
      <c r="B419" s="782"/>
      <c r="C419" s="782"/>
      <c r="D419" s="782"/>
      <c r="E419" s="816"/>
      <c r="F419" s="816"/>
      <c r="G419" s="817"/>
      <c r="H419" s="817"/>
      <c r="I419" s="818"/>
      <c r="J419" s="772"/>
      <c r="K419" s="772"/>
      <c r="L419" s="772"/>
      <c r="M419" s="772"/>
      <c r="N419" s="772"/>
      <c r="O419" s="772"/>
      <c r="P419" s="772"/>
      <c r="Q419" s="772"/>
      <c r="R419" s="772"/>
      <c r="S419" s="772"/>
      <c r="T419" s="772"/>
      <c r="U419" s="772"/>
      <c r="V419" s="772"/>
      <c r="W419" s="772"/>
      <c r="X419" s="772"/>
      <c r="Y419" s="772"/>
      <c r="Z419" s="772"/>
      <c r="AA419" s="772"/>
      <c r="AB419" s="772"/>
      <c r="AC419" s="772"/>
      <c r="AD419" s="772"/>
      <c r="AE419" s="772"/>
      <c r="AF419" s="772"/>
      <c r="AG419" s="772"/>
      <c r="AH419" s="772"/>
    </row>
    <row r="420" ht="15.75" customHeight="1">
      <c r="A420" s="815"/>
      <c r="B420" s="782"/>
      <c r="C420" s="782"/>
      <c r="D420" s="782"/>
      <c r="E420" s="816"/>
      <c r="F420" s="816"/>
      <c r="G420" s="817"/>
      <c r="H420" s="817"/>
      <c r="I420" s="818"/>
      <c r="J420" s="772"/>
      <c r="K420" s="772"/>
      <c r="L420" s="772"/>
      <c r="M420" s="772"/>
      <c r="N420" s="772"/>
      <c r="O420" s="772"/>
      <c r="P420" s="772"/>
      <c r="Q420" s="772"/>
      <c r="R420" s="772"/>
      <c r="S420" s="772"/>
      <c r="T420" s="772"/>
      <c r="U420" s="772"/>
      <c r="V420" s="772"/>
      <c r="W420" s="772"/>
      <c r="X420" s="772"/>
      <c r="Y420" s="772"/>
      <c r="Z420" s="772"/>
      <c r="AA420" s="772"/>
      <c r="AB420" s="772"/>
      <c r="AC420" s="772"/>
      <c r="AD420" s="772"/>
      <c r="AE420" s="772"/>
      <c r="AF420" s="772"/>
      <c r="AG420" s="772"/>
      <c r="AH420" s="772"/>
    </row>
    <row r="421" ht="15.75" customHeight="1">
      <c r="A421" s="815"/>
      <c r="B421" s="782"/>
      <c r="C421" s="782"/>
      <c r="D421" s="782"/>
      <c r="E421" s="816"/>
      <c r="F421" s="816"/>
      <c r="G421" s="817"/>
      <c r="H421" s="817"/>
      <c r="I421" s="818"/>
      <c r="J421" s="772"/>
      <c r="K421" s="772"/>
      <c r="L421" s="772"/>
      <c r="M421" s="772"/>
      <c r="N421" s="772"/>
      <c r="O421" s="772"/>
      <c r="P421" s="772"/>
      <c r="Q421" s="772"/>
      <c r="R421" s="772"/>
      <c r="S421" s="772"/>
      <c r="T421" s="772"/>
      <c r="U421" s="772"/>
      <c r="V421" s="772"/>
      <c r="W421" s="772"/>
      <c r="X421" s="772"/>
      <c r="Y421" s="772"/>
      <c r="Z421" s="772"/>
      <c r="AA421" s="772"/>
      <c r="AB421" s="772"/>
      <c r="AC421" s="772"/>
      <c r="AD421" s="772"/>
      <c r="AE421" s="772"/>
      <c r="AF421" s="772"/>
      <c r="AG421" s="772"/>
      <c r="AH421" s="772"/>
    </row>
    <row r="422" ht="15.75" customHeight="1">
      <c r="A422" s="815"/>
      <c r="B422" s="782"/>
      <c r="C422" s="782"/>
      <c r="D422" s="782"/>
      <c r="E422" s="816"/>
      <c r="F422" s="816"/>
      <c r="G422" s="817"/>
      <c r="H422" s="817"/>
      <c r="I422" s="818"/>
      <c r="J422" s="772"/>
      <c r="K422" s="772"/>
      <c r="L422" s="772"/>
      <c r="M422" s="772"/>
      <c r="N422" s="772"/>
      <c r="O422" s="772"/>
      <c r="P422" s="772"/>
      <c r="Q422" s="772"/>
      <c r="R422" s="772"/>
      <c r="S422" s="772"/>
      <c r="T422" s="772"/>
      <c r="U422" s="772"/>
      <c r="V422" s="772"/>
      <c r="W422" s="772"/>
      <c r="X422" s="772"/>
      <c r="Y422" s="772"/>
      <c r="Z422" s="772"/>
      <c r="AA422" s="772"/>
      <c r="AB422" s="772"/>
      <c r="AC422" s="772"/>
      <c r="AD422" s="772"/>
      <c r="AE422" s="772"/>
      <c r="AF422" s="772"/>
      <c r="AG422" s="772"/>
      <c r="AH422" s="772"/>
    </row>
    <row r="423" ht="15.75" customHeight="1">
      <c r="A423" s="815"/>
      <c r="B423" s="782"/>
      <c r="C423" s="782"/>
      <c r="D423" s="782"/>
      <c r="E423" s="816"/>
      <c r="F423" s="816"/>
      <c r="G423" s="817"/>
      <c r="H423" s="817"/>
      <c r="I423" s="818"/>
      <c r="J423" s="772"/>
      <c r="K423" s="772"/>
      <c r="L423" s="772"/>
      <c r="M423" s="772"/>
      <c r="N423" s="772"/>
      <c r="O423" s="772"/>
      <c r="P423" s="772"/>
      <c r="Q423" s="772"/>
      <c r="R423" s="772"/>
      <c r="S423" s="772"/>
      <c r="T423" s="772"/>
      <c r="U423" s="772"/>
      <c r="V423" s="772"/>
      <c r="W423" s="772"/>
      <c r="X423" s="772"/>
      <c r="Y423" s="772"/>
      <c r="Z423" s="772"/>
      <c r="AA423" s="772"/>
      <c r="AB423" s="772"/>
      <c r="AC423" s="772"/>
      <c r="AD423" s="772"/>
      <c r="AE423" s="772"/>
      <c r="AF423" s="772"/>
      <c r="AG423" s="772"/>
      <c r="AH423" s="772"/>
    </row>
    <row r="424" ht="15.75" customHeight="1">
      <c r="A424" s="815"/>
      <c r="B424" s="782"/>
      <c r="C424" s="782"/>
      <c r="D424" s="782"/>
      <c r="E424" s="816"/>
      <c r="F424" s="816"/>
      <c r="G424" s="817"/>
      <c r="H424" s="817"/>
      <c r="I424" s="818"/>
      <c r="J424" s="772"/>
      <c r="K424" s="772"/>
      <c r="L424" s="772"/>
      <c r="M424" s="772"/>
      <c r="N424" s="772"/>
      <c r="O424" s="772"/>
      <c r="P424" s="772"/>
      <c r="Q424" s="772"/>
      <c r="R424" s="772"/>
      <c r="S424" s="772"/>
      <c r="T424" s="772"/>
      <c r="U424" s="772"/>
      <c r="V424" s="772"/>
      <c r="W424" s="772"/>
      <c r="X424" s="772"/>
      <c r="Y424" s="772"/>
      <c r="Z424" s="772"/>
      <c r="AA424" s="772"/>
      <c r="AB424" s="772"/>
      <c r="AC424" s="772"/>
      <c r="AD424" s="772"/>
      <c r="AE424" s="772"/>
      <c r="AF424" s="772"/>
      <c r="AG424" s="772"/>
      <c r="AH424" s="772"/>
    </row>
    <row r="425" ht="15.75" customHeight="1">
      <c r="A425" s="815"/>
      <c r="B425" s="782"/>
      <c r="C425" s="782"/>
      <c r="D425" s="782"/>
      <c r="E425" s="816"/>
      <c r="F425" s="816"/>
      <c r="G425" s="817"/>
      <c r="H425" s="817"/>
      <c r="I425" s="818"/>
      <c r="J425" s="772"/>
      <c r="K425" s="772"/>
      <c r="L425" s="772"/>
      <c r="M425" s="772"/>
      <c r="N425" s="772"/>
      <c r="O425" s="772"/>
      <c r="P425" s="772"/>
      <c r="Q425" s="772"/>
      <c r="R425" s="772"/>
      <c r="S425" s="772"/>
      <c r="T425" s="772"/>
      <c r="U425" s="772"/>
      <c r="V425" s="772"/>
      <c r="W425" s="772"/>
      <c r="X425" s="772"/>
      <c r="Y425" s="772"/>
      <c r="Z425" s="772"/>
      <c r="AA425" s="772"/>
      <c r="AB425" s="772"/>
      <c r="AC425" s="772"/>
      <c r="AD425" s="772"/>
      <c r="AE425" s="772"/>
      <c r="AF425" s="772"/>
      <c r="AG425" s="772"/>
      <c r="AH425" s="772"/>
    </row>
    <row r="426" ht="15.75" customHeight="1">
      <c r="A426" s="815"/>
      <c r="B426" s="782"/>
      <c r="C426" s="782"/>
      <c r="D426" s="782"/>
      <c r="E426" s="816"/>
      <c r="F426" s="816"/>
      <c r="G426" s="817"/>
      <c r="H426" s="817"/>
      <c r="I426" s="818"/>
      <c r="J426" s="772"/>
      <c r="K426" s="772"/>
      <c r="L426" s="772"/>
      <c r="M426" s="772"/>
      <c r="N426" s="772"/>
      <c r="O426" s="772"/>
      <c r="P426" s="772"/>
      <c r="Q426" s="772"/>
      <c r="R426" s="772"/>
      <c r="S426" s="772"/>
      <c r="T426" s="772"/>
      <c r="U426" s="772"/>
      <c r="V426" s="772"/>
      <c r="W426" s="772"/>
      <c r="X426" s="772"/>
      <c r="Y426" s="772"/>
      <c r="Z426" s="772"/>
      <c r="AA426" s="772"/>
      <c r="AB426" s="772"/>
      <c r="AC426" s="772"/>
      <c r="AD426" s="772"/>
      <c r="AE426" s="772"/>
      <c r="AF426" s="772"/>
      <c r="AG426" s="772"/>
      <c r="AH426" s="772"/>
    </row>
    <row r="427" ht="15.75" customHeight="1">
      <c r="A427" s="815"/>
      <c r="B427" s="782"/>
      <c r="C427" s="782"/>
      <c r="D427" s="782"/>
      <c r="E427" s="816"/>
      <c r="F427" s="816"/>
      <c r="G427" s="817"/>
      <c r="H427" s="817"/>
      <c r="I427" s="818"/>
      <c r="J427" s="772"/>
      <c r="K427" s="772"/>
      <c r="L427" s="772"/>
      <c r="M427" s="772"/>
      <c r="N427" s="772"/>
      <c r="O427" s="772"/>
      <c r="P427" s="772"/>
      <c r="Q427" s="772"/>
      <c r="R427" s="772"/>
      <c r="S427" s="772"/>
      <c r="T427" s="772"/>
      <c r="U427" s="772"/>
      <c r="V427" s="772"/>
      <c r="W427" s="772"/>
      <c r="X427" s="772"/>
      <c r="Y427" s="772"/>
      <c r="Z427" s="772"/>
      <c r="AA427" s="772"/>
      <c r="AB427" s="772"/>
      <c r="AC427" s="772"/>
      <c r="AD427" s="772"/>
      <c r="AE427" s="772"/>
      <c r="AF427" s="772"/>
      <c r="AG427" s="772"/>
      <c r="AH427" s="772"/>
    </row>
    <row r="428" ht="15.75" customHeight="1">
      <c r="A428" s="815"/>
      <c r="B428" s="782"/>
      <c r="C428" s="782"/>
      <c r="D428" s="782"/>
      <c r="E428" s="816"/>
      <c r="F428" s="816"/>
      <c r="G428" s="817"/>
      <c r="H428" s="817"/>
      <c r="I428" s="818"/>
      <c r="J428" s="772"/>
      <c r="K428" s="772"/>
      <c r="L428" s="772"/>
      <c r="M428" s="772"/>
      <c r="N428" s="772"/>
      <c r="O428" s="772"/>
      <c r="P428" s="772"/>
      <c r="Q428" s="772"/>
      <c r="R428" s="772"/>
      <c r="S428" s="772"/>
      <c r="T428" s="772"/>
      <c r="U428" s="772"/>
      <c r="V428" s="772"/>
      <c r="W428" s="772"/>
      <c r="X428" s="772"/>
      <c r="Y428" s="772"/>
      <c r="Z428" s="772"/>
      <c r="AA428" s="772"/>
      <c r="AB428" s="772"/>
      <c r="AC428" s="772"/>
      <c r="AD428" s="772"/>
      <c r="AE428" s="772"/>
      <c r="AF428" s="772"/>
      <c r="AG428" s="772"/>
      <c r="AH428" s="772"/>
    </row>
    <row r="429" ht="15.75" customHeight="1">
      <c r="A429" s="815"/>
      <c r="B429" s="782"/>
      <c r="C429" s="782"/>
      <c r="D429" s="782"/>
      <c r="E429" s="816"/>
      <c r="F429" s="816"/>
      <c r="G429" s="817"/>
      <c r="H429" s="817"/>
      <c r="I429" s="818"/>
      <c r="J429" s="772"/>
      <c r="K429" s="772"/>
      <c r="L429" s="772"/>
      <c r="M429" s="772"/>
      <c r="N429" s="772"/>
      <c r="O429" s="772"/>
      <c r="P429" s="772"/>
      <c r="Q429" s="772"/>
      <c r="R429" s="772"/>
      <c r="S429" s="772"/>
      <c r="T429" s="772"/>
      <c r="U429" s="772"/>
      <c r="V429" s="772"/>
      <c r="W429" s="772"/>
      <c r="X429" s="772"/>
      <c r="Y429" s="772"/>
      <c r="Z429" s="772"/>
      <c r="AA429" s="772"/>
      <c r="AB429" s="772"/>
      <c r="AC429" s="772"/>
      <c r="AD429" s="772"/>
      <c r="AE429" s="772"/>
      <c r="AF429" s="772"/>
      <c r="AG429" s="772"/>
      <c r="AH429" s="772"/>
    </row>
    <row r="430" ht="15.75" customHeight="1">
      <c r="A430" s="815"/>
      <c r="B430" s="782"/>
      <c r="C430" s="782"/>
      <c r="D430" s="782"/>
      <c r="E430" s="816"/>
      <c r="F430" s="816"/>
      <c r="G430" s="817"/>
      <c r="H430" s="817"/>
      <c r="I430" s="818"/>
      <c r="J430" s="772"/>
      <c r="K430" s="772"/>
      <c r="L430" s="772"/>
      <c r="M430" s="772"/>
      <c r="N430" s="772"/>
      <c r="O430" s="772"/>
      <c r="P430" s="772"/>
      <c r="Q430" s="772"/>
      <c r="R430" s="772"/>
      <c r="S430" s="772"/>
      <c r="T430" s="772"/>
      <c r="U430" s="772"/>
      <c r="V430" s="772"/>
      <c r="W430" s="772"/>
      <c r="X430" s="772"/>
      <c r="Y430" s="772"/>
      <c r="Z430" s="772"/>
      <c r="AA430" s="772"/>
      <c r="AB430" s="772"/>
      <c r="AC430" s="772"/>
      <c r="AD430" s="772"/>
      <c r="AE430" s="772"/>
      <c r="AF430" s="772"/>
      <c r="AG430" s="772"/>
      <c r="AH430" s="772"/>
    </row>
    <row r="431" ht="15.75" customHeight="1">
      <c r="A431" s="815"/>
      <c r="B431" s="782"/>
      <c r="C431" s="782"/>
      <c r="D431" s="782"/>
      <c r="E431" s="816"/>
      <c r="F431" s="816"/>
      <c r="G431" s="817"/>
      <c r="H431" s="817"/>
      <c r="I431" s="818"/>
      <c r="J431" s="772"/>
      <c r="K431" s="772"/>
      <c r="L431" s="772"/>
      <c r="M431" s="772"/>
      <c r="N431" s="772"/>
      <c r="O431" s="772"/>
      <c r="P431" s="772"/>
      <c r="Q431" s="772"/>
      <c r="R431" s="772"/>
      <c r="S431" s="772"/>
      <c r="T431" s="772"/>
      <c r="U431" s="772"/>
      <c r="V431" s="772"/>
      <c r="W431" s="772"/>
      <c r="X431" s="772"/>
      <c r="Y431" s="772"/>
      <c r="Z431" s="772"/>
      <c r="AA431" s="772"/>
      <c r="AB431" s="772"/>
      <c r="AC431" s="772"/>
      <c r="AD431" s="772"/>
      <c r="AE431" s="772"/>
      <c r="AF431" s="772"/>
      <c r="AG431" s="772"/>
      <c r="AH431" s="772"/>
    </row>
    <row r="432" ht="15.75" customHeight="1">
      <c r="A432" s="815"/>
      <c r="B432" s="782"/>
      <c r="C432" s="782"/>
      <c r="D432" s="782"/>
      <c r="E432" s="816"/>
      <c r="F432" s="816"/>
      <c r="G432" s="817"/>
      <c r="H432" s="817"/>
      <c r="I432" s="818"/>
      <c r="J432" s="772"/>
      <c r="K432" s="772"/>
      <c r="L432" s="772"/>
      <c r="M432" s="772"/>
      <c r="N432" s="772"/>
      <c r="O432" s="772"/>
      <c r="P432" s="772"/>
      <c r="Q432" s="772"/>
      <c r="R432" s="772"/>
      <c r="S432" s="772"/>
      <c r="T432" s="772"/>
      <c r="U432" s="772"/>
      <c r="V432" s="772"/>
      <c r="W432" s="772"/>
      <c r="X432" s="772"/>
      <c r="Y432" s="772"/>
      <c r="Z432" s="772"/>
      <c r="AA432" s="772"/>
      <c r="AB432" s="772"/>
      <c r="AC432" s="772"/>
      <c r="AD432" s="772"/>
      <c r="AE432" s="772"/>
      <c r="AF432" s="772"/>
      <c r="AG432" s="772"/>
      <c r="AH432" s="772"/>
    </row>
    <row r="433" ht="15.75" customHeight="1">
      <c r="A433" s="815"/>
      <c r="B433" s="782"/>
      <c r="C433" s="782"/>
      <c r="D433" s="782"/>
      <c r="E433" s="816"/>
      <c r="F433" s="816"/>
      <c r="G433" s="817"/>
      <c r="H433" s="817"/>
      <c r="I433" s="818"/>
      <c r="J433" s="772"/>
      <c r="K433" s="772"/>
      <c r="L433" s="772"/>
      <c r="M433" s="772"/>
      <c r="N433" s="772"/>
      <c r="O433" s="772"/>
      <c r="P433" s="772"/>
      <c r="Q433" s="772"/>
      <c r="R433" s="772"/>
      <c r="S433" s="772"/>
      <c r="T433" s="772"/>
      <c r="U433" s="772"/>
      <c r="V433" s="772"/>
      <c r="W433" s="772"/>
      <c r="X433" s="772"/>
      <c r="Y433" s="772"/>
      <c r="Z433" s="772"/>
      <c r="AA433" s="772"/>
      <c r="AB433" s="772"/>
      <c r="AC433" s="772"/>
      <c r="AD433" s="772"/>
      <c r="AE433" s="772"/>
      <c r="AF433" s="772"/>
      <c r="AG433" s="772"/>
      <c r="AH433" s="772"/>
    </row>
    <row r="434" ht="15.75" customHeight="1">
      <c r="A434" s="815"/>
      <c r="B434" s="782"/>
      <c r="C434" s="782"/>
      <c r="D434" s="782"/>
      <c r="E434" s="816"/>
      <c r="F434" s="816"/>
      <c r="G434" s="817"/>
      <c r="H434" s="817"/>
      <c r="I434" s="818"/>
      <c r="J434" s="772"/>
      <c r="K434" s="772"/>
      <c r="L434" s="772"/>
      <c r="M434" s="772"/>
      <c r="N434" s="772"/>
      <c r="O434" s="772"/>
      <c r="P434" s="772"/>
      <c r="Q434" s="772"/>
      <c r="R434" s="772"/>
      <c r="S434" s="772"/>
      <c r="T434" s="772"/>
      <c r="U434" s="772"/>
      <c r="V434" s="772"/>
      <c r="W434" s="772"/>
      <c r="X434" s="772"/>
      <c r="Y434" s="772"/>
      <c r="Z434" s="772"/>
      <c r="AA434" s="772"/>
      <c r="AB434" s="772"/>
      <c r="AC434" s="772"/>
      <c r="AD434" s="772"/>
      <c r="AE434" s="772"/>
      <c r="AF434" s="772"/>
      <c r="AG434" s="772"/>
      <c r="AH434" s="772"/>
    </row>
    <row r="435" ht="15.75" customHeight="1">
      <c r="A435" s="815"/>
      <c r="B435" s="782"/>
      <c r="C435" s="782"/>
      <c r="D435" s="782"/>
      <c r="E435" s="816"/>
      <c r="F435" s="816"/>
      <c r="G435" s="817"/>
      <c r="H435" s="817"/>
      <c r="I435" s="818"/>
      <c r="J435" s="772"/>
      <c r="K435" s="772"/>
      <c r="L435" s="772"/>
      <c r="M435" s="772"/>
      <c r="N435" s="772"/>
      <c r="O435" s="772"/>
      <c r="P435" s="772"/>
      <c r="Q435" s="772"/>
      <c r="R435" s="772"/>
      <c r="S435" s="772"/>
      <c r="T435" s="772"/>
      <c r="U435" s="772"/>
      <c r="V435" s="772"/>
      <c r="W435" s="772"/>
      <c r="X435" s="772"/>
      <c r="Y435" s="772"/>
      <c r="Z435" s="772"/>
      <c r="AA435" s="772"/>
      <c r="AB435" s="772"/>
      <c r="AC435" s="772"/>
      <c r="AD435" s="772"/>
      <c r="AE435" s="772"/>
      <c r="AF435" s="772"/>
      <c r="AG435" s="772"/>
      <c r="AH435" s="772"/>
    </row>
    <row r="436" ht="15.75" customHeight="1">
      <c r="A436" s="815"/>
      <c r="B436" s="782"/>
      <c r="C436" s="782"/>
      <c r="D436" s="782"/>
      <c r="E436" s="816"/>
      <c r="F436" s="816"/>
      <c r="G436" s="817"/>
      <c r="H436" s="817"/>
      <c r="I436" s="818"/>
      <c r="J436" s="772"/>
      <c r="K436" s="772"/>
      <c r="L436" s="772"/>
      <c r="M436" s="772"/>
      <c r="N436" s="772"/>
      <c r="O436" s="772"/>
      <c r="P436" s="772"/>
      <c r="Q436" s="772"/>
      <c r="R436" s="772"/>
      <c r="S436" s="772"/>
      <c r="T436" s="772"/>
      <c r="U436" s="772"/>
      <c r="V436" s="772"/>
      <c r="W436" s="772"/>
      <c r="X436" s="772"/>
      <c r="Y436" s="772"/>
      <c r="Z436" s="772"/>
      <c r="AA436" s="772"/>
      <c r="AB436" s="772"/>
      <c r="AC436" s="772"/>
      <c r="AD436" s="772"/>
      <c r="AE436" s="772"/>
      <c r="AF436" s="772"/>
      <c r="AG436" s="772"/>
      <c r="AH436" s="772"/>
    </row>
    <row r="437" ht="15.75" customHeight="1">
      <c r="A437" s="815"/>
      <c r="B437" s="782"/>
      <c r="C437" s="782"/>
      <c r="D437" s="782"/>
      <c r="E437" s="816"/>
      <c r="F437" s="816"/>
      <c r="G437" s="817"/>
      <c r="H437" s="817"/>
      <c r="I437" s="818"/>
      <c r="J437" s="772"/>
      <c r="K437" s="772"/>
      <c r="L437" s="772"/>
      <c r="M437" s="772"/>
      <c r="N437" s="772"/>
      <c r="O437" s="772"/>
      <c r="P437" s="772"/>
      <c r="Q437" s="772"/>
      <c r="R437" s="772"/>
      <c r="S437" s="772"/>
      <c r="T437" s="772"/>
      <c r="U437" s="772"/>
      <c r="V437" s="772"/>
      <c r="W437" s="772"/>
      <c r="X437" s="772"/>
      <c r="Y437" s="772"/>
      <c r="Z437" s="772"/>
      <c r="AA437" s="772"/>
      <c r="AB437" s="772"/>
      <c r="AC437" s="772"/>
      <c r="AD437" s="772"/>
      <c r="AE437" s="772"/>
      <c r="AF437" s="772"/>
      <c r="AG437" s="772"/>
      <c r="AH437" s="772"/>
    </row>
    <row r="438" ht="15.75" customHeight="1">
      <c r="A438" s="815"/>
      <c r="B438" s="782"/>
      <c r="C438" s="782"/>
      <c r="D438" s="782"/>
      <c r="E438" s="816"/>
      <c r="F438" s="816"/>
      <c r="G438" s="817"/>
      <c r="H438" s="817"/>
      <c r="I438" s="818"/>
      <c r="J438" s="772"/>
      <c r="K438" s="772"/>
      <c r="L438" s="772"/>
      <c r="M438" s="772"/>
      <c r="N438" s="772"/>
      <c r="O438" s="772"/>
      <c r="P438" s="772"/>
      <c r="Q438" s="772"/>
      <c r="R438" s="772"/>
      <c r="S438" s="772"/>
      <c r="T438" s="772"/>
      <c r="U438" s="772"/>
      <c r="V438" s="772"/>
      <c r="W438" s="772"/>
      <c r="X438" s="772"/>
      <c r="Y438" s="772"/>
      <c r="Z438" s="772"/>
      <c r="AA438" s="772"/>
      <c r="AB438" s="772"/>
      <c r="AC438" s="772"/>
      <c r="AD438" s="772"/>
      <c r="AE438" s="772"/>
      <c r="AF438" s="772"/>
      <c r="AG438" s="772"/>
      <c r="AH438" s="772"/>
    </row>
    <row r="439" ht="15.75" customHeight="1">
      <c r="A439" s="815"/>
      <c r="B439" s="782"/>
      <c r="C439" s="782"/>
      <c r="D439" s="782"/>
      <c r="E439" s="816"/>
      <c r="F439" s="816"/>
      <c r="G439" s="817"/>
      <c r="H439" s="817"/>
      <c r="I439" s="818"/>
      <c r="J439" s="772"/>
      <c r="K439" s="772"/>
      <c r="L439" s="772"/>
      <c r="M439" s="772"/>
      <c r="N439" s="772"/>
      <c r="O439" s="772"/>
      <c r="P439" s="772"/>
      <c r="Q439" s="772"/>
      <c r="R439" s="772"/>
      <c r="S439" s="772"/>
      <c r="T439" s="772"/>
      <c r="U439" s="772"/>
      <c r="V439" s="772"/>
      <c r="W439" s="772"/>
      <c r="X439" s="772"/>
      <c r="Y439" s="772"/>
      <c r="Z439" s="772"/>
      <c r="AA439" s="772"/>
      <c r="AB439" s="772"/>
      <c r="AC439" s="772"/>
      <c r="AD439" s="772"/>
      <c r="AE439" s="772"/>
      <c r="AF439" s="772"/>
      <c r="AG439" s="772"/>
      <c r="AH439" s="772"/>
    </row>
    <row r="440" ht="15.75" customHeight="1">
      <c r="A440" s="815"/>
      <c r="B440" s="782"/>
      <c r="C440" s="782"/>
      <c r="D440" s="782"/>
      <c r="E440" s="816"/>
      <c r="F440" s="816"/>
      <c r="G440" s="817"/>
      <c r="H440" s="817"/>
      <c r="I440" s="818"/>
      <c r="J440" s="772"/>
      <c r="K440" s="772"/>
      <c r="L440" s="772"/>
      <c r="M440" s="772"/>
      <c r="N440" s="772"/>
      <c r="O440" s="772"/>
      <c r="P440" s="772"/>
      <c r="Q440" s="772"/>
      <c r="R440" s="772"/>
      <c r="S440" s="772"/>
      <c r="T440" s="772"/>
      <c r="U440" s="772"/>
      <c r="V440" s="772"/>
      <c r="W440" s="772"/>
      <c r="X440" s="772"/>
      <c r="Y440" s="772"/>
      <c r="Z440" s="772"/>
      <c r="AA440" s="772"/>
      <c r="AB440" s="772"/>
      <c r="AC440" s="772"/>
      <c r="AD440" s="772"/>
      <c r="AE440" s="772"/>
      <c r="AF440" s="772"/>
      <c r="AG440" s="772"/>
      <c r="AH440" s="772"/>
    </row>
    <row r="441" ht="15.75" customHeight="1">
      <c r="A441" s="815"/>
      <c r="B441" s="782"/>
      <c r="C441" s="782"/>
      <c r="D441" s="782"/>
      <c r="E441" s="816"/>
      <c r="F441" s="816"/>
      <c r="G441" s="817"/>
      <c r="H441" s="817"/>
      <c r="I441" s="818"/>
      <c r="J441" s="772"/>
      <c r="K441" s="772"/>
      <c r="L441" s="772"/>
      <c r="M441" s="772"/>
      <c r="N441" s="772"/>
      <c r="O441" s="772"/>
      <c r="P441" s="772"/>
      <c r="Q441" s="772"/>
      <c r="R441" s="772"/>
      <c r="S441" s="772"/>
      <c r="T441" s="772"/>
      <c r="U441" s="772"/>
      <c r="V441" s="772"/>
      <c r="W441" s="772"/>
      <c r="X441" s="772"/>
      <c r="Y441" s="772"/>
      <c r="Z441" s="772"/>
      <c r="AA441" s="772"/>
      <c r="AB441" s="772"/>
      <c r="AC441" s="772"/>
      <c r="AD441" s="772"/>
      <c r="AE441" s="772"/>
      <c r="AF441" s="772"/>
      <c r="AG441" s="772"/>
      <c r="AH441" s="772"/>
    </row>
    <row r="442" ht="15.75" customHeight="1">
      <c r="A442" s="815"/>
      <c r="B442" s="782"/>
      <c r="C442" s="782"/>
      <c r="D442" s="782"/>
      <c r="E442" s="816"/>
      <c r="F442" s="816"/>
      <c r="G442" s="817"/>
      <c r="H442" s="817"/>
      <c r="I442" s="818"/>
      <c r="J442" s="772"/>
      <c r="K442" s="772"/>
      <c r="L442" s="772"/>
      <c r="M442" s="772"/>
      <c r="N442" s="772"/>
      <c r="O442" s="772"/>
      <c r="P442" s="772"/>
      <c r="Q442" s="772"/>
      <c r="R442" s="772"/>
      <c r="S442" s="772"/>
      <c r="T442" s="772"/>
      <c r="U442" s="772"/>
      <c r="V442" s="772"/>
      <c r="W442" s="772"/>
      <c r="X442" s="772"/>
      <c r="Y442" s="772"/>
      <c r="Z442" s="772"/>
      <c r="AA442" s="772"/>
      <c r="AB442" s="772"/>
      <c r="AC442" s="772"/>
      <c r="AD442" s="772"/>
      <c r="AE442" s="772"/>
      <c r="AF442" s="772"/>
      <c r="AG442" s="772"/>
      <c r="AH442" s="772"/>
    </row>
    <row r="443" ht="15.75" customHeight="1">
      <c r="A443" s="815"/>
      <c r="B443" s="782"/>
      <c r="C443" s="782"/>
      <c r="D443" s="782"/>
      <c r="E443" s="816"/>
      <c r="F443" s="816"/>
      <c r="G443" s="817"/>
      <c r="H443" s="817"/>
      <c r="I443" s="818"/>
      <c r="J443" s="772"/>
      <c r="K443" s="772"/>
      <c r="L443" s="772"/>
      <c r="M443" s="772"/>
      <c r="N443" s="772"/>
      <c r="O443" s="772"/>
      <c r="P443" s="772"/>
      <c r="Q443" s="772"/>
      <c r="R443" s="772"/>
      <c r="S443" s="772"/>
      <c r="T443" s="772"/>
      <c r="U443" s="772"/>
      <c r="V443" s="772"/>
      <c r="W443" s="772"/>
      <c r="X443" s="772"/>
      <c r="Y443" s="772"/>
      <c r="Z443" s="772"/>
      <c r="AA443" s="772"/>
      <c r="AB443" s="772"/>
      <c r="AC443" s="772"/>
      <c r="AD443" s="772"/>
      <c r="AE443" s="772"/>
      <c r="AF443" s="772"/>
      <c r="AG443" s="772"/>
      <c r="AH443" s="772"/>
    </row>
    <row r="444" ht="15.75" customHeight="1">
      <c r="A444" s="815"/>
      <c r="B444" s="782"/>
      <c r="C444" s="782"/>
      <c r="D444" s="782"/>
      <c r="E444" s="816"/>
      <c r="F444" s="816"/>
      <c r="G444" s="817"/>
      <c r="H444" s="817"/>
      <c r="I444" s="818"/>
      <c r="J444" s="772"/>
      <c r="K444" s="772"/>
      <c r="L444" s="772"/>
      <c r="M444" s="772"/>
      <c r="N444" s="772"/>
      <c r="O444" s="772"/>
      <c r="P444" s="772"/>
      <c r="Q444" s="772"/>
      <c r="R444" s="772"/>
      <c r="S444" s="772"/>
      <c r="T444" s="772"/>
      <c r="U444" s="772"/>
      <c r="V444" s="772"/>
      <c r="W444" s="772"/>
      <c r="X444" s="772"/>
      <c r="Y444" s="772"/>
      <c r="Z444" s="772"/>
      <c r="AA444" s="772"/>
      <c r="AB444" s="772"/>
      <c r="AC444" s="772"/>
      <c r="AD444" s="772"/>
      <c r="AE444" s="772"/>
      <c r="AF444" s="772"/>
      <c r="AG444" s="772"/>
      <c r="AH444" s="772"/>
    </row>
    <row r="445" ht="15.75" customHeight="1">
      <c r="A445" s="815"/>
      <c r="B445" s="782"/>
      <c r="C445" s="782"/>
      <c r="D445" s="782"/>
      <c r="E445" s="816"/>
      <c r="F445" s="816"/>
      <c r="G445" s="817"/>
      <c r="H445" s="817"/>
      <c r="I445" s="818"/>
      <c r="J445" s="772"/>
      <c r="K445" s="772"/>
      <c r="L445" s="772"/>
      <c r="M445" s="772"/>
      <c r="N445" s="772"/>
      <c r="O445" s="772"/>
      <c r="P445" s="772"/>
      <c r="Q445" s="772"/>
      <c r="R445" s="772"/>
      <c r="S445" s="772"/>
      <c r="T445" s="772"/>
      <c r="U445" s="772"/>
      <c r="V445" s="772"/>
      <c r="W445" s="772"/>
      <c r="X445" s="772"/>
      <c r="Y445" s="772"/>
      <c r="Z445" s="772"/>
      <c r="AA445" s="772"/>
      <c r="AB445" s="772"/>
      <c r="AC445" s="772"/>
      <c r="AD445" s="772"/>
      <c r="AE445" s="772"/>
      <c r="AF445" s="772"/>
      <c r="AG445" s="772"/>
      <c r="AH445" s="772"/>
    </row>
    <row r="446" ht="15.75" customHeight="1">
      <c r="A446" s="815"/>
      <c r="B446" s="782"/>
      <c r="C446" s="782"/>
      <c r="D446" s="782"/>
      <c r="E446" s="816"/>
      <c r="F446" s="816"/>
      <c r="G446" s="817"/>
      <c r="H446" s="817"/>
      <c r="I446" s="818"/>
      <c r="J446" s="772"/>
      <c r="K446" s="772"/>
      <c r="L446" s="772"/>
      <c r="M446" s="772"/>
      <c r="N446" s="772"/>
      <c r="O446" s="772"/>
      <c r="P446" s="772"/>
      <c r="Q446" s="772"/>
      <c r="R446" s="772"/>
      <c r="S446" s="772"/>
      <c r="T446" s="772"/>
      <c r="U446" s="772"/>
      <c r="V446" s="772"/>
      <c r="W446" s="772"/>
      <c r="X446" s="772"/>
      <c r="Y446" s="772"/>
      <c r="Z446" s="772"/>
      <c r="AA446" s="772"/>
      <c r="AB446" s="772"/>
      <c r="AC446" s="772"/>
      <c r="AD446" s="772"/>
      <c r="AE446" s="772"/>
      <c r="AF446" s="772"/>
      <c r="AG446" s="772"/>
      <c r="AH446" s="772"/>
    </row>
    <row r="447" ht="15.75" customHeight="1">
      <c r="A447" s="815"/>
      <c r="B447" s="782"/>
      <c r="C447" s="782"/>
      <c r="D447" s="782"/>
      <c r="E447" s="816"/>
      <c r="F447" s="816"/>
      <c r="G447" s="817"/>
      <c r="H447" s="817"/>
      <c r="I447" s="818"/>
      <c r="J447" s="772"/>
      <c r="K447" s="772"/>
      <c r="L447" s="772"/>
      <c r="M447" s="772"/>
      <c r="N447" s="772"/>
      <c r="O447" s="772"/>
      <c r="P447" s="772"/>
      <c r="Q447" s="772"/>
      <c r="R447" s="772"/>
      <c r="S447" s="772"/>
      <c r="T447" s="772"/>
      <c r="U447" s="772"/>
      <c r="V447" s="772"/>
      <c r="W447" s="772"/>
      <c r="X447" s="772"/>
      <c r="Y447" s="772"/>
      <c r="Z447" s="772"/>
      <c r="AA447" s="772"/>
      <c r="AB447" s="772"/>
      <c r="AC447" s="772"/>
      <c r="AD447" s="772"/>
      <c r="AE447" s="772"/>
      <c r="AF447" s="772"/>
      <c r="AG447" s="772"/>
      <c r="AH447" s="772"/>
    </row>
    <row r="448" ht="15.75" customHeight="1">
      <c r="A448" s="815"/>
      <c r="B448" s="782"/>
      <c r="C448" s="782"/>
      <c r="D448" s="782"/>
      <c r="E448" s="816"/>
      <c r="F448" s="816"/>
      <c r="G448" s="817"/>
      <c r="H448" s="817"/>
      <c r="I448" s="818"/>
      <c r="J448" s="772"/>
      <c r="K448" s="772"/>
      <c r="L448" s="772"/>
      <c r="M448" s="772"/>
      <c r="N448" s="772"/>
      <c r="O448" s="772"/>
      <c r="P448" s="772"/>
      <c r="Q448" s="772"/>
      <c r="R448" s="772"/>
      <c r="S448" s="772"/>
      <c r="T448" s="772"/>
      <c r="U448" s="772"/>
      <c r="V448" s="772"/>
      <c r="W448" s="772"/>
      <c r="X448" s="772"/>
      <c r="Y448" s="772"/>
      <c r="Z448" s="772"/>
      <c r="AA448" s="772"/>
      <c r="AB448" s="772"/>
      <c r="AC448" s="772"/>
      <c r="AD448" s="772"/>
      <c r="AE448" s="772"/>
      <c r="AF448" s="772"/>
      <c r="AG448" s="772"/>
      <c r="AH448" s="772"/>
    </row>
    <row r="449" ht="15.75" customHeight="1">
      <c r="A449" s="815"/>
      <c r="B449" s="782"/>
      <c r="C449" s="782"/>
      <c r="D449" s="782"/>
      <c r="E449" s="816"/>
      <c r="F449" s="816"/>
      <c r="G449" s="817"/>
      <c r="H449" s="817"/>
      <c r="I449" s="818"/>
      <c r="J449" s="772"/>
      <c r="K449" s="772"/>
      <c r="L449" s="772"/>
      <c r="M449" s="772"/>
      <c r="N449" s="772"/>
      <c r="O449" s="772"/>
      <c r="P449" s="772"/>
      <c r="Q449" s="772"/>
      <c r="R449" s="772"/>
      <c r="S449" s="772"/>
      <c r="T449" s="772"/>
      <c r="U449" s="772"/>
      <c r="V449" s="772"/>
      <c r="W449" s="772"/>
      <c r="X449" s="772"/>
      <c r="Y449" s="772"/>
      <c r="Z449" s="772"/>
      <c r="AA449" s="772"/>
      <c r="AB449" s="772"/>
      <c r="AC449" s="772"/>
      <c r="AD449" s="772"/>
      <c r="AE449" s="772"/>
      <c r="AF449" s="772"/>
      <c r="AG449" s="772"/>
      <c r="AH449" s="772"/>
    </row>
    <row r="450" ht="15.75" customHeight="1">
      <c r="A450" s="815"/>
      <c r="B450" s="782"/>
      <c r="C450" s="782"/>
      <c r="D450" s="782"/>
      <c r="E450" s="816"/>
      <c r="F450" s="816"/>
      <c r="G450" s="817"/>
      <c r="H450" s="817"/>
      <c r="I450" s="818"/>
      <c r="J450" s="772"/>
      <c r="K450" s="772"/>
      <c r="L450" s="772"/>
      <c r="M450" s="772"/>
      <c r="N450" s="772"/>
      <c r="O450" s="772"/>
      <c r="P450" s="772"/>
      <c r="Q450" s="772"/>
      <c r="R450" s="772"/>
      <c r="S450" s="772"/>
      <c r="T450" s="772"/>
      <c r="U450" s="772"/>
      <c r="V450" s="772"/>
      <c r="W450" s="772"/>
      <c r="X450" s="772"/>
      <c r="Y450" s="772"/>
      <c r="Z450" s="772"/>
      <c r="AA450" s="772"/>
      <c r="AB450" s="772"/>
      <c r="AC450" s="772"/>
      <c r="AD450" s="772"/>
      <c r="AE450" s="772"/>
      <c r="AF450" s="772"/>
      <c r="AG450" s="772"/>
      <c r="AH450" s="772"/>
    </row>
    <row r="451" ht="15.75" customHeight="1">
      <c r="A451" s="815"/>
      <c r="B451" s="782"/>
      <c r="C451" s="782"/>
      <c r="D451" s="782"/>
      <c r="E451" s="816"/>
      <c r="F451" s="816"/>
      <c r="G451" s="817"/>
      <c r="H451" s="817"/>
      <c r="I451" s="818"/>
      <c r="J451" s="772"/>
      <c r="K451" s="772"/>
      <c r="L451" s="772"/>
      <c r="M451" s="772"/>
      <c r="N451" s="772"/>
      <c r="O451" s="772"/>
      <c r="P451" s="772"/>
      <c r="Q451" s="772"/>
      <c r="R451" s="772"/>
      <c r="S451" s="772"/>
      <c r="T451" s="772"/>
      <c r="U451" s="772"/>
      <c r="V451" s="772"/>
      <c r="W451" s="772"/>
      <c r="X451" s="772"/>
      <c r="Y451" s="772"/>
      <c r="Z451" s="772"/>
      <c r="AA451" s="772"/>
      <c r="AB451" s="772"/>
      <c r="AC451" s="772"/>
      <c r="AD451" s="772"/>
      <c r="AE451" s="772"/>
      <c r="AF451" s="772"/>
      <c r="AG451" s="772"/>
      <c r="AH451" s="772"/>
    </row>
    <row r="452" ht="15.75" customHeight="1">
      <c r="A452" s="815"/>
      <c r="B452" s="782"/>
      <c r="C452" s="782"/>
      <c r="D452" s="782"/>
      <c r="E452" s="816"/>
      <c r="F452" s="816"/>
      <c r="G452" s="817"/>
      <c r="H452" s="817"/>
      <c r="I452" s="818"/>
      <c r="J452" s="772"/>
      <c r="K452" s="772"/>
      <c r="L452" s="772"/>
      <c r="M452" s="772"/>
      <c r="N452" s="772"/>
      <c r="O452" s="772"/>
      <c r="P452" s="772"/>
      <c r="Q452" s="772"/>
      <c r="R452" s="772"/>
      <c r="S452" s="772"/>
      <c r="T452" s="772"/>
      <c r="U452" s="772"/>
      <c r="V452" s="772"/>
      <c r="W452" s="772"/>
      <c r="X452" s="772"/>
      <c r="Y452" s="772"/>
      <c r="Z452" s="772"/>
      <c r="AA452" s="772"/>
      <c r="AB452" s="772"/>
      <c r="AC452" s="772"/>
      <c r="AD452" s="772"/>
      <c r="AE452" s="772"/>
      <c r="AF452" s="772"/>
      <c r="AG452" s="772"/>
      <c r="AH452" s="772"/>
    </row>
    <row r="453" ht="15.75" customHeight="1">
      <c r="A453" s="815"/>
      <c r="B453" s="782"/>
      <c r="C453" s="782"/>
      <c r="D453" s="782"/>
      <c r="E453" s="816"/>
      <c r="F453" s="816"/>
      <c r="G453" s="817"/>
      <c r="H453" s="817"/>
      <c r="I453" s="818"/>
      <c r="J453" s="772"/>
      <c r="K453" s="772"/>
      <c r="L453" s="772"/>
      <c r="M453" s="772"/>
      <c r="N453" s="772"/>
      <c r="O453" s="772"/>
      <c r="P453" s="772"/>
      <c r="Q453" s="772"/>
      <c r="R453" s="772"/>
      <c r="S453" s="772"/>
      <c r="T453" s="772"/>
      <c r="U453" s="772"/>
      <c r="V453" s="772"/>
      <c r="W453" s="772"/>
      <c r="X453" s="772"/>
      <c r="Y453" s="772"/>
      <c r="Z453" s="772"/>
      <c r="AA453" s="772"/>
      <c r="AB453" s="772"/>
      <c r="AC453" s="772"/>
      <c r="AD453" s="772"/>
      <c r="AE453" s="772"/>
      <c r="AF453" s="772"/>
      <c r="AG453" s="772"/>
      <c r="AH453" s="772"/>
    </row>
    <row r="454" ht="15.75" customHeight="1">
      <c r="A454" s="815"/>
      <c r="B454" s="782"/>
      <c r="C454" s="782"/>
      <c r="D454" s="782"/>
      <c r="E454" s="816"/>
      <c r="F454" s="816"/>
      <c r="G454" s="817"/>
      <c r="H454" s="817"/>
      <c r="I454" s="818"/>
      <c r="J454" s="772"/>
      <c r="K454" s="772"/>
      <c r="L454" s="772"/>
      <c r="M454" s="772"/>
      <c r="N454" s="772"/>
      <c r="O454" s="772"/>
      <c r="P454" s="772"/>
      <c r="Q454" s="772"/>
      <c r="R454" s="772"/>
      <c r="S454" s="772"/>
      <c r="T454" s="772"/>
      <c r="U454" s="772"/>
      <c r="V454" s="772"/>
      <c r="W454" s="772"/>
      <c r="X454" s="772"/>
      <c r="Y454" s="772"/>
      <c r="Z454" s="772"/>
      <c r="AA454" s="772"/>
      <c r="AB454" s="772"/>
      <c r="AC454" s="772"/>
      <c r="AD454" s="772"/>
      <c r="AE454" s="772"/>
      <c r="AF454" s="772"/>
      <c r="AG454" s="772"/>
      <c r="AH454" s="772"/>
    </row>
    <row r="455" ht="15.75" customHeight="1">
      <c r="A455" s="815"/>
      <c r="B455" s="782"/>
      <c r="C455" s="782"/>
      <c r="D455" s="782"/>
      <c r="E455" s="816"/>
      <c r="F455" s="816"/>
      <c r="G455" s="817"/>
      <c r="H455" s="817"/>
      <c r="I455" s="818"/>
      <c r="J455" s="772"/>
      <c r="K455" s="772"/>
      <c r="L455" s="772"/>
      <c r="M455" s="772"/>
      <c r="N455" s="772"/>
      <c r="O455" s="772"/>
      <c r="P455" s="772"/>
      <c r="Q455" s="772"/>
      <c r="R455" s="772"/>
      <c r="S455" s="772"/>
      <c r="T455" s="772"/>
      <c r="U455" s="772"/>
      <c r="V455" s="772"/>
      <c r="W455" s="772"/>
      <c r="X455" s="772"/>
      <c r="Y455" s="772"/>
      <c r="Z455" s="772"/>
      <c r="AA455" s="772"/>
      <c r="AB455" s="772"/>
      <c r="AC455" s="772"/>
      <c r="AD455" s="772"/>
      <c r="AE455" s="772"/>
      <c r="AF455" s="772"/>
      <c r="AG455" s="772"/>
      <c r="AH455" s="772"/>
    </row>
    <row r="456" ht="15.75" customHeight="1">
      <c r="A456" s="815"/>
      <c r="B456" s="782"/>
      <c r="C456" s="782"/>
      <c r="D456" s="782"/>
      <c r="E456" s="816"/>
      <c r="F456" s="816"/>
      <c r="G456" s="817"/>
      <c r="H456" s="817"/>
      <c r="I456" s="818"/>
      <c r="J456" s="772"/>
      <c r="K456" s="772"/>
      <c r="L456" s="772"/>
      <c r="M456" s="772"/>
      <c r="N456" s="772"/>
      <c r="O456" s="772"/>
      <c r="P456" s="772"/>
      <c r="Q456" s="772"/>
      <c r="R456" s="772"/>
      <c r="S456" s="772"/>
      <c r="T456" s="772"/>
      <c r="U456" s="772"/>
      <c r="V456" s="772"/>
      <c r="W456" s="772"/>
      <c r="X456" s="772"/>
      <c r="Y456" s="772"/>
      <c r="Z456" s="772"/>
      <c r="AA456" s="772"/>
      <c r="AB456" s="772"/>
      <c r="AC456" s="772"/>
      <c r="AD456" s="772"/>
      <c r="AE456" s="772"/>
      <c r="AF456" s="772"/>
      <c r="AG456" s="772"/>
      <c r="AH456" s="772"/>
    </row>
    <row r="457" ht="15.75" customHeight="1">
      <c r="A457" s="815"/>
      <c r="B457" s="782"/>
      <c r="C457" s="782"/>
      <c r="D457" s="782"/>
      <c r="E457" s="816"/>
      <c r="F457" s="816"/>
      <c r="G457" s="817"/>
      <c r="H457" s="817"/>
      <c r="I457" s="818"/>
      <c r="J457" s="772"/>
      <c r="K457" s="772"/>
      <c r="L457" s="772"/>
      <c r="M457" s="772"/>
      <c r="N457" s="772"/>
      <c r="O457" s="772"/>
      <c r="P457" s="772"/>
      <c r="Q457" s="772"/>
      <c r="R457" s="772"/>
      <c r="S457" s="772"/>
      <c r="T457" s="772"/>
      <c r="U457" s="772"/>
      <c r="V457" s="772"/>
      <c r="W457" s="772"/>
      <c r="X457" s="772"/>
      <c r="Y457" s="772"/>
      <c r="Z457" s="772"/>
      <c r="AA457" s="772"/>
      <c r="AB457" s="772"/>
      <c r="AC457" s="772"/>
      <c r="AD457" s="772"/>
      <c r="AE457" s="772"/>
      <c r="AF457" s="772"/>
      <c r="AG457" s="772"/>
      <c r="AH457" s="772"/>
    </row>
    <row r="458" ht="15.75" customHeight="1">
      <c r="A458" s="815"/>
      <c r="B458" s="782"/>
      <c r="C458" s="782"/>
      <c r="D458" s="782"/>
      <c r="E458" s="816"/>
      <c r="F458" s="816"/>
      <c r="G458" s="817"/>
      <c r="H458" s="817"/>
      <c r="I458" s="818"/>
      <c r="J458" s="772"/>
      <c r="K458" s="772"/>
      <c r="L458" s="772"/>
      <c r="M458" s="772"/>
      <c r="N458" s="772"/>
      <c r="O458" s="772"/>
      <c r="P458" s="772"/>
      <c r="Q458" s="772"/>
      <c r="R458" s="772"/>
      <c r="S458" s="772"/>
      <c r="T458" s="772"/>
      <c r="U458" s="772"/>
      <c r="V458" s="772"/>
      <c r="W458" s="772"/>
      <c r="X458" s="772"/>
      <c r="Y458" s="772"/>
      <c r="Z458" s="772"/>
      <c r="AA458" s="772"/>
      <c r="AB458" s="772"/>
      <c r="AC458" s="772"/>
      <c r="AD458" s="772"/>
      <c r="AE458" s="772"/>
      <c r="AF458" s="772"/>
      <c r="AG458" s="772"/>
      <c r="AH458" s="772"/>
    </row>
    <row r="459" ht="15.75" customHeight="1">
      <c r="A459" s="815"/>
      <c r="B459" s="782"/>
      <c r="C459" s="782"/>
      <c r="D459" s="782"/>
      <c r="E459" s="816"/>
      <c r="F459" s="816"/>
      <c r="G459" s="817"/>
      <c r="H459" s="817"/>
      <c r="I459" s="818"/>
      <c r="J459" s="772"/>
      <c r="K459" s="772"/>
      <c r="L459" s="772"/>
      <c r="M459" s="772"/>
      <c r="N459" s="772"/>
      <c r="O459" s="772"/>
      <c r="P459" s="772"/>
      <c r="Q459" s="772"/>
      <c r="R459" s="772"/>
      <c r="S459" s="772"/>
      <c r="T459" s="772"/>
      <c r="U459" s="772"/>
      <c r="V459" s="772"/>
      <c r="W459" s="772"/>
      <c r="X459" s="772"/>
      <c r="Y459" s="772"/>
      <c r="Z459" s="772"/>
      <c r="AA459" s="772"/>
      <c r="AB459" s="772"/>
      <c r="AC459" s="772"/>
      <c r="AD459" s="772"/>
      <c r="AE459" s="772"/>
      <c r="AF459" s="772"/>
      <c r="AG459" s="772"/>
      <c r="AH459" s="772"/>
    </row>
    <row r="460" ht="15.75" customHeight="1">
      <c r="A460" s="815"/>
      <c r="B460" s="782"/>
      <c r="C460" s="782"/>
      <c r="D460" s="782"/>
      <c r="E460" s="816"/>
      <c r="F460" s="816"/>
      <c r="G460" s="817"/>
      <c r="H460" s="817"/>
      <c r="I460" s="818"/>
      <c r="J460" s="772"/>
      <c r="K460" s="772"/>
      <c r="L460" s="772"/>
      <c r="M460" s="772"/>
      <c r="N460" s="772"/>
      <c r="O460" s="772"/>
      <c r="P460" s="772"/>
      <c r="Q460" s="772"/>
      <c r="R460" s="772"/>
      <c r="S460" s="772"/>
      <c r="T460" s="772"/>
      <c r="U460" s="772"/>
      <c r="V460" s="772"/>
      <c r="W460" s="772"/>
      <c r="X460" s="772"/>
      <c r="Y460" s="772"/>
      <c r="Z460" s="772"/>
      <c r="AA460" s="772"/>
      <c r="AB460" s="772"/>
      <c r="AC460" s="772"/>
      <c r="AD460" s="772"/>
      <c r="AE460" s="772"/>
      <c r="AF460" s="772"/>
      <c r="AG460" s="772"/>
      <c r="AH460" s="772"/>
    </row>
    <row r="461" ht="15.75" customHeight="1">
      <c r="A461" s="815"/>
      <c r="B461" s="782"/>
      <c r="C461" s="782"/>
      <c r="D461" s="782"/>
      <c r="E461" s="816"/>
      <c r="F461" s="816"/>
      <c r="G461" s="817"/>
      <c r="H461" s="817"/>
      <c r="I461" s="818"/>
      <c r="J461" s="772"/>
      <c r="K461" s="772"/>
      <c r="L461" s="772"/>
      <c r="M461" s="772"/>
      <c r="N461" s="772"/>
      <c r="O461" s="772"/>
      <c r="P461" s="772"/>
      <c r="Q461" s="772"/>
      <c r="R461" s="772"/>
      <c r="S461" s="772"/>
      <c r="T461" s="772"/>
      <c r="U461" s="772"/>
      <c r="V461" s="772"/>
      <c r="W461" s="772"/>
      <c r="X461" s="772"/>
      <c r="Y461" s="772"/>
      <c r="Z461" s="772"/>
      <c r="AA461" s="772"/>
      <c r="AB461" s="772"/>
      <c r="AC461" s="772"/>
      <c r="AD461" s="772"/>
      <c r="AE461" s="772"/>
      <c r="AF461" s="772"/>
      <c r="AG461" s="772"/>
      <c r="AH461" s="772"/>
    </row>
    <row r="462" ht="15.75" customHeight="1">
      <c r="A462" s="815"/>
      <c r="B462" s="782"/>
      <c r="C462" s="782"/>
      <c r="D462" s="782"/>
      <c r="E462" s="816"/>
      <c r="F462" s="816"/>
      <c r="G462" s="817"/>
      <c r="H462" s="817"/>
      <c r="I462" s="818"/>
      <c r="J462" s="772"/>
      <c r="K462" s="772"/>
      <c r="L462" s="772"/>
      <c r="M462" s="772"/>
      <c r="N462" s="772"/>
      <c r="O462" s="772"/>
      <c r="P462" s="772"/>
      <c r="Q462" s="772"/>
      <c r="R462" s="772"/>
      <c r="S462" s="772"/>
      <c r="T462" s="772"/>
      <c r="U462" s="772"/>
      <c r="V462" s="772"/>
      <c r="W462" s="772"/>
      <c r="X462" s="772"/>
      <c r="Y462" s="772"/>
      <c r="Z462" s="772"/>
      <c r="AA462" s="772"/>
      <c r="AB462" s="772"/>
      <c r="AC462" s="772"/>
      <c r="AD462" s="772"/>
      <c r="AE462" s="772"/>
      <c r="AF462" s="772"/>
      <c r="AG462" s="772"/>
      <c r="AH462" s="772"/>
    </row>
    <row r="463" ht="15.75" customHeight="1">
      <c r="A463" s="815"/>
      <c r="B463" s="782"/>
      <c r="C463" s="782"/>
      <c r="D463" s="782"/>
      <c r="E463" s="816"/>
      <c r="F463" s="816"/>
      <c r="G463" s="817"/>
      <c r="H463" s="817"/>
      <c r="I463" s="818"/>
      <c r="J463" s="772"/>
      <c r="K463" s="772"/>
      <c r="L463" s="772"/>
      <c r="M463" s="772"/>
      <c r="N463" s="772"/>
      <c r="O463" s="772"/>
      <c r="P463" s="772"/>
      <c r="Q463" s="772"/>
      <c r="R463" s="772"/>
      <c r="S463" s="772"/>
      <c r="T463" s="772"/>
      <c r="U463" s="772"/>
      <c r="V463" s="772"/>
      <c r="W463" s="772"/>
      <c r="X463" s="772"/>
      <c r="Y463" s="772"/>
      <c r="Z463" s="772"/>
      <c r="AA463" s="772"/>
      <c r="AB463" s="772"/>
      <c r="AC463" s="772"/>
      <c r="AD463" s="772"/>
      <c r="AE463" s="772"/>
      <c r="AF463" s="772"/>
      <c r="AG463" s="772"/>
      <c r="AH463" s="772"/>
    </row>
    <row r="464" ht="15.75" customHeight="1">
      <c r="A464" s="815"/>
      <c r="B464" s="782"/>
      <c r="C464" s="782"/>
      <c r="D464" s="782"/>
      <c r="E464" s="816"/>
      <c r="F464" s="816"/>
      <c r="G464" s="817"/>
      <c r="H464" s="817"/>
      <c r="I464" s="818"/>
      <c r="J464" s="772"/>
      <c r="K464" s="772"/>
      <c r="L464" s="772"/>
      <c r="M464" s="772"/>
      <c r="N464" s="772"/>
      <c r="O464" s="772"/>
      <c r="P464" s="772"/>
      <c r="Q464" s="772"/>
      <c r="R464" s="772"/>
      <c r="S464" s="772"/>
      <c r="T464" s="772"/>
      <c r="U464" s="772"/>
      <c r="V464" s="772"/>
      <c r="W464" s="772"/>
      <c r="X464" s="772"/>
      <c r="Y464" s="772"/>
      <c r="Z464" s="772"/>
      <c r="AA464" s="772"/>
      <c r="AB464" s="772"/>
      <c r="AC464" s="772"/>
      <c r="AD464" s="772"/>
      <c r="AE464" s="772"/>
      <c r="AF464" s="772"/>
      <c r="AG464" s="772"/>
      <c r="AH464" s="772"/>
    </row>
    <row r="465" ht="15.75" customHeight="1">
      <c r="A465" s="815"/>
      <c r="B465" s="782"/>
      <c r="C465" s="782"/>
      <c r="D465" s="782"/>
      <c r="E465" s="816"/>
      <c r="F465" s="816"/>
      <c r="G465" s="817"/>
      <c r="H465" s="817"/>
      <c r="I465" s="818"/>
      <c r="J465" s="772"/>
      <c r="K465" s="772"/>
      <c r="L465" s="772"/>
      <c r="M465" s="772"/>
      <c r="N465" s="772"/>
      <c r="O465" s="772"/>
      <c r="P465" s="772"/>
      <c r="Q465" s="772"/>
      <c r="R465" s="772"/>
      <c r="S465" s="772"/>
      <c r="T465" s="772"/>
      <c r="U465" s="772"/>
      <c r="V465" s="772"/>
      <c r="W465" s="772"/>
      <c r="X465" s="772"/>
      <c r="Y465" s="772"/>
      <c r="Z465" s="772"/>
      <c r="AA465" s="772"/>
      <c r="AB465" s="772"/>
      <c r="AC465" s="772"/>
      <c r="AD465" s="772"/>
      <c r="AE465" s="772"/>
      <c r="AF465" s="772"/>
      <c r="AG465" s="772"/>
      <c r="AH465" s="772"/>
    </row>
    <row r="466" ht="15.75" customHeight="1">
      <c r="A466" s="815"/>
      <c r="B466" s="782"/>
      <c r="C466" s="782"/>
      <c r="D466" s="782"/>
      <c r="E466" s="816"/>
      <c r="F466" s="816"/>
      <c r="G466" s="817"/>
      <c r="H466" s="817"/>
      <c r="I466" s="818"/>
      <c r="J466" s="772"/>
      <c r="K466" s="772"/>
      <c r="L466" s="772"/>
      <c r="M466" s="772"/>
      <c r="N466" s="772"/>
      <c r="O466" s="772"/>
      <c r="P466" s="772"/>
      <c r="Q466" s="772"/>
      <c r="R466" s="772"/>
      <c r="S466" s="772"/>
      <c r="T466" s="772"/>
      <c r="U466" s="772"/>
      <c r="V466" s="772"/>
      <c r="W466" s="772"/>
      <c r="X466" s="772"/>
      <c r="Y466" s="772"/>
      <c r="Z466" s="772"/>
      <c r="AA466" s="772"/>
      <c r="AB466" s="772"/>
      <c r="AC466" s="772"/>
      <c r="AD466" s="772"/>
      <c r="AE466" s="772"/>
      <c r="AF466" s="772"/>
      <c r="AG466" s="772"/>
      <c r="AH466" s="772"/>
    </row>
    <row r="467" ht="15.75" customHeight="1">
      <c r="A467" s="815"/>
      <c r="B467" s="782"/>
      <c r="C467" s="782"/>
      <c r="D467" s="782"/>
      <c r="E467" s="816"/>
      <c r="F467" s="816"/>
      <c r="G467" s="817"/>
      <c r="H467" s="817"/>
      <c r="I467" s="818"/>
      <c r="J467" s="772"/>
      <c r="K467" s="772"/>
      <c r="L467" s="772"/>
      <c r="M467" s="772"/>
      <c r="N467" s="772"/>
      <c r="O467" s="772"/>
      <c r="P467" s="772"/>
      <c r="Q467" s="772"/>
      <c r="R467" s="772"/>
      <c r="S467" s="772"/>
      <c r="T467" s="772"/>
      <c r="U467" s="772"/>
      <c r="V467" s="772"/>
      <c r="W467" s="772"/>
      <c r="X467" s="772"/>
      <c r="Y467" s="772"/>
      <c r="Z467" s="772"/>
      <c r="AA467" s="772"/>
      <c r="AB467" s="772"/>
      <c r="AC467" s="772"/>
      <c r="AD467" s="772"/>
      <c r="AE467" s="772"/>
      <c r="AF467" s="772"/>
      <c r="AG467" s="772"/>
      <c r="AH467" s="772"/>
    </row>
    <row r="468" ht="15.75" customHeight="1">
      <c r="A468" s="815"/>
      <c r="B468" s="782"/>
      <c r="C468" s="782"/>
      <c r="D468" s="782"/>
      <c r="E468" s="816"/>
      <c r="F468" s="816"/>
      <c r="G468" s="817"/>
      <c r="H468" s="817"/>
      <c r="I468" s="818"/>
      <c r="J468" s="772"/>
      <c r="K468" s="772"/>
      <c r="L468" s="772"/>
      <c r="M468" s="772"/>
      <c r="N468" s="772"/>
      <c r="O468" s="772"/>
      <c r="P468" s="772"/>
      <c r="Q468" s="772"/>
      <c r="R468" s="772"/>
      <c r="S468" s="772"/>
      <c r="T468" s="772"/>
      <c r="U468" s="772"/>
      <c r="V468" s="772"/>
      <c r="W468" s="772"/>
      <c r="X468" s="772"/>
      <c r="Y468" s="772"/>
      <c r="Z468" s="772"/>
      <c r="AA468" s="772"/>
      <c r="AB468" s="772"/>
      <c r="AC468" s="772"/>
      <c r="AD468" s="772"/>
      <c r="AE468" s="772"/>
      <c r="AF468" s="772"/>
      <c r="AG468" s="772"/>
      <c r="AH468" s="772"/>
    </row>
    <row r="469" ht="15.75" customHeight="1">
      <c r="A469" s="815"/>
      <c r="B469" s="782"/>
      <c r="C469" s="782"/>
      <c r="D469" s="782"/>
      <c r="E469" s="816"/>
      <c r="F469" s="816"/>
      <c r="G469" s="817"/>
      <c r="H469" s="817"/>
      <c r="I469" s="818"/>
      <c r="J469" s="772"/>
      <c r="K469" s="772"/>
      <c r="L469" s="772"/>
      <c r="M469" s="772"/>
      <c r="N469" s="772"/>
      <c r="O469" s="772"/>
      <c r="P469" s="772"/>
      <c r="Q469" s="772"/>
      <c r="R469" s="772"/>
      <c r="S469" s="772"/>
      <c r="T469" s="772"/>
      <c r="U469" s="772"/>
      <c r="V469" s="772"/>
      <c r="W469" s="772"/>
      <c r="X469" s="772"/>
      <c r="Y469" s="772"/>
      <c r="Z469" s="772"/>
      <c r="AA469" s="772"/>
      <c r="AB469" s="772"/>
      <c r="AC469" s="772"/>
      <c r="AD469" s="772"/>
      <c r="AE469" s="772"/>
      <c r="AF469" s="772"/>
      <c r="AG469" s="772"/>
      <c r="AH469" s="772"/>
    </row>
    <row r="470" ht="15.75" customHeight="1">
      <c r="A470" s="815"/>
      <c r="B470" s="782"/>
      <c r="C470" s="782"/>
      <c r="D470" s="782"/>
      <c r="E470" s="816"/>
      <c r="F470" s="816"/>
      <c r="G470" s="817"/>
      <c r="H470" s="817"/>
      <c r="I470" s="818"/>
      <c r="J470" s="772"/>
      <c r="K470" s="772"/>
      <c r="L470" s="772"/>
      <c r="M470" s="772"/>
      <c r="N470" s="772"/>
      <c r="O470" s="772"/>
      <c r="P470" s="772"/>
      <c r="Q470" s="772"/>
      <c r="R470" s="772"/>
      <c r="S470" s="772"/>
      <c r="T470" s="772"/>
      <c r="U470" s="772"/>
      <c r="V470" s="772"/>
      <c r="W470" s="772"/>
      <c r="X470" s="772"/>
      <c r="Y470" s="772"/>
      <c r="Z470" s="772"/>
      <c r="AA470" s="772"/>
      <c r="AB470" s="772"/>
      <c r="AC470" s="772"/>
      <c r="AD470" s="772"/>
      <c r="AE470" s="772"/>
      <c r="AF470" s="772"/>
      <c r="AG470" s="772"/>
      <c r="AH470" s="772"/>
    </row>
    <row r="471" ht="15.75" customHeight="1">
      <c r="A471" s="815"/>
      <c r="B471" s="782"/>
      <c r="C471" s="782"/>
      <c r="D471" s="782"/>
      <c r="E471" s="816"/>
      <c r="F471" s="816"/>
      <c r="G471" s="817"/>
      <c r="H471" s="817"/>
      <c r="I471" s="818"/>
      <c r="J471" s="772"/>
      <c r="K471" s="772"/>
      <c r="L471" s="772"/>
      <c r="M471" s="772"/>
      <c r="N471" s="772"/>
      <c r="O471" s="772"/>
      <c r="P471" s="772"/>
      <c r="Q471" s="772"/>
      <c r="R471" s="772"/>
      <c r="S471" s="772"/>
      <c r="T471" s="772"/>
      <c r="U471" s="772"/>
      <c r="V471" s="772"/>
      <c r="W471" s="772"/>
      <c r="X471" s="772"/>
      <c r="Y471" s="772"/>
      <c r="Z471" s="772"/>
      <c r="AA471" s="772"/>
      <c r="AB471" s="772"/>
      <c r="AC471" s="772"/>
      <c r="AD471" s="772"/>
      <c r="AE471" s="772"/>
      <c r="AF471" s="772"/>
      <c r="AG471" s="772"/>
      <c r="AH471" s="772"/>
    </row>
    <row r="472" ht="15.75" customHeight="1">
      <c r="A472" s="815"/>
      <c r="B472" s="782"/>
      <c r="C472" s="782"/>
      <c r="D472" s="782"/>
      <c r="E472" s="816"/>
      <c r="F472" s="816"/>
      <c r="G472" s="817"/>
      <c r="H472" s="817"/>
      <c r="I472" s="818"/>
      <c r="J472" s="772"/>
      <c r="K472" s="772"/>
      <c r="L472" s="772"/>
      <c r="M472" s="772"/>
      <c r="N472" s="772"/>
      <c r="O472" s="772"/>
      <c r="P472" s="772"/>
      <c r="Q472" s="772"/>
      <c r="R472" s="772"/>
      <c r="S472" s="772"/>
      <c r="T472" s="772"/>
      <c r="U472" s="772"/>
      <c r="V472" s="772"/>
      <c r="W472" s="772"/>
      <c r="X472" s="772"/>
      <c r="Y472" s="772"/>
      <c r="Z472" s="772"/>
      <c r="AA472" s="772"/>
      <c r="AB472" s="772"/>
      <c r="AC472" s="772"/>
      <c r="AD472" s="772"/>
      <c r="AE472" s="772"/>
      <c r="AF472" s="772"/>
      <c r="AG472" s="772"/>
      <c r="AH472" s="772"/>
    </row>
    <row r="473" ht="15.75" customHeight="1">
      <c r="A473" s="815"/>
      <c r="B473" s="782"/>
      <c r="C473" s="782"/>
      <c r="D473" s="782"/>
      <c r="E473" s="816"/>
      <c r="F473" s="816"/>
      <c r="G473" s="817"/>
      <c r="H473" s="817"/>
      <c r="I473" s="818"/>
      <c r="J473" s="772"/>
      <c r="K473" s="772"/>
      <c r="L473" s="772"/>
      <c r="M473" s="772"/>
      <c r="N473" s="772"/>
      <c r="O473" s="772"/>
      <c r="P473" s="772"/>
      <c r="Q473" s="772"/>
      <c r="R473" s="772"/>
      <c r="S473" s="772"/>
      <c r="T473" s="772"/>
      <c r="U473" s="772"/>
      <c r="V473" s="772"/>
      <c r="W473" s="772"/>
      <c r="X473" s="772"/>
      <c r="Y473" s="772"/>
      <c r="Z473" s="772"/>
      <c r="AA473" s="772"/>
      <c r="AB473" s="772"/>
      <c r="AC473" s="772"/>
      <c r="AD473" s="772"/>
      <c r="AE473" s="772"/>
      <c r="AF473" s="772"/>
      <c r="AG473" s="772"/>
      <c r="AH473" s="772"/>
    </row>
    <row r="474" ht="15.75" customHeight="1">
      <c r="A474" s="815"/>
      <c r="B474" s="782"/>
      <c r="C474" s="782"/>
      <c r="D474" s="782"/>
      <c r="E474" s="816"/>
      <c r="F474" s="816"/>
      <c r="G474" s="817"/>
      <c r="H474" s="817"/>
      <c r="I474" s="818"/>
      <c r="J474" s="772"/>
      <c r="K474" s="772"/>
      <c r="L474" s="772"/>
      <c r="M474" s="772"/>
      <c r="N474" s="772"/>
      <c r="O474" s="772"/>
      <c r="P474" s="772"/>
      <c r="Q474" s="772"/>
      <c r="R474" s="772"/>
      <c r="S474" s="772"/>
      <c r="T474" s="772"/>
      <c r="U474" s="772"/>
      <c r="V474" s="772"/>
      <c r="W474" s="772"/>
      <c r="X474" s="772"/>
      <c r="Y474" s="772"/>
      <c r="Z474" s="772"/>
      <c r="AA474" s="772"/>
      <c r="AB474" s="772"/>
      <c r="AC474" s="772"/>
      <c r="AD474" s="772"/>
      <c r="AE474" s="772"/>
      <c r="AF474" s="772"/>
      <c r="AG474" s="772"/>
      <c r="AH474" s="772"/>
    </row>
    <row r="475" ht="15.75" customHeight="1">
      <c r="A475" s="815"/>
      <c r="B475" s="782"/>
      <c r="C475" s="782"/>
      <c r="D475" s="782"/>
      <c r="E475" s="816"/>
      <c r="F475" s="816"/>
      <c r="G475" s="817"/>
      <c r="H475" s="817"/>
      <c r="I475" s="818"/>
      <c r="J475" s="772"/>
      <c r="K475" s="772"/>
      <c r="L475" s="772"/>
      <c r="M475" s="772"/>
      <c r="N475" s="772"/>
      <c r="O475" s="772"/>
      <c r="P475" s="772"/>
      <c r="Q475" s="772"/>
      <c r="R475" s="772"/>
      <c r="S475" s="772"/>
      <c r="T475" s="772"/>
      <c r="U475" s="772"/>
      <c r="V475" s="772"/>
      <c r="W475" s="772"/>
      <c r="X475" s="772"/>
      <c r="Y475" s="772"/>
      <c r="Z475" s="772"/>
      <c r="AA475" s="772"/>
      <c r="AB475" s="772"/>
      <c r="AC475" s="772"/>
      <c r="AD475" s="772"/>
      <c r="AE475" s="772"/>
      <c r="AF475" s="772"/>
      <c r="AG475" s="772"/>
      <c r="AH475" s="772"/>
    </row>
    <row r="476" ht="15.75" customHeight="1">
      <c r="A476" s="815"/>
      <c r="B476" s="782"/>
      <c r="C476" s="782"/>
      <c r="D476" s="782"/>
      <c r="E476" s="816"/>
      <c r="F476" s="816"/>
      <c r="G476" s="817"/>
      <c r="H476" s="817"/>
      <c r="I476" s="818"/>
      <c r="J476" s="772"/>
      <c r="K476" s="772"/>
      <c r="L476" s="772"/>
      <c r="M476" s="772"/>
      <c r="N476" s="772"/>
      <c r="O476" s="772"/>
      <c r="P476" s="772"/>
      <c r="Q476" s="772"/>
      <c r="R476" s="772"/>
      <c r="S476" s="772"/>
      <c r="T476" s="772"/>
      <c r="U476" s="772"/>
      <c r="V476" s="772"/>
      <c r="W476" s="772"/>
      <c r="X476" s="772"/>
      <c r="Y476" s="772"/>
      <c r="Z476" s="772"/>
      <c r="AA476" s="772"/>
      <c r="AB476" s="772"/>
      <c r="AC476" s="772"/>
      <c r="AD476" s="772"/>
      <c r="AE476" s="772"/>
      <c r="AF476" s="772"/>
      <c r="AG476" s="772"/>
      <c r="AH476" s="772"/>
    </row>
    <row r="477" ht="15.75" customHeight="1">
      <c r="A477" s="815"/>
      <c r="B477" s="782"/>
      <c r="C477" s="782"/>
      <c r="D477" s="782"/>
      <c r="E477" s="816"/>
      <c r="F477" s="816"/>
      <c r="G477" s="817"/>
      <c r="H477" s="817"/>
      <c r="I477" s="818"/>
      <c r="J477" s="772"/>
      <c r="K477" s="772"/>
      <c r="L477" s="772"/>
      <c r="M477" s="772"/>
      <c r="N477" s="772"/>
      <c r="O477" s="772"/>
      <c r="P477" s="772"/>
      <c r="Q477" s="772"/>
      <c r="R477" s="772"/>
      <c r="S477" s="772"/>
      <c r="T477" s="772"/>
      <c r="U477" s="772"/>
      <c r="V477" s="772"/>
      <c r="W477" s="772"/>
      <c r="X477" s="772"/>
      <c r="Y477" s="772"/>
      <c r="Z477" s="772"/>
      <c r="AA477" s="772"/>
      <c r="AB477" s="772"/>
      <c r="AC477" s="772"/>
      <c r="AD477" s="772"/>
      <c r="AE477" s="772"/>
      <c r="AF477" s="772"/>
      <c r="AG477" s="772"/>
      <c r="AH477" s="772"/>
    </row>
    <row r="478" ht="15.75" customHeight="1">
      <c r="A478" s="815"/>
      <c r="B478" s="782"/>
      <c r="C478" s="782"/>
      <c r="D478" s="782"/>
      <c r="E478" s="816"/>
      <c r="F478" s="816"/>
      <c r="G478" s="817"/>
      <c r="H478" s="817"/>
      <c r="I478" s="818"/>
      <c r="J478" s="772"/>
      <c r="K478" s="772"/>
      <c r="L478" s="772"/>
      <c r="M478" s="772"/>
      <c r="N478" s="772"/>
      <c r="O478" s="772"/>
      <c r="P478" s="772"/>
      <c r="Q478" s="772"/>
      <c r="R478" s="772"/>
      <c r="S478" s="772"/>
      <c r="T478" s="772"/>
      <c r="U478" s="772"/>
      <c r="V478" s="772"/>
      <c r="W478" s="772"/>
      <c r="X478" s="772"/>
      <c r="Y478" s="772"/>
      <c r="Z478" s="772"/>
      <c r="AA478" s="772"/>
      <c r="AB478" s="772"/>
      <c r="AC478" s="772"/>
      <c r="AD478" s="772"/>
      <c r="AE478" s="772"/>
      <c r="AF478" s="772"/>
      <c r="AG478" s="772"/>
      <c r="AH478" s="772"/>
    </row>
    <row r="479" ht="15.75" customHeight="1">
      <c r="A479" s="815"/>
      <c r="B479" s="782"/>
      <c r="C479" s="782"/>
      <c r="D479" s="782"/>
      <c r="E479" s="816"/>
      <c r="F479" s="816"/>
      <c r="G479" s="817"/>
      <c r="H479" s="817"/>
      <c r="I479" s="818"/>
      <c r="J479" s="772"/>
      <c r="K479" s="772"/>
      <c r="L479" s="772"/>
      <c r="M479" s="772"/>
      <c r="N479" s="772"/>
      <c r="O479" s="772"/>
      <c r="P479" s="772"/>
      <c r="Q479" s="772"/>
      <c r="R479" s="772"/>
      <c r="S479" s="772"/>
      <c r="T479" s="772"/>
      <c r="U479" s="772"/>
      <c r="V479" s="772"/>
      <c r="W479" s="772"/>
      <c r="X479" s="772"/>
      <c r="Y479" s="772"/>
      <c r="Z479" s="772"/>
      <c r="AA479" s="772"/>
      <c r="AB479" s="772"/>
      <c r="AC479" s="772"/>
      <c r="AD479" s="772"/>
      <c r="AE479" s="772"/>
      <c r="AF479" s="772"/>
      <c r="AG479" s="772"/>
      <c r="AH479" s="772"/>
    </row>
    <row r="480" ht="15.75" customHeight="1">
      <c r="A480" s="815"/>
      <c r="B480" s="782"/>
      <c r="C480" s="782"/>
      <c r="D480" s="782"/>
      <c r="E480" s="816"/>
      <c r="F480" s="816"/>
      <c r="G480" s="817"/>
      <c r="H480" s="817"/>
      <c r="I480" s="818"/>
      <c r="J480" s="772"/>
      <c r="K480" s="772"/>
      <c r="L480" s="772"/>
      <c r="M480" s="772"/>
      <c r="N480" s="772"/>
      <c r="O480" s="772"/>
      <c r="P480" s="772"/>
      <c r="Q480" s="772"/>
      <c r="R480" s="772"/>
      <c r="S480" s="772"/>
      <c r="T480" s="772"/>
      <c r="U480" s="772"/>
      <c r="V480" s="772"/>
      <c r="W480" s="772"/>
      <c r="X480" s="772"/>
      <c r="Y480" s="772"/>
      <c r="Z480" s="772"/>
      <c r="AA480" s="772"/>
      <c r="AB480" s="772"/>
      <c r="AC480" s="772"/>
      <c r="AD480" s="772"/>
      <c r="AE480" s="772"/>
      <c r="AF480" s="772"/>
      <c r="AG480" s="772"/>
      <c r="AH480" s="772"/>
    </row>
    <row r="481" ht="15.75" customHeight="1">
      <c r="A481" s="815"/>
      <c r="B481" s="782"/>
      <c r="C481" s="782"/>
      <c r="D481" s="782"/>
      <c r="E481" s="816"/>
      <c r="F481" s="816"/>
      <c r="G481" s="817"/>
      <c r="H481" s="817"/>
      <c r="I481" s="818"/>
      <c r="J481" s="772"/>
      <c r="K481" s="772"/>
      <c r="L481" s="772"/>
      <c r="M481" s="772"/>
      <c r="N481" s="772"/>
      <c r="O481" s="772"/>
      <c r="P481" s="772"/>
      <c r="Q481" s="772"/>
      <c r="R481" s="772"/>
      <c r="S481" s="772"/>
      <c r="T481" s="772"/>
      <c r="U481" s="772"/>
      <c r="V481" s="772"/>
      <c r="W481" s="772"/>
      <c r="X481" s="772"/>
      <c r="Y481" s="772"/>
      <c r="Z481" s="772"/>
      <c r="AA481" s="772"/>
      <c r="AB481" s="772"/>
      <c r="AC481" s="772"/>
      <c r="AD481" s="772"/>
      <c r="AE481" s="772"/>
      <c r="AF481" s="772"/>
      <c r="AG481" s="772"/>
      <c r="AH481" s="772"/>
    </row>
    <row r="482" ht="15.75" customHeight="1">
      <c r="A482" s="815"/>
      <c r="B482" s="782"/>
      <c r="C482" s="782"/>
      <c r="D482" s="782"/>
      <c r="E482" s="816"/>
      <c r="F482" s="816"/>
      <c r="G482" s="817"/>
      <c r="H482" s="817"/>
      <c r="I482" s="818"/>
      <c r="J482" s="772"/>
      <c r="K482" s="772"/>
      <c r="L482" s="772"/>
      <c r="M482" s="772"/>
      <c r="N482" s="772"/>
      <c r="O482" s="772"/>
      <c r="P482" s="772"/>
      <c r="Q482" s="772"/>
      <c r="R482" s="772"/>
      <c r="S482" s="772"/>
      <c r="T482" s="772"/>
      <c r="U482" s="772"/>
      <c r="V482" s="772"/>
      <c r="W482" s="772"/>
      <c r="X482" s="772"/>
      <c r="Y482" s="772"/>
      <c r="Z482" s="772"/>
      <c r="AA482" s="772"/>
      <c r="AB482" s="772"/>
      <c r="AC482" s="772"/>
      <c r="AD482" s="772"/>
      <c r="AE482" s="772"/>
      <c r="AF482" s="772"/>
      <c r="AG482" s="772"/>
      <c r="AH482" s="772"/>
    </row>
    <row r="483" ht="15.75" customHeight="1">
      <c r="A483" s="815"/>
      <c r="B483" s="782"/>
      <c r="C483" s="782"/>
      <c r="D483" s="782"/>
      <c r="E483" s="816"/>
      <c r="F483" s="816"/>
      <c r="G483" s="817"/>
      <c r="H483" s="817"/>
      <c r="I483" s="818"/>
      <c r="J483" s="772"/>
      <c r="K483" s="772"/>
      <c r="L483" s="772"/>
      <c r="M483" s="772"/>
      <c r="N483" s="772"/>
      <c r="O483" s="772"/>
      <c r="P483" s="772"/>
      <c r="Q483" s="772"/>
      <c r="R483" s="772"/>
      <c r="S483" s="772"/>
      <c r="T483" s="772"/>
      <c r="U483" s="772"/>
      <c r="V483" s="772"/>
      <c r="W483" s="772"/>
      <c r="X483" s="772"/>
      <c r="Y483" s="772"/>
      <c r="Z483" s="772"/>
      <c r="AA483" s="772"/>
      <c r="AB483" s="772"/>
      <c r="AC483" s="772"/>
      <c r="AD483" s="772"/>
      <c r="AE483" s="772"/>
      <c r="AF483" s="772"/>
      <c r="AG483" s="772"/>
      <c r="AH483" s="772"/>
    </row>
    <row r="484" ht="15.75" customHeight="1">
      <c r="A484" s="815"/>
      <c r="B484" s="782"/>
      <c r="C484" s="782"/>
      <c r="D484" s="782"/>
      <c r="E484" s="816"/>
      <c r="F484" s="816"/>
      <c r="G484" s="817"/>
      <c r="H484" s="817"/>
      <c r="I484" s="818"/>
      <c r="J484" s="772"/>
      <c r="K484" s="772"/>
      <c r="L484" s="772"/>
      <c r="M484" s="772"/>
      <c r="N484" s="772"/>
      <c r="O484" s="772"/>
      <c r="P484" s="772"/>
      <c r="Q484" s="772"/>
      <c r="R484" s="772"/>
      <c r="S484" s="772"/>
      <c r="T484" s="772"/>
      <c r="U484" s="772"/>
      <c r="V484" s="772"/>
      <c r="W484" s="772"/>
      <c r="X484" s="772"/>
      <c r="Y484" s="772"/>
      <c r="Z484" s="772"/>
      <c r="AA484" s="772"/>
      <c r="AB484" s="772"/>
      <c r="AC484" s="772"/>
      <c r="AD484" s="772"/>
      <c r="AE484" s="772"/>
      <c r="AF484" s="772"/>
      <c r="AG484" s="772"/>
      <c r="AH484" s="772"/>
    </row>
    <row r="485" ht="15.75" customHeight="1">
      <c r="A485" s="815"/>
      <c r="B485" s="782"/>
      <c r="C485" s="782"/>
      <c r="D485" s="782"/>
      <c r="E485" s="816"/>
      <c r="F485" s="816"/>
      <c r="G485" s="817"/>
      <c r="H485" s="817"/>
      <c r="I485" s="818"/>
      <c r="J485" s="772"/>
      <c r="K485" s="772"/>
      <c r="L485" s="772"/>
      <c r="M485" s="772"/>
      <c r="N485" s="772"/>
      <c r="O485" s="772"/>
      <c r="P485" s="772"/>
      <c r="Q485" s="772"/>
      <c r="R485" s="772"/>
      <c r="S485" s="772"/>
      <c r="T485" s="772"/>
      <c r="U485" s="772"/>
      <c r="V485" s="772"/>
      <c r="W485" s="772"/>
      <c r="X485" s="772"/>
      <c r="Y485" s="772"/>
      <c r="Z485" s="772"/>
      <c r="AA485" s="772"/>
      <c r="AB485" s="772"/>
      <c r="AC485" s="772"/>
      <c r="AD485" s="772"/>
      <c r="AE485" s="772"/>
      <c r="AF485" s="772"/>
      <c r="AG485" s="772"/>
      <c r="AH485" s="772"/>
    </row>
    <row r="486" ht="15.75" customHeight="1">
      <c r="A486" s="815"/>
      <c r="B486" s="782"/>
      <c r="C486" s="782"/>
      <c r="D486" s="782"/>
      <c r="E486" s="816"/>
      <c r="F486" s="816"/>
      <c r="G486" s="817"/>
      <c r="H486" s="817"/>
      <c r="I486" s="818"/>
      <c r="J486" s="772"/>
      <c r="K486" s="772"/>
      <c r="L486" s="772"/>
      <c r="M486" s="772"/>
      <c r="N486" s="772"/>
      <c r="O486" s="772"/>
      <c r="P486" s="772"/>
      <c r="Q486" s="772"/>
      <c r="R486" s="772"/>
      <c r="S486" s="772"/>
      <c r="T486" s="772"/>
      <c r="U486" s="772"/>
      <c r="V486" s="772"/>
      <c r="W486" s="772"/>
      <c r="X486" s="772"/>
      <c r="Y486" s="772"/>
      <c r="Z486" s="772"/>
      <c r="AA486" s="772"/>
      <c r="AB486" s="772"/>
      <c r="AC486" s="772"/>
      <c r="AD486" s="772"/>
      <c r="AE486" s="772"/>
      <c r="AF486" s="772"/>
      <c r="AG486" s="772"/>
      <c r="AH486" s="772"/>
    </row>
    <row r="487" ht="15.75" customHeight="1">
      <c r="A487" s="815"/>
      <c r="B487" s="782"/>
      <c r="C487" s="782"/>
      <c r="D487" s="782"/>
      <c r="E487" s="816"/>
      <c r="F487" s="816"/>
      <c r="G487" s="817"/>
      <c r="H487" s="817"/>
      <c r="I487" s="818"/>
      <c r="J487" s="772"/>
      <c r="K487" s="772"/>
      <c r="L487" s="772"/>
      <c r="M487" s="772"/>
      <c r="N487" s="772"/>
      <c r="O487" s="772"/>
      <c r="P487" s="772"/>
      <c r="Q487" s="772"/>
      <c r="R487" s="772"/>
      <c r="S487" s="772"/>
      <c r="T487" s="772"/>
      <c r="U487" s="772"/>
      <c r="V487" s="772"/>
      <c r="W487" s="772"/>
      <c r="X487" s="772"/>
      <c r="Y487" s="772"/>
      <c r="Z487" s="772"/>
      <c r="AA487" s="772"/>
      <c r="AB487" s="772"/>
      <c r="AC487" s="772"/>
      <c r="AD487" s="772"/>
      <c r="AE487" s="772"/>
      <c r="AF487" s="772"/>
      <c r="AG487" s="772"/>
      <c r="AH487" s="772"/>
    </row>
    <row r="488" ht="15.75" customHeight="1">
      <c r="A488" s="815"/>
      <c r="B488" s="782"/>
      <c r="C488" s="782"/>
      <c r="D488" s="782"/>
      <c r="E488" s="816"/>
      <c r="F488" s="816"/>
      <c r="G488" s="817"/>
      <c r="H488" s="817"/>
      <c r="I488" s="818"/>
      <c r="J488" s="772"/>
      <c r="K488" s="772"/>
      <c r="L488" s="772"/>
      <c r="M488" s="772"/>
      <c r="N488" s="772"/>
      <c r="O488" s="772"/>
      <c r="P488" s="772"/>
      <c r="Q488" s="772"/>
      <c r="R488" s="772"/>
      <c r="S488" s="772"/>
      <c r="T488" s="772"/>
      <c r="U488" s="772"/>
      <c r="V488" s="772"/>
      <c r="W488" s="772"/>
      <c r="X488" s="772"/>
      <c r="Y488" s="772"/>
      <c r="Z488" s="772"/>
      <c r="AA488" s="772"/>
      <c r="AB488" s="772"/>
      <c r="AC488" s="772"/>
      <c r="AD488" s="772"/>
      <c r="AE488" s="772"/>
      <c r="AF488" s="772"/>
      <c r="AG488" s="772"/>
      <c r="AH488" s="772"/>
    </row>
    <row r="489" ht="15.75" customHeight="1">
      <c r="A489" s="815"/>
      <c r="B489" s="782"/>
      <c r="C489" s="782"/>
      <c r="D489" s="782"/>
      <c r="E489" s="816"/>
      <c r="F489" s="816"/>
      <c r="G489" s="817"/>
      <c r="H489" s="817"/>
      <c r="I489" s="818"/>
      <c r="J489" s="772"/>
      <c r="K489" s="772"/>
      <c r="L489" s="772"/>
      <c r="M489" s="772"/>
      <c r="N489" s="772"/>
      <c r="O489" s="772"/>
      <c r="P489" s="772"/>
      <c r="Q489" s="772"/>
      <c r="R489" s="772"/>
      <c r="S489" s="772"/>
      <c r="T489" s="772"/>
      <c r="U489" s="772"/>
      <c r="V489" s="772"/>
      <c r="W489" s="772"/>
      <c r="X489" s="772"/>
      <c r="Y489" s="772"/>
      <c r="Z489" s="772"/>
      <c r="AA489" s="772"/>
      <c r="AB489" s="772"/>
      <c r="AC489" s="772"/>
      <c r="AD489" s="772"/>
      <c r="AE489" s="772"/>
      <c r="AF489" s="772"/>
      <c r="AG489" s="772"/>
      <c r="AH489" s="772"/>
    </row>
    <row r="490" ht="15.75" customHeight="1">
      <c r="A490" s="815"/>
      <c r="B490" s="782"/>
      <c r="C490" s="782"/>
      <c r="D490" s="782"/>
      <c r="E490" s="816"/>
      <c r="F490" s="816"/>
      <c r="G490" s="817"/>
      <c r="H490" s="817"/>
      <c r="I490" s="818"/>
      <c r="J490" s="772"/>
      <c r="K490" s="772"/>
      <c r="L490" s="772"/>
      <c r="M490" s="772"/>
      <c r="N490" s="772"/>
      <c r="O490" s="772"/>
      <c r="P490" s="772"/>
      <c r="Q490" s="772"/>
      <c r="R490" s="772"/>
      <c r="S490" s="772"/>
      <c r="T490" s="772"/>
      <c r="U490" s="772"/>
      <c r="V490" s="772"/>
      <c r="W490" s="772"/>
      <c r="X490" s="772"/>
      <c r="Y490" s="772"/>
      <c r="Z490" s="772"/>
      <c r="AA490" s="772"/>
      <c r="AB490" s="772"/>
      <c r="AC490" s="772"/>
      <c r="AD490" s="772"/>
      <c r="AE490" s="772"/>
      <c r="AF490" s="772"/>
      <c r="AG490" s="772"/>
      <c r="AH490" s="772"/>
    </row>
    <row r="491" ht="15.75" customHeight="1">
      <c r="A491" s="815"/>
      <c r="B491" s="782"/>
      <c r="C491" s="782"/>
      <c r="D491" s="782"/>
      <c r="E491" s="816"/>
      <c r="F491" s="816"/>
      <c r="G491" s="817"/>
      <c r="H491" s="817"/>
      <c r="I491" s="818"/>
      <c r="J491" s="772"/>
      <c r="K491" s="772"/>
      <c r="L491" s="772"/>
      <c r="M491" s="772"/>
      <c r="N491" s="772"/>
      <c r="O491" s="772"/>
      <c r="P491" s="772"/>
      <c r="Q491" s="772"/>
      <c r="R491" s="772"/>
      <c r="S491" s="772"/>
      <c r="T491" s="772"/>
      <c r="U491" s="772"/>
      <c r="V491" s="772"/>
      <c r="W491" s="772"/>
      <c r="X491" s="772"/>
      <c r="Y491" s="772"/>
      <c r="Z491" s="772"/>
      <c r="AA491" s="772"/>
      <c r="AB491" s="772"/>
      <c r="AC491" s="772"/>
      <c r="AD491" s="772"/>
      <c r="AE491" s="772"/>
      <c r="AF491" s="772"/>
      <c r="AG491" s="772"/>
      <c r="AH491" s="772"/>
    </row>
    <row r="492" ht="15.75" customHeight="1">
      <c r="A492" s="815"/>
      <c r="B492" s="782"/>
      <c r="C492" s="782"/>
      <c r="D492" s="782"/>
      <c r="E492" s="816"/>
      <c r="F492" s="816"/>
      <c r="G492" s="817"/>
      <c r="H492" s="817"/>
      <c r="I492" s="818"/>
      <c r="J492" s="772"/>
      <c r="K492" s="772"/>
      <c r="L492" s="772"/>
      <c r="M492" s="772"/>
      <c r="N492" s="772"/>
      <c r="O492" s="772"/>
      <c r="P492" s="772"/>
      <c r="Q492" s="772"/>
      <c r="R492" s="772"/>
      <c r="S492" s="772"/>
      <c r="T492" s="772"/>
      <c r="U492" s="772"/>
      <c r="V492" s="772"/>
      <c r="W492" s="772"/>
      <c r="X492" s="772"/>
      <c r="Y492" s="772"/>
      <c r="Z492" s="772"/>
      <c r="AA492" s="772"/>
      <c r="AB492" s="772"/>
      <c r="AC492" s="772"/>
      <c r="AD492" s="772"/>
      <c r="AE492" s="772"/>
      <c r="AF492" s="772"/>
      <c r="AG492" s="772"/>
      <c r="AH492" s="772"/>
    </row>
    <row r="493" ht="15.75" customHeight="1">
      <c r="A493" s="815"/>
      <c r="B493" s="782"/>
      <c r="C493" s="782"/>
      <c r="D493" s="782"/>
      <c r="E493" s="816"/>
      <c r="F493" s="816"/>
      <c r="G493" s="817"/>
      <c r="H493" s="817"/>
      <c r="I493" s="818"/>
      <c r="J493" s="772"/>
      <c r="K493" s="772"/>
      <c r="L493" s="772"/>
      <c r="M493" s="772"/>
      <c r="N493" s="772"/>
      <c r="O493" s="772"/>
      <c r="P493" s="772"/>
      <c r="Q493" s="772"/>
      <c r="R493" s="772"/>
      <c r="S493" s="772"/>
      <c r="T493" s="772"/>
      <c r="U493" s="772"/>
      <c r="V493" s="772"/>
      <c r="W493" s="772"/>
      <c r="X493" s="772"/>
      <c r="Y493" s="772"/>
      <c r="Z493" s="772"/>
      <c r="AA493" s="772"/>
      <c r="AB493" s="772"/>
      <c r="AC493" s="772"/>
      <c r="AD493" s="772"/>
      <c r="AE493" s="772"/>
      <c r="AF493" s="772"/>
      <c r="AG493" s="772"/>
      <c r="AH493" s="772"/>
    </row>
    <row r="494" ht="15.75" customHeight="1">
      <c r="A494" s="815"/>
      <c r="B494" s="782"/>
      <c r="C494" s="782"/>
      <c r="D494" s="782"/>
      <c r="E494" s="816"/>
      <c r="F494" s="816"/>
      <c r="G494" s="817"/>
      <c r="H494" s="817"/>
      <c r="I494" s="818"/>
      <c r="J494" s="772"/>
      <c r="K494" s="772"/>
      <c r="L494" s="772"/>
      <c r="M494" s="772"/>
      <c r="N494" s="772"/>
      <c r="O494" s="772"/>
      <c r="P494" s="772"/>
      <c r="Q494" s="772"/>
      <c r="R494" s="772"/>
      <c r="S494" s="772"/>
      <c r="T494" s="772"/>
      <c r="U494" s="772"/>
      <c r="V494" s="772"/>
      <c r="W494" s="772"/>
      <c r="X494" s="772"/>
      <c r="Y494" s="772"/>
      <c r="Z494" s="772"/>
      <c r="AA494" s="772"/>
      <c r="AB494" s="772"/>
      <c r="AC494" s="772"/>
      <c r="AD494" s="772"/>
      <c r="AE494" s="772"/>
      <c r="AF494" s="772"/>
      <c r="AG494" s="772"/>
      <c r="AH494" s="772"/>
    </row>
    <row r="495" ht="15.75" customHeight="1">
      <c r="A495" s="815"/>
      <c r="B495" s="782"/>
      <c r="C495" s="782"/>
      <c r="D495" s="782"/>
      <c r="E495" s="816"/>
      <c r="F495" s="816"/>
      <c r="G495" s="817"/>
      <c r="H495" s="817"/>
      <c r="I495" s="818"/>
      <c r="J495" s="772"/>
      <c r="K495" s="772"/>
      <c r="L495" s="772"/>
      <c r="M495" s="772"/>
      <c r="N495" s="772"/>
      <c r="O495" s="772"/>
      <c r="P495" s="772"/>
      <c r="Q495" s="772"/>
      <c r="R495" s="772"/>
      <c r="S495" s="772"/>
      <c r="T495" s="772"/>
      <c r="U495" s="772"/>
      <c r="V495" s="772"/>
      <c r="W495" s="772"/>
      <c r="X495" s="772"/>
      <c r="Y495" s="772"/>
      <c r="Z495" s="772"/>
      <c r="AA495" s="772"/>
      <c r="AB495" s="772"/>
      <c r="AC495" s="772"/>
      <c r="AD495" s="772"/>
      <c r="AE495" s="772"/>
      <c r="AF495" s="772"/>
      <c r="AG495" s="772"/>
      <c r="AH495" s="772"/>
    </row>
    <row r="496" ht="15.75" customHeight="1">
      <c r="A496" s="815"/>
      <c r="B496" s="782"/>
      <c r="C496" s="782"/>
      <c r="D496" s="782"/>
      <c r="E496" s="816"/>
      <c r="F496" s="816"/>
      <c r="G496" s="817"/>
      <c r="H496" s="817"/>
      <c r="I496" s="818"/>
      <c r="J496" s="772"/>
      <c r="K496" s="772"/>
      <c r="L496" s="772"/>
      <c r="M496" s="772"/>
      <c r="N496" s="772"/>
      <c r="O496" s="772"/>
      <c r="P496" s="772"/>
      <c r="Q496" s="772"/>
      <c r="R496" s="772"/>
      <c r="S496" s="772"/>
      <c r="T496" s="772"/>
      <c r="U496" s="772"/>
      <c r="V496" s="772"/>
      <c r="W496" s="772"/>
      <c r="X496" s="772"/>
      <c r="Y496" s="772"/>
      <c r="Z496" s="772"/>
      <c r="AA496" s="772"/>
      <c r="AB496" s="772"/>
      <c r="AC496" s="772"/>
      <c r="AD496" s="772"/>
      <c r="AE496" s="772"/>
      <c r="AF496" s="772"/>
      <c r="AG496" s="772"/>
      <c r="AH496" s="772"/>
    </row>
    <row r="497" ht="15.75" customHeight="1">
      <c r="A497" s="815"/>
      <c r="B497" s="782"/>
      <c r="C497" s="782"/>
      <c r="D497" s="782"/>
      <c r="E497" s="816"/>
      <c r="F497" s="816"/>
      <c r="G497" s="817"/>
      <c r="H497" s="817"/>
      <c r="I497" s="818"/>
      <c r="J497" s="772"/>
      <c r="K497" s="772"/>
      <c r="L497" s="772"/>
      <c r="M497" s="772"/>
      <c r="N497" s="772"/>
      <c r="O497" s="772"/>
      <c r="P497" s="772"/>
      <c r="Q497" s="772"/>
      <c r="R497" s="772"/>
      <c r="S497" s="772"/>
      <c r="T497" s="772"/>
      <c r="U497" s="772"/>
      <c r="V497" s="772"/>
      <c r="W497" s="772"/>
      <c r="X497" s="772"/>
      <c r="Y497" s="772"/>
      <c r="Z497" s="772"/>
      <c r="AA497" s="772"/>
      <c r="AB497" s="772"/>
      <c r="AC497" s="772"/>
      <c r="AD497" s="772"/>
      <c r="AE497" s="772"/>
      <c r="AF497" s="772"/>
      <c r="AG497" s="772"/>
      <c r="AH497" s="772"/>
    </row>
    <row r="498" ht="15.75" customHeight="1">
      <c r="A498" s="815"/>
      <c r="B498" s="782"/>
      <c r="C498" s="782"/>
      <c r="D498" s="782"/>
      <c r="E498" s="816"/>
      <c r="F498" s="816"/>
      <c r="G498" s="817"/>
      <c r="H498" s="817"/>
      <c r="I498" s="818"/>
      <c r="J498" s="772"/>
      <c r="K498" s="772"/>
      <c r="L498" s="772"/>
      <c r="M498" s="772"/>
      <c r="N498" s="772"/>
      <c r="O498" s="772"/>
      <c r="P498" s="772"/>
      <c r="Q498" s="772"/>
      <c r="R498" s="772"/>
      <c r="S498" s="772"/>
      <c r="T498" s="772"/>
      <c r="U498" s="772"/>
      <c r="V498" s="772"/>
      <c r="W498" s="772"/>
      <c r="X498" s="772"/>
      <c r="Y498" s="772"/>
      <c r="Z498" s="772"/>
      <c r="AA498" s="772"/>
      <c r="AB498" s="772"/>
      <c r="AC498" s="772"/>
      <c r="AD498" s="772"/>
      <c r="AE498" s="772"/>
      <c r="AF498" s="772"/>
      <c r="AG498" s="772"/>
      <c r="AH498" s="772"/>
    </row>
    <row r="499" ht="15.75" customHeight="1">
      <c r="A499" s="815"/>
      <c r="B499" s="782"/>
      <c r="C499" s="782"/>
      <c r="D499" s="782"/>
      <c r="E499" s="816"/>
      <c r="F499" s="816"/>
      <c r="G499" s="817"/>
      <c r="H499" s="817"/>
      <c r="I499" s="818"/>
      <c r="J499" s="772"/>
      <c r="K499" s="772"/>
      <c r="L499" s="772"/>
      <c r="M499" s="772"/>
      <c r="N499" s="772"/>
      <c r="O499" s="772"/>
      <c r="P499" s="772"/>
      <c r="Q499" s="772"/>
      <c r="R499" s="772"/>
      <c r="S499" s="772"/>
      <c r="T499" s="772"/>
      <c r="U499" s="772"/>
      <c r="V499" s="772"/>
      <c r="W499" s="772"/>
      <c r="X499" s="772"/>
      <c r="Y499" s="772"/>
      <c r="Z499" s="772"/>
      <c r="AA499" s="772"/>
      <c r="AB499" s="772"/>
      <c r="AC499" s="772"/>
      <c r="AD499" s="772"/>
      <c r="AE499" s="772"/>
      <c r="AF499" s="772"/>
      <c r="AG499" s="772"/>
      <c r="AH499" s="772"/>
    </row>
    <row r="500" ht="15.75" customHeight="1">
      <c r="A500" s="815"/>
      <c r="B500" s="782"/>
      <c r="C500" s="782"/>
      <c r="D500" s="782"/>
      <c r="E500" s="816"/>
      <c r="F500" s="816"/>
      <c r="G500" s="817"/>
      <c r="H500" s="817"/>
      <c r="I500" s="818"/>
      <c r="J500" s="772"/>
      <c r="K500" s="772"/>
      <c r="L500" s="772"/>
      <c r="M500" s="772"/>
      <c r="N500" s="772"/>
      <c r="O500" s="772"/>
      <c r="P500" s="772"/>
      <c r="Q500" s="772"/>
      <c r="R500" s="772"/>
      <c r="S500" s="772"/>
      <c r="T500" s="772"/>
      <c r="U500" s="772"/>
      <c r="V500" s="772"/>
      <c r="W500" s="772"/>
      <c r="X500" s="772"/>
      <c r="Y500" s="772"/>
      <c r="Z500" s="772"/>
      <c r="AA500" s="772"/>
      <c r="AB500" s="772"/>
      <c r="AC500" s="772"/>
      <c r="AD500" s="772"/>
      <c r="AE500" s="772"/>
      <c r="AF500" s="772"/>
      <c r="AG500" s="772"/>
      <c r="AH500" s="772"/>
    </row>
    <row r="501" ht="15.75" customHeight="1">
      <c r="A501" s="815"/>
      <c r="B501" s="782"/>
      <c r="C501" s="782"/>
      <c r="D501" s="782"/>
      <c r="E501" s="816"/>
      <c r="F501" s="816"/>
      <c r="G501" s="817"/>
      <c r="H501" s="817"/>
      <c r="I501" s="818"/>
      <c r="J501" s="772"/>
      <c r="K501" s="772"/>
      <c r="L501" s="772"/>
      <c r="M501" s="772"/>
      <c r="N501" s="772"/>
      <c r="O501" s="772"/>
      <c r="P501" s="772"/>
      <c r="Q501" s="772"/>
      <c r="R501" s="772"/>
      <c r="S501" s="772"/>
      <c r="T501" s="772"/>
      <c r="U501" s="772"/>
      <c r="V501" s="772"/>
      <c r="W501" s="772"/>
      <c r="X501" s="772"/>
      <c r="Y501" s="772"/>
      <c r="Z501" s="772"/>
      <c r="AA501" s="772"/>
      <c r="AB501" s="772"/>
      <c r="AC501" s="772"/>
      <c r="AD501" s="772"/>
      <c r="AE501" s="772"/>
      <c r="AF501" s="772"/>
      <c r="AG501" s="772"/>
      <c r="AH501" s="772"/>
    </row>
    <row r="502" ht="15.75" customHeight="1">
      <c r="A502" s="815"/>
      <c r="B502" s="782"/>
      <c r="C502" s="782"/>
      <c r="D502" s="782"/>
      <c r="E502" s="816"/>
      <c r="F502" s="816"/>
      <c r="G502" s="817"/>
      <c r="H502" s="817"/>
      <c r="I502" s="818"/>
      <c r="J502" s="772"/>
      <c r="K502" s="772"/>
      <c r="L502" s="772"/>
      <c r="M502" s="772"/>
      <c r="N502" s="772"/>
      <c r="O502" s="772"/>
      <c r="P502" s="772"/>
      <c r="Q502" s="772"/>
      <c r="R502" s="772"/>
      <c r="S502" s="772"/>
      <c r="T502" s="772"/>
      <c r="U502" s="772"/>
      <c r="V502" s="772"/>
      <c r="W502" s="772"/>
      <c r="X502" s="772"/>
      <c r="Y502" s="772"/>
      <c r="Z502" s="772"/>
      <c r="AA502" s="772"/>
      <c r="AB502" s="772"/>
      <c r="AC502" s="772"/>
      <c r="AD502" s="772"/>
      <c r="AE502" s="772"/>
      <c r="AF502" s="772"/>
      <c r="AG502" s="772"/>
      <c r="AH502" s="772"/>
    </row>
    <row r="503" ht="15.75" customHeight="1">
      <c r="A503" s="815"/>
      <c r="B503" s="782"/>
      <c r="C503" s="782"/>
      <c r="D503" s="782"/>
      <c r="E503" s="816"/>
      <c r="F503" s="816"/>
      <c r="G503" s="817"/>
      <c r="H503" s="817"/>
      <c r="I503" s="818"/>
      <c r="J503" s="772"/>
      <c r="K503" s="772"/>
      <c r="L503" s="772"/>
      <c r="M503" s="772"/>
      <c r="N503" s="772"/>
      <c r="O503" s="772"/>
      <c r="P503" s="772"/>
      <c r="Q503" s="772"/>
      <c r="R503" s="772"/>
      <c r="S503" s="772"/>
      <c r="T503" s="772"/>
      <c r="U503" s="772"/>
      <c r="V503" s="772"/>
      <c r="W503" s="772"/>
      <c r="X503" s="772"/>
      <c r="Y503" s="772"/>
      <c r="Z503" s="772"/>
      <c r="AA503" s="772"/>
      <c r="AB503" s="772"/>
      <c r="AC503" s="772"/>
      <c r="AD503" s="772"/>
      <c r="AE503" s="772"/>
      <c r="AF503" s="772"/>
      <c r="AG503" s="772"/>
      <c r="AH503" s="772"/>
    </row>
    <row r="504" ht="15.75" customHeight="1">
      <c r="A504" s="815"/>
      <c r="B504" s="782"/>
      <c r="C504" s="782"/>
      <c r="D504" s="782"/>
      <c r="E504" s="816"/>
      <c r="F504" s="816"/>
      <c r="G504" s="817"/>
      <c r="H504" s="817"/>
      <c r="I504" s="818"/>
      <c r="J504" s="772"/>
      <c r="K504" s="772"/>
      <c r="L504" s="772"/>
      <c r="M504" s="772"/>
      <c r="N504" s="772"/>
      <c r="O504" s="772"/>
      <c r="P504" s="772"/>
      <c r="Q504" s="772"/>
      <c r="R504" s="772"/>
      <c r="S504" s="772"/>
      <c r="T504" s="772"/>
      <c r="U504" s="772"/>
      <c r="V504" s="772"/>
      <c r="W504" s="772"/>
      <c r="X504" s="772"/>
      <c r="Y504" s="772"/>
      <c r="Z504" s="772"/>
      <c r="AA504" s="772"/>
      <c r="AB504" s="772"/>
      <c r="AC504" s="772"/>
      <c r="AD504" s="772"/>
      <c r="AE504" s="772"/>
      <c r="AF504" s="772"/>
      <c r="AG504" s="772"/>
      <c r="AH504" s="772"/>
    </row>
    <row r="505" ht="15.75" customHeight="1">
      <c r="A505" s="815"/>
      <c r="B505" s="782"/>
      <c r="C505" s="782"/>
      <c r="D505" s="782"/>
      <c r="E505" s="816"/>
      <c r="F505" s="816"/>
      <c r="G505" s="817"/>
      <c r="H505" s="817"/>
      <c r="I505" s="818"/>
      <c r="J505" s="772"/>
      <c r="K505" s="772"/>
      <c r="L505" s="772"/>
      <c r="M505" s="772"/>
      <c r="N505" s="772"/>
      <c r="O505" s="772"/>
      <c r="P505" s="772"/>
      <c r="Q505" s="772"/>
      <c r="R505" s="772"/>
      <c r="S505" s="772"/>
      <c r="T505" s="772"/>
      <c r="U505" s="772"/>
      <c r="V505" s="772"/>
      <c r="W505" s="772"/>
      <c r="X505" s="772"/>
      <c r="Y505" s="772"/>
      <c r="Z505" s="772"/>
      <c r="AA505" s="772"/>
      <c r="AB505" s="772"/>
      <c r="AC505" s="772"/>
      <c r="AD505" s="772"/>
      <c r="AE505" s="772"/>
      <c r="AF505" s="772"/>
      <c r="AG505" s="772"/>
      <c r="AH505" s="772"/>
    </row>
    <row r="506" ht="15.75" customHeight="1">
      <c r="A506" s="815"/>
      <c r="B506" s="782"/>
      <c r="C506" s="782"/>
      <c r="D506" s="782"/>
      <c r="E506" s="816"/>
      <c r="F506" s="816"/>
      <c r="G506" s="817"/>
      <c r="H506" s="817"/>
      <c r="I506" s="818"/>
      <c r="J506" s="772"/>
      <c r="K506" s="772"/>
      <c r="L506" s="772"/>
      <c r="M506" s="772"/>
      <c r="N506" s="772"/>
      <c r="O506" s="772"/>
      <c r="P506" s="772"/>
      <c r="Q506" s="772"/>
      <c r="R506" s="772"/>
      <c r="S506" s="772"/>
      <c r="T506" s="772"/>
      <c r="U506" s="772"/>
      <c r="V506" s="772"/>
      <c r="W506" s="772"/>
      <c r="X506" s="772"/>
      <c r="Y506" s="772"/>
      <c r="Z506" s="772"/>
      <c r="AA506" s="772"/>
      <c r="AB506" s="772"/>
      <c r="AC506" s="772"/>
      <c r="AD506" s="772"/>
      <c r="AE506" s="772"/>
      <c r="AF506" s="772"/>
      <c r="AG506" s="772"/>
      <c r="AH506" s="772"/>
    </row>
    <row r="507" ht="15.75" customHeight="1">
      <c r="A507" s="815"/>
      <c r="B507" s="782"/>
      <c r="C507" s="782"/>
      <c r="D507" s="782"/>
      <c r="E507" s="816"/>
      <c r="F507" s="816"/>
      <c r="G507" s="817"/>
      <c r="H507" s="817"/>
      <c r="I507" s="818"/>
      <c r="J507" s="772"/>
      <c r="K507" s="772"/>
      <c r="L507" s="772"/>
      <c r="M507" s="772"/>
      <c r="N507" s="772"/>
      <c r="O507" s="772"/>
      <c r="P507" s="772"/>
      <c r="Q507" s="772"/>
      <c r="R507" s="772"/>
      <c r="S507" s="772"/>
      <c r="T507" s="772"/>
      <c r="U507" s="772"/>
      <c r="V507" s="772"/>
      <c r="W507" s="772"/>
      <c r="X507" s="772"/>
      <c r="Y507" s="772"/>
      <c r="Z507" s="772"/>
      <c r="AA507" s="772"/>
      <c r="AB507" s="772"/>
      <c r="AC507" s="772"/>
      <c r="AD507" s="772"/>
      <c r="AE507" s="772"/>
      <c r="AF507" s="772"/>
      <c r="AG507" s="772"/>
      <c r="AH507" s="772"/>
    </row>
    <row r="508" ht="15.75" customHeight="1">
      <c r="A508" s="815"/>
      <c r="B508" s="782"/>
      <c r="C508" s="782"/>
      <c r="D508" s="782"/>
      <c r="E508" s="816"/>
      <c r="F508" s="816"/>
      <c r="G508" s="817"/>
      <c r="H508" s="817"/>
      <c r="I508" s="818"/>
      <c r="J508" s="772"/>
      <c r="K508" s="772"/>
      <c r="L508" s="772"/>
      <c r="M508" s="772"/>
      <c r="N508" s="772"/>
      <c r="O508" s="772"/>
      <c r="P508" s="772"/>
      <c r="Q508" s="772"/>
      <c r="R508" s="772"/>
      <c r="S508" s="772"/>
      <c r="T508" s="772"/>
      <c r="U508" s="772"/>
      <c r="V508" s="772"/>
      <c r="W508" s="772"/>
      <c r="X508" s="772"/>
      <c r="Y508" s="772"/>
      <c r="Z508" s="772"/>
      <c r="AA508" s="772"/>
      <c r="AB508" s="772"/>
      <c r="AC508" s="772"/>
      <c r="AD508" s="772"/>
      <c r="AE508" s="772"/>
      <c r="AF508" s="772"/>
      <c r="AG508" s="772"/>
      <c r="AH508" s="772"/>
    </row>
    <row r="509" ht="15.75" customHeight="1">
      <c r="A509" s="815"/>
      <c r="B509" s="782"/>
      <c r="C509" s="782"/>
      <c r="D509" s="782"/>
      <c r="E509" s="816"/>
      <c r="F509" s="816"/>
      <c r="G509" s="817"/>
      <c r="H509" s="817"/>
      <c r="I509" s="818"/>
      <c r="J509" s="772"/>
      <c r="K509" s="772"/>
      <c r="L509" s="772"/>
      <c r="M509" s="772"/>
      <c r="N509" s="772"/>
      <c r="O509" s="772"/>
      <c r="P509" s="772"/>
      <c r="Q509" s="772"/>
      <c r="R509" s="772"/>
      <c r="S509" s="772"/>
      <c r="T509" s="772"/>
      <c r="U509" s="772"/>
      <c r="V509" s="772"/>
      <c r="W509" s="772"/>
      <c r="X509" s="772"/>
      <c r="Y509" s="772"/>
      <c r="Z509" s="772"/>
      <c r="AA509" s="772"/>
      <c r="AB509" s="772"/>
      <c r="AC509" s="772"/>
      <c r="AD509" s="772"/>
      <c r="AE509" s="772"/>
      <c r="AF509" s="772"/>
      <c r="AG509" s="772"/>
      <c r="AH509" s="772"/>
    </row>
    <row r="510" ht="15.75" customHeight="1">
      <c r="A510" s="815"/>
      <c r="B510" s="782"/>
      <c r="C510" s="782"/>
      <c r="D510" s="782"/>
      <c r="E510" s="816"/>
      <c r="F510" s="816"/>
      <c r="G510" s="817"/>
      <c r="H510" s="817"/>
      <c r="I510" s="818"/>
      <c r="J510" s="772"/>
      <c r="K510" s="772"/>
      <c r="L510" s="772"/>
      <c r="M510" s="772"/>
      <c r="N510" s="772"/>
      <c r="O510" s="772"/>
      <c r="P510" s="772"/>
      <c r="Q510" s="772"/>
      <c r="R510" s="772"/>
      <c r="S510" s="772"/>
      <c r="T510" s="772"/>
      <c r="U510" s="772"/>
      <c r="V510" s="772"/>
      <c r="W510" s="772"/>
      <c r="X510" s="772"/>
      <c r="Y510" s="772"/>
      <c r="Z510" s="772"/>
      <c r="AA510" s="772"/>
      <c r="AB510" s="772"/>
      <c r="AC510" s="772"/>
      <c r="AD510" s="772"/>
      <c r="AE510" s="772"/>
      <c r="AF510" s="772"/>
      <c r="AG510" s="772"/>
      <c r="AH510" s="772"/>
    </row>
    <row r="511" ht="15.75" customHeight="1">
      <c r="A511" s="815"/>
      <c r="B511" s="782"/>
      <c r="C511" s="782"/>
      <c r="D511" s="782"/>
      <c r="E511" s="816"/>
      <c r="F511" s="816"/>
      <c r="G511" s="817"/>
      <c r="H511" s="817"/>
      <c r="I511" s="818"/>
      <c r="J511" s="772"/>
      <c r="K511" s="772"/>
      <c r="L511" s="772"/>
      <c r="M511" s="772"/>
      <c r="N511" s="772"/>
      <c r="O511" s="772"/>
      <c r="P511" s="772"/>
      <c r="Q511" s="772"/>
      <c r="R511" s="772"/>
      <c r="S511" s="772"/>
      <c r="T511" s="772"/>
      <c r="U511" s="772"/>
      <c r="V511" s="772"/>
      <c r="W511" s="772"/>
      <c r="X511" s="772"/>
      <c r="Y511" s="772"/>
      <c r="Z511" s="772"/>
      <c r="AA511" s="772"/>
      <c r="AB511" s="772"/>
      <c r="AC511" s="772"/>
      <c r="AD511" s="772"/>
      <c r="AE511" s="772"/>
      <c r="AF511" s="772"/>
      <c r="AG511" s="772"/>
      <c r="AH511" s="772"/>
    </row>
    <row r="512" ht="15.75" customHeight="1">
      <c r="A512" s="815"/>
      <c r="B512" s="782"/>
      <c r="C512" s="782"/>
      <c r="D512" s="782"/>
      <c r="E512" s="816"/>
      <c r="F512" s="816"/>
      <c r="G512" s="817"/>
      <c r="H512" s="817"/>
      <c r="I512" s="818"/>
      <c r="J512" s="772"/>
      <c r="K512" s="772"/>
      <c r="L512" s="772"/>
      <c r="M512" s="772"/>
      <c r="N512" s="772"/>
      <c r="O512" s="772"/>
      <c r="P512" s="772"/>
      <c r="Q512" s="772"/>
      <c r="R512" s="772"/>
      <c r="S512" s="772"/>
      <c r="T512" s="772"/>
      <c r="U512" s="772"/>
      <c r="V512" s="772"/>
      <c r="W512" s="772"/>
      <c r="X512" s="772"/>
      <c r="Y512" s="772"/>
      <c r="Z512" s="772"/>
      <c r="AA512" s="772"/>
      <c r="AB512" s="772"/>
      <c r="AC512" s="772"/>
      <c r="AD512" s="772"/>
      <c r="AE512" s="772"/>
      <c r="AF512" s="772"/>
      <c r="AG512" s="772"/>
      <c r="AH512" s="772"/>
    </row>
    <row r="513" ht="15.75" customHeight="1">
      <c r="A513" s="815"/>
      <c r="B513" s="782"/>
      <c r="C513" s="782"/>
      <c r="D513" s="782"/>
      <c r="E513" s="816"/>
      <c r="F513" s="816"/>
      <c r="G513" s="817"/>
      <c r="H513" s="817"/>
      <c r="I513" s="818"/>
      <c r="J513" s="772"/>
      <c r="K513" s="772"/>
      <c r="L513" s="772"/>
      <c r="M513" s="772"/>
      <c r="N513" s="772"/>
      <c r="O513" s="772"/>
      <c r="P513" s="772"/>
      <c r="Q513" s="772"/>
      <c r="R513" s="772"/>
      <c r="S513" s="772"/>
      <c r="T513" s="772"/>
      <c r="U513" s="772"/>
      <c r="V513" s="772"/>
      <c r="W513" s="772"/>
      <c r="X513" s="772"/>
      <c r="Y513" s="772"/>
      <c r="Z513" s="772"/>
      <c r="AA513" s="772"/>
      <c r="AB513" s="772"/>
      <c r="AC513" s="772"/>
      <c r="AD513" s="772"/>
      <c r="AE513" s="772"/>
      <c r="AF513" s="772"/>
      <c r="AG513" s="772"/>
      <c r="AH513" s="772"/>
    </row>
    <row r="514" ht="15.75" customHeight="1">
      <c r="A514" s="815"/>
      <c r="B514" s="782"/>
      <c r="C514" s="782"/>
      <c r="D514" s="782"/>
      <c r="E514" s="816"/>
      <c r="F514" s="816"/>
      <c r="G514" s="817"/>
      <c r="H514" s="817"/>
      <c r="I514" s="818"/>
      <c r="J514" s="772"/>
      <c r="K514" s="772"/>
      <c r="L514" s="772"/>
      <c r="M514" s="772"/>
      <c r="N514" s="772"/>
      <c r="O514" s="772"/>
      <c r="P514" s="772"/>
      <c r="Q514" s="772"/>
      <c r="R514" s="772"/>
      <c r="S514" s="772"/>
      <c r="T514" s="772"/>
      <c r="U514" s="772"/>
      <c r="V514" s="772"/>
      <c r="W514" s="772"/>
      <c r="X514" s="772"/>
      <c r="Y514" s="772"/>
      <c r="Z514" s="772"/>
      <c r="AA514" s="772"/>
      <c r="AB514" s="772"/>
      <c r="AC514" s="772"/>
      <c r="AD514" s="772"/>
      <c r="AE514" s="772"/>
      <c r="AF514" s="772"/>
      <c r="AG514" s="772"/>
      <c r="AH514" s="772"/>
    </row>
    <row r="515" ht="15.75" customHeight="1">
      <c r="A515" s="815"/>
      <c r="B515" s="782"/>
      <c r="C515" s="782"/>
      <c r="D515" s="782"/>
      <c r="E515" s="816"/>
      <c r="F515" s="816"/>
      <c r="G515" s="817"/>
      <c r="H515" s="817"/>
      <c r="I515" s="818"/>
      <c r="J515" s="772"/>
      <c r="K515" s="772"/>
      <c r="L515" s="772"/>
      <c r="M515" s="772"/>
      <c r="N515" s="772"/>
      <c r="O515" s="772"/>
      <c r="P515" s="772"/>
      <c r="Q515" s="772"/>
      <c r="R515" s="772"/>
      <c r="S515" s="772"/>
      <c r="T515" s="772"/>
      <c r="U515" s="772"/>
      <c r="V515" s="772"/>
      <c r="W515" s="772"/>
      <c r="X515" s="772"/>
      <c r="Y515" s="772"/>
      <c r="Z515" s="772"/>
      <c r="AA515" s="772"/>
      <c r="AB515" s="772"/>
      <c r="AC515" s="772"/>
      <c r="AD515" s="772"/>
      <c r="AE515" s="772"/>
      <c r="AF515" s="772"/>
      <c r="AG515" s="772"/>
      <c r="AH515" s="772"/>
    </row>
    <row r="516" ht="15.75" customHeight="1">
      <c r="A516" s="815"/>
      <c r="B516" s="782"/>
      <c r="C516" s="782"/>
      <c r="D516" s="782"/>
      <c r="E516" s="816"/>
      <c r="F516" s="816"/>
      <c r="G516" s="817"/>
      <c r="H516" s="817"/>
      <c r="I516" s="818"/>
      <c r="J516" s="772"/>
      <c r="K516" s="772"/>
      <c r="L516" s="772"/>
      <c r="M516" s="772"/>
      <c r="N516" s="772"/>
      <c r="O516" s="772"/>
      <c r="P516" s="772"/>
      <c r="Q516" s="772"/>
      <c r="R516" s="772"/>
      <c r="S516" s="772"/>
      <c r="T516" s="772"/>
      <c r="U516" s="772"/>
      <c r="V516" s="772"/>
      <c r="W516" s="772"/>
      <c r="X516" s="772"/>
      <c r="Y516" s="772"/>
      <c r="Z516" s="772"/>
      <c r="AA516" s="772"/>
      <c r="AB516" s="772"/>
      <c r="AC516" s="772"/>
      <c r="AD516" s="772"/>
      <c r="AE516" s="772"/>
      <c r="AF516" s="772"/>
      <c r="AG516" s="772"/>
      <c r="AH516" s="772"/>
    </row>
    <row r="517" ht="15.75" customHeight="1">
      <c r="A517" s="815"/>
      <c r="B517" s="782"/>
      <c r="C517" s="782"/>
      <c r="D517" s="782"/>
      <c r="E517" s="816"/>
      <c r="F517" s="816"/>
      <c r="G517" s="817"/>
      <c r="H517" s="817"/>
      <c r="I517" s="818"/>
      <c r="J517" s="772"/>
      <c r="K517" s="772"/>
      <c r="L517" s="772"/>
      <c r="M517" s="772"/>
      <c r="N517" s="772"/>
      <c r="O517" s="772"/>
      <c r="P517" s="772"/>
      <c r="Q517" s="772"/>
      <c r="R517" s="772"/>
      <c r="S517" s="772"/>
      <c r="T517" s="772"/>
      <c r="U517" s="772"/>
      <c r="V517" s="772"/>
      <c r="W517" s="772"/>
      <c r="X517" s="772"/>
      <c r="Y517" s="772"/>
      <c r="Z517" s="772"/>
      <c r="AA517" s="772"/>
      <c r="AB517" s="772"/>
      <c r="AC517" s="772"/>
      <c r="AD517" s="772"/>
      <c r="AE517" s="772"/>
      <c r="AF517" s="772"/>
      <c r="AG517" s="772"/>
      <c r="AH517" s="772"/>
    </row>
    <row r="518" ht="15.75" customHeight="1">
      <c r="A518" s="815"/>
      <c r="B518" s="782"/>
      <c r="C518" s="782"/>
      <c r="D518" s="782"/>
      <c r="E518" s="816"/>
      <c r="F518" s="816"/>
      <c r="G518" s="817"/>
      <c r="H518" s="817"/>
      <c r="I518" s="818"/>
      <c r="J518" s="772"/>
      <c r="K518" s="772"/>
      <c r="L518" s="772"/>
      <c r="M518" s="772"/>
      <c r="N518" s="772"/>
      <c r="O518" s="772"/>
      <c r="P518" s="772"/>
      <c r="Q518" s="772"/>
      <c r="R518" s="772"/>
      <c r="S518" s="772"/>
      <c r="T518" s="772"/>
      <c r="U518" s="772"/>
      <c r="V518" s="772"/>
      <c r="W518" s="772"/>
      <c r="X518" s="772"/>
      <c r="Y518" s="772"/>
      <c r="Z518" s="772"/>
      <c r="AA518" s="772"/>
      <c r="AB518" s="772"/>
      <c r="AC518" s="772"/>
      <c r="AD518" s="772"/>
      <c r="AE518" s="772"/>
      <c r="AF518" s="772"/>
      <c r="AG518" s="772"/>
      <c r="AH518" s="772"/>
    </row>
    <row r="519" ht="15.75" customHeight="1">
      <c r="A519" s="815"/>
      <c r="B519" s="782"/>
      <c r="C519" s="782"/>
      <c r="D519" s="782"/>
      <c r="E519" s="816"/>
      <c r="F519" s="816"/>
      <c r="G519" s="817"/>
      <c r="H519" s="817"/>
      <c r="I519" s="818"/>
      <c r="J519" s="772"/>
      <c r="K519" s="772"/>
      <c r="L519" s="772"/>
      <c r="M519" s="772"/>
      <c r="N519" s="772"/>
      <c r="O519" s="772"/>
      <c r="P519" s="772"/>
      <c r="Q519" s="772"/>
      <c r="R519" s="772"/>
      <c r="S519" s="772"/>
      <c r="T519" s="772"/>
      <c r="U519" s="772"/>
      <c r="V519" s="772"/>
      <c r="W519" s="772"/>
      <c r="X519" s="772"/>
      <c r="Y519" s="772"/>
      <c r="Z519" s="772"/>
      <c r="AA519" s="772"/>
      <c r="AB519" s="772"/>
      <c r="AC519" s="772"/>
      <c r="AD519" s="772"/>
      <c r="AE519" s="772"/>
      <c r="AF519" s="772"/>
      <c r="AG519" s="772"/>
      <c r="AH519" s="772"/>
    </row>
    <row r="520" ht="15.75" customHeight="1">
      <c r="A520" s="815"/>
      <c r="B520" s="782"/>
      <c r="C520" s="782"/>
      <c r="D520" s="782"/>
      <c r="E520" s="816"/>
      <c r="F520" s="816"/>
      <c r="G520" s="817"/>
      <c r="H520" s="817"/>
      <c r="I520" s="818"/>
      <c r="J520" s="772"/>
      <c r="K520" s="772"/>
      <c r="L520" s="772"/>
      <c r="M520" s="772"/>
      <c r="N520" s="772"/>
      <c r="O520" s="772"/>
      <c r="P520" s="772"/>
      <c r="Q520" s="772"/>
      <c r="R520" s="772"/>
      <c r="S520" s="772"/>
      <c r="T520" s="772"/>
      <c r="U520" s="772"/>
      <c r="V520" s="772"/>
      <c r="W520" s="772"/>
      <c r="X520" s="772"/>
      <c r="Y520" s="772"/>
      <c r="Z520" s="772"/>
      <c r="AA520" s="772"/>
      <c r="AB520" s="772"/>
      <c r="AC520" s="772"/>
      <c r="AD520" s="772"/>
      <c r="AE520" s="772"/>
      <c r="AF520" s="772"/>
      <c r="AG520" s="772"/>
      <c r="AH520" s="772"/>
    </row>
    <row r="521" ht="15.75" customHeight="1">
      <c r="A521" s="815"/>
      <c r="B521" s="782"/>
      <c r="C521" s="782"/>
      <c r="D521" s="782"/>
      <c r="E521" s="816"/>
      <c r="F521" s="816"/>
      <c r="G521" s="817"/>
      <c r="H521" s="817"/>
      <c r="I521" s="818"/>
      <c r="J521" s="772"/>
      <c r="K521" s="772"/>
      <c r="L521" s="772"/>
      <c r="M521" s="772"/>
      <c r="N521" s="772"/>
      <c r="O521" s="772"/>
      <c r="P521" s="772"/>
      <c r="Q521" s="772"/>
      <c r="R521" s="772"/>
      <c r="S521" s="772"/>
      <c r="T521" s="772"/>
      <c r="U521" s="772"/>
      <c r="V521" s="772"/>
      <c r="W521" s="772"/>
      <c r="X521" s="772"/>
      <c r="Y521" s="772"/>
      <c r="Z521" s="772"/>
      <c r="AA521" s="772"/>
      <c r="AB521" s="772"/>
      <c r="AC521" s="772"/>
      <c r="AD521" s="772"/>
      <c r="AE521" s="772"/>
      <c r="AF521" s="772"/>
      <c r="AG521" s="772"/>
      <c r="AH521" s="772"/>
    </row>
    <row r="522" ht="15.75" customHeight="1">
      <c r="A522" s="815"/>
      <c r="B522" s="782"/>
      <c r="C522" s="782"/>
      <c r="D522" s="782"/>
      <c r="E522" s="816"/>
      <c r="F522" s="816"/>
      <c r="G522" s="817"/>
      <c r="H522" s="817"/>
      <c r="I522" s="818"/>
      <c r="J522" s="772"/>
      <c r="K522" s="772"/>
      <c r="L522" s="772"/>
      <c r="M522" s="772"/>
      <c r="N522" s="772"/>
      <c r="O522" s="772"/>
      <c r="P522" s="772"/>
      <c r="Q522" s="772"/>
      <c r="R522" s="772"/>
      <c r="S522" s="772"/>
      <c r="T522" s="772"/>
      <c r="U522" s="772"/>
      <c r="V522" s="772"/>
      <c r="W522" s="772"/>
      <c r="X522" s="772"/>
      <c r="Y522" s="772"/>
      <c r="Z522" s="772"/>
      <c r="AA522" s="772"/>
      <c r="AB522" s="772"/>
      <c r="AC522" s="772"/>
      <c r="AD522" s="772"/>
      <c r="AE522" s="772"/>
      <c r="AF522" s="772"/>
      <c r="AG522" s="772"/>
      <c r="AH522" s="772"/>
    </row>
    <row r="523" ht="15.75" customHeight="1">
      <c r="A523" s="815"/>
      <c r="B523" s="782"/>
      <c r="C523" s="782"/>
      <c r="D523" s="782"/>
      <c r="E523" s="816"/>
      <c r="F523" s="816"/>
      <c r="G523" s="817"/>
      <c r="H523" s="817"/>
      <c r="I523" s="818"/>
      <c r="J523" s="772"/>
      <c r="K523" s="772"/>
      <c r="L523" s="772"/>
      <c r="M523" s="772"/>
      <c r="N523" s="772"/>
      <c r="O523" s="772"/>
      <c r="P523" s="772"/>
      <c r="Q523" s="772"/>
      <c r="R523" s="772"/>
      <c r="S523" s="772"/>
      <c r="T523" s="772"/>
      <c r="U523" s="772"/>
      <c r="V523" s="772"/>
      <c r="W523" s="772"/>
      <c r="X523" s="772"/>
      <c r="Y523" s="772"/>
      <c r="Z523" s="772"/>
      <c r="AA523" s="772"/>
      <c r="AB523" s="772"/>
      <c r="AC523" s="772"/>
      <c r="AD523" s="772"/>
      <c r="AE523" s="772"/>
      <c r="AF523" s="772"/>
      <c r="AG523" s="772"/>
      <c r="AH523" s="772"/>
    </row>
    <row r="524" ht="15.75" customHeight="1">
      <c r="A524" s="815"/>
      <c r="B524" s="782"/>
      <c r="C524" s="782"/>
      <c r="D524" s="782"/>
      <c r="E524" s="816"/>
      <c r="F524" s="816"/>
      <c r="G524" s="817"/>
      <c r="H524" s="817"/>
      <c r="I524" s="818"/>
      <c r="J524" s="772"/>
      <c r="K524" s="772"/>
      <c r="L524" s="772"/>
      <c r="M524" s="772"/>
      <c r="N524" s="772"/>
      <c r="O524" s="772"/>
      <c r="P524" s="772"/>
      <c r="Q524" s="772"/>
      <c r="R524" s="772"/>
      <c r="S524" s="772"/>
      <c r="T524" s="772"/>
      <c r="U524" s="772"/>
      <c r="V524" s="772"/>
      <c r="W524" s="772"/>
      <c r="X524" s="772"/>
      <c r="Y524" s="772"/>
      <c r="Z524" s="772"/>
      <c r="AA524" s="772"/>
      <c r="AB524" s="772"/>
      <c r="AC524" s="772"/>
      <c r="AD524" s="772"/>
      <c r="AE524" s="772"/>
      <c r="AF524" s="772"/>
      <c r="AG524" s="772"/>
      <c r="AH524" s="772"/>
    </row>
    <row r="525" ht="15.75" customHeight="1">
      <c r="A525" s="815"/>
      <c r="B525" s="782"/>
      <c r="C525" s="782"/>
      <c r="D525" s="782"/>
      <c r="E525" s="816"/>
      <c r="F525" s="816"/>
      <c r="G525" s="817"/>
      <c r="H525" s="817"/>
      <c r="I525" s="818"/>
      <c r="J525" s="772"/>
      <c r="K525" s="772"/>
      <c r="L525" s="772"/>
      <c r="M525" s="772"/>
      <c r="N525" s="772"/>
      <c r="O525" s="772"/>
      <c r="P525" s="772"/>
      <c r="Q525" s="772"/>
      <c r="R525" s="772"/>
      <c r="S525" s="772"/>
      <c r="T525" s="772"/>
      <c r="U525" s="772"/>
      <c r="V525" s="772"/>
      <c r="W525" s="772"/>
      <c r="X525" s="772"/>
      <c r="Y525" s="772"/>
      <c r="Z525" s="772"/>
      <c r="AA525" s="772"/>
      <c r="AB525" s="772"/>
      <c r="AC525" s="772"/>
      <c r="AD525" s="772"/>
      <c r="AE525" s="772"/>
      <c r="AF525" s="772"/>
      <c r="AG525" s="772"/>
      <c r="AH525" s="772"/>
    </row>
    <row r="526" ht="15.75" customHeight="1">
      <c r="A526" s="815"/>
      <c r="B526" s="782"/>
      <c r="C526" s="782"/>
      <c r="D526" s="782"/>
      <c r="E526" s="816"/>
      <c r="F526" s="816"/>
      <c r="G526" s="817"/>
      <c r="H526" s="817"/>
      <c r="I526" s="818"/>
      <c r="J526" s="772"/>
      <c r="K526" s="772"/>
      <c r="L526" s="772"/>
      <c r="M526" s="772"/>
      <c r="N526" s="772"/>
      <c r="O526" s="772"/>
      <c r="P526" s="772"/>
      <c r="Q526" s="772"/>
      <c r="R526" s="772"/>
      <c r="S526" s="772"/>
      <c r="T526" s="772"/>
      <c r="U526" s="772"/>
      <c r="V526" s="772"/>
      <c r="W526" s="772"/>
      <c r="X526" s="772"/>
      <c r="Y526" s="772"/>
      <c r="Z526" s="772"/>
      <c r="AA526" s="772"/>
      <c r="AB526" s="772"/>
      <c r="AC526" s="772"/>
      <c r="AD526" s="772"/>
      <c r="AE526" s="772"/>
      <c r="AF526" s="772"/>
      <c r="AG526" s="772"/>
      <c r="AH526" s="772"/>
    </row>
    <row r="527" ht="15.75" customHeight="1">
      <c r="A527" s="815"/>
      <c r="B527" s="782"/>
      <c r="C527" s="782"/>
      <c r="D527" s="782"/>
      <c r="E527" s="816"/>
      <c r="F527" s="816"/>
      <c r="G527" s="817"/>
      <c r="H527" s="817"/>
      <c r="I527" s="818"/>
      <c r="J527" s="772"/>
      <c r="K527" s="772"/>
      <c r="L527" s="772"/>
      <c r="M527" s="772"/>
      <c r="N527" s="772"/>
      <c r="O527" s="772"/>
      <c r="P527" s="772"/>
      <c r="Q527" s="772"/>
      <c r="R527" s="772"/>
      <c r="S527" s="772"/>
      <c r="T527" s="772"/>
      <c r="U527" s="772"/>
      <c r="V527" s="772"/>
      <c r="W527" s="772"/>
      <c r="X527" s="772"/>
      <c r="Y527" s="772"/>
      <c r="Z527" s="772"/>
      <c r="AA527" s="772"/>
      <c r="AB527" s="772"/>
      <c r="AC527" s="772"/>
      <c r="AD527" s="772"/>
      <c r="AE527" s="772"/>
      <c r="AF527" s="772"/>
      <c r="AG527" s="772"/>
      <c r="AH527" s="772"/>
    </row>
    <row r="528" ht="15.75" customHeight="1">
      <c r="A528" s="815"/>
      <c r="B528" s="782"/>
      <c r="C528" s="782"/>
      <c r="D528" s="782"/>
      <c r="E528" s="816"/>
      <c r="F528" s="816"/>
      <c r="G528" s="817"/>
      <c r="H528" s="817"/>
      <c r="I528" s="818"/>
      <c r="J528" s="772"/>
      <c r="K528" s="772"/>
      <c r="L528" s="772"/>
      <c r="M528" s="772"/>
      <c r="N528" s="772"/>
      <c r="O528" s="772"/>
      <c r="P528" s="772"/>
      <c r="Q528" s="772"/>
      <c r="R528" s="772"/>
      <c r="S528" s="772"/>
      <c r="T528" s="772"/>
      <c r="U528" s="772"/>
      <c r="V528" s="772"/>
      <c r="W528" s="772"/>
      <c r="X528" s="772"/>
      <c r="Y528" s="772"/>
      <c r="Z528" s="772"/>
      <c r="AA528" s="772"/>
      <c r="AB528" s="772"/>
      <c r="AC528" s="772"/>
      <c r="AD528" s="772"/>
      <c r="AE528" s="772"/>
      <c r="AF528" s="772"/>
      <c r="AG528" s="772"/>
      <c r="AH528" s="772"/>
    </row>
    <row r="529" ht="15.75" customHeight="1">
      <c r="A529" s="815"/>
      <c r="B529" s="782"/>
      <c r="C529" s="782"/>
      <c r="D529" s="782"/>
      <c r="E529" s="816"/>
      <c r="F529" s="816"/>
      <c r="G529" s="817"/>
      <c r="H529" s="817"/>
      <c r="I529" s="818"/>
      <c r="J529" s="772"/>
      <c r="K529" s="772"/>
      <c r="L529" s="772"/>
      <c r="M529" s="772"/>
      <c r="N529" s="772"/>
      <c r="O529" s="772"/>
      <c r="P529" s="772"/>
      <c r="Q529" s="772"/>
      <c r="R529" s="772"/>
      <c r="S529" s="772"/>
      <c r="T529" s="772"/>
      <c r="U529" s="772"/>
      <c r="V529" s="772"/>
      <c r="W529" s="772"/>
      <c r="X529" s="772"/>
      <c r="Y529" s="772"/>
      <c r="Z529" s="772"/>
      <c r="AA529" s="772"/>
      <c r="AB529" s="772"/>
      <c r="AC529" s="772"/>
      <c r="AD529" s="772"/>
      <c r="AE529" s="772"/>
      <c r="AF529" s="772"/>
      <c r="AG529" s="772"/>
      <c r="AH529" s="772"/>
    </row>
    <row r="530" ht="15.75" customHeight="1">
      <c r="A530" s="815"/>
      <c r="B530" s="782"/>
      <c r="C530" s="782"/>
      <c r="D530" s="782"/>
      <c r="E530" s="816"/>
      <c r="F530" s="816"/>
      <c r="G530" s="817"/>
      <c r="H530" s="817"/>
      <c r="I530" s="818"/>
      <c r="J530" s="772"/>
      <c r="K530" s="772"/>
      <c r="L530" s="772"/>
      <c r="M530" s="772"/>
      <c r="N530" s="772"/>
      <c r="O530" s="772"/>
      <c r="P530" s="772"/>
      <c r="Q530" s="772"/>
      <c r="R530" s="772"/>
      <c r="S530" s="772"/>
      <c r="T530" s="772"/>
      <c r="U530" s="772"/>
      <c r="V530" s="772"/>
      <c r="W530" s="772"/>
      <c r="X530" s="772"/>
      <c r="Y530" s="772"/>
      <c r="Z530" s="772"/>
      <c r="AA530" s="772"/>
      <c r="AB530" s="772"/>
      <c r="AC530" s="772"/>
      <c r="AD530" s="772"/>
      <c r="AE530" s="772"/>
      <c r="AF530" s="772"/>
      <c r="AG530" s="772"/>
      <c r="AH530" s="772"/>
    </row>
    <row r="531" ht="15.75" customHeight="1">
      <c r="A531" s="815"/>
      <c r="B531" s="782"/>
      <c r="C531" s="782"/>
      <c r="D531" s="782"/>
      <c r="E531" s="816"/>
      <c r="F531" s="816"/>
      <c r="G531" s="817"/>
      <c r="H531" s="817"/>
      <c r="I531" s="818"/>
      <c r="J531" s="772"/>
      <c r="K531" s="772"/>
      <c r="L531" s="772"/>
      <c r="M531" s="772"/>
      <c r="N531" s="772"/>
      <c r="O531" s="772"/>
      <c r="P531" s="772"/>
      <c r="Q531" s="772"/>
      <c r="R531" s="772"/>
      <c r="S531" s="772"/>
      <c r="T531" s="772"/>
      <c r="U531" s="772"/>
      <c r="V531" s="772"/>
      <c r="W531" s="772"/>
      <c r="X531" s="772"/>
      <c r="Y531" s="772"/>
      <c r="Z531" s="772"/>
      <c r="AA531" s="772"/>
      <c r="AB531" s="772"/>
      <c r="AC531" s="772"/>
      <c r="AD531" s="772"/>
      <c r="AE531" s="772"/>
      <c r="AF531" s="772"/>
      <c r="AG531" s="772"/>
      <c r="AH531" s="772"/>
    </row>
    <row r="532" ht="15.75" customHeight="1">
      <c r="A532" s="815"/>
      <c r="B532" s="782"/>
      <c r="C532" s="782"/>
      <c r="D532" s="782"/>
      <c r="E532" s="816"/>
      <c r="F532" s="816"/>
      <c r="G532" s="817"/>
      <c r="H532" s="817"/>
      <c r="I532" s="818"/>
      <c r="J532" s="772"/>
      <c r="K532" s="772"/>
      <c r="L532" s="772"/>
      <c r="M532" s="772"/>
      <c r="N532" s="772"/>
      <c r="O532" s="772"/>
      <c r="P532" s="772"/>
      <c r="Q532" s="772"/>
      <c r="R532" s="772"/>
      <c r="S532" s="772"/>
      <c r="T532" s="772"/>
      <c r="U532" s="772"/>
      <c r="V532" s="772"/>
      <c r="W532" s="772"/>
      <c r="X532" s="772"/>
      <c r="Y532" s="772"/>
      <c r="Z532" s="772"/>
      <c r="AA532" s="772"/>
      <c r="AB532" s="772"/>
      <c r="AC532" s="772"/>
      <c r="AD532" s="772"/>
      <c r="AE532" s="772"/>
      <c r="AF532" s="772"/>
      <c r="AG532" s="772"/>
      <c r="AH532" s="772"/>
    </row>
    <row r="533" ht="15.75" customHeight="1">
      <c r="A533" s="815"/>
      <c r="B533" s="782"/>
      <c r="C533" s="782"/>
      <c r="D533" s="782"/>
      <c r="E533" s="816"/>
      <c r="F533" s="816"/>
      <c r="G533" s="817"/>
      <c r="H533" s="817"/>
      <c r="I533" s="818"/>
      <c r="J533" s="772"/>
      <c r="K533" s="772"/>
      <c r="L533" s="772"/>
      <c r="M533" s="772"/>
      <c r="N533" s="772"/>
      <c r="O533" s="772"/>
      <c r="P533" s="772"/>
      <c r="Q533" s="772"/>
      <c r="R533" s="772"/>
      <c r="S533" s="772"/>
      <c r="T533" s="772"/>
      <c r="U533" s="772"/>
      <c r="V533" s="772"/>
      <c r="W533" s="772"/>
      <c r="X533" s="772"/>
      <c r="Y533" s="772"/>
      <c r="Z533" s="772"/>
      <c r="AA533" s="772"/>
      <c r="AB533" s="772"/>
      <c r="AC533" s="772"/>
      <c r="AD533" s="772"/>
      <c r="AE533" s="772"/>
      <c r="AF533" s="772"/>
      <c r="AG533" s="772"/>
      <c r="AH533" s="772"/>
    </row>
    <row r="534" ht="15.75" customHeight="1">
      <c r="A534" s="815"/>
      <c r="B534" s="782"/>
      <c r="C534" s="782"/>
      <c r="D534" s="782"/>
      <c r="E534" s="816"/>
      <c r="F534" s="816"/>
      <c r="G534" s="817"/>
      <c r="H534" s="817"/>
      <c r="I534" s="818"/>
      <c r="J534" s="772"/>
      <c r="K534" s="772"/>
      <c r="L534" s="772"/>
      <c r="M534" s="772"/>
      <c r="N534" s="772"/>
      <c r="O534" s="772"/>
      <c r="P534" s="772"/>
      <c r="Q534" s="772"/>
      <c r="R534" s="772"/>
      <c r="S534" s="772"/>
      <c r="T534" s="772"/>
      <c r="U534" s="772"/>
      <c r="V534" s="772"/>
      <c r="W534" s="772"/>
      <c r="X534" s="772"/>
      <c r="Y534" s="772"/>
      <c r="Z534" s="772"/>
      <c r="AA534" s="772"/>
      <c r="AB534" s="772"/>
      <c r="AC534" s="772"/>
      <c r="AD534" s="772"/>
      <c r="AE534" s="772"/>
      <c r="AF534" s="772"/>
      <c r="AG534" s="772"/>
      <c r="AH534" s="772"/>
    </row>
    <row r="535" ht="15.75" customHeight="1">
      <c r="A535" s="815"/>
      <c r="B535" s="782"/>
      <c r="C535" s="782"/>
      <c r="D535" s="782"/>
      <c r="E535" s="816"/>
      <c r="F535" s="816"/>
      <c r="G535" s="817"/>
      <c r="H535" s="817"/>
      <c r="I535" s="818"/>
      <c r="J535" s="772"/>
      <c r="K535" s="772"/>
      <c r="L535" s="772"/>
      <c r="M535" s="772"/>
      <c r="N535" s="772"/>
      <c r="O535" s="772"/>
      <c r="P535" s="772"/>
      <c r="Q535" s="772"/>
      <c r="R535" s="772"/>
      <c r="S535" s="772"/>
      <c r="T535" s="772"/>
      <c r="U535" s="772"/>
      <c r="V535" s="772"/>
      <c r="W535" s="772"/>
      <c r="X535" s="772"/>
      <c r="Y535" s="772"/>
      <c r="Z535" s="772"/>
      <c r="AA535" s="772"/>
      <c r="AB535" s="772"/>
      <c r="AC535" s="772"/>
      <c r="AD535" s="772"/>
      <c r="AE535" s="772"/>
      <c r="AF535" s="772"/>
      <c r="AG535" s="772"/>
      <c r="AH535" s="772"/>
    </row>
    <row r="536" ht="15.75" customHeight="1">
      <c r="A536" s="815"/>
      <c r="B536" s="782"/>
      <c r="C536" s="782"/>
      <c r="D536" s="782"/>
      <c r="E536" s="816"/>
      <c r="F536" s="816"/>
      <c r="G536" s="817"/>
      <c r="H536" s="817"/>
      <c r="I536" s="818"/>
      <c r="J536" s="772"/>
      <c r="K536" s="772"/>
      <c r="L536" s="772"/>
      <c r="M536" s="772"/>
      <c r="N536" s="772"/>
      <c r="O536" s="772"/>
      <c r="P536" s="772"/>
      <c r="Q536" s="772"/>
      <c r="R536" s="772"/>
      <c r="S536" s="772"/>
      <c r="T536" s="772"/>
      <c r="U536" s="772"/>
      <c r="V536" s="772"/>
      <c r="W536" s="772"/>
      <c r="X536" s="772"/>
      <c r="Y536" s="772"/>
      <c r="Z536" s="772"/>
      <c r="AA536" s="772"/>
      <c r="AB536" s="772"/>
      <c r="AC536" s="772"/>
      <c r="AD536" s="772"/>
      <c r="AE536" s="772"/>
      <c r="AF536" s="772"/>
      <c r="AG536" s="772"/>
      <c r="AH536" s="772"/>
    </row>
    <row r="537" ht="15.75" customHeight="1">
      <c r="A537" s="815"/>
      <c r="B537" s="782"/>
      <c r="C537" s="782"/>
      <c r="D537" s="782"/>
      <c r="E537" s="816"/>
      <c r="F537" s="816"/>
      <c r="G537" s="817"/>
      <c r="H537" s="817"/>
      <c r="I537" s="818"/>
      <c r="J537" s="772"/>
      <c r="K537" s="772"/>
      <c r="L537" s="772"/>
      <c r="M537" s="772"/>
      <c r="N537" s="772"/>
      <c r="O537" s="772"/>
      <c r="P537" s="772"/>
      <c r="Q537" s="772"/>
      <c r="R537" s="772"/>
      <c r="S537" s="772"/>
      <c r="T537" s="772"/>
      <c r="U537" s="772"/>
      <c r="V537" s="772"/>
      <c r="W537" s="772"/>
      <c r="X537" s="772"/>
      <c r="Y537" s="772"/>
      <c r="Z537" s="772"/>
      <c r="AA537" s="772"/>
      <c r="AB537" s="772"/>
      <c r="AC537" s="772"/>
      <c r="AD537" s="772"/>
      <c r="AE537" s="772"/>
      <c r="AF537" s="772"/>
      <c r="AG537" s="772"/>
      <c r="AH537" s="772"/>
    </row>
    <row r="538" ht="15.75" customHeight="1">
      <c r="A538" s="815"/>
      <c r="B538" s="782"/>
      <c r="C538" s="782"/>
      <c r="D538" s="782"/>
      <c r="E538" s="816"/>
      <c r="F538" s="816"/>
      <c r="G538" s="817"/>
      <c r="H538" s="817"/>
      <c r="I538" s="818"/>
      <c r="J538" s="772"/>
      <c r="K538" s="772"/>
      <c r="L538" s="772"/>
      <c r="M538" s="772"/>
      <c r="N538" s="772"/>
      <c r="O538" s="772"/>
      <c r="P538" s="772"/>
      <c r="Q538" s="772"/>
      <c r="R538" s="772"/>
      <c r="S538" s="772"/>
      <c r="T538" s="772"/>
      <c r="U538" s="772"/>
      <c r="V538" s="772"/>
      <c r="W538" s="772"/>
      <c r="X538" s="772"/>
      <c r="Y538" s="772"/>
      <c r="Z538" s="772"/>
      <c r="AA538" s="772"/>
      <c r="AB538" s="772"/>
      <c r="AC538" s="772"/>
      <c r="AD538" s="772"/>
      <c r="AE538" s="772"/>
      <c r="AF538" s="772"/>
      <c r="AG538" s="772"/>
      <c r="AH538" s="772"/>
    </row>
    <row r="539" ht="15.75" customHeight="1">
      <c r="A539" s="815"/>
      <c r="B539" s="782"/>
      <c r="C539" s="782"/>
      <c r="D539" s="782"/>
      <c r="E539" s="816"/>
      <c r="F539" s="816"/>
      <c r="G539" s="817"/>
      <c r="H539" s="817"/>
      <c r="I539" s="818"/>
      <c r="J539" s="772"/>
      <c r="K539" s="772"/>
      <c r="L539" s="772"/>
      <c r="M539" s="772"/>
      <c r="N539" s="772"/>
      <c r="O539" s="772"/>
      <c r="P539" s="772"/>
      <c r="Q539" s="772"/>
      <c r="R539" s="772"/>
      <c r="S539" s="772"/>
      <c r="T539" s="772"/>
      <c r="U539" s="772"/>
      <c r="V539" s="772"/>
      <c r="W539" s="772"/>
      <c r="X539" s="772"/>
      <c r="Y539" s="772"/>
      <c r="Z539" s="772"/>
      <c r="AA539" s="772"/>
      <c r="AB539" s="772"/>
      <c r="AC539" s="772"/>
      <c r="AD539" s="772"/>
      <c r="AE539" s="772"/>
      <c r="AF539" s="772"/>
      <c r="AG539" s="772"/>
      <c r="AH539" s="772"/>
    </row>
    <row r="540" ht="15.75" customHeight="1">
      <c r="A540" s="815"/>
      <c r="B540" s="782"/>
      <c r="C540" s="782"/>
      <c r="D540" s="782"/>
      <c r="E540" s="816"/>
      <c r="F540" s="816"/>
      <c r="G540" s="817"/>
      <c r="H540" s="817"/>
      <c r="I540" s="818"/>
      <c r="J540" s="772"/>
      <c r="K540" s="772"/>
      <c r="L540" s="772"/>
      <c r="M540" s="772"/>
      <c r="N540" s="772"/>
      <c r="O540" s="772"/>
      <c r="P540" s="772"/>
      <c r="Q540" s="772"/>
      <c r="R540" s="772"/>
      <c r="S540" s="772"/>
      <c r="T540" s="772"/>
      <c r="U540" s="772"/>
      <c r="V540" s="772"/>
      <c r="W540" s="772"/>
      <c r="X540" s="772"/>
      <c r="Y540" s="772"/>
      <c r="Z540" s="772"/>
      <c r="AA540" s="772"/>
      <c r="AB540" s="772"/>
      <c r="AC540" s="772"/>
      <c r="AD540" s="772"/>
      <c r="AE540" s="772"/>
      <c r="AF540" s="772"/>
      <c r="AG540" s="772"/>
      <c r="AH540" s="772"/>
    </row>
    <row r="541" ht="15.75" customHeight="1">
      <c r="A541" s="815"/>
      <c r="B541" s="782"/>
      <c r="C541" s="782"/>
      <c r="D541" s="782"/>
      <c r="E541" s="816"/>
      <c r="F541" s="816"/>
      <c r="G541" s="817"/>
      <c r="H541" s="817"/>
      <c r="I541" s="818"/>
      <c r="J541" s="772"/>
      <c r="K541" s="772"/>
      <c r="L541" s="772"/>
      <c r="M541" s="772"/>
      <c r="N541" s="772"/>
      <c r="O541" s="772"/>
      <c r="P541" s="772"/>
      <c r="Q541" s="772"/>
      <c r="R541" s="772"/>
      <c r="S541" s="772"/>
      <c r="T541" s="772"/>
      <c r="U541" s="772"/>
      <c r="V541" s="772"/>
      <c r="W541" s="772"/>
      <c r="X541" s="772"/>
      <c r="Y541" s="772"/>
      <c r="Z541" s="772"/>
      <c r="AA541" s="772"/>
      <c r="AB541" s="772"/>
      <c r="AC541" s="772"/>
      <c r="AD541" s="772"/>
      <c r="AE541" s="772"/>
      <c r="AF541" s="772"/>
      <c r="AG541" s="772"/>
      <c r="AH541" s="772"/>
    </row>
    <row r="542" ht="15.75" customHeight="1">
      <c r="A542" s="815"/>
      <c r="B542" s="782"/>
      <c r="C542" s="782"/>
      <c r="D542" s="782"/>
      <c r="E542" s="816"/>
      <c r="F542" s="816"/>
      <c r="G542" s="817"/>
      <c r="H542" s="817"/>
      <c r="I542" s="818"/>
      <c r="J542" s="772"/>
      <c r="K542" s="772"/>
      <c r="L542" s="772"/>
      <c r="M542" s="772"/>
      <c r="N542" s="772"/>
      <c r="O542" s="772"/>
      <c r="P542" s="772"/>
      <c r="Q542" s="772"/>
      <c r="R542" s="772"/>
      <c r="S542" s="772"/>
      <c r="T542" s="772"/>
      <c r="U542" s="772"/>
      <c r="V542" s="772"/>
      <c r="W542" s="772"/>
      <c r="X542" s="772"/>
      <c r="Y542" s="772"/>
      <c r="Z542" s="772"/>
      <c r="AA542" s="772"/>
      <c r="AB542" s="772"/>
      <c r="AC542" s="772"/>
      <c r="AD542" s="772"/>
      <c r="AE542" s="772"/>
      <c r="AF542" s="772"/>
      <c r="AG542" s="772"/>
      <c r="AH542" s="772"/>
    </row>
    <row r="543" ht="15.75" customHeight="1">
      <c r="A543" s="815"/>
      <c r="B543" s="782"/>
      <c r="C543" s="782"/>
      <c r="D543" s="782"/>
      <c r="E543" s="816"/>
      <c r="F543" s="816"/>
      <c r="G543" s="817"/>
      <c r="H543" s="817"/>
      <c r="I543" s="818"/>
      <c r="J543" s="772"/>
      <c r="K543" s="772"/>
      <c r="L543" s="772"/>
      <c r="M543" s="772"/>
      <c r="N543" s="772"/>
      <c r="O543" s="772"/>
      <c r="P543" s="772"/>
      <c r="Q543" s="772"/>
      <c r="R543" s="772"/>
      <c r="S543" s="772"/>
      <c r="T543" s="772"/>
      <c r="U543" s="772"/>
      <c r="V543" s="772"/>
      <c r="W543" s="772"/>
      <c r="X543" s="772"/>
      <c r="Y543" s="772"/>
      <c r="Z543" s="772"/>
      <c r="AA543" s="772"/>
      <c r="AB543" s="772"/>
      <c r="AC543" s="772"/>
      <c r="AD543" s="772"/>
      <c r="AE543" s="772"/>
      <c r="AF543" s="772"/>
      <c r="AG543" s="772"/>
      <c r="AH543" s="772"/>
    </row>
    <row r="544" ht="15.75" customHeight="1">
      <c r="A544" s="815"/>
      <c r="B544" s="782"/>
      <c r="C544" s="782"/>
      <c r="D544" s="782"/>
      <c r="E544" s="816"/>
      <c r="F544" s="816"/>
      <c r="G544" s="817"/>
      <c r="H544" s="817"/>
      <c r="I544" s="818"/>
      <c r="J544" s="772"/>
      <c r="K544" s="772"/>
      <c r="L544" s="772"/>
      <c r="M544" s="772"/>
      <c r="N544" s="772"/>
      <c r="O544" s="772"/>
      <c r="P544" s="772"/>
      <c r="Q544" s="772"/>
      <c r="R544" s="772"/>
      <c r="S544" s="772"/>
      <c r="T544" s="772"/>
      <c r="U544" s="772"/>
      <c r="V544" s="772"/>
      <c r="W544" s="772"/>
      <c r="X544" s="772"/>
      <c r="Y544" s="772"/>
      <c r="Z544" s="772"/>
      <c r="AA544" s="772"/>
      <c r="AB544" s="772"/>
      <c r="AC544" s="772"/>
      <c r="AD544" s="772"/>
      <c r="AE544" s="772"/>
      <c r="AF544" s="772"/>
      <c r="AG544" s="772"/>
      <c r="AH544" s="772"/>
    </row>
    <row r="545" ht="15.75" customHeight="1">
      <c r="A545" s="815"/>
      <c r="B545" s="782"/>
      <c r="C545" s="782"/>
      <c r="D545" s="782"/>
      <c r="E545" s="816"/>
      <c r="F545" s="816"/>
      <c r="G545" s="817"/>
      <c r="H545" s="817"/>
      <c r="I545" s="818"/>
      <c r="J545" s="772"/>
      <c r="K545" s="772"/>
      <c r="L545" s="772"/>
      <c r="M545" s="772"/>
      <c r="N545" s="772"/>
      <c r="O545" s="772"/>
      <c r="P545" s="772"/>
      <c r="Q545" s="772"/>
      <c r="R545" s="772"/>
      <c r="S545" s="772"/>
      <c r="T545" s="772"/>
      <c r="U545" s="772"/>
      <c r="V545" s="772"/>
      <c r="W545" s="772"/>
      <c r="X545" s="772"/>
      <c r="Y545" s="772"/>
      <c r="Z545" s="772"/>
      <c r="AA545" s="772"/>
      <c r="AB545" s="772"/>
      <c r="AC545" s="772"/>
      <c r="AD545" s="772"/>
      <c r="AE545" s="772"/>
      <c r="AF545" s="772"/>
      <c r="AG545" s="772"/>
      <c r="AH545" s="772"/>
    </row>
    <row r="546" ht="15.75" customHeight="1">
      <c r="A546" s="815"/>
      <c r="B546" s="782"/>
      <c r="C546" s="782"/>
      <c r="D546" s="782"/>
      <c r="E546" s="816"/>
      <c r="F546" s="816"/>
      <c r="G546" s="817"/>
      <c r="H546" s="817"/>
      <c r="I546" s="818"/>
      <c r="J546" s="772"/>
      <c r="K546" s="772"/>
      <c r="L546" s="772"/>
      <c r="M546" s="772"/>
      <c r="N546" s="772"/>
      <c r="O546" s="772"/>
      <c r="P546" s="772"/>
      <c r="Q546" s="772"/>
      <c r="R546" s="772"/>
      <c r="S546" s="772"/>
      <c r="T546" s="772"/>
      <c r="U546" s="772"/>
      <c r="V546" s="772"/>
      <c r="W546" s="772"/>
      <c r="X546" s="772"/>
      <c r="Y546" s="772"/>
      <c r="Z546" s="772"/>
      <c r="AA546" s="772"/>
      <c r="AB546" s="772"/>
      <c r="AC546" s="772"/>
      <c r="AD546" s="772"/>
      <c r="AE546" s="772"/>
      <c r="AF546" s="772"/>
      <c r="AG546" s="772"/>
      <c r="AH546" s="772"/>
    </row>
    <row r="547" ht="15.75" customHeight="1">
      <c r="A547" s="815"/>
      <c r="B547" s="782"/>
      <c r="C547" s="782"/>
      <c r="D547" s="782"/>
      <c r="E547" s="816"/>
      <c r="F547" s="816"/>
      <c r="G547" s="817"/>
      <c r="H547" s="817"/>
      <c r="I547" s="818"/>
      <c r="J547" s="772"/>
      <c r="K547" s="772"/>
      <c r="L547" s="772"/>
      <c r="M547" s="772"/>
      <c r="N547" s="772"/>
      <c r="O547" s="772"/>
      <c r="P547" s="772"/>
      <c r="Q547" s="772"/>
      <c r="R547" s="772"/>
      <c r="S547" s="772"/>
      <c r="T547" s="772"/>
      <c r="U547" s="772"/>
      <c r="V547" s="772"/>
      <c r="W547" s="772"/>
      <c r="X547" s="772"/>
      <c r="Y547" s="772"/>
      <c r="Z547" s="772"/>
      <c r="AA547" s="772"/>
      <c r="AB547" s="772"/>
      <c r="AC547" s="772"/>
      <c r="AD547" s="772"/>
      <c r="AE547" s="772"/>
      <c r="AF547" s="772"/>
      <c r="AG547" s="772"/>
      <c r="AH547" s="772"/>
    </row>
    <row r="548" ht="15.75" customHeight="1">
      <c r="A548" s="815"/>
      <c r="B548" s="782"/>
      <c r="C548" s="782"/>
      <c r="D548" s="782"/>
      <c r="E548" s="816"/>
      <c r="F548" s="816"/>
      <c r="G548" s="817"/>
      <c r="H548" s="817"/>
      <c r="I548" s="818"/>
      <c r="J548" s="772"/>
      <c r="K548" s="772"/>
      <c r="L548" s="772"/>
      <c r="M548" s="772"/>
      <c r="N548" s="772"/>
      <c r="O548" s="772"/>
      <c r="P548" s="772"/>
      <c r="Q548" s="772"/>
      <c r="R548" s="772"/>
      <c r="S548" s="772"/>
      <c r="T548" s="772"/>
      <c r="U548" s="772"/>
      <c r="V548" s="772"/>
      <c r="W548" s="772"/>
      <c r="X548" s="772"/>
      <c r="Y548" s="772"/>
      <c r="Z548" s="772"/>
      <c r="AA548" s="772"/>
      <c r="AB548" s="772"/>
      <c r="AC548" s="772"/>
      <c r="AD548" s="772"/>
      <c r="AE548" s="772"/>
      <c r="AF548" s="772"/>
      <c r="AG548" s="772"/>
      <c r="AH548" s="772"/>
    </row>
    <row r="549" ht="15.75" customHeight="1">
      <c r="A549" s="815"/>
      <c r="B549" s="782"/>
      <c r="C549" s="782"/>
      <c r="D549" s="782"/>
      <c r="E549" s="816"/>
      <c r="F549" s="816"/>
      <c r="G549" s="817"/>
      <c r="H549" s="817"/>
      <c r="I549" s="818"/>
      <c r="J549" s="772"/>
      <c r="K549" s="772"/>
      <c r="L549" s="772"/>
      <c r="M549" s="772"/>
      <c r="N549" s="772"/>
      <c r="O549" s="772"/>
      <c r="P549" s="772"/>
      <c r="Q549" s="772"/>
      <c r="R549" s="772"/>
      <c r="S549" s="772"/>
      <c r="T549" s="772"/>
      <c r="U549" s="772"/>
      <c r="V549" s="772"/>
      <c r="W549" s="772"/>
      <c r="X549" s="772"/>
      <c r="Y549" s="772"/>
      <c r="Z549" s="772"/>
      <c r="AA549" s="772"/>
      <c r="AB549" s="772"/>
      <c r="AC549" s="772"/>
      <c r="AD549" s="772"/>
      <c r="AE549" s="772"/>
      <c r="AF549" s="772"/>
      <c r="AG549" s="772"/>
      <c r="AH549" s="772"/>
    </row>
    <row r="550" ht="15.75" customHeight="1">
      <c r="A550" s="815"/>
      <c r="B550" s="782"/>
      <c r="C550" s="782"/>
      <c r="D550" s="782"/>
      <c r="E550" s="816"/>
      <c r="F550" s="816"/>
      <c r="G550" s="817"/>
      <c r="H550" s="817"/>
      <c r="I550" s="818"/>
      <c r="J550" s="772"/>
      <c r="K550" s="772"/>
      <c r="L550" s="772"/>
      <c r="M550" s="772"/>
      <c r="N550" s="772"/>
      <c r="O550" s="772"/>
      <c r="P550" s="772"/>
      <c r="Q550" s="772"/>
      <c r="R550" s="772"/>
      <c r="S550" s="772"/>
      <c r="T550" s="772"/>
      <c r="U550" s="772"/>
      <c r="V550" s="772"/>
      <c r="W550" s="772"/>
      <c r="X550" s="772"/>
      <c r="Y550" s="772"/>
      <c r="Z550" s="772"/>
      <c r="AA550" s="772"/>
      <c r="AB550" s="772"/>
      <c r="AC550" s="772"/>
      <c r="AD550" s="772"/>
      <c r="AE550" s="772"/>
      <c r="AF550" s="772"/>
      <c r="AG550" s="772"/>
      <c r="AH550" s="772"/>
    </row>
    <row r="551" ht="15.75" customHeight="1">
      <c r="A551" s="815"/>
      <c r="B551" s="782"/>
      <c r="C551" s="782"/>
      <c r="D551" s="782"/>
      <c r="E551" s="816"/>
      <c r="F551" s="816"/>
      <c r="G551" s="817"/>
      <c r="H551" s="817"/>
      <c r="I551" s="818"/>
      <c r="J551" s="772"/>
      <c r="K551" s="772"/>
      <c r="L551" s="772"/>
      <c r="M551" s="772"/>
      <c r="N551" s="772"/>
      <c r="O551" s="772"/>
      <c r="P551" s="772"/>
      <c r="Q551" s="772"/>
      <c r="R551" s="772"/>
      <c r="S551" s="772"/>
      <c r="T551" s="772"/>
      <c r="U551" s="772"/>
      <c r="V551" s="772"/>
      <c r="W551" s="772"/>
      <c r="X551" s="772"/>
      <c r="Y551" s="772"/>
      <c r="Z551" s="772"/>
      <c r="AA551" s="772"/>
      <c r="AB551" s="772"/>
      <c r="AC551" s="772"/>
      <c r="AD551" s="772"/>
      <c r="AE551" s="772"/>
      <c r="AF551" s="772"/>
      <c r="AG551" s="772"/>
      <c r="AH551" s="772"/>
    </row>
    <row r="552" ht="15.75" customHeight="1">
      <c r="A552" s="815"/>
      <c r="B552" s="782"/>
      <c r="C552" s="782"/>
      <c r="D552" s="782"/>
      <c r="E552" s="816"/>
      <c r="F552" s="816"/>
      <c r="G552" s="817"/>
      <c r="H552" s="817"/>
      <c r="I552" s="818"/>
      <c r="J552" s="772"/>
      <c r="K552" s="772"/>
      <c r="L552" s="772"/>
      <c r="M552" s="772"/>
      <c r="N552" s="772"/>
      <c r="O552" s="772"/>
      <c r="P552" s="772"/>
      <c r="Q552" s="772"/>
      <c r="R552" s="772"/>
      <c r="S552" s="772"/>
      <c r="T552" s="772"/>
      <c r="U552" s="772"/>
      <c r="V552" s="772"/>
      <c r="W552" s="772"/>
      <c r="X552" s="772"/>
      <c r="Y552" s="772"/>
      <c r="Z552" s="772"/>
      <c r="AA552" s="772"/>
      <c r="AB552" s="772"/>
      <c r="AC552" s="772"/>
      <c r="AD552" s="772"/>
      <c r="AE552" s="772"/>
      <c r="AF552" s="772"/>
      <c r="AG552" s="772"/>
      <c r="AH552" s="772"/>
    </row>
    <row r="553" ht="15.75" customHeight="1">
      <c r="A553" s="815"/>
      <c r="B553" s="782"/>
      <c r="C553" s="782"/>
      <c r="D553" s="782"/>
      <c r="E553" s="816"/>
      <c r="F553" s="816"/>
      <c r="G553" s="817"/>
      <c r="H553" s="817"/>
      <c r="I553" s="818"/>
      <c r="J553" s="772"/>
      <c r="K553" s="772"/>
      <c r="L553" s="772"/>
      <c r="M553" s="772"/>
      <c r="N553" s="772"/>
      <c r="O553" s="772"/>
      <c r="P553" s="772"/>
      <c r="Q553" s="772"/>
      <c r="R553" s="772"/>
      <c r="S553" s="772"/>
      <c r="T553" s="772"/>
      <c r="U553" s="772"/>
      <c r="V553" s="772"/>
      <c r="W553" s="772"/>
      <c r="X553" s="772"/>
      <c r="Y553" s="772"/>
      <c r="Z553" s="772"/>
      <c r="AA553" s="772"/>
      <c r="AB553" s="772"/>
      <c r="AC553" s="772"/>
      <c r="AD553" s="772"/>
      <c r="AE553" s="772"/>
      <c r="AF553" s="772"/>
      <c r="AG553" s="772"/>
      <c r="AH553" s="772"/>
    </row>
    <row r="554" ht="15.75" customHeight="1">
      <c r="A554" s="815"/>
      <c r="B554" s="782"/>
      <c r="C554" s="782"/>
      <c r="D554" s="782"/>
      <c r="E554" s="816"/>
      <c r="F554" s="816"/>
      <c r="G554" s="817"/>
      <c r="H554" s="817"/>
      <c r="I554" s="818"/>
      <c r="J554" s="772"/>
      <c r="K554" s="772"/>
      <c r="L554" s="772"/>
      <c r="M554" s="772"/>
      <c r="N554" s="772"/>
      <c r="O554" s="772"/>
      <c r="P554" s="772"/>
      <c r="Q554" s="772"/>
      <c r="R554" s="772"/>
      <c r="S554" s="772"/>
      <c r="T554" s="772"/>
      <c r="U554" s="772"/>
      <c r="V554" s="772"/>
      <c r="W554" s="772"/>
      <c r="X554" s="772"/>
      <c r="Y554" s="772"/>
      <c r="Z554" s="772"/>
      <c r="AA554" s="772"/>
      <c r="AB554" s="772"/>
      <c r="AC554" s="772"/>
      <c r="AD554" s="772"/>
      <c r="AE554" s="772"/>
      <c r="AF554" s="772"/>
      <c r="AG554" s="772"/>
      <c r="AH554" s="772"/>
    </row>
    <row r="555" ht="15.75" customHeight="1">
      <c r="A555" s="815"/>
      <c r="B555" s="782"/>
      <c r="C555" s="782"/>
      <c r="D555" s="782"/>
      <c r="E555" s="816"/>
      <c r="F555" s="816"/>
      <c r="G555" s="817"/>
      <c r="H555" s="817"/>
      <c r="I555" s="818"/>
      <c r="J555" s="772"/>
      <c r="K555" s="772"/>
      <c r="L555" s="772"/>
      <c r="M555" s="772"/>
      <c r="N555" s="772"/>
      <c r="O555" s="772"/>
      <c r="P555" s="772"/>
      <c r="Q555" s="772"/>
      <c r="R555" s="772"/>
      <c r="S555" s="772"/>
      <c r="T555" s="772"/>
      <c r="U555" s="772"/>
      <c r="V555" s="772"/>
      <c r="W555" s="772"/>
      <c r="X555" s="772"/>
      <c r="Y555" s="772"/>
      <c r="Z555" s="772"/>
      <c r="AA555" s="772"/>
      <c r="AB555" s="772"/>
      <c r="AC555" s="772"/>
      <c r="AD555" s="772"/>
      <c r="AE555" s="772"/>
      <c r="AF555" s="772"/>
      <c r="AG555" s="772"/>
      <c r="AH555" s="772"/>
    </row>
    <row r="556" ht="15.75" customHeight="1">
      <c r="A556" s="815"/>
      <c r="B556" s="782"/>
      <c r="C556" s="782"/>
      <c r="D556" s="782"/>
      <c r="E556" s="816"/>
      <c r="F556" s="816"/>
      <c r="G556" s="817"/>
      <c r="H556" s="817"/>
      <c r="I556" s="818"/>
      <c r="J556" s="772"/>
      <c r="K556" s="772"/>
      <c r="L556" s="772"/>
      <c r="M556" s="772"/>
      <c r="N556" s="772"/>
      <c r="O556" s="772"/>
      <c r="P556" s="772"/>
      <c r="Q556" s="772"/>
      <c r="R556" s="772"/>
      <c r="S556" s="772"/>
      <c r="T556" s="772"/>
      <c r="U556" s="772"/>
      <c r="V556" s="772"/>
      <c r="W556" s="772"/>
      <c r="X556" s="772"/>
      <c r="Y556" s="772"/>
      <c r="Z556" s="772"/>
      <c r="AA556" s="772"/>
      <c r="AB556" s="772"/>
      <c r="AC556" s="772"/>
      <c r="AD556" s="772"/>
      <c r="AE556" s="772"/>
      <c r="AF556" s="772"/>
      <c r="AG556" s="772"/>
      <c r="AH556" s="772"/>
    </row>
    <row r="557" ht="15.75" customHeight="1">
      <c r="A557" s="815"/>
      <c r="B557" s="782"/>
      <c r="C557" s="782"/>
      <c r="D557" s="782"/>
      <c r="E557" s="816"/>
      <c r="F557" s="816"/>
      <c r="G557" s="817"/>
      <c r="H557" s="817"/>
      <c r="I557" s="818"/>
      <c r="J557" s="772"/>
      <c r="K557" s="772"/>
      <c r="L557" s="772"/>
      <c r="M557" s="772"/>
      <c r="N557" s="772"/>
      <c r="O557" s="772"/>
      <c r="P557" s="772"/>
      <c r="Q557" s="772"/>
      <c r="R557" s="772"/>
      <c r="S557" s="772"/>
      <c r="T557" s="772"/>
      <c r="U557" s="772"/>
      <c r="V557" s="772"/>
      <c r="W557" s="772"/>
      <c r="X557" s="772"/>
      <c r="Y557" s="772"/>
      <c r="Z557" s="772"/>
      <c r="AA557" s="772"/>
      <c r="AB557" s="772"/>
      <c r="AC557" s="772"/>
      <c r="AD557" s="772"/>
      <c r="AE557" s="772"/>
      <c r="AF557" s="772"/>
      <c r="AG557" s="772"/>
      <c r="AH557" s="772"/>
    </row>
    <row r="558" ht="15.75" customHeight="1">
      <c r="A558" s="815"/>
      <c r="B558" s="782"/>
      <c r="C558" s="782"/>
      <c r="D558" s="782"/>
      <c r="E558" s="816"/>
      <c r="F558" s="816"/>
      <c r="G558" s="817"/>
      <c r="H558" s="817"/>
      <c r="I558" s="818"/>
      <c r="J558" s="772"/>
      <c r="K558" s="772"/>
      <c r="L558" s="772"/>
      <c r="M558" s="772"/>
      <c r="N558" s="772"/>
      <c r="O558" s="772"/>
      <c r="P558" s="772"/>
      <c r="Q558" s="772"/>
      <c r="R558" s="772"/>
      <c r="S558" s="772"/>
      <c r="T558" s="772"/>
      <c r="U558" s="772"/>
      <c r="V558" s="772"/>
      <c r="W558" s="772"/>
      <c r="X558" s="772"/>
      <c r="Y558" s="772"/>
      <c r="Z558" s="772"/>
      <c r="AA558" s="772"/>
      <c r="AB558" s="772"/>
      <c r="AC558" s="772"/>
      <c r="AD558" s="772"/>
      <c r="AE558" s="772"/>
      <c r="AF558" s="772"/>
      <c r="AG558" s="772"/>
      <c r="AH558" s="772"/>
    </row>
    <row r="559" ht="15.75" customHeight="1">
      <c r="A559" s="815"/>
      <c r="B559" s="782"/>
      <c r="C559" s="782"/>
      <c r="D559" s="782"/>
      <c r="E559" s="816"/>
      <c r="F559" s="816"/>
      <c r="G559" s="817"/>
      <c r="H559" s="817"/>
      <c r="I559" s="818"/>
      <c r="J559" s="772"/>
      <c r="K559" s="772"/>
      <c r="L559" s="772"/>
      <c r="M559" s="772"/>
      <c r="N559" s="772"/>
      <c r="O559" s="772"/>
      <c r="P559" s="772"/>
      <c r="Q559" s="772"/>
      <c r="R559" s="772"/>
      <c r="S559" s="772"/>
      <c r="T559" s="772"/>
      <c r="U559" s="772"/>
      <c r="V559" s="772"/>
      <c r="W559" s="772"/>
      <c r="X559" s="772"/>
      <c r="Y559" s="772"/>
      <c r="Z559" s="772"/>
      <c r="AA559" s="772"/>
      <c r="AB559" s="772"/>
      <c r="AC559" s="772"/>
      <c r="AD559" s="772"/>
      <c r="AE559" s="772"/>
      <c r="AF559" s="772"/>
      <c r="AG559" s="772"/>
      <c r="AH559" s="772"/>
    </row>
    <row r="560" ht="15.75" customHeight="1">
      <c r="A560" s="815"/>
      <c r="B560" s="782"/>
      <c r="C560" s="782"/>
      <c r="D560" s="782"/>
      <c r="E560" s="816"/>
      <c r="F560" s="816"/>
      <c r="G560" s="817"/>
      <c r="H560" s="817"/>
      <c r="I560" s="818"/>
      <c r="J560" s="772"/>
      <c r="K560" s="772"/>
      <c r="L560" s="772"/>
      <c r="M560" s="772"/>
      <c r="N560" s="772"/>
      <c r="O560" s="772"/>
      <c r="P560" s="772"/>
      <c r="Q560" s="772"/>
      <c r="R560" s="772"/>
      <c r="S560" s="772"/>
      <c r="T560" s="772"/>
      <c r="U560" s="772"/>
      <c r="V560" s="772"/>
      <c r="W560" s="772"/>
      <c r="X560" s="772"/>
      <c r="Y560" s="772"/>
      <c r="Z560" s="772"/>
      <c r="AA560" s="772"/>
      <c r="AB560" s="772"/>
      <c r="AC560" s="772"/>
      <c r="AD560" s="772"/>
      <c r="AE560" s="772"/>
      <c r="AF560" s="772"/>
      <c r="AG560" s="772"/>
      <c r="AH560" s="772"/>
    </row>
    <row r="561" ht="15.75" customHeight="1">
      <c r="A561" s="815"/>
      <c r="B561" s="782"/>
      <c r="C561" s="782"/>
      <c r="D561" s="782"/>
      <c r="E561" s="816"/>
      <c r="F561" s="816"/>
      <c r="G561" s="817"/>
      <c r="H561" s="817"/>
      <c r="I561" s="818"/>
      <c r="J561" s="772"/>
      <c r="K561" s="772"/>
      <c r="L561" s="772"/>
      <c r="M561" s="772"/>
      <c r="N561" s="772"/>
      <c r="O561" s="772"/>
      <c r="P561" s="772"/>
      <c r="Q561" s="772"/>
      <c r="R561" s="772"/>
      <c r="S561" s="772"/>
      <c r="T561" s="772"/>
      <c r="U561" s="772"/>
      <c r="V561" s="772"/>
      <c r="W561" s="772"/>
      <c r="X561" s="772"/>
      <c r="Y561" s="772"/>
      <c r="Z561" s="772"/>
      <c r="AA561" s="772"/>
      <c r="AB561" s="772"/>
      <c r="AC561" s="772"/>
      <c r="AD561" s="772"/>
      <c r="AE561" s="772"/>
      <c r="AF561" s="772"/>
      <c r="AG561" s="772"/>
      <c r="AH561" s="772"/>
    </row>
    <row r="562" ht="15.75" customHeight="1">
      <c r="A562" s="815"/>
      <c r="B562" s="782"/>
      <c r="C562" s="782"/>
      <c r="D562" s="782"/>
      <c r="E562" s="816"/>
      <c r="F562" s="816"/>
      <c r="G562" s="817"/>
      <c r="H562" s="817"/>
      <c r="I562" s="818"/>
      <c r="J562" s="772"/>
      <c r="K562" s="772"/>
      <c r="L562" s="772"/>
      <c r="M562" s="772"/>
      <c r="N562" s="772"/>
      <c r="O562" s="772"/>
      <c r="P562" s="772"/>
      <c r="Q562" s="772"/>
      <c r="R562" s="772"/>
      <c r="S562" s="772"/>
      <c r="T562" s="772"/>
      <c r="U562" s="772"/>
      <c r="V562" s="772"/>
      <c r="W562" s="772"/>
      <c r="X562" s="772"/>
      <c r="Y562" s="772"/>
      <c r="Z562" s="772"/>
      <c r="AA562" s="772"/>
      <c r="AB562" s="772"/>
      <c r="AC562" s="772"/>
      <c r="AD562" s="772"/>
      <c r="AE562" s="772"/>
      <c r="AF562" s="772"/>
      <c r="AG562" s="772"/>
      <c r="AH562" s="772"/>
    </row>
    <row r="563" ht="15.75" customHeight="1">
      <c r="A563" s="815"/>
      <c r="B563" s="782"/>
      <c r="C563" s="782"/>
      <c r="D563" s="782"/>
      <c r="E563" s="816"/>
      <c r="F563" s="816"/>
      <c r="G563" s="817"/>
      <c r="H563" s="817"/>
      <c r="I563" s="818"/>
      <c r="J563" s="772"/>
      <c r="K563" s="772"/>
      <c r="L563" s="772"/>
      <c r="M563" s="772"/>
      <c r="N563" s="772"/>
      <c r="O563" s="772"/>
      <c r="P563" s="772"/>
      <c r="Q563" s="772"/>
      <c r="R563" s="772"/>
      <c r="S563" s="772"/>
      <c r="T563" s="772"/>
      <c r="U563" s="772"/>
      <c r="V563" s="772"/>
      <c r="W563" s="772"/>
      <c r="X563" s="772"/>
      <c r="Y563" s="772"/>
      <c r="Z563" s="772"/>
      <c r="AA563" s="772"/>
      <c r="AB563" s="772"/>
      <c r="AC563" s="772"/>
      <c r="AD563" s="772"/>
      <c r="AE563" s="772"/>
      <c r="AF563" s="772"/>
      <c r="AG563" s="772"/>
      <c r="AH563" s="772"/>
    </row>
    <row r="564" ht="15.75" customHeight="1">
      <c r="A564" s="815"/>
      <c r="B564" s="782"/>
      <c r="C564" s="782"/>
      <c r="D564" s="782"/>
      <c r="E564" s="816"/>
      <c r="F564" s="816"/>
      <c r="G564" s="817"/>
      <c r="H564" s="817"/>
      <c r="I564" s="818"/>
      <c r="J564" s="772"/>
      <c r="K564" s="772"/>
      <c r="L564" s="772"/>
      <c r="M564" s="772"/>
      <c r="N564" s="772"/>
      <c r="O564" s="772"/>
      <c r="P564" s="772"/>
      <c r="Q564" s="772"/>
      <c r="R564" s="772"/>
      <c r="S564" s="772"/>
      <c r="T564" s="772"/>
      <c r="U564" s="772"/>
      <c r="V564" s="772"/>
      <c r="W564" s="772"/>
      <c r="X564" s="772"/>
      <c r="Y564" s="772"/>
      <c r="Z564" s="772"/>
      <c r="AA564" s="772"/>
      <c r="AB564" s="772"/>
      <c r="AC564" s="772"/>
      <c r="AD564" s="772"/>
      <c r="AE564" s="772"/>
      <c r="AF564" s="772"/>
      <c r="AG564" s="772"/>
      <c r="AH564" s="772"/>
    </row>
    <row r="565" ht="15.75" customHeight="1">
      <c r="A565" s="815"/>
      <c r="B565" s="782"/>
      <c r="C565" s="782"/>
      <c r="D565" s="782"/>
      <c r="E565" s="816"/>
      <c r="F565" s="816"/>
      <c r="G565" s="817"/>
      <c r="H565" s="817"/>
      <c r="I565" s="818"/>
      <c r="J565" s="772"/>
      <c r="K565" s="772"/>
      <c r="L565" s="772"/>
      <c r="M565" s="772"/>
      <c r="N565" s="772"/>
      <c r="O565" s="772"/>
      <c r="P565" s="772"/>
      <c r="Q565" s="772"/>
      <c r="R565" s="772"/>
      <c r="S565" s="772"/>
      <c r="T565" s="772"/>
      <c r="U565" s="772"/>
      <c r="V565" s="772"/>
      <c r="W565" s="772"/>
      <c r="X565" s="772"/>
      <c r="Y565" s="772"/>
      <c r="Z565" s="772"/>
      <c r="AA565" s="772"/>
      <c r="AB565" s="772"/>
      <c r="AC565" s="772"/>
      <c r="AD565" s="772"/>
      <c r="AE565" s="772"/>
      <c r="AF565" s="772"/>
      <c r="AG565" s="772"/>
      <c r="AH565" s="772"/>
    </row>
    <row r="566" ht="15.75" customHeight="1">
      <c r="A566" s="815"/>
      <c r="B566" s="782"/>
      <c r="C566" s="782"/>
      <c r="D566" s="782"/>
      <c r="E566" s="816"/>
      <c r="F566" s="816"/>
      <c r="G566" s="817"/>
      <c r="H566" s="817"/>
      <c r="I566" s="818"/>
      <c r="J566" s="772"/>
      <c r="K566" s="772"/>
      <c r="L566" s="772"/>
      <c r="M566" s="772"/>
      <c r="N566" s="772"/>
      <c r="O566" s="772"/>
      <c r="P566" s="772"/>
      <c r="Q566" s="772"/>
      <c r="R566" s="772"/>
      <c r="S566" s="772"/>
      <c r="T566" s="772"/>
      <c r="U566" s="772"/>
      <c r="V566" s="772"/>
      <c r="W566" s="772"/>
      <c r="X566" s="772"/>
      <c r="Y566" s="772"/>
      <c r="Z566" s="772"/>
      <c r="AA566" s="772"/>
      <c r="AB566" s="772"/>
      <c r="AC566" s="772"/>
      <c r="AD566" s="772"/>
      <c r="AE566" s="772"/>
      <c r="AF566" s="772"/>
      <c r="AG566" s="772"/>
      <c r="AH566" s="772"/>
    </row>
    <row r="567" ht="15.75" customHeight="1">
      <c r="A567" s="815"/>
      <c r="B567" s="782"/>
      <c r="C567" s="782"/>
      <c r="D567" s="782"/>
      <c r="E567" s="816"/>
      <c r="F567" s="816"/>
      <c r="G567" s="817"/>
      <c r="H567" s="817"/>
      <c r="I567" s="818"/>
      <c r="J567" s="772"/>
      <c r="K567" s="772"/>
      <c r="L567" s="772"/>
      <c r="M567" s="772"/>
      <c r="N567" s="772"/>
      <c r="O567" s="772"/>
      <c r="P567" s="772"/>
      <c r="Q567" s="772"/>
      <c r="R567" s="772"/>
      <c r="S567" s="772"/>
      <c r="T567" s="772"/>
      <c r="U567" s="772"/>
      <c r="V567" s="772"/>
      <c r="W567" s="772"/>
      <c r="X567" s="772"/>
      <c r="Y567" s="772"/>
      <c r="Z567" s="772"/>
      <c r="AA567" s="772"/>
      <c r="AB567" s="772"/>
      <c r="AC567" s="772"/>
      <c r="AD567" s="772"/>
      <c r="AE567" s="772"/>
      <c r="AF567" s="772"/>
      <c r="AG567" s="772"/>
      <c r="AH567" s="772"/>
    </row>
    <row r="568" ht="15.75" customHeight="1">
      <c r="A568" s="815"/>
      <c r="B568" s="782"/>
      <c r="C568" s="782"/>
      <c r="D568" s="782"/>
      <c r="E568" s="816"/>
      <c r="F568" s="816"/>
      <c r="G568" s="817"/>
      <c r="H568" s="817"/>
      <c r="I568" s="818"/>
      <c r="J568" s="772"/>
      <c r="K568" s="772"/>
      <c r="L568" s="772"/>
      <c r="M568" s="772"/>
      <c r="N568" s="772"/>
      <c r="O568" s="772"/>
      <c r="P568" s="772"/>
      <c r="Q568" s="772"/>
      <c r="R568" s="772"/>
      <c r="S568" s="772"/>
      <c r="T568" s="772"/>
      <c r="U568" s="772"/>
      <c r="V568" s="772"/>
      <c r="W568" s="772"/>
      <c r="X568" s="772"/>
      <c r="Y568" s="772"/>
      <c r="Z568" s="772"/>
      <c r="AA568" s="772"/>
      <c r="AB568" s="772"/>
      <c r="AC568" s="772"/>
      <c r="AD568" s="772"/>
      <c r="AE568" s="772"/>
      <c r="AF568" s="772"/>
      <c r="AG568" s="772"/>
      <c r="AH568" s="772"/>
    </row>
    <row r="569" ht="15.75" customHeight="1">
      <c r="A569" s="815"/>
      <c r="B569" s="782"/>
      <c r="C569" s="782"/>
      <c r="D569" s="782"/>
      <c r="E569" s="816"/>
      <c r="F569" s="816"/>
      <c r="G569" s="817"/>
      <c r="H569" s="817"/>
      <c r="I569" s="818"/>
      <c r="J569" s="772"/>
      <c r="K569" s="772"/>
      <c r="L569" s="772"/>
      <c r="M569" s="772"/>
      <c r="N569" s="772"/>
      <c r="O569" s="772"/>
      <c r="P569" s="772"/>
      <c r="Q569" s="772"/>
      <c r="R569" s="772"/>
      <c r="S569" s="772"/>
      <c r="T569" s="772"/>
      <c r="U569" s="772"/>
      <c r="V569" s="772"/>
      <c r="W569" s="772"/>
      <c r="X569" s="772"/>
      <c r="Y569" s="772"/>
      <c r="Z569" s="772"/>
      <c r="AA569" s="772"/>
      <c r="AB569" s="772"/>
      <c r="AC569" s="772"/>
      <c r="AD569" s="772"/>
      <c r="AE569" s="772"/>
      <c r="AF569" s="772"/>
      <c r="AG569" s="772"/>
      <c r="AH569" s="772"/>
    </row>
    <row r="570" ht="15.75" customHeight="1">
      <c r="A570" s="815"/>
      <c r="B570" s="782"/>
      <c r="C570" s="782"/>
      <c r="D570" s="782"/>
      <c r="E570" s="816"/>
      <c r="F570" s="816"/>
      <c r="G570" s="817"/>
      <c r="H570" s="817"/>
      <c r="I570" s="818"/>
      <c r="J570" s="772"/>
      <c r="K570" s="772"/>
      <c r="L570" s="772"/>
      <c r="M570" s="772"/>
      <c r="N570" s="772"/>
      <c r="O570" s="772"/>
      <c r="P570" s="772"/>
      <c r="Q570" s="772"/>
      <c r="R570" s="772"/>
      <c r="S570" s="772"/>
      <c r="T570" s="772"/>
      <c r="U570" s="772"/>
      <c r="V570" s="772"/>
      <c r="W570" s="772"/>
      <c r="X570" s="772"/>
      <c r="Y570" s="772"/>
      <c r="Z570" s="772"/>
      <c r="AA570" s="772"/>
      <c r="AB570" s="772"/>
      <c r="AC570" s="772"/>
      <c r="AD570" s="772"/>
      <c r="AE570" s="772"/>
      <c r="AF570" s="772"/>
      <c r="AG570" s="772"/>
      <c r="AH570" s="772"/>
    </row>
    <row r="571" ht="15.75" customHeight="1">
      <c r="A571" s="815"/>
      <c r="B571" s="782"/>
      <c r="C571" s="782"/>
      <c r="D571" s="782"/>
      <c r="E571" s="816"/>
      <c r="F571" s="816"/>
      <c r="G571" s="817"/>
      <c r="H571" s="817"/>
      <c r="I571" s="818"/>
      <c r="J571" s="772"/>
      <c r="K571" s="772"/>
      <c r="L571" s="772"/>
      <c r="M571" s="772"/>
      <c r="N571" s="772"/>
      <c r="O571" s="772"/>
      <c r="P571" s="772"/>
      <c r="Q571" s="772"/>
      <c r="R571" s="772"/>
      <c r="S571" s="772"/>
      <c r="T571" s="772"/>
      <c r="U571" s="772"/>
      <c r="V571" s="772"/>
      <c r="W571" s="772"/>
      <c r="X571" s="772"/>
      <c r="Y571" s="772"/>
      <c r="Z571" s="772"/>
      <c r="AA571" s="772"/>
      <c r="AB571" s="772"/>
      <c r="AC571" s="772"/>
      <c r="AD571" s="772"/>
      <c r="AE571" s="772"/>
      <c r="AF571" s="772"/>
      <c r="AG571" s="772"/>
      <c r="AH571" s="772"/>
    </row>
    <row r="572" ht="15.75" customHeight="1">
      <c r="A572" s="815"/>
      <c r="B572" s="782"/>
      <c r="C572" s="782"/>
      <c r="D572" s="782"/>
      <c r="E572" s="816"/>
      <c r="F572" s="816"/>
      <c r="G572" s="817"/>
      <c r="H572" s="817"/>
      <c r="I572" s="818"/>
      <c r="J572" s="772"/>
      <c r="K572" s="772"/>
      <c r="L572" s="772"/>
      <c r="M572" s="772"/>
      <c r="N572" s="772"/>
      <c r="O572" s="772"/>
      <c r="P572" s="772"/>
      <c r="Q572" s="772"/>
      <c r="R572" s="772"/>
      <c r="S572" s="772"/>
      <c r="T572" s="772"/>
      <c r="U572" s="772"/>
      <c r="V572" s="772"/>
      <c r="W572" s="772"/>
      <c r="X572" s="772"/>
      <c r="Y572" s="772"/>
      <c r="Z572" s="772"/>
      <c r="AA572" s="772"/>
      <c r="AB572" s="772"/>
      <c r="AC572" s="772"/>
      <c r="AD572" s="772"/>
      <c r="AE572" s="772"/>
      <c r="AF572" s="772"/>
      <c r="AG572" s="772"/>
      <c r="AH572" s="772"/>
    </row>
    <row r="573" ht="15.75" customHeight="1">
      <c r="A573" s="815"/>
      <c r="B573" s="782"/>
      <c r="C573" s="782"/>
      <c r="D573" s="782"/>
      <c r="E573" s="816"/>
      <c r="F573" s="816"/>
      <c r="G573" s="817"/>
      <c r="H573" s="817"/>
      <c r="I573" s="818"/>
      <c r="J573" s="772"/>
      <c r="K573" s="772"/>
      <c r="L573" s="772"/>
      <c r="M573" s="772"/>
      <c r="N573" s="772"/>
      <c r="O573" s="772"/>
      <c r="P573" s="772"/>
      <c r="Q573" s="772"/>
      <c r="R573" s="772"/>
      <c r="S573" s="772"/>
      <c r="T573" s="772"/>
      <c r="U573" s="772"/>
      <c r="V573" s="772"/>
      <c r="W573" s="772"/>
      <c r="X573" s="772"/>
      <c r="Y573" s="772"/>
      <c r="Z573" s="772"/>
      <c r="AA573" s="772"/>
      <c r="AB573" s="772"/>
      <c r="AC573" s="772"/>
      <c r="AD573" s="772"/>
      <c r="AE573" s="772"/>
      <c r="AF573" s="772"/>
      <c r="AG573" s="772"/>
      <c r="AH573" s="772"/>
    </row>
    <row r="574" ht="15.75" customHeight="1">
      <c r="A574" s="815"/>
      <c r="B574" s="782"/>
      <c r="C574" s="782"/>
      <c r="D574" s="782"/>
      <c r="E574" s="816"/>
      <c r="F574" s="816"/>
      <c r="G574" s="817"/>
      <c r="H574" s="817"/>
      <c r="I574" s="818"/>
      <c r="J574" s="772"/>
      <c r="K574" s="772"/>
      <c r="L574" s="772"/>
      <c r="M574" s="772"/>
      <c r="N574" s="772"/>
      <c r="O574" s="772"/>
      <c r="P574" s="772"/>
      <c r="Q574" s="772"/>
      <c r="R574" s="772"/>
      <c r="S574" s="772"/>
      <c r="T574" s="772"/>
      <c r="U574" s="772"/>
      <c r="V574" s="772"/>
      <c r="W574" s="772"/>
      <c r="X574" s="772"/>
      <c r="Y574" s="772"/>
      <c r="Z574" s="772"/>
      <c r="AA574" s="772"/>
      <c r="AB574" s="772"/>
      <c r="AC574" s="772"/>
      <c r="AD574" s="772"/>
      <c r="AE574" s="772"/>
      <c r="AF574" s="772"/>
      <c r="AG574" s="772"/>
      <c r="AH574" s="772"/>
    </row>
    <row r="575" ht="15.75" customHeight="1">
      <c r="A575" s="815"/>
      <c r="B575" s="782"/>
      <c r="C575" s="782"/>
      <c r="D575" s="782"/>
      <c r="E575" s="816"/>
      <c r="F575" s="816"/>
      <c r="G575" s="817"/>
      <c r="H575" s="817"/>
      <c r="I575" s="818"/>
      <c r="J575" s="772"/>
      <c r="K575" s="772"/>
      <c r="L575" s="772"/>
      <c r="M575" s="772"/>
      <c r="N575" s="772"/>
      <c r="O575" s="772"/>
      <c r="P575" s="772"/>
      <c r="Q575" s="772"/>
      <c r="R575" s="772"/>
      <c r="S575" s="772"/>
      <c r="T575" s="772"/>
      <c r="U575" s="772"/>
      <c r="V575" s="772"/>
      <c r="W575" s="772"/>
      <c r="X575" s="772"/>
      <c r="Y575" s="772"/>
      <c r="Z575" s="772"/>
      <c r="AA575" s="772"/>
      <c r="AB575" s="772"/>
      <c r="AC575" s="772"/>
      <c r="AD575" s="772"/>
      <c r="AE575" s="772"/>
      <c r="AF575" s="772"/>
      <c r="AG575" s="772"/>
      <c r="AH575" s="772"/>
    </row>
    <row r="576" ht="15.75" customHeight="1">
      <c r="A576" s="815"/>
      <c r="B576" s="782"/>
      <c r="C576" s="782"/>
      <c r="D576" s="782"/>
      <c r="E576" s="816"/>
      <c r="F576" s="816"/>
      <c r="G576" s="817"/>
      <c r="H576" s="817"/>
      <c r="I576" s="818"/>
      <c r="J576" s="772"/>
      <c r="K576" s="772"/>
      <c r="L576" s="772"/>
      <c r="M576" s="772"/>
      <c r="N576" s="772"/>
      <c r="O576" s="772"/>
      <c r="P576" s="772"/>
      <c r="Q576" s="772"/>
      <c r="R576" s="772"/>
      <c r="S576" s="772"/>
      <c r="T576" s="772"/>
      <c r="U576" s="772"/>
      <c r="V576" s="772"/>
      <c r="W576" s="772"/>
      <c r="X576" s="772"/>
      <c r="Y576" s="772"/>
      <c r="Z576" s="772"/>
      <c r="AA576" s="772"/>
      <c r="AB576" s="772"/>
      <c r="AC576" s="772"/>
      <c r="AD576" s="772"/>
      <c r="AE576" s="772"/>
      <c r="AF576" s="772"/>
      <c r="AG576" s="772"/>
      <c r="AH576" s="772"/>
    </row>
    <row r="577" ht="15.75" customHeight="1">
      <c r="A577" s="815"/>
      <c r="B577" s="782"/>
      <c r="C577" s="782"/>
      <c r="D577" s="782"/>
      <c r="E577" s="816"/>
      <c r="F577" s="816"/>
      <c r="G577" s="817"/>
      <c r="H577" s="817"/>
      <c r="I577" s="818"/>
      <c r="J577" s="772"/>
      <c r="K577" s="772"/>
      <c r="L577" s="772"/>
      <c r="M577" s="772"/>
      <c r="N577" s="772"/>
      <c r="O577" s="772"/>
      <c r="P577" s="772"/>
      <c r="Q577" s="772"/>
      <c r="R577" s="772"/>
      <c r="S577" s="772"/>
      <c r="T577" s="772"/>
      <c r="U577" s="772"/>
      <c r="V577" s="772"/>
      <c r="W577" s="772"/>
      <c r="X577" s="772"/>
      <c r="Y577" s="772"/>
      <c r="Z577" s="772"/>
      <c r="AA577" s="772"/>
      <c r="AB577" s="772"/>
      <c r="AC577" s="772"/>
      <c r="AD577" s="772"/>
      <c r="AE577" s="772"/>
      <c r="AF577" s="772"/>
      <c r="AG577" s="772"/>
      <c r="AH577" s="772"/>
    </row>
    <row r="578" ht="15.75" customHeight="1">
      <c r="A578" s="815"/>
      <c r="B578" s="782"/>
      <c r="C578" s="782"/>
      <c r="D578" s="782"/>
      <c r="E578" s="816"/>
      <c r="F578" s="816"/>
      <c r="G578" s="817"/>
      <c r="H578" s="817"/>
      <c r="I578" s="818"/>
      <c r="J578" s="772"/>
      <c r="K578" s="772"/>
      <c r="L578" s="772"/>
      <c r="M578" s="772"/>
      <c r="N578" s="772"/>
      <c r="O578" s="772"/>
      <c r="P578" s="772"/>
      <c r="Q578" s="772"/>
      <c r="R578" s="772"/>
      <c r="S578" s="772"/>
      <c r="T578" s="772"/>
      <c r="U578" s="772"/>
      <c r="V578" s="772"/>
      <c r="W578" s="772"/>
      <c r="X578" s="772"/>
      <c r="Y578" s="772"/>
      <c r="Z578" s="772"/>
      <c r="AA578" s="772"/>
      <c r="AB578" s="772"/>
      <c r="AC578" s="772"/>
      <c r="AD578" s="772"/>
      <c r="AE578" s="772"/>
      <c r="AF578" s="772"/>
      <c r="AG578" s="772"/>
      <c r="AH578" s="772"/>
    </row>
    <row r="579" ht="15.75" customHeight="1">
      <c r="A579" s="815"/>
      <c r="B579" s="782"/>
      <c r="C579" s="782"/>
      <c r="D579" s="782"/>
      <c r="E579" s="816"/>
      <c r="F579" s="816"/>
      <c r="G579" s="817"/>
      <c r="H579" s="817"/>
      <c r="I579" s="818"/>
      <c r="J579" s="772"/>
      <c r="K579" s="772"/>
      <c r="L579" s="772"/>
      <c r="M579" s="772"/>
      <c r="N579" s="772"/>
      <c r="O579" s="772"/>
      <c r="P579" s="772"/>
      <c r="Q579" s="772"/>
      <c r="R579" s="772"/>
      <c r="S579" s="772"/>
      <c r="T579" s="772"/>
      <c r="U579" s="772"/>
      <c r="V579" s="772"/>
      <c r="W579" s="772"/>
      <c r="X579" s="772"/>
      <c r="Y579" s="772"/>
      <c r="Z579" s="772"/>
      <c r="AA579" s="772"/>
      <c r="AB579" s="772"/>
      <c r="AC579" s="772"/>
      <c r="AD579" s="772"/>
      <c r="AE579" s="772"/>
      <c r="AF579" s="772"/>
      <c r="AG579" s="772"/>
      <c r="AH579" s="772"/>
    </row>
    <row r="580" ht="15.75" customHeight="1">
      <c r="A580" s="815"/>
      <c r="B580" s="782"/>
      <c r="C580" s="782"/>
      <c r="D580" s="782"/>
      <c r="E580" s="816"/>
      <c r="F580" s="816"/>
      <c r="G580" s="817"/>
      <c r="H580" s="817"/>
      <c r="I580" s="818"/>
      <c r="J580" s="772"/>
      <c r="K580" s="772"/>
      <c r="L580" s="772"/>
      <c r="M580" s="772"/>
      <c r="N580" s="772"/>
      <c r="O580" s="772"/>
      <c r="P580" s="772"/>
      <c r="Q580" s="772"/>
      <c r="R580" s="772"/>
      <c r="S580" s="772"/>
      <c r="T580" s="772"/>
      <c r="U580" s="772"/>
      <c r="V580" s="772"/>
      <c r="W580" s="772"/>
      <c r="X580" s="772"/>
      <c r="Y580" s="772"/>
      <c r="Z580" s="772"/>
      <c r="AA580" s="772"/>
      <c r="AB580" s="772"/>
      <c r="AC580" s="772"/>
      <c r="AD580" s="772"/>
      <c r="AE580" s="772"/>
      <c r="AF580" s="772"/>
      <c r="AG580" s="772"/>
      <c r="AH580" s="772"/>
    </row>
    <row r="581" ht="15.75" customHeight="1">
      <c r="A581" s="815"/>
      <c r="B581" s="782"/>
      <c r="C581" s="782"/>
      <c r="D581" s="782"/>
      <c r="E581" s="816"/>
      <c r="F581" s="816"/>
      <c r="G581" s="817"/>
      <c r="H581" s="817"/>
      <c r="I581" s="818"/>
      <c r="J581" s="772"/>
      <c r="K581" s="772"/>
      <c r="L581" s="772"/>
      <c r="M581" s="772"/>
      <c r="N581" s="772"/>
      <c r="O581" s="772"/>
      <c r="P581" s="772"/>
      <c r="Q581" s="772"/>
      <c r="R581" s="772"/>
      <c r="S581" s="772"/>
      <c r="T581" s="772"/>
      <c r="U581" s="772"/>
      <c r="V581" s="772"/>
      <c r="W581" s="772"/>
      <c r="X581" s="772"/>
      <c r="Y581" s="772"/>
      <c r="Z581" s="772"/>
      <c r="AA581" s="772"/>
      <c r="AB581" s="772"/>
      <c r="AC581" s="772"/>
      <c r="AD581" s="772"/>
      <c r="AE581" s="772"/>
      <c r="AF581" s="772"/>
      <c r="AG581" s="772"/>
      <c r="AH581" s="772"/>
    </row>
    <row r="582" ht="15.75" customHeight="1">
      <c r="A582" s="815"/>
      <c r="B582" s="782"/>
      <c r="C582" s="782"/>
      <c r="D582" s="782"/>
      <c r="E582" s="816"/>
      <c r="F582" s="816"/>
      <c r="G582" s="817"/>
      <c r="H582" s="817"/>
      <c r="I582" s="818"/>
      <c r="J582" s="772"/>
      <c r="K582" s="772"/>
      <c r="L582" s="772"/>
      <c r="M582" s="772"/>
      <c r="N582" s="772"/>
      <c r="O582" s="772"/>
      <c r="P582" s="772"/>
      <c r="Q582" s="772"/>
      <c r="R582" s="772"/>
      <c r="S582" s="772"/>
      <c r="T582" s="772"/>
      <c r="U582" s="772"/>
      <c r="V582" s="772"/>
      <c r="W582" s="772"/>
      <c r="X582" s="772"/>
      <c r="Y582" s="772"/>
      <c r="Z582" s="772"/>
      <c r="AA582" s="772"/>
      <c r="AB582" s="772"/>
      <c r="AC582" s="772"/>
      <c r="AD582" s="772"/>
      <c r="AE582" s="772"/>
      <c r="AF582" s="772"/>
      <c r="AG582" s="772"/>
      <c r="AH582" s="772"/>
    </row>
    <row r="583" ht="15.75" customHeight="1">
      <c r="A583" s="815"/>
      <c r="B583" s="782"/>
      <c r="C583" s="782"/>
      <c r="D583" s="782"/>
      <c r="E583" s="816"/>
      <c r="F583" s="816"/>
      <c r="G583" s="817"/>
      <c r="H583" s="817"/>
      <c r="I583" s="818"/>
      <c r="J583" s="772"/>
      <c r="K583" s="772"/>
      <c r="L583" s="772"/>
      <c r="M583" s="772"/>
      <c r="N583" s="772"/>
      <c r="O583" s="772"/>
      <c r="P583" s="772"/>
      <c r="Q583" s="772"/>
      <c r="R583" s="772"/>
      <c r="S583" s="772"/>
      <c r="T583" s="772"/>
      <c r="U583" s="772"/>
      <c r="V583" s="772"/>
      <c r="W583" s="772"/>
      <c r="X583" s="772"/>
      <c r="Y583" s="772"/>
      <c r="Z583" s="772"/>
      <c r="AA583" s="772"/>
      <c r="AB583" s="772"/>
      <c r="AC583" s="772"/>
      <c r="AD583" s="772"/>
      <c r="AE583" s="772"/>
      <c r="AF583" s="772"/>
      <c r="AG583" s="772"/>
      <c r="AH583" s="772"/>
    </row>
    <row r="584" ht="15.75" customHeight="1">
      <c r="A584" s="815"/>
      <c r="B584" s="782"/>
      <c r="C584" s="782"/>
      <c r="D584" s="782"/>
      <c r="E584" s="816"/>
      <c r="F584" s="816"/>
      <c r="G584" s="817"/>
      <c r="H584" s="817"/>
      <c r="I584" s="818"/>
      <c r="J584" s="772"/>
      <c r="K584" s="772"/>
      <c r="L584" s="772"/>
      <c r="M584" s="772"/>
      <c r="N584" s="772"/>
      <c r="O584" s="772"/>
      <c r="P584" s="772"/>
      <c r="Q584" s="772"/>
      <c r="R584" s="772"/>
      <c r="S584" s="772"/>
      <c r="T584" s="772"/>
      <c r="U584" s="772"/>
      <c r="V584" s="772"/>
      <c r="W584" s="772"/>
      <c r="X584" s="772"/>
      <c r="Y584" s="772"/>
      <c r="Z584" s="772"/>
      <c r="AA584" s="772"/>
      <c r="AB584" s="772"/>
      <c r="AC584" s="772"/>
      <c r="AD584" s="772"/>
      <c r="AE584" s="772"/>
      <c r="AF584" s="772"/>
      <c r="AG584" s="772"/>
      <c r="AH584" s="772"/>
    </row>
    <row r="585" ht="15.75" customHeight="1">
      <c r="A585" s="815"/>
      <c r="B585" s="782"/>
      <c r="C585" s="782"/>
      <c r="D585" s="782"/>
      <c r="E585" s="816"/>
      <c r="F585" s="816"/>
      <c r="G585" s="817"/>
      <c r="H585" s="817"/>
      <c r="I585" s="818"/>
      <c r="J585" s="772"/>
      <c r="K585" s="772"/>
      <c r="L585" s="772"/>
      <c r="M585" s="772"/>
      <c r="N585" s="772"/>
      <c r="O585" s="772"/>
      <c r="P585" s="772"/>
      <c r="Q585" s="772"/>
      <c r="R585" s="772"/>
      <c r="S585" s="772"/>
      <c r="T585" s="772"/>
      <c r="U585" s="772"/>
      <c r="V585" s="772"/>
      <c r="W585" s="772"/>
      <c r="X585" s="772"/>
      <c r="Y585" s="772"/>
      <c r="Z585" s="772"/>
      <c r="AA585" s="772"/>
      <c r="AB585" s="772"/>
      <c r="AC585" s="772"/>
      <c r="AD585" s="772"/>
      <c r="AE585" s="772"/>
      <c r="AF585" s="772"/>
      <c r="AG585" s="772"/>
      <c r="AH585" s="772"/>
    </row>
    <row r="586" ht="15.75" customHeight="1">
      <c r="A586" s="815"/>
      <c r="B586" s="782"/>
      <c r="C586" s="782"/>
      <c r="D586" s="782"/>
      <c r="E586" s="816"/>
      <c r="F586" s="816"/>
      <c r="G586" s="817"/>
      <c r="H586" s="817"/>
      <c r="I586" s="818"/>
      <c r="J586" s="772"/>
      <c r="K586" s="772"/>
      <c r="L586" s="772"/>
      <c r="M586" s="772"/>
      <c r="N586" s="772"/>
      <c r="O586" s="772"/>
      <c r="P586" s="772"/>
      <c r="Q586" s="772"/>
      <c r="R586" s="772"/>
      <c r="S586" s="772"/>
      <c r="T586" s="772"/>
      <c r="U586" s="772"/>
      <c r="V586" s="772"/>
      <c r="W586" s="772"/>
      <c r="X586" s="772"/>
      <c r="Y586" s="772"/>
      <c r="Z586" s="772"/>
      <c r="AA586" s="772"/>
      <c r="AB586" s="772"/>
      <c r="AC586" s="772"/>
      <c r="AD586" s="772"/>
      <c r="AE586" s="772"/>
      <c r="AF586" s="772"/>
      <c r="AG586" s="772"/>
      <c r="AH586" s="772"/>
    </row>
    <row r="587" ht="15.75" customHeight="1">
      <c r="A587" s="815"/>
      <c r="B587" s="782"/>
      <c r="C587" s="782"/>
      <c r="D587" s="782"/>
      <c r="E587" s="816"/>
      <c r="F587" s="816"/>
      <c r="G587" s="817"/>
      <c r="H587" s="817"/>
      <c r="I587" s="818"/>
      <c r="J587" s="772"/>
      <c r="K587" s="772"/>
      <c r="L587" s="772"/>
      <c r="M587" s="772"/>
      <c r="N587" s="772"/>
      <c r="O587" s="772"/>
      <c r="P587" s="772"/>
      <c r="Q587" s="772"/>
      <c r="R587" s="772"/>
      <c r="S587" s="772"/>
      <c r="T587" s="772"/>
      <c r="U587" s="772"/>
      <c r="V587" s="772"/>
      <c r="W587" s="772"/>
      <c r="X587" s="772"/>
      <c r="Y587" s="772"/>
      <c r="Z587" s="772"/>
      <c r="AA587" s="772"/>
      <c r="AB587" s="772"/>
      <c r="AC587" s="772"/>
      <c r="AD587" s="772"/>
      <c r="AE587" s="772"/>
      <c r="AF587" s="772"/>
      <c r="AG587" s="772"/>
      <c r="AH587" s="772"/>
    </row>
    <row r="588" ht="15.75" customHeight="1">
      <c r="A588" s="815"/>
      <c r="B588" s="782"/>
      <c r="C588" s="782"/>
      <c r="D588" s="782"/>
      <c r="E588" s="816"/>
      <c r="F588" s="816"/>
      <c r="G588" s="817"/>
      <c r="H588" s="817"/>
      <c r="I588" s="818"/>
      <c r="J588" s="772"/>
      <c r="K588" s="772"/>
      <c r="L588" s="772"/>
      <c r="M588" s="772"/>
      <c r="N588" s="772"/>
      <c r="O588" s="772"/>
      <c r="P588" s="772"/>
      <c r="Q588" s="772"/>
      <c r="R588" s="772"/>
      <c r="S588" s="772"/>
      <c r="T588" s="772"/>
      <c r="U588" s="772"/>
      <c r="V588" s="772"/>
      <c r="W588" s="772"/>
      <c r="X588" s="772"/>
      <c r="Y588" s="772"/>
      <c r="Z588" s="772"/>
      <c r="AA588" s="772"/>
      <c r="AB588" s="772"/>
      <c r="AC588" s="772"/>
      <c r="AD588" s="772"/>
      <c r="AE588" s="772"/>
      <c r="AF588" s="772"/>
      <c r="AG588" s="772"/>
      <c r="AH588" s="772"/>
    </row>
    <row r="589" ht="15.75" customHeight="1">
      <c r="A589" s="815"/>
      <c r="B589" s="782"/>
      <c r="C589" s="782"/>
      <c r="D589" s="782"/>
      <c r="E589" s="816"/>
      <c r="F589" s="816"/>
      <c r="G589" s="817"/>
      <c r="H589" s="817"/>
      <c r="I589" s="818"/>
      <c r="J589" s="772"/>
      <c r="K589" s="772"/>
      <c r="L589" s="772"/>
      <c r="M589" s="772"/>
      <c r="N589" s="772"/>
      <c r="O589" s="772"/>
      <c r="P589" s="772"/>
      <c r="Q589" s="772"/>
      <c r="R589" s="772"/>
      <c r="S589" s="772"/>
      <c r="T589" s="772"/>
      <c r="U589" s="772"/>
      <c r="V589" s="772"/>
      <c r="W589" s="772"/>
      <c r="X589" s="772"/>
      <c r="Y589" s="772"/>
      <c r="Z589" s="772"/>
      <c r="AA589" s="772"/>
      <c r="AB589" s="772"/>
      <c r="AC589" s="772"/>
      <c r="AD589" s="772"/>
      <c r="AE589" s="772"/>
      <c r="AF589" s="772"/>
      <c r="AG589" s="772"/>
      <c r="AH589" s="772"/>
    </row>
    <row r="590" ht="15.75" customHeight="1">
      <c r="A590" s="815"/>
      <c r="B590" s="782"/>
      <c r="C590" s="782"/>
      <c r="D590" s="782"/>
      <c r="E590" s="816"/>
      <c r="F590" s="816"/>
      <c r="G590" s="817"/>
      <c r="H590" s="817"/>
      <c r="I590" s="818"/>
      <c r="J590" s="772"/>
      <c r="K590" s="772"/>
      <c r="L590" s="772"/>
      <c r="M590" s="772"/>
      <c r="N590" s="772"/>
      <c r="O590" s="772"/>
      <c r="P590" s="772"/>
      <c r="Q590" s="772"/>
      <c r="R590" s="772"/>
      <c r="S590" s="772"/>
      <c r="T590" s="772"/>
      <c r="U590" s="772"/>
      <c r="V590" s="772"/>
      <c r="W590" s="772"/>
      <c r="X590" s="772"/>
      <c r="Y590" s="772"/>
      <c r="Z590" s="772"/>
      <c r="AA590" s="772"/>
      <c r="AB590" s="772"/>
      <c r="AC590" s="772"/>
      <c r="AD590" s="772"/>
      <c r="AE590" s="772"/>
      <c r="AF590" s="772"/>
      <c r="AG590" s="772"/>
      <c r="AH590" s="772"/>
    </row>
    <row r="591" ht="15.75" customHeight="1">
      <c r="A591" s="815"/>
      <c r="B591" s="782"/>
      <c r="C591" s="782"/>
      <c r="D591" s="782"/>
      <c r="E591" s="816"/>
      <c r="F591" s="816"/>
      <c r="G591" s="817"/>
      <c r="H591" s="817"/>
      <c r="I591" s="818"/>
      <c r="J591" s="772"/>
      <c r="K591" s="772"/>
      <c r="L591" s="772"/>
      <c r="M591" s="772"/>
      <c r="N591" s="772"/>
      <c r="O591" s="772"/>
      <c r="P591" s="772"/>
      <c r="Q591" s="772"/>
      <c r="R591" s="772"/>
      <c r="S591" s="772"/>
      <c r="T591" s="772"/>
      <c r="U591" s="772"/>
      <c r="V591" s="772"/>
      <c r="W591" s="772"/>
      <c r="X591" s="772"/>
      <c r="Y591" s="772"/>
      <c r="Z591" s="772"/>
      <c r="AA591" s="772"/>
      <c r="AB591" s="772"/>
      <c r="AC591" s="772"/>
      <c r="AD591" s="772"/>
      <c r="AE591" s="772"/>
      <c r="AF591" s="772"/>
      <c r="AG591" s="772"/>
      <c r="AH591" s="772"/>
    </row>
    <row r="592" ht="15.75" customHeight="1">
      <c r="A592" s="815"/>
      <c r="B592" s="782"/>
      <c r="C592" s="782"/>
      <c r="D592" s="782"/>
      <c r="E592" s="816"/>
      <c r="F592" s="816"/>
      <c r="G592" s="817"/>
      <c r="H592" s="817"/>
      <c r="I592" s="818"/>
      <c r="J592" s="772"/>
      <c r="K592" s="772"/>
      <c r="L592" s="772"/>
      <c r="M592" s="772"/>
      <c r="N592" s="772"/>
      <c r="O592" s="772"/>
      <c r="P592" s="772"/>
      <c r="Q592" s="772"/>
      <c r="R592" s="772"/>
      <c r="S592" s="772"/>
      <c r="T592" s="772"/>
      <c r="U592" s="772"/>
      <c r="V592" s="772"/>
      <c r="W592" s="772"/>
      <c r="X592" s="772"/>
      <c r="Y592" s="772"/>
      <c r="Z592" s="772"/>
      <c r="AA592" s="772"/>
      <c r="AB592" s="772"/>
      <c r="AC592" s="772"/>
      <c r="AD592" s="772"/>
      <c r="AE592" s="772"/>
      <c r="AF592" s="772"/>
      <c r="AG592" s="772"/>
      <c r="AH592" s="772"/>
    </row>
    <row r="593" ht="15.75" customHeight="1">
      <c r="A593" s="815"/>
      <c r="B593" s="782"/>
      <c r="C593" s="782"/>
      <c r="D593" s="782"/>
      <c r="E593" s="816"/>
      <c r="F593" s="816"/>
      <c r="G593" s="817"/>
      <c r="H593" s="817"/>
      <c r="I593" s="818"/>
      <c r="J593" s="772"/>
      <c r="K593" s="772"/>
      <c r="L593" s="772"/>
      <c r="M593" s="772"/>
      <c r="N593" s="772"/>
      <c r="O593" s="772"/>
      <c r="P593" s="772"/>
      <c r="Q593" s="772"/>
      <c r="R593" s="772"/>
      <c r="S593" s="772"/>
      <c r="T593" s="772"/>
      <c r="U593" s="772"/>
      <c r="V593" s="772"/>
      <c r="W593" s="772"/>
      <c r="X593" s="772"/>
      <c r="Y593" s="772"/>
      <c r="Z593" s="772"/>
      <c r="AA593" s="772"/>
      <c r="AB593" s="772"/>
      <c r="AC593" s="772"/>
      <c r="AD593" s="772"/>
      <c r="AE593" s="772"/>
      <c r="AF593" s="772"/>
      <c r="AG593" s="772"/>
      <c r="AH593" s="772"/>
    </row>
    <row r="594" ht="15.75" customHeight="1">
      <c r="A594" s="815"/>
      <c r="B594" s="782"/>
      <c r="C594" s="782"/>
      <c r="D594" s="782"/>
      <c r="E594" s="816"/>
      <c r="F594" s="816"/>
      <c r="G594" s="817"/>
      <c r="H594" s="817"/>
      <c r="I594" s="818"/>
      <c r="J594" s="772"/>
      <c r="K594" s="772"/>
      <c r="L594" s="772"/>
      <c r="M594" s="772"/>
      <c r="N594" s="772"/>
      <c r="O594" s="772"/>
      <c r="P594" s="772"/>
      <c r="Q594" s="772"/>
      <c r="R594" s="772"/>
      <c r="S594" s="772"/>
      <c r="T594" s="772"/>
      <c r="U594" s="772"/>
      <c r="V594" s="772"/>
      <c r="W594" s="772"/>
      <c r="X594" s="772"/>
      <c r="Y594" s="772"/>
      <c r="Z594" s="772"/>
      <c r="AA594" s="772"/>
      <c r="AB594" s="772"/>
      <c r="AC594" s="772"/>
      <c r="AD594" s="772"/>
      <c r="AE594" s="772"/>
      <c r="AF594" s="772"/>
      <c r="AG594" s="772"/>
      <c r="AH594" s="772"/>
    </row>
    <row r="595" ht="15.75" customHeight="1">
      <c r="A595" s="815"/>
      <c r="B595" s="782"/>
      <c r="C595" s="782"/>
      <c r="D595" s="782"/>
      <c r="E595" s="816"/>
      <c r="F595" s="816"/>
      <c r="G595" s="817"/>
      <c r="H595" s="817"/>
      <c r="I595" s="818"/>
      <c r="J595" s="772"/>
      <c r="K595" s="772"/>
      <c r="L595" s="772"/>
      <c r="M595" s="772"/>
      <c r="N595" s="772"/>
      <c r="O595" s="772"/>
      <c r="P595" s="772"/>
      <c r="Q595" s="772"/>
      <c r="R595" s="772"/>
      <c r="S595" s="772"/>
      <c r="T595" s="772"/>
      <c r="U595" s="772"/>
      <c r="V595" s="772"/>
      <c r="W595" s="772"/>
      <c r="X595" s="772"/>
      <c r="Y595" s="772"/>
      <c r="Z595" s="772"/>
      <c r="AA595" s="772"/>
      <c r="AB595" s="772"/>
      <c r="AC595" s="772"/>
      <c r="AD595" s="772"/>
      <c r="AE595" s="772"/>
      <c r="AF595" s="772"/>
      <c r="AG595" s="772"/>
      <c r="AH595" s="772"/>
    </row>
    <row r="596" ht="15.75" customHeight="1">
      <c r="A596" s="815"/>
      <c r="B596" s="782"/>
      <c r="C596" s="782"/>
      <c r="D596" s="782"/>
      <c r="E596" s="816"/>
      <c r="F596" s="816"/>
      <c r="G596" s="817"/>
      <c r="H596" s="817"/>
      <c r="I596" s="818"/>
      <c r="J596" s="772"/>
      <c r="K596" s="772"/>
      <c r="L596" s="772"/>
      <c r="M596" s="772"/>
      <c r="N596" s="772"/>
      <c r="O596" s="772"/>
      <c r="P596" s="772"/>
      <c r="Q596" s="772"/>
      <c r="R596" s="772"/>
      <c r="S596" s="772"/>
      <c r="T596" s="772"/>
      <c r="U596" s="772"/>
      <c r="V596" s="772"/>
      <c r="W596" s="772"/>
      <c r="X596" s="772"/>
      <c r="Y596" s="772"/>
      <c r="Z596" s="772"/>
      <c r="AA596" s="772"/>
      <c r="AB596" s="772"/>
      <c r="AC596" s="772"/>
      <c r="AD596" s="772"/>
      <c r="AE596" s="772"/>
      <c r="AF596" s="772"/>
      <c r="AG596" s="772"/>
      <c r="AH596" s="772"/>
    </row>
    <row r="597" ht="15.75" customHeight="1">
      <c r="A597" s="815"/>
      <c r="B597" s="782"/>
      <c r="C597" s="782"/>
      <c r="D597" s="782"/>
      <c r="E597" s="816"/>
      <c r="F597" s="816"/>
      <c r="G597" s="817"/>
      <c r="H597" s="817"/>
      <c r="I597" s="818"/>
      <c r="J597" s="772"/>
      <c r="K597" s="772"/>
      <c r="L597" s="772"/>
      <c r="M597" s="772"/>
      <c r="N597" s="772"/>
      <c r="O597" s="772"/>
      <c r="P597" s="772"/>
      <c r="Q597" s="772"/>
      <c r="R597" s="772"/>
      <c r="S597" s="772"/>
      <c r="T597" s="772"/>
      <c r="U597" s="772"/>
      <c r="V597" s="772"/>
      <c r="W597" s="772"/>
      <c r="X597" s="772"/>
      <c r="Y597" s="772"/>
      <c r="Z597" s="772"/>
      <c r="AA597" s="772"/>
      <c r="AB597" s="772"/>
      <c r="AC597" s="772"/>
      <c r="AD597" s="772"/>
      <c r="AE597" s="772"/>
      <c r="AF597" s="772"/>
      <c r="AG597" s="772"/>
      <c r="AH597" s="772"/>
    </row>
    <row r="598" ht="15.75" customHeight="1">
      <c r="A598" s="815"/>
      <c r="B598" s="782"/>
      <c r="C598" s="782"/>
      <c r="D598" s="782"/>
      <c r="E598" s="816"/>
      <c r="F598" s="816"/>
      <c r="G598" s="817"/>
      <c r="H598" s="817"/>
      <c r="I598" s="818"/>
      <c r="J598" s="772"/>
      <c r="K598" s="772"/>
      <c r="L598" s="772"/>
      <c r="M598" s="772"/>
      <c r="N598" s="772"/>
      <c r="O598" s="772"/>
      <c r="P598" s="772"/>
      <c r="Q598" s="772"/>
      <c r="R598" s="772"/>
      <c r="S598" s="772"/>
      <c r="T598" s="772"/>
      <c r="U598" s="772"/>
      <c r="V598" s="772"/>
      <c r="W598" s="772"/>
      <c r="X598" s="772"/>
      <c r="Y598" s="772"/>
      <c r="Z598" s="772"/>
      <c r="AA598" s="772"/>
      <c r="AB598" s="772"/>
      <c r="AC598" s="772"/>
      <c r="AD598" s="772"/>
      <c r="AE598" s="772"/>
      <c r="AF598" s="772"/>
      <c r="AG598" s="772"/>
      <c r="AH598" s="772"/>
    </row>
    <row r="599" ht="15.75" customHeight="1">
      <c r="A599" s="815"/>
      <c r="B599" s="782"/>
      <c r="C599" s="782"/>
      <c r="D599" s="782"/>
      <c r="E599" s="816"/>
      <c r="F599" s="816"/>
      <c r="G599" s="817"/>
      <c r="H599" s="817"/>
      <c r="I599" s="818"/>
      <c r="J599" s="772"/>
      <c r="K599" s="772"/>
      <c r="L599" s="772"/>
      <c r="M599" s="772"/>
      <c r="N599" s="772"/>
      <c r="O599" s="772"/>
      <c r="P599" s="772"/>
      <c r="Q599" s="772"/>
      <c r="R599" s="772"/>
      <c r="S599" s="772"/>
      <c r="T599" s="772"/>
      <c r="U599" s="772"/>
      <c r="V599" s="772"/>
      <c r="W599" s="772"/>
      <c r="X599" s="772"/>
      <c r="Y599" s="772"/>
      <c r="Z599" s="772"/>
      <c r="AA599" s="772"/>
      <c r="AB599" s="772"/>
      <c r="AC599" s="772"/>
      <c r="AD599" s="772"/>
      <c r="AE599" s="772"/>
      <c r="AF599" s="772"/>
      <c r="AG599" s="772"/>
      <c r="AH599" s="772"/>
    </row>
    <row r="600" ht="15.75" customHeight="1">
      <c r="A600" s="815"/>
      <c r="B600" s="782"/>
      <c r="C600" s="782"/>
      <c r="D600" s="782"/>
      <c r="E600" s="816"/>
      <c r="F600" s="816"/>
      <c r="G600" s="817"/>
      <c r="H600" s="817"/>
      <c r="I600" s="818"/>
      <c r="J600" s="772"/>
      <c r="K600" s="772"/>
      <c r="L600" s="772"/>
      <c r="M600" s="772"/>
      <c r="N600" s="772"/>
      <c r="O600" s="772"/>
      <c r="P600" s="772"/>
      <c r="Q600" s="772"/>
      <c r="R600" s="772"/>
      <c r="S600" s="772"/>
      <c r="T600" s="772"/>
      <c r="U600" s="772"/>
      <c r="V600" s="772"/>
      <c r="W600" s="772"/>
      <c r="X600" s="772"/>
      <c r="Y600" s="772"/>
      <c r="Z600" s="772"/>
      <c r="AA600" s="772"/>
      <c r="AB600" s="772"/>
      <c r="AC600" s="772"/>
      <c r="AD600" s="772"/>
      <c r="AE600" s="772"/>
      <c r="AF600" s="772"/>
      <c r="AG600" s="772"/>
      <c r="AH600" s="772"/>
    </row>
    <row r="601" ht="15.75" customHeight="1">
      <c r="A601" s="815"/>
      <c r="B601" s="782"/>
      <c r="C601" s="782"/>
      <c r="D601" s="782"/>
      <c r="E601" s="816"/>
      <c r="F601" s="816"/>
      <c r="G601" s="817"/>
      <c r="H601" s="817"/>
      <c r="I601" s="818"/>
      <c r="J601" s="772"/>
      <c r="K601" s="772"/>
      <c r="L601" s="772"/>
      <c r="M601" s="772"/>
      <c r="N601" s="772"/>
      <c r="O601" s="772"/>
      <c r="P601" s="772"/>
      <c r="Q601" s="772"/>
      <c r="R601" s="772"/>
      <c r="S601" s="772"/>
      <c r="T601" s="772"/>
      <c r="U601" s="772"/>
      <c r="V601" s="772"/>
      <c r="W601" s="772"/>
      <c r="X601" s="772"/>
      <c r="Y601" s="772"/>
      <c r="Z601" s="772"/>
      <c r="AA601" s="772"/>
      <c r="AB601" s="772"/>
      <c r="AC601" s="772"/>
      <c r="AD601" s="772"/>
      <c r="AE601" s="772"/>
      <c r="AF601" s="772"/>
      <c r="AG601" s="772"/>
      <c r="AH601" s="772"/>
    </row>
    <row r="602" ht="15.75" customHeight="1">
      <c r="A602" s="815"/>
      <c r="B602" s="782"/>
      <c r="C602" s="782"/>
      <c r="D602" s="782"/>
      <c r="E602" s="816"/>
      <c r="F602" s="816"/>
      <c r="G602" s="817"/>
      <c r="H602" s="817"/>
      <c r="I602" s="818"/>
      <c r="J602" s="772"/>
      <c r="K602" s="772"/>
      <c r="L602" s="772"/>
      <c r="M602" s="772"/>
      <c r="N602" s="772"/>
      <c r="O602" s="772"/>
      <c r="P602" s="772"/>
      <c r="Q602" s="772"/>
      <c r="R602" s="772"/>
      <c r="S602" s="772"/>
      <c r="T602" s="772"/>
      <c r="U602" s="772"/>
      <c r="V602" s="772"/>
      <c r="W602" s="772"/>
      <c r="X602" s="772"/>
      <c r="Y602" s="772"/>
      <c r="Z602" s="772"/>
      <c r="AA602" s="772"/>
      <c r="AB602" s="772"/>
      <c r="AC602" s="772"/>
      <c r="AD602" s="772"/>
      <c r="AE602" s="772"/>
      <c r="AF602" s="772"/>
      <c r="AG602" s="772"/>
      <c r="AH602" s="772"/>
    </row>
    <row r="603" ht="15.75" customHeight="1">
      <c r="A603" s="815"/>
      <c r="B603" s="782"/>
      <c r="C603" s="782"/>
      <c r="D603" s="782"/>
      <c r="E603" s="816"/>
      <c r="F603" s="816"/>
      <c r="G603" s="817"/>
      <c r="H603" s="817"/>
      <c r="I603" s="818"/>
      <c r="J603" s="772"/>
      <c r="K603" s="772"/>
      <c r="L603" s="772"/>
      <c r="M603" s="772"/>
      <c r="N603" s="772"/>
      <c r="O603" s="772"/>
      <c r="P603" s="772"/>
      <c r="Q603" s="772"/>
      <c r="R603" s="772"/>
      <c r="S603" s="772"/>
      <c r="T603" s="772"/>
      <c r="U603" s="772"/>
      <c r="V603" s="772"/>
      <c r="W603" s="772"/>
      <c r="X603" s="772"/>
      <c r="Y603" s="772"/>
      <c r="Z603" s="772"/>
      <c r="AA603" s="772"/>
      <c r="AB603" s="772"/>
      <c r="AC603" s="772"/>
      <c r="AD603" s="772"/>
      <c r="AE603" s="772"/>
      <c r="AF603" s="772"/>
      <c r="AG603" s="772"/>
      <c r="AH603" s="772"/>
    </row>
    <row r="604" ht="15.75" customHeight="1">
      <c r="A604" s="815"/>
      <c r="B604" s="782"/>
      <c r="C604" s="782"/>
      <c r="D604" s="782"/>
      <c r="E604" s="816"/>
      <c r="F604" s="816"/>
      <c r="G604" s="817"/>
      <c r="H604" s="817"/>
      <c r="I604" s="818"/>
      <c r="J604" s="772"/>
      <c r="K604" s="772"/>
      <c r="L604" s="772"/>
      <c r="M604" s="772"/>
      <c r="N604" s="772"/>
      <c r="O604" s="772"/>
      <c r="P604" s="772"/>
      <c r="Q604" s="772"/>
      <c r="R604" s="772"/>
      <c r="S604" s="772"/>
      <c r="T604" s="772"/>
      <c r="U604" s="772"/>
      <c r="V604" s="772"/>
      <c r="W604" s="772"/>
      <c r="X604" s="772"/>
      <c r="Y604" s="772"/>
      <c r="Z604" s="772"/>
      <c r="AA604" s="772"/>
      <c r="AB604" s="772"/>
      <c r="AC604" s="772"/>
      <c r="AD604" s="772"/>
      <c r="AE604" s="772"/>
      <c r="AF604" s="772"/>
      <c r="AG604" s="772"/>
      <c r="AH604" s="772"/>
    </row>
    <row r="605" ht="15.75" customHeight="1">
      <c r="A605" s="815"/>
      <c r="B605" s="782"/>
      <c r="C605" s="782"/>
      <c r="D605" s="782"/>
      <c r="E605" s="816"/>
      <c r="F605" s="816"/>
      <c r="G605" s="817"/>
      <c r="H605" s="817"/>
      <c r="I605" s="818"/>
      <c r="J605" s="772"/>
      <c r="K605" s="772"/>
      <c r="L605" s="772"/>
      <c r="M605" s="772"/>
      <c r="N605" s="772"/>
      <c r="O605" s="772"/>
      <c r="P605" s="772"/>
      <c r="Q605" s="772"/>
      <c r="R605" s="772"/>
      <c r="S605" s="772"/>
      <c r="T605" s="772"/>
      <c r="U605" s="772"/>
      <c r="V605" s="772"/>
      <c r="W605" s="772"/>
      <c r="X605" s="772"/>
      <c r="Y605" s="772"/>
      <c r="Z605" s="772"/>
      <c r="AA605" s="772"/>
      <c r="AB605" s="772"/>
      <c r="AC605" s="772"/>
      <c r="AD605" s="772"/>
      <c r="AE605" s="772"/>
      <c r="AF605" s="772"/>
      <c r="AG605" s="772"/>
      <c r="AH605" s="772"/>
    </row>
    <row r="606" ht="15.75" customHeight="1">
      <c r="A606" s="815"/>
      <c r="B606" s="782"/>
      <c r="C606" s="782"/>
      <c r="D606" s="782"/>
      <c r="E606" s="816"/>
      <c r="F606" s="816"/>
      <c r="G606" s="817"/>
      <c r="H606" s="817"/>
      <c r="I606" s="818"/>
      <c r="J606" s="772"/>
      <c r="K606" s="772"/>
      <c r="L606" s="772"/>
      <c r="M606" s="772"/>
      <c r="N606" s="772"/>
      <c r="O606" s="772"/>
      <c r="P606" s="772"/>
      <c r="Q606" s="772"/>
      <c r="R606" s="772"/>
      <c r="S606" s="772"/>
      <c r="T606" s="772"/>
      <c r="U606" s="772"/>
      <c r="V606" s="772"/>
      <c r="W606" s="772"/>
      <c r="X606" s="772"/>
      <c r="Y606" s="772"/>
      <c r="Z606" s="772"/>
      <c r="AA606" s="772"/>
      <c r="AB606" s="772"/>
      <c r="AC606" s="772"/>
      <c r="AD606" s="772"/>
      <c r="AE606" s="772"/>
      <c r="AF606" s="772"/>
      <c r="AG606" s="772"/>
      <c r="AH606" s="772"/>
    </row>
    <row r="607" ht="15.75" customHeight="1">
      <c r="A607" s="815"/>
      <c r="B607" s="782"/>
      <c r="C607" s="782"/>
      <c r="D607" s="782"/>
      <c r="E607" s="816"/>
      <c r="F607" s="816"/>
      <c r="G607" s="817"/>
      <c r="H607" s="817"/>
      <c r="I607" s="818"/>
      <c r="J607" s="772"/>
      <c r="K607" s="772"/>
      <c r="L607" s="772"/>
      <c r="M607" s="772"/>
      <c r="N607" s="772"/>
      <c r="O607" s="772"/>
      <c r="P607" s="772"/>
      <c r="Q607" s="772"/>
      <c r="R607" s="772"/>
      <c r="S607" s="772"/>
      <c r="T607" s="772"/>
      <c r="U607" s="772"/>
      <c r="V607" s="772"/>
      <c r="W607" s="772"/>
      <c r="X607" s="772"/>
      <c r="Y607" s="772"/>
      <c r="Z607" s="772"/>
      <c r="AA607" s="772"/>
      <c r="AB607" s="772"/>
      <c r="AC607" s="772"/>
      <c r="AD607" s="772"/>
      <c r="AE607" s="772"/>
      <c r="AF607" s="772"/>
      <c r="AG607" s="772"/>
      <c r="AH607" s="772"/>
    </row>
    <row r="608" ht="15.75" customHeight="1">
      <c r="A608" s="815"/>
      <c r="B608" s="782"/>
      <c r="C608" s="782"/>
      <c r="D608" s="782"/>
      <c r="E608" s="816"/>
      <c r="F608" s="816"/>
      <c r="G608" s="817"/>
      <c r="H608" s="817"/>
      <c r="I608" s="818"/>
      <c r="J608" s="772"/>
      <c r="K608" s="772"/>
      <c r="L608" s="772"/>
      <c r="M608" s="772"/>
      <c r="N608" s="772"/>
      <c r="O608" s="772"/>
      <c r="P608" s="772"/>
      <c r="Q608" s="772"/>
      <c r="R608" s="772"/>
      <c r="S608" s="772"/>
      <c r="T608" s="772"/>
      <c r="U608" s="772"/>
      <c r="V608" s="772"/>
      <c r="W608" s="772"/>
      <c r="X608" s="772"/>
      <c r="Y608" s="772"/>
      <c r="Z608" s="772"/>
      <c r="AA608" s="772"/>
      <c r="AB608" s="772"/>
      <c r="AC608" s="772"/>
      <c r="AD608" s="772"/>
      <c r="AE608" s="772"/>
      <c r="AF608" s="772"/>
      <c r="AG608" s="772"/>
      <c r="AH608" s="772"/>
    </row>
    <row r="609" ht="15.75" customHeight="1">
      <c r="A609" s="815"/>
      <c r="B609" s="782"/>
      <c r="C609" s="782"/>
      <c r="D609" s="782"/>
      <c r="E609" s="816"/>
      <c r="F609" s="816"/>
      <c r="G609" s="817"/>
      <c r="H609" s="817"/>
      <c r="I609" s="818"/>
      <c r="J609" s="772"/>
      <c r="K609" s="772"/>
      <c r="L609" s="772"/>
      <c r="M609" s="772"/>
      <c r="N609" s="772"/>
      <c r="O609" s="772"/>
      <c r="P609" s="772"/>
      <c r="Q609" s="772"/>
      <c r="R609" s="772"/>
      <c r="S609" s="772"/>
      <c r="T609" s="772"/>
      <c r="U609" s="772"/>
      <c r="V609" s="772"/>
      <c r="W609" s="772"/>
      <c r="X609" s="772"/>
      <c r="Y609" s="772"/>
      <c r="Z609" s="772"/>
      <c r="AA609" s="772"/>
      <c r="AB609" s="772"/>
      <c r="AC609" s="772"/>
      <c r="AD609" s="772"/>
      <c r="AE609" s="772"/>
      <c r="AF609" s="772"/>
      <c r="AG609" s="772"/>
      <c r="AH609" s="772"/>
    </row>
    <row r="610" ht="15.75" customHeight="1">
      <c r="A610" s="815"/>
      <c r="B610" s="782"/>
      <c r="C610" s="782"/>
      <c r="D610" s="782"/>
      <c r="E610" s="816"/>
      <c r="F610" s="816"/>
      <c r="G610" s="817"/>
      <c r="H610" s="817"/>
      <c r="I610" s="818"/>
      <c r="J610" s="772"/>
      <c r="K610" s="772"/>
      <c r="L610" s="772"/>
      <c r="M610" s="772"/>
      <c r="N610" s="772"/>
      <c r="O610" s="772"/>
      <c r="P610" s="772"/>
      <c r="Q610" s="772"/>
      <c r="R610" s="772"/>
      <c r="S610" s="772"/>
      <c r="T610" s="772"/>
      <c r="U610" s="772"/>
      <c r="V610" s="772"/>
      <c r="W610" s="772"/>
      <c r="X610" s="772"/>
      <c r="Y610" s="772"/>
      <c r="Z610" s="772"/>
      <c r="AA610" s="772"/>
      <c r="AB610" s="772"/>
      <c r="AC610" s="772"/>
      <c r="AD610" s="772"/>
      <c r="AE610" s="772"/>
      <c r="AF610" s="772"/>
      <c r="AG610" s="772"/>
      <c r="AH610" s="772"/>
    </row>
    <row r="611" ht="15.75" customHeight="1">
      <c r="A611" s="815"/>
      <c r="B611" s="782"/>
      <c r="C611" s="782"/>
      <c r="D611" s="782"/>
      <c r="E611" s="816"/>
      <c r="F611" s="816"/>
      <c r="G611" s="817"/>
      <c r="H611" s="817"/>
      <c r="I611" s="818"/>
      <c r="J611" s="772"/>
      <c r="K611" s="772"/>
      <c r="L611" s="772"/>
      <c r="M611" s="772"/>
      <c r="N611" s="772"/>
      <c r="O611" s="772"/>
      <c r="P611" s="772"/>
      <c r="Q611" s="772"/>
      <c r="R611" s="772"/>
      <c r="S611" s="772"/>
      <c r="T611" s="772"/>
      <c r="U611" s="772"/>
      <c r="V611" s="772"/>
      <c r="W611" s="772"/>
      <c r="X611" s="772"/>
      <c r="Y611" s="772"/>
      <c r="Z611" s="772"/>
      <c r="AA611" s="772"/>
      <c r="AB611" s="772"/>
      <c r="AC611" s="772"/>
      <c r="AD611" s="772"/>
      <c r="AE611" s="772"/>
      <c r="AF611" s="772"/>
      <c r="AG611" s="772"/>
      <c r="AH611" s="772"/>
    </row>
    <row r="612" ht="15.75" customHeight="1">
      <c r="A612" s="815"/>
      <c r="B612" s="782"/>
      <c r="C612" s="782"/>
      <c r="D612" s="782"/>
      <c r="E612" s="816"/>
      <c r="F612" s="816"/>
      <c r="G612" s="817"/>
      <c r="H612" s="817"/>
      <c r="I612" s="818"/>
      <c r="J612" s="772"/>
      <c r="K612" s="772"/>
      <c r="L612" s="772"/>
      <c r="M612" s="772"/>
      <c r="N612" s="772"/>
      <c r="O612" s="772"/>
      <c r="P612" s="772"/>
      <c r="Q612" s="772"/>
      <c r="R612" s="772"/>
      <c r="S612" s="772"/>
      <c r="T612" s="772"/>
      <c r="U612" s="772"/>
      <c r="V612" s="772"/>
      <c r="W612" s="772"/>
      <c r="X612" s="772"/>
      <c r="Y612" s="772"/>
      <c r="Z612" s="772"/>
      <c r="AA612" s="772"/>
      <c r="AB612" s="772"/>
      <c r="AC612" s="772"/>
      <c r="AD612" s="772"/>
      <c r="AE612" s="772"/>
      <c r="AF612" s="772"/>
      <c r="AG612" s="772"/>
      <c r="AH612" s="772"/>
    </row>
    <row r="613" ht="15.75" customHeight="1">
      <c r="A613" s="815"/>
      <c r="B613" s="782"/>
      <c r="C613" s="782"/>
      <c r="D613" s="782"/>
      <c r="E613" s="816"/>
      <c r="F613" s="816"/>
      <c r="G613" s="817"/>
      <c r="H613" s="817"/>
      <c r="I613" s="818"/>
      <c r="J613" s="772"/>
      <c r="K613" s="772"/>
      <c r="L613" s="772"/>
      <c r="M613" s="772"/>
      <c r="N613" s="772"/>
      <c r="O613" s="772"/>
      <c r="P613" s="772"/>
      <c r="Q613" s="772"/>
      <c r="R613" s="772"/>
      <c r="S613" s="772"/>
      <c r="T613" s="772"/>
      <c r="U613" s="772"/>
      <c r="V613" s="772"/>
      <c r="W613" s="772"/>
      <c r="X613" s="772"/>
      <c r="Y613" s="772"/>
      <c r="Z613" s="772"/>
      <c r="AA613" s="772"/>
      <c r="AB613" s="772"/>
      <c r="AC613" s="772"/>
      <c r="AD613" s="772"/>
      <c r="AE613" s="772"/>
      <c r="AF613" s="772"/>
      <c r="AG613" s="772"/>
      <c r="AH613" s="772"/>
    </row>
    <row r="614" ht="15.75" customHeight="1">
      <c r="A614" s="815"/>
      <c r="B614" s="782"/>
      <c r="C614" s="782"/>
      <c r="D614" s="782"/>
      <c r="E614" s="816"/>
      <c r="F614" s="816"/>
      <c r="G614" s="817"/>
      <c r="H614" s="817"/>
      <c r="I614" s="818"/>
      <c r="J614" s="772"/>
      <c r="K614" s="772"/>
      <c r="L614" s="772"/>
      <c r="M614" s="772"/>
      <c r="N614" s="772"/>
      <c r="O614" s="772"/>
      <c r="P614" s="772"/>
      <c r="Q614" s="772"/>
      <c r="R614" s="772"/>
      <c r="S614" s="772"/>
      <c r="T614" s="772"/>
      <c r="U614" s="772"/>
      <c r="V614" s="772"/>
      <c r="W614" s="772"/>
      <c r="X614" s="772"/>
      <c r="Y614" s="772"/>
      <c r="Z614" s="772"/>
      <c r="AA614" s="772"/>
      <c r="AB614" s="772"/>
      <c r="AC614" s="772"/>
      <c r="AD614" s="772"/>
      <c r="AE614" s="772"/>
      <c r="AF614" s="772"/>
      <c r="AG614" s="772"/>
      <c r="AH614" s="772"/>
    </row>
    <row r="615" ht="15.75" customHeight="1">
      <c r="A615" s="815"/>
      <c r="B615" s="782"/>
      <c r="C615" s="782"/>
      <c r="D615" s="782"/>
      <c r="E615" s="816"/>
      <c r="F615" s="816"/>
      <c r="G615" s="817"/>
      <c r="H615" s="817"/>
      <c r="I615" s="818"/>
      <c r="J615" s="772"/>
      <c r="K615" s="772"/>
      <c r="L615" s="772"/>
      <c r="M615" s="772"/>
      <c r="N615" s="772"/>
      <c r="O615" s="772"/>
      <c r="P615" s="772"/>
      <c r="Q615" s="772"/>
      <c r="R615" s="772"/>
      <c r="S615" s="772"/>
      <c r="T615" s="772"/>
      <c r="U615" s="772"/>
      <c r="V615" s="772"/>
      <c r="W615" s="772"/>
      <c r="X615" s="772"/>
      <c r="Y615" s="772"/>
      <c r="Z615" s="772"/>
      <c r="AA615" s="772"/>
      <c r="AB615" s="772"/>
      <c r="AC615" s="772"/>
      <c r="AD615" s="772"/>
      <c r="AE615" s="772"/>
      <c r="AF615" s="772"/>
      <c r="AG615" s="772"/>
      <c r="AH615" s="772"/>
    </row>
    <row r="616" ht="15.75" customHeight="1">
      <c r="A616" s="815"/>
      <c r="B616" s="782"/>
      <c r="C616" s="782"/>
      <c r="D616" s="782"/>
      <c r="E616" s="816"/>
      <c r="F616" s="816"/>
      <c r="G616" s="817"/>
      <c r="H616" s="817"/>
      <c r="I616" s="818"/>
      <c r="J616" s="772"/>
      <c r="K616" s="772"/>
      <c r="L616" s="772"/>
      <c r="M616" s="772"/>
      <c r="N616" s="772"/>
      <c r="O616" s="772"/>
      <c r="P616" s="772"/>
      <c r="Q616" s="772"/>
      <c r="R616" s="772"/>
      <c r="S616" s="772"/>
      <c r="T616" s="772"/>
      <c r="U616" s="772"/>
      <c r="V616" s="772"/>
      <c r="W616" s="772"/>
      <c r="X616" s="772"/>
      <c r="Y616" s="772"/>
      <c r="Z616" s="772"/>
      <c r="AA616" s="772"/>
      <c r="AB616" s="772"/>
      <c r="AC616" s="772"/>
      <c r="AD616" s="772"/>
      <c r="AE616" s="772"/>
      <c r="AF616" s="772"/>
      <c r="AG616" s="772"/>
      <c r="AH616" s="772"/>
    </row>
    <row r="617" ht="15.75" customHeight="1">
      <c r="A617" s="815"/>
      <c r="B617" s="782"/>
      <c r="C617" s="782"/>
      <c r="D617" s="782"/>
      <c r="E617" s="816"/>
      <c r="F617" s="816"/>
      <c r="G617" s="817"/>
      <c r="H617" s="817"/>
      <c r="I617" s="818"/>
      <c r="J617" s="772"/>
      <c r="K617" s="772"/>
      <c r="L617" s="772"/>
      <c r="M617" s="772"/>
      <c r="N617" s="772"/>
      <c r="O617" s="772"/>
      <c r="P617" s="772"/>
      <c r="Q617" s="772"/>
      <c r="R617" s="772"/>
      <c r="S617" s="772"/>
      <c r="T617" s="772"/>
      <c r="U617" s="772"/>
      <c r="V617" s="772"/>
      <c r="W617" s="772"/>
      <c r="X617" s="772"/>
      <c r="Y617" s="772"/>
      <c r="Z617" s="772"/>
      <c r="AA617" s="772"/>
      <c r="AB617" s="772"/>
      <c r="AC617" s="772"/>
      <c r="AD617" s="772"/>
      <c r="AE617" s="772"/>
      <c r="AF617" s="772"/>
      <c r="AG617" s="772"/>
      <c r="AH617" s="772"/>
    </row>
    <row r="618" ht="15.75" customHeight="1">
      <c r="A618" s="815"/>
      <c r="B618" s="782"/>
      <c r="C618" s="782"/>
      <c r="D618" s="782"/>
      <c r="E618" s="816"/>
      <c r="F618" s="816"/>
      <c r="G618" s="817"/>
      <c r="H618" s="817"/>
      <c r="I618" s="818"/>
      <c r="J618" s="772"/>
      <c r="K618" s="772"/>
      <c r="L618" s="772"/>
      <c r="M618" s="772"/>
      <c r="N618" s="772"/>
      <c r="O618" s="772"/>
      <c r="P618" s="772"/>
      <c r="Q618" s="772"/>
      <c r="R618" s="772"/>
      <c r="S618" s="772"/>
      <c r="T618" s="772"/>
      <c r="U618" s="772"/>
      <c r="V618" s="772"/>
      <c r="W618" s="772"/>
      <c r="X618" s="772"/>
      <c r="Y618" s="772"/>
      <c r="Z618" s="772"/>
      <c r="AA618" s="772"/>
      <c r="AB618" s="772"/>
      <c r="AC618" s="772"/>
      <c r="AD618" s="772"/>
      <c r="AE618" s="772"/>
      <c r="AF618" s="772"/>
      <c r="AG618" s="772"/>
      <c r="AH618" s="772"/>
    </row>
    <row r="619" ht="15.75" customHeight="1">
      <c r="A619" s="815"/>
      <c r="B619" s="782"/>
      <c r="C619" s="782"/>
      <c r="D619" s="782"/>
      <c r="E619" s="816"/>
      <c r="F619" s="816"/>
      <c r="G619" s="817"/>
      <c r="H619" s="817"/>
      <c r="I619" s="818"/>
      <c r="J619" s="772"/>
      <c r="K619" s="772"/>
      <c r="L619" s="772"/>
      <c r="M619" s="772"/>
      <c r="N619" s="772"/>
      <c r="O619" s="772"/>
      <c r="P619" s="772"/>
      <c r="Q619" s="772"/>
      <c r="R619" s="772"/>
      <c r="S619" s="772"/>
      <c r="T619" s="772"/>
      <c r="U619" s="772"/>
      <c r="V619" s="772"/>
      <c r="W619" s="772"/>
      <c r="X619" s="772"/>
      <c r="Y619" s="772"/>
      <c r="Z619" s="772"/>
      <c r="AA619" s="772"/>
      <c r="AB619" s="772"/>
      <c r="AC619" s="772"/>
      <c r="AD619" s="772"/>
      <c r="AE619" s="772"/>
      <c r="AF619" s="772"/>
      <c r="AG619" s="772"/>
      <c r="AH619" s="772"/>
    </row>
    <row r="620" ht="15.75" customHeight="1">
      <c r="A620" s="815"/>
      <c r="B620" s="782"/>
      <c r="C620" s="782"/>
      <c r="D620" s="782"/>
      <c r="E620" s="816"/>
      <c r="F620" s="816"/>
      <c r="G620" s="817"/>
      <c r="H620" s="817"/>
      <c r="I620" s="818"/>
      <c r="J620" s="772"/>
      <c r="K620" s="772"/>
      <c r="L620" s="772"/>
      <c r="M620" s="772"/>
      <c r="N620" s="772"/>
      <c r="O620" s="772"/>
      <c r="P620" s="772"/>
      <c r="Q620" s="772"/>
      <c r="R620" s="772"/>
      <c r="S620" s="772"/>
      <c r="T620" s="772"/>
      <c r="U620" s="772"/>
      <c r="V620" s="772"/>
      <c r="W620" s="772"/>
      <c r="X620" s="772"/>
      <c r="Y620" s="772"/>
      <c r="Z620" s="772"/>
      <c r="AA620" s="772"/>
      <c r="AB620" s="772"/>
      <c r="AC620" s="772"/>
      <c r="AD620" s="772"/>
      <c r="AE620" s="772"/>
      <c r="AF620" s="772"/>
      <c r="AG620" s="772"/>
      <c r="AH620" s="772"/>
    </row>
    <row r="621" ht="15.75" customHeight="1">
      <c r="A621" s="815"/>
      <c r="B621" s="782"/>
      <c r="C621" s="782"/>
      <c r="D621" s="782"/>
      <c r="E621" s="816"/>
      <c r="F621" s="816"/>
      <c r="G621" s="817"/>
      <c r="H621" s="817"/>
      <c r="I621" s="818"/>
      <c r="J621" s="772"/>
      <c r="K621" s="772"/>
      <c r="L621" s="772"/>
      <c r="M621" s="772"/>
      <c r="N621" s="772"/>
      <c r="O621" s="772"/>
      <c r="P621" s="772"/>
      <c r="Q621" s="772"/>
      <c r="R621" s="772"/>
      <c r="S621" s="772"/>
      <c r="T621" s="772"/>
      <c r="U621" s="772"/>
      <c r="V621" s="772"/>
      <c r="W621" s="772"/>
      <c r="X621" s="772"/>
      <c r="Y621" s="772"/>
      <c r="Z621" s="772"/>
      <c r="AA621" s="772"/>
      <c r="AB621" s="772"/>
      <c r="AC621" s="772"/>
      <c r="AD621" s="772"/>
      <c r="AE621" s="772"/>
      <c r="AF621" s="772"/>
      <c r="AG621" s="772"/>
      <c r="AH621" s="772"/>
    </row>
    <row r="622" ht="15.75" customHeight="1">
      <c r="A622" s="815"/>
      <c r="B622" s="782"/>
      <c r="C622" s="782"/>
      <c r="D622" s="782"/>
      <c r="E622" s="816"/>
      <c r="F622" s="816"/>
      <c r="G622" s="817"/>
      <c r="H622" s="817"/>
      <c r="I622" s="818"/>
      <c r="J622" s="772"/>
      <c r="K622" s="772"/>
      <c r="L622" s="772"/>
      <c r="M622" s="772"/>
      <c r="N622" s="772"/>
      <c r="O622" s="772"/>
      <c r="P622" s="772"/>
      <c r="Q622" s="772"/>
      <c r="R622" s="772"/>
      <c r="S622" s="772"/>
      <c r="T622" s="772"/>
      <c r="U622" s="772"/>
      <c r="V622" s="772"/>
      <c r="W622" s="772"/>
      <c r="X622" s="772"/>
      <c r="Y622" s="772"/>
      <c r="Z622" s="772"/>
      <c r="AA622" s="772"/>
      <c r="AB622" s="772"/>
      <c r="AC622" s="772"/>
      <c r="AD622" s="772"/>
      <c r="AE622" s="772"/>
      <c r="AF622" s="772"/>
      <c r="AG622" s="772"/>
      <c r="AH622" s="772"/>
    </row>
    <row r="623" ht="15.75" customHeight="1">
      <c r="A623" s="815"/>
      <c r="B623" s="782"/>
      <c r="C623" s="782"/>
      <c r="D623" s="782"/>
      <c r="E623" s="816"/>
      <c r="F623" s="816"/>
      <c r="G623" s="817"/>
      <c r="H623" s="817"/>
      <c r="I623" s="818"/>
      <c r="J623" s="772"/>
      <c r="K623" s="772"/>
      <c r="L623" s="772"/>
      <c r="M623" s="772"/>
      <c r="N623" s="772"/>
      <c r="O623" s="772"/>
      <c r="P623" s="772"/>
      <c r="Q623" s="772"/>
      <c r="R623" s="772"/>
      <c r="S623" s="772"/>
      <c r="T623" s="772"/>
      <c r="U623" s="772"/>
      <c r="V623" s="772"/>
      <c r="W623" s="772"/>
      <c r="X623" s="772"/>
      <c r="Y623" s="772"/>
      <c r="Z623" s="772"/>
      <c r="AA623" s="772"/>
      <c r="AB623" s="772"/>
      <c r="AC623" s="772"/>
      <c r="AD623" s="772"/>
      <c r="AE623" s="772"/>
      <c r="AF623" s="772"/>
      <c r="AG623" s="772"/>
      <c r="AH623" s="772"/>
    </row>
    <row r="624" ht="15.75" customHeight="1">
      <c r="A624" s="815"/>
      <c r="B624" s="782"/>
      <c r="C624" s="782"/>
      <c r="D624" s="782"/>
      <c r="E624" s="816"/>
      <c r="F624" s="816"/>
      <c r="G624" s="817"/>
      <c r="H624" s="817"/>
      <c r="I624" s="818"/>
      <c r="J624" s="772"/>
      <c r="K624" s="772"/>
      <c r="L624" s="772"/>
      <c r="M624" s="772"/>
      <c r="N624" s="772"/>
      <c r="O624" s="772"/>
      <c r="P624" s="772"/>
      <c r="Q624" s="772"/>
      <c r="R624" s="772"/>
      <c r="S624" s="772"/>
      <c r="T624" s="772"/>
      <c r="U624" s="772"/>
      <c r="V624" s="772"/>
      <c r="W624" s="772"/>
      <c r="X624" s="772"/>
      <c r="Y624" s="772"/>
      <c r="Z624" s="772"/>
      <c r="AA624" s="772"/>
      <c r="AB624" s="772"/>
      <c r="AC624" s="772"/>
      <c r="AD624" s="772"/>
      <c r="AE624" s="772"/>
      <c r="AF624" s="772"/>
      <c r="AG624" s="772"/>
      <c r="AH624" s="772"/>
    </row>
    <row r="625" ht="15.75" customHeight="1">
      <c r="A625" s="815"/>
      <c r="B625" s="782"/>
      <c r="C625" s="782"/>
      <c r="D625" s="782"/>
      <c r="E625" s="816"/>
      <c r="F625" s="816"/>
      <c r="G625" s="817"/>
      <c r="H625" s="817"/>
      <c r="I625" s="818"/>
      <c r="J625" s="772"/>
      <c r="K625" s="772"/>
      <c r="L625" s="772"/>
      <c r="M625" s="772"/>
      <c r="N625" s="772"/>
      <c r="O625" s="772"/>
      <c r="P625" s="772"/>
      <c r="Q625" s="772"/>
      <c r="R625" s="772"/>
      <c r="S625" s="772"/>
      <c r="T625" s="772"/>
      <c r="U625" s="772"/>
      <c r="V625" s="772"/>
      <c r="W625" s="772"/>
      <c r="X625" s="772"/>
      <c r="Y625" s="772"/>
      <c r="Z625" s="772"/>
      <c r="AA625" s="772"/>
      <c r="AB625" s="772"/>
      <c r="AC625" s="772"/>
      <c r="AD625" s="772"/>
      <c r="AE625" s="772"/>
      <c r="AF625" s="772"/>
      <c r="AG625" s="772"/>
      <c r="AH625" s="772"/>
    </row>
    <row r="626" ht="15.75" customHeight="1">
      <c r="A626" s="815"/>
      <c r="B626" s="782"/>
      <c r="C626" s="782"/>
      <c r="D626" s="782"/>
      <c r="E626" s="816"/>
      <c r="F626" s="816"/>
      <c r="G626" s="817"/>
      <c r="H626" s="817"/>
      <c r="I626" s="818"/>
      <c r="J626" s="772"/>
      <c r="K626" s="772"/>
      <c r="L626" s="772"/>
      <c r="M626" s="772"/>
      <c r="N626" s="772"/>
      <c r="O626" s="772"/>
      <c r="P626" s="772"/>
      <c r="Q626" s="772"/>
      <c r="R626" s="772"/>
      <c r="S626" s="772"/>
      <c r="T626" s="772"/>
      <c r="U626" s="772"/>
      <c r="V626" s="772"/>
      <c r="W626" s="772"/>
      <c r="X626" s="772"/>
      <c r="Y626" s="772"/>
      <c r="Z626" s="772"/>
      <c r="AA626" s="772"/>
      <c r="AB626" s="772"/>
      <c r="AC626" s="772"/>
      <c r="AD626" s="772"/>
      <c r="AE626" s="772"/>
      <c r="AF626" s="772"/>
      <c r="AG626" s="772"/>
      <c r="AH626" s="772"/>
    </row>
    <row r="627" ht="15.75" customHeight="1">
      <c r="A627" s="815"/>
      <c r="B627" s="782"/>
      <c r="C627" s="782"/>
      <c r="D627" s="782"/>
      <c r="E627" s="816"/>
      <c r="F627" s="816"/>
      <c r="G627" s="817"/>
      <c r="H627" s="817"/>
      <c r="I627" s="818"/>
      <c r="J627" s="772"/>
      <c r="K627" s="772"/>
      <c r="L627" s="772"/>
      <c r="M627" s="772"/>
      <c r="N627" s="772"/>
      <c r="O627" s="772"/>
      <c r="P627" s="772"/>
      <c r="Q627" s="772"/>
      <c r="R627" s="772"/>
      <c r="S627" s="772"/>
      <c r="T627" s="772"/>
      <c r="U627" s="772"/>
      <c r="V627" s="772"/>
      <c r="W627" s="772"/>
      <c r="X627" s="772"/>
      <c r="Y627" s="772"/>
      <c r="Z627" s="772"/>
      <c r="AA627" s="772"/>
      <c r="AB627" s="772"/>
      <c r="AC627" s="772"/>
      <c r="AD627" s="772"/>
      <c r="AE627" s="772"/>
      <c r="AF627" s="772"/>
      <c r="AG627" s="772"/>
      <c r="AH627" s="772"/>
    </row>
    <row r="628" ht="15.75" customHeight="1">
      <c r="A628" s="815"/>
      <c r="B628" s="782"/>
      <c r="C628" s="782"/>
      <c r="D628" s="782"/>
      <c r="E628" s="816"/>
      <c r="F628" s="816"/>
      <c r="G628" s="817"/>
      <c r="H628" s="817"/>
      <c r="I628" s="818"/>
      <c r="J628" s="772"/>
      <c r="K628" s="772"/>
      <c r="L628" s="772"/>
      <c r="M628" s="772"/>
      <c r="N628" s="772"/>
      <c r="O628" s="772"/>
      <c r="P628" s="772"/>
      <c r="Q628" s="772"/>
      <c r="R628" s="772"/>
      <c r="S628" s="772"/>
      <c r="T628" s="772"/>
      <c r="U628" s="772"/>
      <c r="V628" s="772"/>
      <c r="W628" s="772"/>
      <c r="X628" s="772"/>
      <c r="Y628" s="772"/>
      <c r="Z628" s="772"/>
      <c r="AA628" s="772"/>
      <c r="AB628" s="772"/>
      <c r="AC628" s="772"/>
      <c r="AD628" s="772"/>
      <c r="AE628" s="772"/>
      <c r="AF628" s="772"/>
      <c r="AG628" s="772"/>
      <c r="AH628" s="772"/>
    </row>
    <row r="629" ht="15.75" customHeight="1">
      <c r="A629" s="815"/>
      <c r="B629" s="782"/>
      <c r="C629" s="782"/>
      <c r="D629" s="782"/>
      <c r="E629" s="816"/>
      <c r="F629" s="816"/>
      <c r="G629" s="817"/>
      <c r="H629" s="817"/>
      <c r="I629" s="818"/>
      <c r="J629" s="772"/>
      <c r="K629" s="772"/>
      <c r="L629" s="772"/>
      <c r="M629" s="772"/>
      <c r="N629" s="772"/>
      <c r="O629" s="772"/>
      <c r="P629" s="772"/>
      <c r="Q629" s="772"/>
      <c r="R629" s="772"/>
      <c r="S629" s="772"/>
      <c r="T629" s="772"/>
      <c r="U629" s="772"/>
      <c r="V629" s="772"/>
      <c r="W629" s="772"/>
      <c r="X629" s="772"/>
      <c r="Y629" s="772"/>
      <c r="Z629" s="772"/>
      <c r="AA629" s="772"/>
      <c r="AB629" s="772"/>
      <c r="AC629" s="772"/>
      <c r="AD629" s="772"/>
      <c r="AE629" s="772"/>
      <c r="AF629" s="772"/>
      <c r="AG629" s="772"/>
      <c r="AH629" s="772"/>
    </row>
    <row r="630" ht="15.75" customHeight="1">
      <c r="A630" s="815"/>
      <c r="B630" s="782"/>
      <c r="C630" s="782"/>
      <c r="D630" s="782"/>
      <c r="E630" s="816"/>
      <c r="F630" s="816"/>
      <c r="G630" s="817"/>
      <c r="H630" s="817"/>
      <c r="I630" s="818"/>
      <c r="J630" s="772"/>
      <c r="K630" s="772"/>
      <c r="L630" s="772"/>
      <c r="M630" s="772"/>
      <c r="N630" s="772"/>
      <c r="O630" s="772"/>
      <c r="P630" s="772"/>
      <c r="Q630" s="772"/>
      <c r="R630" s="772"/>
      <c r="S630" s="772"/>
      <c r="T630" s="772"/>
      <c r="U630" s="772"/>
      <c r="V630" s="772"/>
      <c r="W630" s="772"/>
      <c r="X630" s="772"/>
      <c r="Y630" s="772"/>
      <c r="Z630" s="772"/>
      <c r="AA630" s="772"/>
      <c r="AB630" s="772"/>
      <c r="AC630" s="772"/>
      <c r="AD630" s="772"/>
      <c r="AE630" s="772"/>
      <c r="AF630" s="772"/>
      <c r="AG630" s="772"/>
      <c r="AH630" s="772"/>
    </row>
    <row r="631" ht="15.75" customHeight="1">
      <c r="A631" s="815"/>
      <c r="B631" s="782"/>
      <c r="C631" s="782"/>
      <c r="D631" s="782"/>
      <c r="E631" s="816"/>
      <c r="F631" s="816"/>
      <c r="G631" s="817"/>
      <c r="H631" s="817"/>
      <c r="I631" s="818"/>
      <c r="J631" s="772"/>
      <c r="K631" s="772"/>
      <c r="L631" s="772"/>
      <c r="M631" s="772"/>
      <c r="N631" s="772"/>
      <c r="O631" s="772"/>
      <c r="P631" s="772"/>
      <c r="Q631" s="772"/>
      <c r="R631" s="772"/>
      <c r="S631" s="772"/>
      <c r="T631" s="772"/>
      <c r="U631" s="772"/>
      <c r="V631" s="772"/>
      <c r="W631" s="772"/>
      <c r="X631" s="772"/>
      <c r="Y631" s="772"/>
      <c r="Z631" s="772"/>
      <c r="AA631" s="772"/>
      <c r="AB631" s="772"/>
      <c r="AC631" s="772"/>
      <c r="AD631" s="772"/>
      <c r="AE631" s="772"/>
      <c r="AF631" s="772"/>
      <c r="AG631" s="772"/>
      <c r="AH631" s="772"/>
    </row>
    <row r="632" ht="15.75" customHeight="1">
      <c r="A632" s="815"/>
      <c r="B632" s="782"/>
      <c r="C632" s="782"/>
      <c r="D632" s="782"/>
      <c r="E632" s="816"/>
      <c r="F632" s="816"/>
      <c r="G632" s="817"/>
      <c r="H632" s="817"/>
      <c r="I632" s="818"/>
      <c r="J632" s="772"/>
      <c r="K632" s="772"/>
      <c r="L632" s="772"/>
      <c r="M632" s="772"/>
      <c r="N632" s="772"/>
      <c r="O632" s="772"/>
      <c r="P632" s="772"/>
      <c r="Q632" s="772"/>
      <c r="R632" s="772"/>
      <c r="S632" s="772"/>
      <c r="T632" s="772"/>
      <c r="U632" s="772"/>
      <c r="V632" s="772"/>
      <c r="W632" s="772"/>
      <c r="X632" s="772"/>
      <c r="Y632" s="772"/>
      <c r="Z632" s="772"/>
      <c r="AA632" s="772"/>
      <c r="AB632" s="772"/>
      <c r="AC632" s="772"/>
      <c r="AD632" s="772"/>
      <c r="AE632" s="772"/>
      <c r="AF632" s="772"/>
      <c r="AG632" s="772"/>
      <c r="AH632" s="772"/>
    </row>
    <row r="633" ht="15.75" customHeight="1">
      <c r="A633" s="815"/>
      <c r="B633" s="782"/>
      <c r="C633" s="782"/>
      <c r="D633" s="782"/>
      <c r="E633" s="816"/>
      <c r="F633" s="816"/>
      <c r="G633" s="817"/>
      <c r="H633" s="817"/>
      <c r="I633" s="818"/>
      <c r="J633" s="772"/>
      <c r="K633" s="772"/>
      <c r="L633" s="772"/>
      <c r="M633" s="772"/>
      <c r="N633" s="772"/>
      <c r="O633" s="772"/>
      <c r="P633" s="772"/>
      <c r="Q633" s="772"/>
      <c r="R633" s="772"/>
      <c r="S633" s="772"/>
      <c r="T633" s="772"/>
      <c r="U633" s="772"/>
      <c r="V633" s="772"/>
      <c r="W633" s="772"/>
      <c r="X633" s="772"/>
      <c r="Y633" s="772"/>
      <c r="Z633" s="772"/>
      <c r="AA633" s="772"/>
      <c r="AB633" s="772"/>
      <c r="AC633" s="772"/>
      <c r="AD633" s="772"/>
      <c r="AE633" s="772"/>
      <c r="AF633" s="772"/>
      <c r="AG633" s="772"/>
      <c r="AH633" s="772"/>
    </row>
    <row r="634" ht="15.75" customHeight="1">
      <c r="A634" s="815"/>
      <c r="B634" s="782"/>
      <c r="C634" s="782"/>
      <c r="D634" s="782"/>
      <c r="E634" s="816"/>
      <c r="F634" s="816"/>
      <c r="G634" s="817"/>
      <c r="H634" s="817"/>
      <c r="I634" s="818"/>
      <c r="J634" s="772"/>
      <c r="K634" s="772"/>
      <c r="L634" s="772"/>
      <c r="M634" s="772"/>
      <c r="N634" s="772"/>
      <c r="O634" s="772"/>
      <c r="P634" s="772"/>
      <c r="Q634" s="772"/>
      <c r="R634" s="772"/>
      <c r="S634" s="772"/>
      <c r="T634" s="772"/>
      <c r="U634" s="772"/>
      <c r="V634" s="772"/>
      <c r="W634" s="772"/>
      <c r="X634" s="772"/>
      <c r="Y634" s="772"/>
      <c r="Z634" s="772"/>
      <c r="AA634" s="772"/>
      <c r="AB634" s="772"/>
      <c r="AC634" s="772"/>
      <c r="AD634" s="772"/>
      <c r="AE634" s="772"/>
      <c r="AF634" s="772"/>
      <c r="AG634" s="772"/>
      <c r="AH634" s="772"/>
    </row>
    <row r="635" ht="15.75" customHeight="1">
      <c r="A635" s="815"/>
      <c r="B635" s="782"/>
      <c r="C635" s="782"/>
      <c r="D635" s="782"/>
      <c r="E635" s="816"/>
      <c r="F635" s="816"/>
      <c r="G635" s="817"/>
      <c r="H635" s="817"/>
      <c r="I635" s="818"/>
      <c r="J635" s="772"/>
      <c r="K635" s="772"/>
      <c r="L635" s="772"/>
      <c r="M635" s="772"/>
      <c r="N635" s="772"/>
      <c r="O635" s="772"/>
      <c r="P635" s="772"/>
      <c r="Q635" s="772"/>
      <c r="R635" s="772"/>
      <c r="S635" s="772"/>
      <c r="T635" s="772"/>
      <c r="U635" s="772"/>
      <c r="V635" s="772"/>
      <c r="W635" s="772"/>
      <c r="X635" s="772"/>
      <c r="Y635" s="772"/>
      <c r="Z635" s="772"/>
      <c r="AA635" s="772"/>
      <c r="AB635" s="772"/>
      <c r="AC635" s="772"/>
      <c r="AD635" s="772"/>
      <c r="AE635" s="772"/>
      <c r="AF635" s="772"/>
      <c r="AG635" s="772"/>
      <c r="AH635" s="772"/>
    </row>
    <row r="636" ht="15.75" customHeight="1">
      <c r="A636" s="815"/>
      <c r="B636" s="782"/>
      <c r="C636" s="782"/>
      <c r="D636" s="782"/>
      <c r="E636" s="816"/>
      <c r="F636" s="816"/>
      <c r="G636" s="817"/>
      <c r="H636" s="817"/>
      <c r="I636" s="818"/>
      <c r="J636" s="772"/>
      <c r="K636" s="772"/>
      <c r="L636" s="772"/>
      <c r="M636" s="772"/>
      <c r="N636" s="772"/>
      <c r="O636" s="772"/>
      <c r="P636" s="772"/>
      <c r="Q636" s="772"/>
      <c r="R636" s="772"/>
      <c r="S636" s="772"/>
      <c r="T636" s="772"/>
      <c r="U636" s="772"/>
      <c r="V636" s="772"/>
      <c r="W636" s="772"/>
      <c r="X636" s="772"/>
      <c r="Y636" s="772"/>
      <c r="Z636" s="772"/>
      <c r="AA636" s="772"/>
      <c r="AB636" s="772"/>
      <c r="AC636" s="772"/>
      <c r="AD636" s="772"/>
      <c r="AE636" s="772"/>
      <c r="AF636" s="772"/>
      <c r="AG636" s="772"/>
      <c r="AH636" s="772"/>
    </row>
    <row r="637" ht="15.75" customHeight="1">
      <c r="A637" s="815"/>
      <c r="B637" s="782"/>
      <c r="C637" s="782"/>
      <c r="D637" s="782"/>
      <c r="E637" s="816"/>
      <c r="F637" s="816"/>
      <c r="G637" s="817"/>
      <c r="H637" s="817"/>
      <c r="I637" s="818"/>
      <c r="J637" s="772"/>
      <c r="K637" s="772"/>
      <c r="L637" s="772"/>
      <c r="M637" s="772"/>
      <c r="N637" s="772"/>
      <c r="O637" s="772"/>
      <c r="P637" s="772"/>
      <c r="Q637" s="772"/>
      <c r="R637" s="772"/>
      <c r="S637" s="772"/>
      <c r="T637" s="772"/>
      <c r="U637" s="772"/>
      <c r="V637" s="772"/>
      <c r="W637" s="772"/>
      <c r="X637" s="772"/>
      <c r="Y637" s="772"/>
      <c r="Z637" s="772"/>
      <c r="AA637" s="772"/>
      <c r="AB637" s="772"/>
      <c r="AC637" s="772"/>
      <c r="AD637" s="772"/>
      <c r="AE637" s="772"/>
      <c r="AF637" s="772"/>
      <c r="AG637" s="772"/>
      <c r="AH637" s="772"/>
    </row>
    <row r="638" ht="15.75" customHeight="1">
      <c r="A638" s="815"/>
      <c r="B638" s="782"/>
      <c r="C638" s="782"/>
      <c r="D638" s="782"/>
      <c r="E638" s="816"/>
      <c r="F638" s="816"/>
      <c r="G638" s="817"/>
      <c r="H638" s="817"/>
      <c r="I638" s="818"/>
      <c r="J638" s="772"/>
      <c r="K638" s="772"/>
      <c r="L638" s="772"/>
      <c r="M638" s="772"/>
      <c r="N638" s="772"/>
      <c r="O638" s="772"/>
      <c r="P638" s="772"/>
      <c r="Q638" s="772"/>
      <c r="R638" s="772"/>
      <c r="S638" s="772"/>
      <c r="T638" s="772"/>
      <c r="U638" s="772"/>
      <c r="V638" s="772"/>
      <c r="W638" s="772"/>
      <c r="X638" s="772"/>
      <c r="Y638" s="772"/>
      <c r="Z638" s="772"/>
      <c r="AA638" s="772"/>
      <c r="AB638" s="772"/>
      <c r="AC638" s="772"/>
      <c r="AD638" s="772"/>
      <c r="AE638" s="772"/>
      <c r="AF638" s="772"/>
      <c r="AG638" s="772"/>
      <c r="AH638" s="772"/>
    </row>
    <row r="639" ht="15.75" customHeight="1">
      <c r="A639" s="815"/>
      <c r="B639" s="782"/>
      <c r="C639" s="782"/>
      <c r="D639" s="782"/>
      <c r="E639" s="816"/>
      <c r="F639" s="816"/>
      <c r="G639" s="817"/>
      <c r="H639" s="817"/>
      <c r="I639" s="818"/>
      <c r="J639" s="772"/>
      <c r="K639" s="772"/>
      <c r="L639" s="772"/>
      <c r="M639" s="772"/>
      <c r="N639" s="772"/>
      <c r="O639" s="772"/>
      <c r="P639" s="772"/>
      <c r="Q639" s="772"/>
      <c r="R639" s="772"/>
      <c r="S639" s="772"/>
      <c r="T639" s="772"/>
      <c r="U639" s="772"/>
      <c r="V639" s="772"/>
      <c r="W639" s="772"/>
      <c r="X639" s="772"/>
      <c r="Y639" s="772"/>
      <c r="Z639" s="772"/>
      <c r="AA639" s="772"/>
      <c r="AB639" s="772"/>
      <c r="AC639" s="772"/>
      <c r="AD639" s="772"/>
      <c r="AE639" s="772"/>
      <c r="AF639" s="772"/>
      <c r="AG639" s="772"/>
      <c r="AH639" s="772"/>
    </row>
    <row r="640" ht="15.75" customHeight="1">
      <c r="A640" s="815"/>
      <c r="B640" s="782"/>
      <c r="C640" s="782"/>
      <c r="D640" s="782"/>
      <c r="E640" s="816"/>
      <c r="F640" s="816"/>
      <c r="G640" s="817"/>
      <c r="H640" s="817"/>
      <c r="I640" s="818"/>
      <c r="J640" s="772"/>
      <c r="K640" s="772"/>
      <c r="L640" s="772"/>
      <c r="M640" s="772"/>
      <c r="N640" s="772"/>
      <c r="O640" s="772"/>
      <c r="P640" s="772"/>
      <c r="Q640" s="772"/>
      <c r="R640" s="772"/>
      <c r="S640" s="772"/>
      <c r="T640" s="772"/>
      <c r="U640" s="772"/>
      <c r="V640" s="772"/>
      <c r="W640" s="772"/>
      <c r="X640" s="772"/>
      <c r="Y640" s="772"/>
      <c r="Z640" s="772"/>
      <c r="AA640" s="772"/>
      <c r="AB640" s="772"/>
      <c r="AC640" s="772"/>
      <c r="AD640" s="772"/>
      <c r="AE640" s="772"/>
      <c r="AF640" s="772"/>
      <c r="AG640" s="772"/>
      <c r="AH640" s="772"/>
    </row>
    <row r="641" ht="15.75" customHeight="1">
      <c r="A641" s="815"/>
      <c r="B641" s="782"/>
      <c r="C641" s="782"/>
      <c r="D641" s="782"/>
      <c r="E641" s="816"/>
      <c r="F641" s="816"/>
      <c r="G641" s="817"/>
      <c r="H641" s="817"/>
      <c r="I641" s="818"/>
      <c r="J641" s="772"/>
      <c r="K641" s="772"/>
      <c r="L641" s="772"/>
      <c r="M641" s="772"/>
      <c r="N641" s="772"/>
      <c r="O641" s="772"/>
      <c r="P641" s="772"/>
      <c r="Q641" s="772"/>
      <c r="R641" s="772"/>
      <c r="S641" s="772"/>
      <c r="T641" s="772"/>
      <c r="U641" s="772"/>
      <c r="V641" s="772"/>
      <c r="W641" s="772"/>
      <c r="X641" s="772"/>
      <c r="Y641" s="772"/>
      <c r="Z641" s="772"/>
      <c r="AA641" s="772"/>
      <c r="AB641" s="772"/>
      <c r="AC641" s="772"/>
      <c r="AD641" s="772"/>
      <c r="AE641" s="772"/>
      <c r="AF641" s="772"/>
      <c r="AG641" s="772"/>
      <c r="AH641" s="772"/>
    </row>
    <row r="642" ht="15.75" customHeight="1">
      <c r="A642" s="815"/>
      <c r="B642" s="782"/>
      <c r="C642" s="782"/>
      <c r="D642" s="782"/>
      <c r="E642" s="816"/>
      <c r="F642" s="816"/>
      <c r="G642" s="817"/>
      <c r="H642" s="817"/>
      <c r="I642" s="818"/>
      <c r="J642" s="772"/>
      <c r="K642" s="772"/>
      <c r="L642" s="772"/>
      <c r="M642" s="772"/>
      <c r="N642" s="772"/>
      <c r="O642" s="772"/>
      <c r="P642" s="772"/>
      <c r="Q642" s="772"/>
      <c r="R642" s="772"/>
      <c r="S642" s="772"/>
      <c r="T642" s="772"/>
      <c r="U642" s="772"/>
      <c r="V642" s="772"/>
      <c r="W642" s="772"/>
      <c r="X642" s="772"/>
      <c r="Y642" s="772"/>
      <c r="Z642" s="772"/>
      <c r="AA642" s="772"/>
      <c r="AB642" s="772"/>
      <c r="AC642" s="772"/>
      <c r="AD642" s="772"/>
      <c r="AE642" s="772"/>
      <c r="AF642" s="772"/>
      <c r="AG642" s="772"/>
      <c r="AH642" s="772"/>
    </row>
    <row r="643" ht="15.75" customHeight="1">
      <c r="A643" s="815"/>
      <c r="B643" s="782"/>
      <c r="C643" s="782"/>
      <c r="D643" s="782"/>
      <c r="E643" s="816"/>
      <c r="F643" s="816"/>
      <c r="G643" s="817"/>
      <c r="H643" s="817"/>
      <c r="I643" s="818"/>
      <c r="J643" s="772"/>
      <c r="K643" s="772"/>
      <c r="L643" s="772"/>
      <c r="M643" s="772"/>
      <c r="N643" s="772"/>
      <c r="O643" s="772"/>
      <c r="P643" s="772"/>
      <c r="Q643" s="772"/>
      <c r="R643" s="772"/>
      <c r="S643" s="772"/>
      <c r="T643" s="772"/>
      <c r="U643" s="772"/>
      <c r="V643" s="772"/>
      <c r="W643" s="772"/>
      <c r="X643" s="772"/>
      <c r="Y643" s="772"/>
      <c r="Z643" s="772"/>
      <c r="AA643" s="772"/>
      <c r="AB643" s="772"/>
      <c r="AC643" s="772"/>
      <c r="AD643" s="772"/>
      <c r="AE643" s="772"/>
      <c r="AF643" s="772"/>
      <c r="AG643" s="772"/>
      <c r="AH643" s="772"/>
    </row>
    <row r="644" ht="15.75" customHeight="1">
      <c r="A644" s="815"/>
      <c r="B644" s="782"/>
      <c r="C644" s="782"/>
      <c r="D644" s="782"/>
      <c r="E644" s="816"/>
      <c r="F644" s="816"/>
      <c r="G644" s="817"/>
      <c r="H644" s="817"/>
      <c r="I644" s="818"/>
      <c r="J644" s="772"/>
      <c r="K644" s="772"/>
      <c r="L644" s="772"/>
      <c r="M644" s="772"/>
      <c r="N644" s="772"/>
      <c r="O644" s="772"/>
      <c r="P644" s="772"/>
      <c r="Q644" s="772"/>
      <c r="R644" s="772"/>
      <c r="S644" s="772"/>
      <c r="T644" s="772"/>
      <c r="U644" s="772"/>
      <c r="V644" s="772"/>
      <c r="W644" s="772"/>
      <c r="X644" s="772"/>
      <c r="Y644" s="772"/>
      <c r="Z644" s="772"/>
      <c r="AA644" s="772"/>
      <c r="AB644" s="772"/>
      <c r="AC644" s="772"/>
      <c r="AD644" s="772"/>
      <c r="AE644" s="772"/>
      <c r="AF644" s="772"/>
      <c r="AG644" s="772"/>
      <c r="AH644" s="772"/>
    </row>
    <row r="645" ht="15.75" customHeight="1">
      <c r="A645" s="815"/>
      <c r="B645" s="782"/>
      <c r="C645" s="782"/>
      <c r="D645" s="782"/>
      <c r="E645" s="816"/>
      <c r="F645" s="816"/>
      <c r="G645" s="817"/>
      <c r="H645" s="817"/>
      <c r="I645" s="818"/>
      <c r="J645" s="772"/>
      <c r="K645" s="772"/>
      <c r="L645" s="772"/>
      <c r="M645" s="772"/>
      <c r="N645" s="772"/>
      <c r="O645" s="772"/>
      <c r="P645" s="772"/>
      <c r="Q645" s="772"/>
      <c r="R645" s="772"/>
      <c r="S645" s="772"/>
      <c r="T645" s="772"/>
      <c r="U645" s="772"/>
      <c r="V645" s="772"/>
      <c r="W645" s="772"/>
      <c r="X645" s="772"/>
      <c r="Y645" s="772"/>
      <c r="Z645" s="772"/>
      <c r="AA645" s="772"/>
      <c r="AB645" s="772"/>
      <c r="AC645" s="772"/>
      <c r="AD645" s="772"/>
      <c r="AE645" s="772"/>
      <c r="AF645" s="772"/>
      <c r="AG645" s="772"/>
      <c r="AH645" s="772"/>
    </row>
    <row r="646" ht="15.75" customHeight="1">
      <c r="A646" s="815"/>
      <c r="B646" s="782"/>
      <c r="C646" s="782"/>
      <c r="D646" s="782"/>
      <c r="E646" s="816"/>
      <c r="F646" s="816"/>
      <c r="G646" s="817"/>
      <c r="H646" s="817"/>
      <c r="I646" s="818"/>
      <c r="J646" s="772"/>
      <c r="K646" s="772"/>
      <c r="L646" s="772"/>
      <c r="M646" s="772"/>
      <c r="N646" s="772"/>
      <c r="O646" s="772"/>
      <c r="P646" s="772"/>
      <c r="Q646" s="772"/>
      <c r="R646" s="772"/>
      <c r="S646" s="772"/>
      <c r="T646" s="772"/>
      <c r="U646" s="772"/>
      <c r="V646" s="772"/>
      <c r="W646" s="772"/>
      <c r="X646" s="772"/>
      <c r="Y646" s="772"/>
      <c r="Z646" s="772"/>
      <c r="AA646" s="772"/>
      <c r="AB646" s="772"/>
      <c r="AC646" s="772"/>
      <c r="AD646" s="772"/>
      <c r="AE646" s="772"/>
      <c r="AF646" s="772"/>
      <c r="AG646" s="772"/>
      <c r="AH646" s="772"/>
    </row>
    <row r="647" ht="15.75" customHeight="1">
      <c r="A647" s="815"/>
      <c r="B647" s="782"/>
      <c r="C647" s="782"/>
      <c r="D647" s="782"/>
      <c r="E647" s="816"/>
      <c r="F647" s="816"/>
      <c r="G647" s="817"/>
      <c r="H647" s="817"/>
      <c r="I647" s="818"/>
      <c r="J647" s="772"/>
      <c r="K647" s="772"/>
      <c r="L647" s="772"/>
      <c r="M647" s="772"/>
      <c r="N647" s="772"/>
      <c r="O647" s="772"/>
      <c r="P647" s="772"/>
      <c r="Q647" s="772"/>
      <c r="R647" s="772"/>
      <c r="S647" s="772"/>
      <c r="T647" s="772"/>
      <c r="U647" s="772"/>
      <c r="V647" s="772"/>
      <c r="W647" s="772"/>
      <c r="X647" s="772"/>
      <c r="Y647" s="772"/>
      <c r="Z647" s="772"/>
      <c r="AA647" s="772"/>
      <c r="AB647" s="772"/>
      <c r="AC647" s="772"/>
      <c r="AD647" s="772"/>
      <c r="AE647" s="772"/>
      <c r="AF647" s="772"/>
      <c r="AG647" s="772"/>
      <c r="AH647" s="772"/>
    </row>
    <row r="648" ht="15.75" customHeight="1">
      <c r="A648" s="815"/>
      <c r="B648" s="782"/>
      <c r="C648" s="782"/>
      <c r="D648" s="782"/>
      <c r="E648" s="816"/>
      <c r="F648" s="816"/>
      <c r="G648" s="817"/>
      <c r="H648" s="817"/>
      <c r="I648" s="818"/>
      <c r="J648" s="772"/>
      <c r="K648" s="772"/>
      <c r="L648" s="772"/>
      <c r="M648" s="772"/>
      <c r="N648" s="772"/>
      <c r="O648" s="772"/>
      <c r="P648" s="772"/>
      <c r="Q648" s="772"/>
      <c r="R648" s="772"/>
      <c r="S648" s="772"/>
      <c r="T648" s="772"/>
      <c r="U648" s="772"/>
      <c r="V648" s="772"/>
      <c r="W648" s="772"/>
      <c r="X648" s="772"/>
      <c r="Y648" s="772"/>
      <c r="Z648" s="772"/>
      <c r="AA648" s="772"/>
      <c r="AB648" s="772"/>
      <c r="AC648" s="772"/>
      <c r="AD648" s="772"/>
      <c r="AE648" s="772"/>
      <c r="AF648" s="772"/>
      <c r="AG648" s="772"/>
      <c r="AH648" s="772"/>
    </row>
    <row r="649" ht="15.75" customHeight="1">
      <c r="A649" s="815"/>
      <c r="B649" s="782"/>
      <c r="C649" s="782"/>
      <c r="D649" s="782"/>
      <c r="E649" s="816"/>
      <c r="F649" s="816"/>
      <c r="G649" s="817"/>
      <c r="H649" s="817"/>
      <c r="I649" s="818"/>
      <c r="J649" s="772"/>
      <c r="K649" s="772"/>
      <c r="L649" s="772"/>
      <c r="M649" s="772"/>
      <c r="N649" s="772"/>
      <c r="O649" s="772"/>
      <c r="P649" s="772"/>
      <c r="Q649" s="772"/>
      <c r="R649" s="772"/>
      <c r="S649" s="772"/>
      <c r="T649" s="772"/>
      <c r="U649" s="772"/>
      <c r="V649" s="772"/>
      <c r="W649" s="772"/>
      <c r="X649" s="772"/>
      <c r="Y649" s="772"/>
      <c r="Z649" s="772"/>
      <c r="AA649" s="772"/>
      <c r="AB649" s="772"/>
      <c r="AC649" s="772"/>
      <c r="AD649" s="772"/>
      <c r="AE649" s="772"/>
      <c r="AF649" s="772"/>
      <c r="AG649" s="772"/>
      <c r="AH649" s="772"/>
    </row>
    <row r="650" ht="15.75" customHeight="1">
      <c r="A650" s="815"/>
      <c r="B650" s="782"/>
      <c r="C650" s="782"/>
      <c r="D650" s="782"/>
      <c r="E650" s="816"/>
      <c r="F650" s="816"/>
      <c r="G650" s="817"/>
      <c r="H650" s="817"/>
      <c r="I650" s="818"/>
      <c r="J650" s="772"/>
      <c r="K650" s="772"/>
      <c r="L650" s="772"/>
      <c r="M650" s="772"/>
      <c r="N650" s="772"/>
      <c r="O650" s="772"/>
      <c r="P650" s="772"/>
      <c r="Q650" s="772"/>
      <c r="R650" s="772"/>
      <c r="S650" s="772"/>
      <c r="T650" s="772"/>
      <c r="U650" s="772"/>
      <c r="V650" s="772"/>
      <c r="W650" s="772"/>
      <c r="X650" s="772"/>
      <c r="Y650" s="772"/>
      <c r="Z650" s="772"/>
      <c r="AA650" s="772"/>
      <c r="AB650" s="772"/>
      <c r="AC650" s="772"/>
      <c r="AD650" s="772"/>
      <c r="AE650" s="772"/>
      <c r="AF650" s="772"/>
      <c r="AG650" s="772"/>
      <c r="AH650" s="772"/>
    </row>
    <row r="651" ht="15.75" customHeight="1">
      <c r="A651" s="815"/>
      <c r="B651" s="782"/>
      <c r="C651" s="782"/>
      <c r="D651" s="782"/>
      <c r="E651" s="816"/>
      <c r="F651" s="816"/>
      <c r="G651" s="817"/>
      <c r="H651" s="817"/>
      <c r="I651" s="818"/>
      <c r="J651" s="772"/>
      <c r="K651" s="772"/>
      <c r="L651" s="772"/>
      <c r="M651" s="772"/>
      <c r="N651" s="772"/>
      <c r="O651" s="772"/>
      <c r="P651" s="772"/>
      <c r="Q651" s="772"/>
      <c r="R651" s="772"/>
      <c r="S651" s="772"/>
      <c r="T651" s="772"/>
      <c r="U651" s="772"/>
      <c r="V651" s="772"/>
      <c r="W651" s="772"/>
      <c r="X651" s="772"/>
      <c r="Y651" s="772"/>
      <c r="Z651" s="772"/>
      <c r="AA651" s="772"/>
      <c r="AB651" s="772"/>
      <c r="AC651" s="772"/>
      <c r="AD651" s="772"/>
      <c r="AE651" s="772"/>
      <c r="AF651" s="772"/>
      <c r="AG651" s="772"/>
      <c r="AH651" s="772"/>
    </row>
    <row r="652" ht="15.75" customHeight="1">
      <c r="A652" s="815"/>
      <c r="B652" s="782"/>
      <c r="C652" s="782"/>
      <c r="D652" s="782"/>
      <c r="E652" s="816"/>
      <c r="F652" s="816"/>
      <c r="G652" s="817"/>
      <c r="H652" s="817"/>
      <c r="I652" s="818"/>
      <c r="J652" s="772"/>
      <c r="K652" s="772"/>
      <c r="L652" s="772"/>
      <c r="M652" s="772"/>
      <c r="N652" s="772"/>
      <c r="O652" s="772"/>
      <c r="P652" s="772"/>
      <c r="Q652" s="772"/>
      <c r="R652" s="772"/>
      <c r="S652" s="772"/>
      <c r="T652" s="772"/>
      <c r="U652" s="772"/>
      <c r="V652" s="772"/>
      <c r="W652" s="772"/>
      <c r="X652" s="772"/>
      <c r="Y652" s="772"/>
      <c r="Z652" s="772"/>
      <c r="AA652" s="772"/>
      <c r="AB652" s="772"/>
      <c r="AC652" s="772"/>
      <c r="AD652" s="772"/>
      <c r="AE652" s="772"/>
      <c r="AF652" s="772"/>
      <c r="AG652" s="772"/>
      <c r="AH652" s="772"/>
    </row>
    <row r="653" ht="15.75" customHeight="1">
      <c r="A653" s="815"/>
      <c r="B653" s="782"/>
      <c r="C653" s="782"/>
      <c r="D653" s="782"/>
      <c r="E653" s="816"/>
      <c r="F653" s="816"/>
      <c r="G653" s="817"/>
      <c r="H653" s="817"/>
      <c r="I653" s="818"/>
      <c r="J653" s="772"/>
      <c r="K653" s="772"/>
      <c r="L653" s="772"/>
      <c r="M653" s="772"/>
      <c r="N653" s="772"/>
      <c r="O653" s="772"/>
      <c r="P653" s="772"/>
      <c r="Q653" s="772"/>
      <c r="R653" s="772"/>
      <c r="S653" s="772"/>
      <c r="T653" s="772"/>
      <c r="U653" s="772"/>
      <c r="V653" s="772"/>
      <c r="W653" s="772"/>
      <c r="X653" s="772"/>
      <c r="Y653" s="772"/>
      <c r="Z653" s="772"/>
      <c r="AA653" s="772"/>
      <c r="AB653" s="772"/>
      <c r="AC653" s="772"/>
      <c r="AD653" s="772"/>
      <c r="AE653" s="772"/>
      <c r="AF653" s="772"/>
      <c r="AG653" s="772"/>
      <c r="AH653" s="772"/>
    </row>
    <row r="654" ht="15.75" customHeight="1">
      <c r="A654" s="815"/>
      <c r="B654" s="782"/>
      <c r="C654" s="782"/>
      <c r="D654" s="782"/>
      <c r="E654" s="816"/>
      <c r="F654" s="816"/>
      <c r="G654" s="817"/>
      <c r="H654" s="817"/>
      <c r="I654" s="818"/>
      <c r="J654" s="772"/>
      <c r="K654" s="772"/>
      <c r="L654" s="772"/>
      <c r="M654" s="772"/>
      <c r="N654" s="772"/>
      <c r="O654" s="772"/>
      <c r="P654" s="772"/>
      <c r="Q654" s="772"/>
      <c r="R654" s="772"/>
      <c r="S654" s="772"/>
      <c r="T654" s="772"/>
      <c r="U654" s="772"/>
      <c r="V654" s="772"/>
      <c r="W654" s="772"/>
      <c r="X654" s="772"/>
      <c r="Y654" s="772"/>
      <c r="Z654" s="772"/>
      <c r="AA654" s="772"/>
      <c r="AB654" s="772"/>
      <c r="AC654" s="772"/>
      <c r="AD654" s="772"/>
      <c r="AE654" s="772"/>
      <c r="AF654" s="772"/>
      <c r="AG654" s="772"/>
      <c r="AH654" s="772"/>
    </row>
    <row r="655" ht="15.75" customHeight="1">
      <c r="A655" s="815"/>
      <c r="B655" s="782"/>
      <c r="C655" s="782"/>
      <c r="D655" s="782"/>
      <c r="E655" s="816"/>
      <c r="F655" s="816"/>
      <c r="G655" s="817"/>
      <c r="H655" s="817"/>
      <c r="I655" s="818"/>
      <c r="J655" s="772"/>
      <c r="K655" s="772"/>
      <c r="L655" s="772"/>
      <c r="M655" s="772"/>
      <c r="N655" s="772"/>
      <c r="O655" s="772"/>
      <c r="P655" s="772"/>
      <c r="Q655" s="772"/>
      <c r="R655" s="772"/>
      <c r="S655" s="772"/>
      <c r="T655" s="772"/>
      <c r="U655" s="772"/>
      <c r="V655" s="772"/>
      <c r="W655" s="772"/>
      <c r="X655" s="772"/>
      <c r="Y655" s="772"/>
      <c r="Z655" s="772"/>
      <c r="AA655" s="772"/>
      <c r="AB655" s="772"/>
      <c r="AC655" s="772"/>
      <c r="AD655" s="772"/>
      <c r="AE655" s="772"/>
      <c r="AF655" s="772"/>
      <c r="AG655" s="772"/>
      <c r="AH655" s="772"/>
    </row>
    <row r="656" ht="15.75" customHeight="1">
      <c r="A656" s="815"/>
      <c r="B656" s="782"/>
      <c r="C656" s="782"/>
      <c r="D656" s="782"/>
      <c r="E656" s="816"/>
      <c r="F656" s="816"/>
      <c r="G656" s="817"/>
      <c r="H656" s="817"/>
      <c r="I656" s="818"/>
      <c r="J656" s="772"/>
      <c r="K656" s="772"/>
      <c r="L656" s="772"/>
      <c r="M656" s="772"/>
      <c r="N656" s="772"/>
      <c r="O656" s="772"/>
      <c r="P656" s="772"/>
      <c r="Q656" s="772"/>
      <c r="R656" s="772"/>
      <c r="S656" s="772"/>
      <c r="T656" s="772"/>
      <c r="U656" s="772"/>
      <c r="V656" s="772"/>
      <c r="W656" s="772"/>
      <c r="X656" s="772"/>
      <c r="Y656" s="772"/>
      <c r="Z656" s="772"/>
      <c r="AA656" s="772"/>
      <c r="AB656" s="772"/>
      <c r="AC656" s="772"/>
      <c r="AD656" s="772"/>
      <c r="AE656" s="772"/>
      <c r="AF656" s="772"/>
      <c r="AG656" s="772"/>
      <c r="AH656" s="772"/>
    </row>
    <row r="657" ht="15.75" customHeight="1">
      <c r="A657" s="815"/>
      <c r="B657" s="782"/>
      <c r="C657" s="782"/>
      <c r="D657" s="782"/>
      <c r="E657" s="816"/>
      <c r="F657" s="816"/>
      <c r="G657" s="817"/>
      <c r="H657" s="817"/>
      <c r="I657" s="818"/>
      <c r="J657" s="772"/>
      <c r="K657" s="772"/>
      <c r="L657" s="772"/>
      <c r="M657" s="772"/>
      <c r="N657" s="772"/>
      <c r="O657" s="772"/>
      <c r="P657" s="772"/>
      <c r="Q657" s="772"/>
      <c r="R657" s="772"/>
      <c r="S657" s="772"/>
      <c r="T657" s="772"/>
      <c r="U657" s="772"/>
      <c r="V657" s="772"/>
      <c r="W657" s="772"/>
      <c r="X657" s="772"/>
      <c r="Y657" s="772"/>
      <c r="Z657" s="772"/>
      <c r="AA657" s="772"/>
      <c r="AB657" s="772"/>
      <c r="AC657" s="772"/>
      <c r="AD657" s="772"/>
      <c r="AE657" s="772"/>
      <c r="AF657" s="772"/>
      <c r="AG657" s="772"/>
      <c r="AH657" s="772"/>
    </row>
    <row r="658" ht="15.75" customHeight="1">
      <c r="A658" s="815"/>
      <c r="B658" s="782"/>
      <c r="C658" s="782"/>
      <c r="D658" s="782"/>
      <c r="E658" s="816"/>
      <c r="F658" s="816"/>
      <c r="G658" s="817"/>
      <c r="H658" s="817"/>
      <c r="I658" s="818"/>
      <c r="J658" s="772"/>
      <c r="K658" s="772"/>
      <c r="L658" s="772"/>
      <c r="M658" s="772"/>
      <c r="N658" s="772"/>
      <c r="O658" s="772"/>
      <c r="P658" s="772"/>
      <c r="Q658" s="772"/>
      <c r="R658" s="772"/>
      <c r="S658" s="772"/>
      <c r="T658" s="772"/>
      <c r="U658" s="772"/>
      <c r="V658" s="772"/>
      <c r="W658" s="772"/>
      <c r="X658" s="772"/>
      <c r="Y658" s="772"/>
      <c r="Z658" s="772"/>
      <c r="AA658" s="772"/>
      <c r="AB658" s="772"/>
      <c r="AC658" s="772"/>
      <c r="AD658" s="772"/>
      <c r="AE658" s="772"/>
      <c r="AF658" s="772"/>
      <c r="AG658" s="772"/>
      <c r="AH658" s="772"/>
    </row>
    <row r="659" ht="15.75" customHeight="1">
      <c r="A659" s="815"/>
      <c r="B659" s="782"/>
      <c r="C659" s="782"/>
      <c r="D659" s="782"/>
      <c r="E659" s="816"/>
      <c r="F659" s="816"/>
      <c r="G659" s="817"/>
      <c r="H659" s="817"/>
      <c r="I659" s="818"/>
      <c r="J659" s="772"/>
      <c r="K659" s="772"/>
      <c r="L659" s="772"/>
      <c r="M659" s="772"/>
      <c r="N659" s="772"/>
      <c r="O659" s="772"/>
      <c r="P659" s="772"/>
      <c r="Q659" s="772"/>
      <c r="R659" s="772"/>
      <c r="S659" s="772"/>
      <c r="T659" s="772"/>
      <c r="U659" s="772"/>
      <c r="V659" s="772"/>
      <c r="W659" s="772"/>
      <c r="X659" s="772"/>
      <c r="Y659" s="772"/>
      <c r="Z659" s="772"/>
      <c r="AA659" s="772"/>
      <c r="AB659" s="772"/>
      <c r="AC659" s="772"/>
      <c r="AD659" s="772"/>
      <c r="AE659" s="772"/>
      <c r="AF659" s="772"/>
      <c r="AG659" s="772"/>
      <c r="AH659" s="772"/>
    </row>
    <row r="660" ht="15.75" customHeight="1">
      <c r="A660" s="815"/>
      <c r="B660" s="782"/>
      <c r="C660" s="782"/>
      <c r="D660" s="782"/>
      <c r="E660" s="816"/>
      <c r="F660" s="816"/>
      <c r="G660" s="817"/>
      <c r="H660" s="817"/>
      <c r="I660" s="818"/>
      <c r="J660" s="772"/>
      <c r="K660" s="772"/>
      <c r="L660" s="772"/>
      <c r="M660" s="772"/>
      <c r="N660" s="772"/>
      <c r="O660" s="772"/>
      <c r="P660" s="772"/>
      <c r="Q660" s="772"/>
      <c r="R660" s="772"/>
      <c r="S660" s="772"/>
      <c r="T660" s="772"/>
      <c r="U660" s="772"/>
      <c r="V660" s="772"/>
      <c r="W660" s="772"/>
      <c r="X660" s="772"/>
      <c r="Y660" s="772"/>
      <c r="Z660" s="772"/>
      <c r="AA660" s="772"/>
      <c r="AB660" s="772"/>
      <c r="AC660" s="772"/>
      <c r="AD660" s="772"/>
      <c r="AE660" s="772"/>
      <c r="AF660" s="772"/>
      <c r="AG660" s="772"/>
      <c r="AH660" s="772"/>
    </row>
    <row r="661" ht="15.75" customHeight="1">
      <c r="A661" s="815"/>
      <c r="B661" s="782"/>
      <c r="C661" s="782"/>
      <c r="D661" s="782"/>
      <c r="E661" s="816"/>
      <c r="F661" s="816"/>
      <c r="G661" s="817"/>
      <c r="H661" s="817"/>
      <c r="I661" s="818"/>
      <c r="J661" s="772"/>
      <c r="K661" s="772"/>
      <c r="L661" s="772"/>
      <c r="M661" s="772"/>
      <c r="N661" s="772"/>
      <c r="O661" s="772"/>
      <c r="P661" s="772"/>
      <c r="Q661" s="772"/>
      <c r="R661" s="772"/>
      <c r="S661" s="772"/>
      <c r="T661" s="772"/>
      <c r="U661" s="772"/>
      <c r="V661" s="772"/>
      <c r="W661" s="772"/>
      <c r="X661" s="772"/>
      <c r="Y661" s="772"/>
      <c r="Z661" s="772"/>
      <c r="AA661" s="772"/>
      <c r="AB661" s="772"/>
      <c r="AC661" s="772"/>
      <c r="AD661" s="772"/>
      <c r="AE661" s="772"/>
      <c r="AF661" s="772"/>
      <c r="AG661" s="772"/>
      <c r="AH661" s="772"/>
    </row>
    <row r="662" ht="15.75" customHeight="1">
      <c r="A662" s="815"/>
      <c r="B662" s="782"/>
      <c r="C662" s="782"/>
      <c r="D662" s="782"/>
      <c r="E662" s="816"/>
      <c r="F662" s="816"/>
      <c r="G662" s="817"/>
      <c r="H662" s="817"/>
      <c r="I662" s="818"/>
      <c r="J662" s="772"/>
      <c r="K662" s="772"/>
      <c r="L662" s="772"/>
      <c r="M662" s="772"/>
      <c r="N662" s="772"/>
      <c r="O662" s="772"/>
      <c r="P662" s="772"/>
      <c r="Q662" s="772"/>
      <c r="R662" s="772"/>
      <c r="S662" s="772"/>
      <c r="T662" s="772"/>
      <c r="U662" s="772"/>
      <c r="V662" s="772"/>
      <c r="W662" s="772"/>
      <c r="X662" s="772"/>
      <c r="Y662" s="772"/>
      <c r="Z662" s="772"/>
      <c r="AA662" s="772"/>
      <c r="AB662" s="772"/>
      <c r="AC662" s="772"/>
      <c r="AD662" s="772"/>
      <c r="AE662" s="772"/>
      <c r="AF662" s="772"/>
      <c r="AG662" s="772"/>
      <c r="AH662" s="772"/>
    </row>
    <row r="663" ht="15.75" customHeight="1">
      <c r="A663" s="815"/>
      <c r="B663" s="782"/>
      <c r="C663" s="782"/>
      <c r="D663" s="782"/>
      <c r="E663" s="816"/>
      <c r="F663" s="816"/>
      <c r="G663" s="817"/>
      <c r="H663" s="817"/>
      <c r="I663" s="818"/>
      <c r="J663" s="772"/>
      <c r="K663" s="772"/>
      <c r="L663" s="772"/>
      <c r="M663" s="772"/>
      <c r="N663" s="772"/>
      <c r="O663" s="772"/>
      <c r="P663" s="772"/>
      <c r="Q663" s="772"/>
      <c r="R663" s="772"/>
      <c r="S663" s="772"/>
      <c r="T663" s="772"/>
      <c r="U663" s="772"/>
      <c r="V663" s="772"/>
      <c r="W663" s="772"/>
      <c r="X663" s="772"/>
      <c r="Y663" s="772"/>
      <c r="Z663" s="772"/>
      <c r="AA663" s="772"/>
      <c r="AB663" s="772"/>
      <c r="AC663" s="772"/>
      <c r="AD663" s="772"/>
      <c r="AE663" s="772"/>
      <c r="AF663" s="772"/>
      <c r="AG663" s="772"/>
      <c r="AH663" s="772"/>
    </row>
    <row r="664" ht="15.75" customHeight="1">
      <c r="A664" s="815"/>
      <c r="B664" s="782"/>
      <c r="C664" s="782"/>
      <c r="D664" s="782"/>
      <c r="E664" s="816"/>
      <c r="F664" s="816"/>
      <c r="G664" s="817"/>
      <c r="H664" s="817"/>
      <c r="I664" s="818"/>
      <c r="J664" s="772"/>
      <c r="K664" s="772"/>
      <c r="L664" s="772"/>
      <c r="M664" s="772"/>
      <c r="N664" s="772"/>
      <c r="O664" s="772"/>
      <c r="P664" s="772"/>
      <c r="Q664" s="772"/>
      <c r="R664" s="772"/>
      <c r="S664" s="772"/>
      <c r="T664" s="772"/>
      <c r="U664" s="772"/>
      <c r="V664" s="772"/>
      <c r="W664" s="772"/>
      <c r="X664" s="772"/>
      <c r="Y664" s="772"/>
      <c r="Z664" s="772"/>
      <c r="AA664" s="772"/>
      <c r="AB664" s="772"/>
      <c r="AC664" s="772"/>
      <c r="AD664" s="772"/>
      <c r="AE664" s="772"/>
      <c r="AF664" s="772"/>
      <c r="AG664" s="772"/>
      <c r="AH664" s="772"/>
    </row>
    <row r="665" ht="15.75" customHeight="1">
      <c r="A665" s="815"/>
      <c r="B665" s="782"/>
      <c r="C665" s="782"/>
      <c r="D665" s="782"/>
      <c r="E665" s="816"/>
      <c r="F665" s="816"/>
      <c r="G665" s="817"/>
      <c r="H665" s="817"/>
      <c r="I665" s="818"/>
      <c r="J665" s="772"/>
      <c r="K665" s="772"/>
      <c r="L665" s="772"/>
      <c r="M665" s="772"/>
      <c r="N665" s="772"/>
      <c r="O665" s="772"/>
      <c r="P665" s="772"/>
      <c r="Q665" s="772"/>
      <c r="R665" s="772"/>
      <c r="S665" s="772"/>
      <c r="T665" s="772"/>
      <c r="U665" s="772"/>
      <c r="V665" s="772"/>
      <c r="W665" s="772"/>
      <c r="X665" s="772"/>
      <c r="Y665" s="772"/>
      <c r="Z665" s="772"/>
      <c r="AA665" s="772"/>
      <c r="AB665" s="772"/>
      <c r="AC665" s="772"/>
      <c r="AD665" s="772"/>
      <c r="AE665" s="772"/>
      <c r="AF665" s="772"/>
      <c r="AG665" s="772"/>
      <c r="AH665" s="772"/>
    </row>
    <row r="666" ht="15.75" customHeight="1">
      <c r="A666" s="815"/>
      <c r="B666" s="782"/>
      <c r="C666" s="782"/>
      <c r="D666" s="782"/>
      <c r="E666" s="816"/>
      <c r="F666" s="816"/>
      <c r="G666" s="817"/>
      <c r="H666" s="817"/>
      <c r="I666" s="818"/>
      <c r="J666" s="772"/>
      <c r="K666" s="772"/>
      <c r="L666" s="772"/>
      <c r="M666" s="772"/>
      <c r="N666" s="772"/>
      <c r="O666" s="772"/>
      <c r="P666" s="772"/>
      <c r="Q666" s="772"/>
      <c r="R666" s="772"/>
      <c r="S666" s="772"/>
      <c r="T666" s="772"/>
      <c r="U666" s="772"/>
      <c r="V666" s="772"/>
      <c r="W666" s="772"/>
      <c r="X666" s="772"/>
      <c r="Y666" s="772"/>
      <c r="Z666" s="772"/>
      <c r="AA666" s="772"/>
      <c r="AB666" s="772"/>
      <c r="AC666" s="772"/>
      <c r="AD666" s="772"/>
      <c r="AE666" s="772"/>
      <c r="AF666" s="772"/>
      <c r="AG666" s="772"/>
      <c r="AH666" s="772"/>
    </row>
    <row r="667" ht="15.75" customHeight="1">
      <c r="A667" s="815"/>
      <c r="B667" s="782"/>
      <c r="C667" s="782"/>
      <c r="D667" s="782"/>
      <c r="E667" s="816"/>
      <c r="F667" s="816"/>
      <c r="G667" s="817"/>
      <c r="H667" s="817"/>
      <c r="I667" s="818"/>
      <c r="J667" s="772"/>
      <c r="K667" s="772"/>
      <c r="L667" s="772"/>
      <c r="M667" s="772"/>
      <c r="N667" s="772"/>
      <c r="O667" s="772"/>
      <c r="P667" s="772"/>
      <c r="Q667" s="772"/>
      <c r="R667" s="772"/>
      <c r="S667" s="772"/>
      <c r="T667" s="772"/>
      <c r="U667" s="772"/>
      <c r="V667" s="772"/>
      <c r="W667" s="772"/>
      <c r="X667" s="772"/>
      <c r="Y667" s="772"/>
      <c r="Z667" s="772"/>
      <c r="AA667" s="772"/>
      <c r="AB667" s="772"/>
      <c r="AC667" s="772"/>
      <c r="AD667" s="772"/>
      <c r="AE667" s="772"/>
      <c r="AF667" s="772"/>
      <c r="AG667" s="772"/>
      <c r="AH667" s="772"/>
    </row>
    <row r="668" ht="15.75" customHeight="1">
      <c r="A668" s="815"/>
      <c r="B668" s="782"/>
      <c r="C668" s="782"/>
      <c r="D668" s="782"/>
      <c r="E668" s="816"/>
      <c r="F668" s="816"/>
      <c r="G668" s="817"/>
      <c r="H668" s="817"/>
      <c r="I668" s="818"/>
      <c r="J668" s="772"/>
      <c r="K668" s="772"/>
      <c r="L668" s="772"/>
      <c r="M668" s="772"/>
      <c r="N668" s="772"/>
      <c r="O668" s="772"/>
      <c r="P668" s="772"/>
      <c r="Q668" s="772"/>
      <c r="R668" s="772"/>
      <c r="S668" s="772"/>
      <c r="T668" s="772"/>
      <c r="U668" s="772"/>
      <c r="V668" s="772"/>
      <c r="W668" s="772"/>
      <c r="X668" s="772"/>
      <c r="Y668" s="772"/>
      <c r="Z668" s="772"/>
      <c r="AA668" s="772"/>
      <c r="AB668" s="772"/>
      <c r="AC668" s="772"/>
      <c r="AD668" s="772"/>
      <c r="AE668" s="772"/>
      <c r="AF668" s="772"/>
      <c r="AG668" s="772"/>
      <c r="AH668" s="772"/>
    </row>
    <row r="669" ht="15.75" customHeight="1">
      <c r="A669" s="815"/>
      <c r="B669" s="782"/>
      <c r="C669" s="782"/>
      <c r="D669" s="782"/>
      <c r="E669" s="816"/>
      <c r="F669" s="816"/>
      <c r="G669" s="817"/>
      <c r="H669" s="817"/>
      <c r="I669" s="818"/>
      <c r="J669" s="772"/>
      <c r="K669" s="772"/>
      <c r="L669" s="772"/>
      <c r="M669" s="772"/>
      <c r="N669" s="772"/>
      <c r="O669" s="772"/>
      <c r="P669" s="772"/>
      <c r="Q669" s="772"/>
      <c r="R669" s="772"/>
      <c r="S669" s="772"/>
      <c r="T669" s="772"/>
      <c r="U669" s="772"/>
      <c r="V669" s="772"/>
      <c r="W669" s="772"/>
      <c r="X669" s="772"/>
      <c r="Y669" s="772"/>
      <c r="Z669" s="772"/>
      <c r="AA669" s="772"/>
      <c r="AB669" s="772"/>
      <c r="AC669" s="772"/>
      <c r="AD669" s="772"/>
      <c r="AE669" s="772"/>
      <c r="AF669" s="772"/>
      <c r="AG669" s="772"/>
      <c r="AH669" s="772"/>
    </row>
    <row r="670" ht="15.75" customHeight="1">
      <c r="A670" s="815"/>
      <c r="B670" s="782"/>
      <c r="C670" s="782"/>
      <c r="D670" s="782"/>
      <c r="E670" s="816"/>
      <c r="F670" s="816"/>
      <c r="G670" s="817"/>
      <c r="H670" s="817"/>
      <c r="I670" s="818"/>
      <c r="J670" s="772"/>
      <c r="K670" s="772"/>
      <c r="L670" s="772"/>
      <c r="M670" s="772"/>
      <c r="N670" s="772"/>
      <c r="O670" s="772"/>
      <c r="P670" s="772"/>
      <c r="Q670" s="772"/>
      <c r="R670" s="772"/>
      <c r="S670" s="772"/>
      <c r="T670" s="772"/>
      <c r="U670" s="772"/>
      <c r="V670" s="772"/>
      <c r="W670" s="772"/>
      <c r="X670" s="772"/>
      <c r="Y670" s="772"/>
      <c r="Z670" s="772"/>
      <c r="AA670" s="772"/>
      <c r="AB670" s="772"/>
      <c r="AC670" s="772"/>
      <c r="AD670" s="772"/>
      <c r="AE670" s="772"/>
      <c r="AF670" s="772"/>
      <c r="AG670" s="772"/>
      <c r="AH670" s="772"/>
    </row>
    <row r="671" ht="15.75" customHeight="1">
      <c r="A671" s="815"/>
      <c r="B671" s="782"/>
      <c r="C671" s="782"/>
      <c r="D671" s="782"/>
      <c r="E671" s="816"/>
      <c r="F671" s="816"/>
      <c r="G671" s="817"/>
      <c r="H671" s="817"/>
      <c r="I671" s="818"/>
      <c r="J671" s="772"/>
      <c r="K671" s="772"/>
      <c r="L671" s="772"/>
      <c r="M671" s="772"/>
      <c r="N671" s="772"/>
      <c r="O671" s="772"/>
      <c r="P671" s="772"/>
      <c r="Q671" s="772"/>
      <c r="R671" s="772"/>
      <c r="S671" s="772"/>
      <c r="T671" s="772"/>
      <c r="U671" s="772"/>
      <c r="V671" s="772"/>
      <c r="W671" s="772"/>
      <c r="X671" s="772"/>
      <c r="Y671" s="772"/>
      <c r="Z671" s="772"/>
      <c r="AA671" s="772"/>
      <c r="AB671" s="772"/>
      <c r="AC671" s="772"/>
      <c r="AD671" s="772"/>
      <c r="AE671" s="772"/>
      <c r="AF671" s="772"/>
      <c r="AG671" s="772"/>
      <c r="AH671" s="772"/>
    </row>
    <row r="672" ht="15.75" customHeight="1">
      <c r="A672" s="815"/>
      <c r="B672" s="782"/>
      <c r="C672" s="782"/>
      <c r="D672" s="782"/>
      <c r="E672" s="816"/>
      <c r="F672" s="816"/>
      <c r="G672" s="817"/>
      <c r="H672" s="817"/>
      <c r="I672" s="818"/>
      <c r="J672" s="772"/>
      <c r="K672" s="772"/>
      <c r="L672" s="772"/>
      <c r="M672" s="772"/>
      <c r="N672" s="772"/>
      <c r="O672" s="772"/>
      <c r="P672" s="772"/>
      <c r="Q672" s="772"/>
      <c r="R672" s="772"/>
      <c r="S672" s="772"/>
      <c r="T672" s="772"/>
      <c r="U672" s="772"/>
      <c r="V672" s="772"/>
      <c r="W672" s="772"/>
      <c r="X672" s="772"/>
      <c r="Y672" s="772"/>
      <c r="Z672" s="772"/>
      <c r="AA672" s="772"/>
      <c r="AB672" s="772"/>
      <c r="AC672" s="772"/>
      <c r="AD672" s="772"/>
      <c r="AE672" s="772"/>
      <c r="AF672" s="772"/>
      <c r="AG672" s="772"/>
      <c r="AH672" s="772"/>
    </row>
    <row r="673" ht="15.75" customHeight="1">
      <c r="A673" s="815"/>
      <c r="B673" s="782"/>
      <c r="C673" s="782"/>
      <c r="D673" s="782"/>
      <c r="E673" s="816"/>
      <c r="F673" s="816"/>
      <c r="G673" s="817"/>
      <c r="H673" s="817"/>
      <c r="I673" s="818"/>
      <c r="J673" s="772"/>
      <c r="K673" s="772"/>
      <c r="L673" s="772"/>
      <c r="M673" s="772"/>
      <c r="N673" s="772"/>
      <c r="O673" s="772"/>
      <c r="P673" s="772"/>
      <c r="Q673" s="772"/>
      <c r="R673" s="772"/>
      <c r="S673" s="772"/>
      <c r="T673" s="772"/>
      <c r="U673" s="772"/>
      <c r="V673" s="772"/>
      <c r="W673" s="772"/>
      <c r="X673" s="772"/>
      <c r="Y673" s="772"/>
      <c r="Z673" s="772"/>
      <c r="AA673" s="772"/>
      <c r="AB673" s="772"/>
      <c r="AC673" s="772"/>
      <c r="AD673" s="772"/>
      <c r="AE673" s="772"/>
      <c r="AF673" s="772"/>
      <c r="AG673" s="772"/>
      <c r="AH673" s="772"/>
    </row>
    <row r="674" ht="15.75" customHeight="1">
      <c r="A674" s="815"/>
      <c r="B674" s="782"/>
      <c r="C674" s="782"/>
      <c r="D674" s="782"/>
      <c r="E674" s="816"/>
      <c r="F674" s="816"/>
      <c r="G674" s="817"/>
      <c r="H674" s="817"/>
      <c r="I674" s="818"/>
      <c r="J674" s="772"/>
      <c r="K674" s="772"/>
      <c r="L674" s="772"/>
      <c r="M674" s="772"/>
      <c r="N674" s="772"/>
      <c r="O674" s="772"/>
      <c r="P674" s="772"/>
      <c r="Q674" s="772"/>
      <c r="R674" s="772"/>
      <c r="S674" s="772"/>
      <c r="T674" s="772"/>
      <c r="U674" s="772"/>
      <c r="V674" s="772"/>
      <c r="W674" s="772"/>
      <c r="X674" s="772"/>
      <c r="Y674" s="772"/>
      <c r="Z674" s="772"/>
      <c r="AA674" s="772"/>
      <c r="AB674" s="772"/>
      <c r="AC674" s="772"/>
      <c r="AD674" s="772"/>
      <c r="AE674" s="772"/>
      <c r="AF674" s="772"/>
      <c r="AG674" s="772"/>
      <c r="AH674" s="772"/>
    </row>
    <row r="675" ht="15.75" customHeight="1">
      <c r="A675" s="815"/>
      <c r="B675" s="782"/>
      <c r="C675" s="782"/>
      <c r="D675" s="782"/>
      <c r="E675" s="816"/>
      <c r="F675" s="816"/>
      <c r="G675" s="817"/>
      <c r="H675" s="817"/>
      <c r="I675" s="818"/>
      <c r="J675" s="772"/>
      <c r="K675" s="772"/>
      <c r="L675" s="772"/>
      <c r="M675" s="772"/>
      <c r="N675" s="772"/>
      <c r="O675" s="772"/>
      <c r="P675" s="772"/>
      <c r="Q675" s="772"/>
      <c r="R675" s="772"/>
      <c r="S675" s="772"/>
      <c r="T675" s="772"/>
      <c r="U675" s="772"/>
      <c r="V675" s="772"/>
      <c r="W675" s="772"/>
      <c r="X675" s="772"/>
      <c r="Y675" s="772"/>
      <c r="Z675" s="772"/>
      <c r="AA675" s="772"/>
      <c r="AB675" s="772"/>
      <c r="AC675" s="772"/>
      <c r="AD675" s="772"/>
      <c r="AE675" s="772"/>
      <c r="AF675" s="772"/>
      <c r="AG675" s="772"/>
      <c r="AH675" s="772"/>
    </row>
    <row r="676" ht="15.75" customHeight="1">
      <c r="A676" s="815"/>
      <c r="B676" s="782"/>
      <c r="C676" s="782"/>
      <c r="D676" s="782"/>
      <c r="E676" s="816"/>
      <c r="F676" s="816"/>
      <c r="G676" s="817"/>
      <c r="H676" s="817"/>
      <c r="I676" s="818"/>
      <c r="J676" s="772"/>
      <c r="K676" s="772"/>
      <c r="L676" s="772"/>
      <c r="M676" s="772"/>
      <c r="N676" s="772"/>
      <c r="O676" s="772"/>
      <c r="P676" s="772"/>
      <c r="Q676" s="772"/>
      <c r="R676" s="772"/>
      <c r="S676" s="772"/>
      <c r="T676" s="772"/>
      <c r="U676" s="772"/>
      <c r="V676" s="772"/>
      <c r="W676" s="772"/>
      <c r="X676" s="772"/>
      <c r="Y676" s="772"/>
      <c r="Z676" s="772"/>
      <c r="AA676" s="772"/>
      <c r="AB676" s="772"/>
      <c r="AC676" s="772"/>
      <c r="AD676" s="772"/>
      <c r="AE676" s="772"/>
      <c r="AF676" s="772"/>
      <c r="AG676" s="772"/>
      <c r="AH676" s="772"/>
    </row>
    <row r="677" ht="15.75" customHeight="1">
      <c r="A677" s="815"/>
      <c r="B677" s="782"/>
      <c r="C677" s="782"/>
      <c r="D677" s="782"/>
      <c r="E677" s="816"/>
      <c r="F677" s="816"/>
      <c r="G677" s="817"/>
      <c r="H677" s="817"/>
      <c r="I677" s="818"/>
      <c r="J677" s="772"/>
      <c r="K677" s="772"/>
      <c r="L677" s="772"/>
      <c r="M677" s="772"/>
      <c r="N677" s="772"/>
      <c r="O677" s="772"/>
      <c r="P677" s="772"/>
      <c r="Q677" s="772"/>
      <c r="R677" s="772"/>
      <c r="S677" s="772"/>
      <c r="T677" s="772"/>
      <c r="U677" s="772"/>
      <c r="V677" s="772"/>
      <c r="W677" s="772"/>
      <c r="X677" s="772"/>
      <c r="Y677" s="772"/>
      <c r="Z677" s="772"/>
      <c r="AA677" s="772"/>
      <c r="AB677" s="772"/>
      <c r="AC677" s="772"/>
      <c r="AD677" s="772"/>
      <c r="AE677" s="772"/>
      <c r="AF677" s="772"/>
      <c r="AG677" s="772"/>
      <c r="AH677" s="772"/>
    </row>
    <row r="678" ht="15.75" customHeight="1">
      <c r="A678" s="815"/>
      <c r="B678" s="782"/>
      <c r="C678" s="782"/>
      <c r="D678" s="782"/>
      <c r="E678" s="816"/>
      <c r="F678" s="816"/>
      <c r="G678" s="817"/>
      <c r="H678" s="817"/>
      <c r="I678" s="818"/>
      <c r="J678" s="772"/>
      <c r="K678" s="772"/>
      <c r="L678" s="772"/>
      <c r="M678" s="772"/>
      <c r="N678" s="772"/>
      <c r="O678" s="772"/>
      <c r="P678" s="772"/>
      <c r="Q678" s="772"/>
      <c r="R678" s="772"/>
      <c r="S678" s="772"/>
      <c r="T678" s="772"/>
      <c r="U678" s="772"/>
      <c r="V678" s="772"/>
      <c r="W678" s="772"/>
      <c r="X678" s="772"/>
      <c r="Y678" s="772"/>
      <c r="Z678" s="772"/>
      <c r="AA678" s="772"/>
      <c r="AB678" s="772"/>
      <c r="AC678" s="772"/>
      <c r="AD678" s="772"/>
      <c r="AE678" s="772"/>
      <c r="AF678" s="772"/>
      <c r="AG678" s="772"/>
      <c r="AH678" s="772"/>
    </row>
    <row r="679" ht="15.75" customHeight="1">
      <c r="A679" s="815"/>
      <c r="B679" s="782"/>
      <c r="C679" s="782"/>
      <c r="D679" s="782"/>
      <c r="E679" s="816"/>
      <c r="F679" s="816"/>
      <c r="G679" s="817"/>
      <c r="H679" s="817"/>
      <c r="I679" s="818"/>
      <c r="J679" s="772"/>
      <c r="K679" s="772"/>
      <c r="L679" s="772"/>
      <c r="M679" s="772"/>
      <c r="N679" s="772"/>
      <c r="O679" s="772"/>
      <c r="P679" s="772"/>
      <c r="Q679" s="772"/>
      <c r="R679" s="772"/>
      <c r="S679" s="772"/>
      <c r="T679" s="772"/>
      <c r="U679" s="772"/>
      <c r="V679" s="772"/>
      <c r="W679" s="772"/>
      <c r="X679" s="772"/>
      <c r="Y679" s="772"/>
      <c r="Z679" s="772"/>
      <c r="AA679" s="772"/>
      <c r="AB679" s="772"/>
      <c r="AC679" s="772"/>
      <c r="AD679" s="772"/>
      <c r="AE679" s="772"/>
      <c r="AF679" s="772"/>
      <c r="AG679" s="772"/>
      <c r="AH679" s="772"/>
    </row>
    <row r="680" ht="15.75" customHeight="1">
      <c r="A680" s="815"/>
      <c r="B680" s="782"/>
      <c r="C680" s="782"/>
      <c r="D680" s="782"/>
      <c r="E680" s="816"/>
      <c r="F680" s="816"/>
      <c r="G680" s="817"/>
      <c r="H680" s="817"/>
      <c r="I680" s="818"/>
      <c r="J680" s="772"/>
      <c r="K680" s="772"/>
      <c r="L680" s="772"/>
      <c r="M680" s="772"/>
      <c r="N680" s="772"/>
      <c r="O680" s="772"/>
      <c r="P680" s="772"/>
      <c r="Q680" s="772"/>
      <c r="R680" s="772"/>
      <c r="S680" s="772"/>
      <c r="T680" s="772"/>
      <c r="U680" s="772"/>
      <c r="V680" s="772"/>
      <c r="W680" s="772"/>
      <c r="X680" s="772"/>
      <c r="Y680" s="772"/>
      <c r="Z680" s="772"/>
      <c r="AA680" s="772"/>
      <c r="AB680" s="772"/>
      <c r="AC680" s="772"/>
      <c r="AD680" s="772"/>
      <c r="AE680" s="772"/>
      <c r="AF680" s="772"/>
      <c r="AG680" s="772"/>
      <c r="AH680" s="772"/>
    </row>
    <row r="681" ht="15.75" customHeight="1">
      <c r="A681" s="815"/>
      <c r="B681" s="782"/>
      <c r="C681" s="782"/>
      <c r="D681" s="782"/>
      <c r="E681" s="816"/>
      <c r="F681" s="816"/>
      <c r="G681" s="817"/>
      <c r="H681" s="817"/>
      <c r="I681" s="818"/>
      <c r="J681" s="772"/>
      <c r="K681" s="772"/>
      <c r="L681" s="772"/>
      <c r="M681" s="772"/>
      <c r="N681" s="772"/>
      <c r="O681" s="772"/>
      <c r="P681" s="772"/>
      <c r="Q681" s="772"/>
      <c r="R681" s="772"/>
      <c r="S681" s="772"/>
      <c r="T681" s="772"/>
      <c r="U681" s="772"/>
      <c r="V681" s="772"/>
      <c r="W681" s="772"/>
      <c r="X681" s="772"/>
      <c r="Y681" s="772"/>
      <c r="Z681" s="772"/>
      <c r="AA681" s="772"/>
      <c r="AB681" s="772"/>
      <c r="AC681" s="772"/>
      <c r="AD681" s="772"/>
      <c r="AE681" s="772"/>
      <c r="AF681" s="772"/>
      <c r="AG681" s="772"/>
      <c r="AH681" s="772"/>
    </row>
    <row r="682" ht="15.75" customHeight="1">
      <c r="A682" s="815"/>
      <c r="B682" s="782"/>
      <c r="C682" s="782"/>
      <c r="D682" s="782"/>
      <c r="E682" s="816"/>
      <c r="F682" s="816"/>
      <c r="G682" s="817"/>
      <c r="H682" s="817"/>
      <c r="I682" s="818"/>
      <c r="J682" s="772"/>
      <c r="K682" s="772"/>
      <c r="L682" s="772"/>
      <c r="M682" s="772"/>
      <c r="N682" s="772"/>
      <c r="O682" s="772"/>
      <c r="P682" s="772"/>
      <c r="Q682" s="772"/>
      <c r="R682" s="772"/>
      <c r="S682" s="772"/>
      <c r="T682" s="772"/>
      <c r="U682" s="772"/>
      <c r="V682" s="772"/>
      <c r="W682" s="772"/>
      <c r="X682" s="772"/>
      <c r="Y682" s="772"/>
      <c r="Z682" s="772"/>
      <c r="AA682" s="772"/>
      <c r="AB682" s="772"/>
      <c r="AC682" s="772"/>
      <c r="AD682" s="772"/>
      <c r="AE682" s="772"/>
      <c r="AF682" s="772"/>
      <c r="AG682" s="772"/>
      <c r="AH682" s="772"/>
    </row>
    <row r="683" ht="15.75" customHeight="1">
      <c r="A683" s="815"/>
      <c r="B683" s="782"/>
      <c r="C683" s="782"/>
      <c r="D683" s="782"/>
      <c r="E683" s="816"/>
      <c r="F683" s="816"/>
      <c r="G683" s="817"/>
      <c r="H683" s="817"/>
      <c r="I683" s="818"/>
      <c r="J683" s="772"/>
      <c r="K683" s="772"/>
      <c r="L683" s="772"/>
      <c r="M683" s="772"/>
      <c r="N683" s="772"/>
      <c r="O683" s="772"/>
      <c r="P683" s="772"/>
      <c r="Q683" s="772"/>
      <c r="R683" s="772"/>
      <c r="S683" s="772"/>
      <c r="T683" s="772"/>
      <c r="U683" s="772"/>
      <c r="V683" s="772"/>
      <c r="W683" s="772"/>
      <c r="X683" s="772"/>
      <c r="Y683" s="772"/>
      <c r="Z683" s="772"/>
      <c r="AA683" s="772"/>
      <c r="AB683" s="772"/>
      <c r="AC683" s="772"/>
      <c r="AD683" s="772"/>
      <c r="AE683" s="772"/>
      <c r="AF683" s="772"/>
      <c r="AG683" s="772"/>
      <c r="AH683" s="772"/>
    </row>
    <row r="684" ht="15.75" customHeight="1">
      <c r="A684" s="815"/>
      <c r="B684" s="782"/>
      <c r="C684" s="782"/>
      <c r="D684" s="782"/>
      <c r="E684" s="816"/>
      <c r="F684" s="816"/>
      <c r="G684" s="817"/>
      <c r="H684" s="817"/>
      <c r="I684" s="818"/>
      <c r="J684" s="772"/>
      <c r="K684" s="772"/>
      <c r="L684" s="772"/>
      <c r="M684" s="772"/>
      <c r="N684" s="772"/>
      <c r="O684" s="772"/>
      <c r="P684" s="772"/>
      <c r="Q684" s="772"/>
      <c r="R684" s="772"/>
      <c r="S684" s="772"/>
      <c r="T684" s="772"/>
      <c r="U684" s="772"/>
      <c r="V684" s="772"/>
      <c r="W684" s="772"/>
      <c r="X684" s="772"/>
      <c r="Y684" s="772"/>
      <c r="Z684" s="772"/>
      <c r="AA684" s="772"/>
      <c r="AB684" s="772"/>
      <c r="AC684" s="772"/>
      <c r="AD684" s="772"/>
      <c r="AE684" s="772"/>
      <c r="AF684" s="772"/>
      <c r="AG684" s="772"/>
      <c r="AH684" s="772"/>
    </row>
    <row r="685" ht="15.75" customHeight="1">
      <c r="A685" s="815"/>
      <c r="B685" s="782"/>
      <c r="C685" s="782"/>
      <c r="D685" s="782"/>
      <c r="E685" s="816"/>
      <c r="F685" s="816"/>
      <c r="G685" s="817"/>
      <c r="H685" s="817"/>
      <c r="I685" s="818"/>
      <c r="J685" s="772"/>
      <c r="K685" s="772"/>
      <c r="L685" s="772"/>
      <c r="M685" s="772"/>
      <c r="N685" s="772"/>
      <c r="O685" s="772"/>
      <c r="P685" s="772"/>
      <c r="Q685" s="772"/>
      <c r="R685" s="772"/>
      <c r="S685" s="772"/>
      <c r="T685" s="772"/>
      <c r="U685" s="772"/>
      <c r="V685" s="772"/>
      <c r="W685" s="772"/>
      <c r="X685" s="772"/>
      <c r="Y685" s="772"/>
      <c r="Z685" s="772"/>
      <c r="AA685" s="772"/>
      <c r="AB685" s="772"/>
      <c r="AC685" s="772"/>
      <c r="AD685" s="772"/>
      <c r="AE685" s="772"/>
      <c r="AF685" s="772"/>
      <c r="AG685" s="772"/>
      <c r="AH685" s="772"/>
    </row>
    <row r="686" ht="15.75" customHeight="1">
      <c r="A686" s="815"/>
      <c r="B686" s="782"/>
      <c r="C686" s="782"/>
      <c r="D686" s="782"/>
      <c r="E686" s="816"/>
      <c r="F686" s="816"/>
      <c r="G686" s="817"/>
      <c r="H686" s="817"/>
      <c r="I686" s="818"/>
      <c r="J686" s="772"/>
      <c r="K686" s="772"/>
      <c r="L686" s="772"/>
      <c r="M686" s="772"/>
      <c r="N686" s="772"/>
      <c r="O686" s="772"/>
      <c r="P686" s="772"/>
      <c r="Q686" s="772"/>
      <c r="R686" s="772"/>
      <c r="S686" s="772"/>
      <c r="T686" s="772"/>
      <c r="U686" s="772"/>
      <c r="V686" s="772"/>
      <c r="W686" s="772"/>
      <c r="X686" s="772"/>
      <c r="Y686" s="772"/>
      <c r="Z686" s="772"/>
      <c r="AA686" s="772"/>
      <c r="AB686" s="772"/>
      <c r="AC686" s="772"/>
      <c r="AD686" s="772"/>
      <c r="AE686" s="772"/>
      <c r="AF686" s="772"/>
      <c r="AG686" s="772"/>
      <c r="AH686" s="772"/>
    </row>
    <row r="687" ht="15.75" customHeight="1">
      <c r="A687" s="815"/>
      <c r="B687" s="782"/>
      <c r="C687" s="782"/>
      <c r="D687" s="782"/>
      <c r="E687" s="816"/>
      <c r="F687" s="816"/>
      <c r="G687" s="817"/>
      <c r="H687" s="817"/>
      <c r="I687" s="818"/>
      <c r="J687" s="772"/>
      <c r="K687" s="772"/>
      <c r="L687" s="772"/>
      <c r="M687" s="772"/>
      <c r="N687" s="772"/>
      <c r="O687" s="772"/>
      <c r="P687" s="772"/>
      <c r="Q687" s="772"/>
      <c r="R687" s="772"/>
      <c r="S687" s="772"/>
      <c r="T687" s="772"/>
      <c r="U687" s="772"/>
      <c r="V687" s="772"/>
      <c r="W687" s="772"/>
      <c r="X687" s="772"/>
      <c r="Y687" s="772"/>
      <c r="Z687" s="772"/>
      <c r="AA687" s="772"/>
      <c r="AB687" s="772"/>
      <c r="AC687" s="772"/>
      <c r="AD687" s="772"/>
      <c r="AE687" s="772"/>
      <c r="AF687" s="772"/>
      <c r="AG687" s="772"/>
      <c r="AH687" s="772"/>
    </row>
    <row r="688" ht="15.75" customHeight="1">
      <c r="A688" s="815"/>
      <c r="B688" s="782"/>
      <c r="C688" s="782"/>
      <c r="D688" s="782"/>
      <c r="E688" s="816"/>
      <c r="F688" s="816"/>
      <c r="G688" s="817"/>
      <c r="H688" s="817"/>
      <c r="I688" s="818"/>
      <c r="J688" s="772"/>
      <c r="K688" s="772"/>
      <c r="L688" s="772"/>
      <c r="M688" s="772"/>
      <c r="N688" s="772"/>
      <c r="O688" s="772"/>
      <c r="P688" s="772"/>
      <c r="Q688" s="772"/>
      <c r="R688" s="772"/>
      <c r="S688" s="772"/>
      <c r="T688" s="772"/>
      <c r="U688" s="772"/>
      <c r="V688" s="772"/>
      <c r="W688" s="772"/>
      <c r="X688" s="772"/>
      <c r="Y688" s="772"/>
      <c r="Z688" s="772"/>
      <c r="AA688" s="772"/>
      <c r="AB688" s="772"/>
      <c r="AC688" s="772"/>
      <c r="AD688" s="772"/>
      <c r="AE688" s="772"/>
      <c r="AF688" s="772"/>
      <c r="AG688" s="772"/>
      <c r="AH688" s="772"/>
    </row>
    <row r="689" ht="15.75" customHeight="1">
      <c r="A689" s="815"/>
      <c r="B689" s="782"/>
      <c r="C689" s="782"/>
      <c r="D689" s="782"/>
      <c r="E689" s="816"/>
      <c r="F689" s="816"/>
      <c r="G689" s="817"/>
      <c r="H689" s="817"/>
      <c r="I689" s="818"/>
      <c r="J689" s="772"/>
      <c r="K689" s="772"/>
      <c r="L689" s="772"/>
      <c r="M689" s="772"/>
      <c r="N689" s="772"/>
      <c r="O689" s="772"/>
      <c r="P689" s="772"/>
      <c r="Q689" s="772"/>
      <c r="R689" s="772"/>
      <c r="S689" s="772"/>
      <c r="T689" s="772"/>
      <c r="U689" s="772"/>
      <c r="V689" s="772"/>
      <c r="W689" s="772"/>
      <c r="X689" s="772"/>
      <c r="Y689" s="772"/>
      <c r="Z689" s="772"/>
      <c r="AA689" s="772"/>
      <c r="AB689" s="772"/>
      <c r="AC689" s="772"/>
      <c r="AD689" s="772"/>
      <c r="AE689" s="772"/>
      <c r="AF689" s="772"/>
      <c r="AG689" s="772"/>
      <c r="AH689" s="772"/>
    </row>
    <row r="690" ht="15.75" customHeight="1">
      <c r="A690" s="815"/>
      <c r="B690" s="782"/>
      <c r="C690" s="782"/>
      <c r="D690" s="782"/>
      <c r="E690" s="816"/>
      <c r="F690" s="816"/>
      <c r="G690" s="817"/>
      <c r="H690" s="817"/>
      <c r="I690" s="818"/>
      <c r="J690" s="772"/>
      <c r="K690" s="772"/>
      <c r="L690" s="772"/>
      <c r="M690" s="772"/>
      <c r="N690" s="772"/>
      <c r="O690" s="772"/>
      <c r="P690" s="772"/>
      <c r="Q690" s="772"/>
      <c r="R690" s="772"/>
      <c r="S690" s="772"/>
      <c r="T690" s="772"/>
      <c r="U690" s="772"/>
      <c r="V690" s="772"/>
      <c r="W690" s="772"/>
      <c r="X690" s="772"/>
      <c r="Y690" s="772"/>
      <c r="Z690" s="772"/>
      <c r="AA690" s="772"/>
      <c r="AB690" s="772"/>
      <c r="AC690" s="772"/>
      <c r="AD690" s="772"/>
      <c r="AE690" s="772"/>
      <c r="AF690" s="772"/>
      <c r="AG690" s="772"/>
      <c r="AH690" s="772"/>
    </row>
    <row r="691" ht="15.75" customHeight="1">
      <c r="A691" s="815"/>
      <c r="B691" s="782"/>
      <c r="C691" s="782"/>
      <c r="D691" s="782"/>
      <c r="E691" s="816"/>
      <c r="F691" s="816"/>
      <c r="G691" s="817"/>
      <c r="H691" s="817"/>
      <c r="I691" s="818"/>
      <c r="J691" s="772"/>
      <c r="K691" s="772"/>
      <c r="L691" s="772"/>
      <c r="M691" s="772"/>
      <c r="N691" s="772"/>
      <c r="O691" s="772"/>
      <c r="P691" s="772"/>
      <c r="Q691" s="772"/>
      <c r="R691" s="772"/>
      <c r="S691" s="772"/>
      <c r="T691" s="772"/>
      <c r="U691" s="772"/>
      <c r="V691" s="772"/>
      <c r="W691" s="772"/>
      <c r="X691" s="772"/>
      <c r="Y691" s="772"/>
      <c r="Z691" s="772"/>
      <c r="AA691" s="772"/>
      <c r="AB691" s="772"/>
      <c r="AC691" s="772"/>
      <c r="AD691" s="772"/>
      <c r="AE691" s="772"/>
      <c r="AF691" s="772"/>
      <c r="AG691" s="772"/>
      <c r="AH691" s="772"/>
    </row>
    <row r="692" ht="15.75" customHeight="1">
      <c r="A692" s="815"/>
      <c r="B692" s="782"/>
      <c r="C692" s="782"/>
      <c r="D692" s="782"/>
      <c r="E692" s="816"/>
      <c r="F692" s="816"/>
      <c r="G692" s="817"/>
      <c r="H692" s="817"/>
      <c r="I692" s="818"/>
      <c r="J692" s="772"/>
      <c r="K692" s="772"/>
      <c r="L692" s="772"/>
      <c r="M692" s="772"/>
      <c r="N692" s="772"/>
      <c r="O692" s="772"/>
      <c r="P692" s="772"/>
      <c r="Q692" s="772"/>
      <c r="R692" s="772"/>
      <c r="S692" s="772"/>
      <c r="T692" s="772"/>
      <c r="U692" s="772"/>
      <c r="V692" s="772"/>
      <c r="W692" s="772"/>
      <c r="X692" s="772"/>
      <c r="Y692" s="772"/>
      <c r="Z692" s="772"/>
      <c r="AA692" s="772"/>
      <c r="AB692" s="772"/>
      <c r="AC692" s="772"/>
      <c r="AD692" s="772"/>
      <c r="AE692" s="772"/>
      <c r="AF692" s="772"/>
      <c r="AG692" s="772"/>
      <c r="AH692" s="772"/>
    </row>
    <row r="693" ht="15.75" customHeight="1">
      <c r="A693" s="815"/>
      <c r="B693" s="782"/>
      <c r="C693" s="782"/>
      <c r="D693" s="782"/>
      <c r="E693" s="816"/>
      <c r="F693" s="816"/>
      <c r="G693" s="817"/>
      <c r="H693" s="817"/>
      <c r="I693" s="818"/>
      <c r="J693" s="772"/>
      <c r="K693" s="772"/>
      <c r="L693" s="772"/>
      <c r="M693" s="772"/>
      <c r="N693" s="772"/>
      <c r="O693" s="772"/>
      <c r="P693" s="772"/>
      <c r="Q693" s="772"/>
      <c r="R693" s="772"/>
      <c r="S693" s="772"/>
      <c r="T693" s="772"/>
      <c r="U693" s="772"/>
      <c r="V693" s="772"/>
      <c r="W693" s="772"/>
      <c r="X693" s="772"/>
      <c r="Y693" s="772"/>
      <c r="Z693" s="772"/>
      <c r="AA693" s="772"/>
      <c r="AB693" s="772"/>
      <c r="AC693" s="772"/>
      <c r="AD693" s="772"/>
      <c r="AE693" s="772"/>
      <c r="AF693" s="772"/>
      <c r="AG693" s="772"/>
      <c r="AH693" s="772"/>
    </row>
    <row r="694" ht="15.75" customHeight="1">
      <c r="A694" s="815"/>
      <c r="B694" s="782"/>
      <c r="C694" s="782"/>
      <c r="D694" s="782"/>
      <c r="E694" s="816"/>
      <c r="F694" s="816"/>
      <c r="G694" s="817"/>
      <c r="H694" s="817"/>
      <c r="I694" s="818"/>
      <c r="J694" s="772"/>
      <c r="K694" s="772"/>
      <c r="L694" s="772"/>
      <c r="M694" s="772"/>
      <c r="N694" s="772"/>
      <c r="O694" s="772"/>
      <c r="P694" s="772"/>
      <c r="Q694" s="772"/>
      <c r="R694" s="772"/>
      <c r="S694" s="772"/>
      <c r="T694" s="772"/>
      <c r="U694" s="772"/>
      <c r="V694" s="772"/>
      <c r="W694" s="772"/>
      <c r="X694" s="772"/>
      <c r="Y694" s="772"/>
      <c r="Z694" s="772"/>
      <c r="AA694" s="772"/>
      <c r="AB694" s="772"/>
      <c r="AC694" s="772"/>
      <c r="AD694" s="772"/>
      <c r="AE694" s="772"/>
      <c r="AF694" s="772"/>
      <c r="AG694" s="772"/>
      <c r="AH694" s="772"/>
    </row>
    <row r="695" ht="15.75" customHeight="1">
      <c r="A695" s="815"/>
      <c r="B695" s="782"/>
      <c r="C695" s="782"/>
      <c r="D695" s="782"/>
      <c r="E695" s="816"/>
      <c r="F695" s="816"/>
      <c r="G695" s="817"/>
      <c r="H695" s="817"/>
      <c r="I695" s="818"/>
      <c r="J695" s="772"/>
      <c r="K695" s="772"/>
      <c r="L695" s="772"/>
      <c r="M695" s="772"/>
      <c r="N695" s="772"/>
      <c r="O695" s="772"/>
      <c r="P695" s="772"/>
      <c r="Q695" s="772"/>
      <c r="R695" s="772"/>
      <c r="S695" s="772"/>
      <c r="T695" s="772"/>
      <c r="U695" s="772"/>
      <c r="V695" s="772"/>
      <c r="W695" s="772"/>
      <c r="X695" s="772"/>
      <c r="Y695" s="772"/>
      <c r="Z695" s="772"/>
      <c r="AA695" s="772"/>
      <c r="AB695" s="772"/>
      <c r="AC695" s="772"/>
      <c r="AD695" s="772"/>
      <c r="AE695" s="772"/>
      <c r="AF695" s="772"/>
      <c r="AG695" s="772"/>
      <c r="AH695" s="772"/>
    </row>
    <row r="696" ht="15.75" customHeight="1">
      <c r="A696" s="815"/>
      <c r="B696" s="782"/>
      <c r="C696" s="782"/>
      <c r="D696" s="782"/>
      <c r="E696" s="816"/>
      <c r="F696" s="816"/>
      <c r="G696" s="817"/>
      <c r="H696" s="817"/>
      <c r="I696" s="818"/>
      <c r="J696" s="772"/>
      <c r="K696" s="772"/>
      <c r="L696" s="772"/>
      <c r="M696" s="772"/>
      <c r="N696" s="772"/>
      <c r="O696" s="772"/>
      <c r="P696" s="772"/>
      <c r="Q696" s="772"/>
      <c r="R696" s="772"/>
      <c r="S696" s="772"/>
      <c r="T696" s="772"/>
      <c r="U696" s="772"/>
      <c r="V696" s="772"/>
      <c r="W696" s="772"/>
      <c r="X696" s="772"/>
      <c r="Y696" s="772"/>
      <c r="Z696" s="772"/>
      <c r="AA696" s="772"/>
      <c r="AB696" s="772"/>
      <c r="AC696" s="772"/>
      <c r="AD696" s="772"/>
      <c r="AE696" s="772"/>
      <c r="AF696" s="772"/>
      <c r="AG696" s="772"/>
      <c r="AH696" s="772"/>
    </row>
    <row r="697" ht="15.75" customHeight="1">
      <c r="A697" s="815"/>
      <c r="B697" s="782"/>
      <c r="C697" s="782"/>
      <c r="D697" s="782"/>
      <c r="E697" s="816"/>
      <c r="F697" s="816"/>
      <c r="G697" s="817"/>
      <c r="H697" s="817"/>
      <c r="I697" s="818"/>
      <c r="J697" s="772"/>
      <c r="K697" s="772"/>
      <c r="L697" s="772"/>
      <c r="M697" s="772"/>
      <c r="N697" s="772"/>
      <c r="O697" s="772"/>
      <c r="P697" s="772"/>
      <c r="Q697" s="772"/>
      <c r="R697" s="772"/>
      <c r="S697" s="772"/>
      <c r="T697" s="772"/>
      <c r="U697" s="772"/>
      <c r="V697" s="772"/>
      <c r="W697" s="772"/>
      <c r="X697" s="772"/>
      <c r="Y697" s="772"/>
      <c r="Z697" s="772"/>
      <c r="AA697" s="772"/>
      <c r="AB697" s="772"/>
      <c r="AC697" s="772"/>
      <c r="AD697" s="772"/>
      <c r="AE697" s="772"/>
      <c r="AF697" s="772"/>
      <c r="AG697" s="772"/>
      <c r="AH697" s="772"/>
    </row>
    <row r="698" ht="15.75" customHeight="1">
      <c r="A698" s="815"/>
      <c r="B698" s="782"/>
      <c r="C698" s="782"/>
      <c r="D698" s="782"/>
      <c r="E698" s="816"/>
      <c r="F698" s="816"/>
      <c r="G698" s="817"/>
      <c r="H698" s="817"/>
      <c r="I698" s="818"/>
      <c r="J698" s="772"/>
      <c r="K698" s="772"/>
      <c r="L698" s="772"/>
      <c r="M698" s="772"/>
      <c r="N698" s="772"/>
      <c r="O698" s="772"/>
      <c r="P698" s="772"/>
      <c r="Q698" s="772"/>
      <c r="R698" s="772"/>
      <c r="S698" s="772"/>
      <c r="T698" s="772"/>
      <c r="U698" s="772"/>
      <c r="V698" s="772"/>
      <c r="W698" s="772"/>
      <c r="X698" s="772"/>
      <c r="Y698" s="772"/>
      <c r="Z698" s="772"/>
      <c r="AA698" s="772"/>
      <c r="AB698" s="772"/>
      <c r="AC698" s="772"/>
      <c r="AD698" s="772"/>
      <c r="AE698" s="772"/>
      <c r="AF698" s="772"/>
      <c r="AG698" s="772"/>
      <c r="AH698" s="772"/>
    </row>
    <row r="699" ht="15.75" customHeight="1">
      <c r="A699" s="815"/>
      <c r="B699" s="782"/>
      <c r="C699" s="782"/>
      <c r="D699" s="782"/>
      <c r="E699" s="816"/>
      <c r="F699" s="816"/>
      <c r="G699" s="817"/>
      <c r="H699" s="817"/>
      <c r="I699" s="818"/>
      <c r="J699" s="772"/>
      <c r="K699" s="772"/>
      <c r="L699" s="772"/>
      <c r="M699" s="772"/>
      <c r="N699" s="772"/>
      <c r="O699" s="772"/>
      <c r="P699" s="772"/>
      <c r="Q699" s="772"/>
      <c r="R699" s="772"/>
      <c r="S699" s="772"/>
      <c r="T699" s="772"/>
      <c r="U699" s="772"/>
      <c r="V699" s="772"/>
      <c r="W699" s="772"/>
      <c r="X699" s="772"/>
      <c r="Y699" s="772"/>
      <c r="Z699" s="772"/>
      <c r="AA699" s="772"/>
      <c r="AB699" s="772"/>
      <c r="AC699" s="772"/>
      <c r="AD699" s="772"/>
      <c r="AE699" s="772"/>
      <c r="AF699" s="772"/>
      <c r="AG699" s="772"/>
      <c r="AH699" s="772"/>
    </row>
    <row r="700" ht="15.75" customHeight="1">
      <c r="A700" s="815"/>
      <c r="B700" s="782"/>
      <c r="C700" s="782"/>
      <c r="D700" s="782"/>
      <c r="E700" s="816"/>
      <c r="F700" s="816"/>
      <c r="G700" s="817"/>
      <c r="H700" s="817"/>
      <c r="I700" s="818"/>
      <c r="J700" s="772"/>
      <c r="K700" s="772"/>
      <c r="L700" s="772"/>
      <c r="M700" s="772"/>
      <c r="N700" s="772"/>
      <c r="O700" s="772"/>
      <c r="P700" s="772"/>
      <c r="Q700" s="772"/>
      <c r="R700" s="772"/>
      <c r="S700" s="772"/>
      <c r="T700" s="772"/>
      <c r="U700" s="772"/>
      <c r="V700" s="772"/>
      <c r="W700" s="772"/>
      <c r="X700" s="772"/>
      <c r="Y700" s="772"/>
      <c r="Z700" s="772"/>
      <c r="AA700" s="772"/>
      <c r="AB700" s="772"/>
      <c r="AC700" s="772"/>
      <c r="AD700" s="772"/>
      <c r="AE700" s="772"/>
      <c r="AF700" s="772"/>
      <c r="AG700" s="772"/>
      <c r="AH700" s="772"/>
    </row>
    <row r="701" ht="15.75" customHeight="1">
      <c r="A701" s="815"/>
      <c r="B701" s="782"/>
      <c r="C701" s="782"/>
      <c r="D701" s="782"/>
      <c r="E701" s="816"/>
      <c r="F701" s="816"/>
      <c r="G701" s="817"/>
      <c r="H701" s="817"/>
      <c r="I701" s="818"/>
      <c r="J701" s="772"/>
      <c r="K701" s="772"/>
      <c r="L701" s="772"/>
      <c r="M701" s="772"/>
      <c r="N701" s="772"/>
      <c r="O701" s="772"/>
      <c r="P701" s="772"/>
      <c r="Q701" s="772"/>
      <c r="R701" s="772"/>
      <c r="S701" s="772"/>
      <c r="T701" s="772"/>
      <c r="U701" s="772"/>
      <c r="V701" s="772"/>
      <c r="W701" s="772"/>
      <c r="X701" s="772"/>
      <c r="Y701" s="772"/>
      <c r="Z701" s="772"/>
      <c r="AA701" s="772"/>
      <c r="AB701" s="772"/>
      <c r="AC701" s="772"/>
      <c r="AD701" s="772"/>
      <c r="AE701" s="772"/>
      <c r="AF701" s="772"/>
      <c r="AG701" s="772"/>
      <c r="AH701" s="772"/>
    </row>
    <row r="702" ht="15.75" customHeight="1">
      <c r="A702" s="815"/>
      <c r="B702" s="782"/>
      <c r="C702" s="782"/>
      <c r="D702" s="782"/>
      <c r="E702" s="816"/>
      <c r="F702" s="816"/>
      <c r="G702" s="817"/>
      <c r="H702" s="817"/>
      <c r="I702" s="818"/>
      <c r="J702" s="772"/>
      <c r="K702" s="772"/>
      <c r="L702" s="772"/>
      <c r="M702" s="772"/>
      <c r="N702" s="772"/>
      <c r="O702" s="772"/>
      <c r="P702" s="772"/>
      <c r="Q702" s="772"/>
      <c r="R702" s="772"/>
      <c r="S702" s="772"/>
      <c r="T702" s="772"/>
      <c r="U702" s="772"/>
      <c r="V702" s="772"/>
      <c r="W702" s="772"/>
      <c r="X702" s="772"/>
      <c r="Y702" s="772"/>
      <c r="Z702" s="772"/>
      <c r="AA702" s="772"/>
      <c r="AB702" s="772"/>
      <c r="AC702" s="772"/>
      <c r="AD702" s="772"/>
      <c r="AE702" s="772"/>
      <c r="AF702" s="772"/>
      <c r="AG702" s="772"/>
      <c r="AH702" s="772"/>
    </row>
    <row r="703" ht="15.75" customHeight="1">
      <c r="A703" s="815"/>
      <c r="B703" s="782"/>
      <c r="C703" s="782"/>
      <c r="D703" s="782"/>
      <c r="E703" s="816"/>
      <c r="F703" s="816"/>
      <c r="G703" s="817"/>
      <c r="H703" s="817"/>
      <c r="I703" s="818"/>
      <c r="J703" s="772"/>
      <c r="K703" s="772"/>
      <c r="L703" s="772"/>
      <c r="M703" s="772"/>
      <c r="N703" s="772"/>
      <c r="O703" s="772"/>
      <c r="P703" s="772"/>
      <c r="Q703" s="772"/>
      <c r="R703" s="772"/>
      <c r="S703" s="772"/>
      <c r="T703" s="772"/>
      <c r="U703" s="772"/>
      <c r="V703" s="772"/>
      <c r="W703" s="772"/>
      <c r="X703" s="772"/>
      <c r="Y703" s="772"/>
      <c r="Z703" s="772"/>
      <c r="AA703" s="772"/>
      <c r="AB703" s="772"/>
      <c r="AC703" s="772"/>
      <c r="AD703" s="772"/>
      <c r="AE703" s="772"/>
      <c r="AF703" s="772"/>
      <c r="AG703" s="772"/>
      <c r="AH703" s="772"/>
    </row>
    <row r="704" ht="15.75" customHeight="1">
      <c r="A704" s="815"/>
      <c r="B704" s="782"/>
      <c r="C704" s="782"/>
      <c r="D704" s="782"/>
      <c r="E704" s="816"/>
      <c r="F704" s="816"/>
      <c r="G704" s="817"/>
      <c r="H704" s="817"/>
      <c r="I704" s="818"/>
      <c r="J704" s="772"/>
      <c r="K704" s="772"/>
      <c r="L704" s="772"/>
      <c r="M704" s="772"/>
      <c r="N704" s="772"/>
      <c r="O704" s="772"/>
      <c r="P704" s="772"/>
      <c r="Q704" s="772"/>
      <c r="R704" s="772"/>
      <c r="S704" s="772"/>
      <c r="T704" s="772"/>
      <c r="U704" s="772"/>
      <c r="V704" s="772"/>
      <c r="W704" s="772"/>
      <c r="X704" s="772"/>
      <c r="Y704" s="772"/>
      <c r="Z704" s="772"/>
      <c r="AA704" s="772"/>
      <c r="AB704" s="772"/>
      <c r="AC704" s="772"/>
      <c r="AD704" s="772"/>
      <c r="AE704" s="772"/>
      <c r="AF704" s="772"/>
      <c r="AG704" s="772"/>
      <c r="AH704" s="772"/>
    </row>
    <row r="705" ht="15.75" customHeight="1">
      <c r="A705" s="815"/>
      <c r="B705" s="782"/>
      <c r="C705" s="782"/>
      <c r="D705" s="782"/>
      <c r="E705" s="816"/>
      <c r="F705" s="816"/>
      <c r="G705" s="817"/>
      <c r="H705" s="817"/>
      <c r="I705" s="818"/>
      <c r="J705" s="772"/>
      <c r="K705" s="772"/>
      <c r="L705" s="772"/>
      <c r="M705" s="772"/>
      <c r="N705" s="772"/>
      <c r="O705" s="772"/>
      <c r="P705" s="772"/>
      <c r="Q705" s="772"/>
      <c r="R705" s="772"/>
      <c r="S705" s="772"/>
      <c r="T705" s="772"/>
      <c r="U705" s="772"/>
      <c r="V705" s="772"/>
      <c r="W705" s="772"/>
      <c r="X705" s="772"/>
      <c r="Y705" s="772"/>
      <c r="Z705" s="772"/>
      <c r="AA705" s="772"/>
      <c r="AB705" s="772"/>
      <c r="AC705" s="772"/>
      <c r="AD705" s="772"/>
      <c r="AE705" s="772"/>
      <c r="AF705" s="772"/>
      <c r="AG705" s="772"/>
      <c r="AH705" s="772"/>
    </row>
    <row r="706" ht="15.75" customHeight="1">
      <c r="A706" s="815"/>
      <c r="B706" s="782"/>
      <c r="C706" s="782"/>
      <c r="D706" s="782"/>
      <c r="E706" s="816"/>
      <c r="F706" s="816"/>
      <c r="G706" s="817"/>
      <c r="H706" s="817"/>
      <c r="I706" s="818"/>
      <c r="J706" s="772"/>
      <c r="K706" s="772"/>
      <c r="L706" s="772"/>
      <c r="M706" s="772"/>
      <c r="N706" s="772"/>
      <c r="O706" s="772"/>
      <c r="P706" s="772"/>
      <c r="Q706" s="772"/>
      <c r="R706" s="772"/>
      <c r="S706" s="772"/>
      <c r="T706" s="772"/>
      <c r="U706" s="772"/>
      <c r="V706" s="772"/>
      <c r="W706" s="772"/>
      <c r="X706" s="772"/>
      <c r="Y706" s="772"/>
      <c r="Z706" s="772"/>
      <c r="AA706" s="772"/>
      <c r="AB706" s="772"/>
      <c r="AC706" s="772"/>
      <c r="AD706" s="772"/>
      <c r="AE706" s="772"/>
      <c r="AF706" s="772"/>
      <c r="AG706" s="772"/>
      <c r="AH706" s="772"/>
    </row>
    <row r="707" ht="15.75" customHeight="1">
      <c r="A707" s="815"/>
      <c r="B707" s="782"/>
      <c r="C707" s="782"/>
      <c r="D707" s="782"/>
      <c r="E707" s="816"/>
      <c r="F707" s="816"/>
      <c r="G707" s="817"/>
      <c r="H707" s="817"/>
      <c r="I707" s="818"/>
      <c r="J707" s="772"/>
      <c r="K707" s="772"/>
      <c r="L707" s="772"/>
      <c r="M707" s="772"/>
      <c r="N707" s="772"/>
      <c r="O707" s="772"/>
      <c r="P707" s="772"/>
      <c r="Q707" s="772"/>
      <c r="R707" s="772"/>
      <c r="S707" s="772"/>
      <c r="T707" s="772"/>
      <c r="U707" s="772"/>
      <c r="V707" s="772"/>
      <c r="W707" s="772"/>
      <c r="X707" s="772"/>
      <c r="Y707" s="772"/>
      <c r="Z707" s="772"/>
      <c r="AA707" s="772"/>
      <c r="AB707" s="772"/>
      <c r="AC707" s="772"/>
      <c r="AD707" s="772"/>
      <c r="AE707" s="772"/>
      <c r="AF707" s="772"/>
      <c r="AG707" s="772"/>
      <c r="AH707" s="772"/>
    </row>
    <row r="708" ht="15.75" customHeight="1">
      <c r="A708" s="815"/>
      <c r="B708" s="782"/>
      <c r="C708" s="782"/>
      <c r="D708" s="782"/>
      <c r="E708" s="816"/>
      <c r="F708" s="816"/>
      <c r="G708" s="817"/>
      <c r="H708" s="817"/>
      <c r="I708" s="818"/>
      <c r="J708" s="772"/>
      <c r="K708" s="772"/>
      <c r="L708" s="772"/>
      <c r="M708" s="772"/>
      <c r="N708" s="772"/>
      <c r="O708" s="772"/>
      <c r="P708" s="772"/>
      <c r="Q708" s="772"/>
      <c r="R708" s="772"/>
      <c r="S708" s="772"/>
      <c r="T708" s="772"/>
      <c r="U708" s="772"/>
      <c r="V708" s="772"/>
      <c r="W708" s="772"/>
      <c r="X708" s="772"/>
      <c r="Y708" s="772"/>
      <c r="Z708" s="772"/>
      <c r="AA708" s="772"/>
      <c r="AB708" s="772"/>
      <c r="AC708" s="772"/>
      <c r="AD708" s="772"/>
      <c r="AE708" s="772"/>
      <c r="AF708" s="772"/>
      <c r="AG708" s="772"/>
      <c r="AH708" s="772"/>
    </row>
    <row r="709" ht="15.75" customHeight="1">
      <c r="A709" s="815"/>
      <c r="B709" s="782"/>
      <c r="C709" s="782"/>
      <c r="D709" s="782"/>
      <c r="E709" s="816"/>
      <c r="F709" s="816"/>
      <c r="G709" s="817"/>
      <c r="H709" s="817"/>
      <c r="I709" s="818"/>
      <c r="J709" s="772"/>
      <c r="K709" s="772"/>
      <c r="L709" s="772"/>
      <c r="M709" s="772"/>
      <c r="N709" s="772"/>
      <c r="O709" s="772"/>
      <c r="P709" s="772"/>
      <c r="Q709" s="772"/>
      <c r="R709" s="772"/>
      <c r="S709" s="772"/>
      <c r="T709" s="772"/>
      <c r="U709" s="772"/>
      <c r="V709" s="772"/>
      <c r="W709" s="772"/>
      <c r="X709" s="772"/>
      <c r="Y709" s="772"/>
      <c r="Z709" s="772"/>
      <c r="AA709" s="772"/>
      <c r="AB709" s="772"/>
      <c r="AC709" s="772"/>
      <c r="AD709" s="772"/>
      <c r="AE709" s="772"/>
      <c r="AF709" s="772"/>
      <c r="AG709" s="772"/>
      <c r="AH709" s="772"/>
    </row>
    <row r="710" ht="15.75" customHeight="1">
      <c r="A710" s="815"/>
      <c r="B710" s="782"/>
      <c r="C710" s="782"/>
      <c r="D710" s="782"/>
      <c r="E710" s="816"/>
      <c r="F710" s="816"/>
      <c r="G710" s="817"/>
      <c r="H710" s="817"/>
      <c r="I710" s="818"/>
      <c r="J710" s="772"/>
      <c r="K710" s="772"/>
      <c r="L710" s="772"/>
      <c r="M710" s="772"/>
      <c r="N710" s="772"/>
      <c r="O710" s="772"/>
      <c r="P710" s="772"/>
      <c r="Q710" s="772"/>
      <c r="R710" s="772"/>
      <c r="S710" s="772"/>
      <c r="T710" s="772"/>
      <c r="U710" s="772"/>
      <c r="V710" s="772"/>
      <c r="W710" s="772"/>
      <c r="X710" s="772"/>
      <c r="Y710" s="772"/>
      <c r="Z710" s="772"/>
      <c r="AA710" s="772"/>
      <c r="AB710" s="772"/>
      <c r="AC710" s="772"/>
      <c r="AD710" s="772"/>
      <c r="AE710" s="772"/>
      <c r="AF710" s="772"/>
      <c r="AG710" s="772"/>
      <c r="AH710" s="772"/>
    </row>
    <row r="711" ht="15.75" customHeight="1">
      <c r="A711" s="815"/>
      <c r="B711" s="782"/>
      <c r="C711" s="782"/>
      <c r="D711" s="782"/>
      <c r="E711" s="816"/>
      <c r="F711" s="816"/>
      <c r="G711" s="817"/>
      <c r="H711" s="817"/>
      <c r="I711" s="818"/>
      <c r="J711" s="772"/>
      <c r="K711" s="772"/>
      <c r="L711" s="772"/>
      <c r="M711" s="772"/>
      <c r="N711" s="772"/>
      <c r="O711" s="772"/>
      <c r="P711" s="772"/>
      <c r="Q711" s="772"/>
      <c r="R711" s="772"/>
      <c r="S711" s="772"/>
      <c r="T711" s="772"/>
      <c r="U711" s="772"/>
      <c r="V711" s="772"/>
      <c r="W711" s="772"/>
      <c r="X711" s="772"/>
      <c r="Y711" s="772"/>
      <c r="Z711" s="772"/>
      <c r="AA711" s="772"/>
      <c r="AB711" s="772"/>
      <c r="AC711" s="772"/>
      <c r="AD711" s="772"/>
      <c r="AE711" s="772"/>
      <c r="AF711" s="772"/>
      <c r="AG711" s="772"/>
      <c r="AH711" s="772"/>
    </row>
    <row r="712" ht="15.75" customHeight="1">
      <c r="A712" s="815"/>
      <c r="B712" s="782"/>
      <c r="C712" s="782"/>
      <c r="D712" s="782"/>
      <c r="E712" s="816"/>
      <c r="F712" s="816"/>
      <c r="G712" s="817"/>
      <c r="H712" s="817"/>
      <c r="I712" s="818"/>
      <c r="J712" s="772"/>
      <c r="K712" s="772"/>
      <c r="L712" s="772"/>
      <c r="M712" s="772"/>
      <c r="N712" s="772"/>
      <c r="O712" s="772"/>
      <c r="P712" s="772"/>
      <c r="Q712" s="772"/>
      <c r="R712" s="772"/>
      <c r="S712" s="772"/>
      <c r="T712" s="772"/>
      <c r="U712" s="772"/>
      <c r="V712" s="772"/>
      <c r="W712" s="772"/>
      <c r="X712" s="772"/>
      <c r="Y712" s="772"/>
      <c r="Z712" s="772"/>
      <c r="AA712" s="772"/>
      <c r="AB712" s="772"/>
      <c r="AC712" s="772"/>
      <c r="AD712" s="772"/>
      <c r="AE712" s="772"/>
      <c r="AF712" s="772"/>
      <c r="AG712" s="772"/>
      <c r="AH712" s="772"/>
    </row>
    <row r="713" ht="15.75" customHeight="1">
      <c r="A713" s="815"/>
      <c r="B713" s="782"/>
      <c r="C713" s="782"/>
      <c r="D713" s="782"/>
      <c r="E713" s="816"/>
      <c r="F713" s="816"/>
      <c r="G713" s="817"/>
      <c r="H713" s="817"/>
      <c r="I713" s="818"/>
      <c r="J713" s="772"/>
      <c r="K713" s="772"/>
      <c r="L713" s="772"/>
      <c r="M713" s="772"/>
      <c r="N713" s="772"/>
      <c r="O713" s="772"/>
      <c r="P713" s="772"/>
      <c r="Q713" s="772"/>
      <c r="R713" s="772"/>
      <c r="S713" s="772"/>
      <c r="T713" s="772"/>
      <c r="U713" s="772"/>
      <c r="V713" s="772"/>
      <c r="W713" s="772"/>
      <c r="X713" s="772"/>
      <c r="Y713" s="772"/>
      <c r="Z713" s="772"/>
      <c r="AA713" s="772"/>
      <c r="AB713" s="772"/>
      <c r="AC713" s="772"/>
      <c r="AD713" s="772"/>
      <c r="AE713" s="772"/>
      <c r="AF713" s="772"/>
      <c r="AG713" s="772"/>
      <c r="AH713" s="772"/>
    </row>
    <row r="714" ht="15.75" customHeight="1">
      <c r="A714" s="815"/>
      <c r="B714" s="782"/>
      <c r="C714" s="782"/>
      <c r="D714" s="782"/>
      <c r="E714" s="816"/>
      <c r="F714" s="816"/>
      <c r="G714" s="817"/>
      <c r="H714" s="817"/>
      <c r="I714" s="818"/>
      <c r="J714" s="772"/>
      <c r="K714" s="772"/>
      <c r="L714" s="772"/>
      <c r="M714" s="772"/>
      <c r="N714" s="772"/>
      <c r="O714" s="772"/>
      <c r="P714" s="772"/>
      <c r="Q714" s="772"/>
      <c r="R714" s="772"/>
      <c r="S714" s="772"/>
      <c r="T714" s="772"/>
      <c r="U714" s="772"/>
      <c r="V714" s="772"/>
      <c r="W714" s="772"/>
      <c r="X714" s="772"/>
      <c r="Y714" s="772"/>
      <c r="Z714" s="772"/>
      <c r="AA714" s="772"/>
      <c r="AB714" s="772"/>
      <c r="AC714" s="772"/>
      <c r="AD714" s="772"/>
      <c r="AE714" s="772"/>
      <c r="AF714" s="772"/>
      <c r="AG714" s="772"/>
      <c r="AH714" s="772"/>
    </row>
    <row r="715" ht="15.75" customHeight="1">
      <c r="A715" s="815"/>
      <c r="B715" s="782"/>
      <c r="C715" s="782"/>
      <c r="D715" s="782"/>
      <c r="E715" s="816"/>
      <c r="F715" s="816"/>
      <c r="G715" s="817"/>
      <c r="H715" s="817"/>
      <c r="I715" s="818"/>
      <c r="J715" s="772"/>
      <c r="K715" s="772"/>
      <c r="L715" s="772"/>
      <c r="M715" s="772"/>
      <c r="N715" s="772"/>
      <c r="O715" s="772"/>
      <c r="P715" s="772"/>
      <c r="Q715" s="772"/>
      <c r="R715" s="772"/>
      <c r="S715" s="772"/>
      <c r="T715" s="772"/>
      <c r="U715" s="772"/>
      <c r="V715" s="772"/>
      <c r="W715" s="772"/>
      <c r="X715" s="772"/>
      <c r="Y715" s="772"/>
      <c r="Z715" s="772"/>
      <c r="AA715" s="772"/>
      <c r="AB715" s="772"/>
      <c r="AC715" s="772"/>
      <c r="AD715" s="772"/>
      <c r="AE715" s="772"/>
      <c r="AF715" s="772"/>
      <c r="AG715" s="772"/>
      <c r="AH715" s="772"/>
    </row>
    <row r="716" ht="15.75" customHeight="1">
      <c r="A716" s="815"/>
      <c r="B716" s="782"/>
      <c r="C716" s="782"/>
      <c r="D716" s="782"/>
      <c r="E716" s="816"/>
      <c r="F716" s="816"/>
      <c r="G716" s="817"/>
      <c r="H716" s="817"/>
      <c r="I716" s="818"/>
      <c r="J716" s="772"/>
      <c r="K716" s="772"/>
      <c r="L716" s="772"/>
      <c r="M716" s="772"/>
      <c r="N716" s="772"/>
      <c r="O716" s="772"/>
      <c r="P716" s="772"/>
      <c r="Q716" s="772"/>
      <c r="R716" s="772"/>
      <c r="S716" s="772"/>
      <c r="T716" s="772"/>
      <c r="U716" s="772"/>
      <c r="V716" s="772"/>
      <c r="W716" s="772"/>
      <c r="X716" s="772"/>
      <c r="Y716" s="772"/>
      <c r="Z716" s="772"/>
      <c r="AA716" s="772"/>
      <c r="AB716" s="772"/>
      <c r="AC716" s="772"/>
      <c r="AD716" s="772"/>
      <c r="AE716" s="772"/>
      <c r="AF716" s="772"/>
      <c r="AG716" s="772"/>
      <c r="AH716" s="772"/>
    </row>
    <row r="717" ht="15.75" customHeight="1">
      <c r="A717" s="815"/>
      <c r="B717" s="782"/>
      <c r="C717" s="782"/>
      <c r="D717" s="782"/>
      <c r="E717" s="816"/>
      <c r="F717" s="816"/>
      <c r="G717" s="817"/>
      <c r="H717" s="817"/>
      <c r="I717" s="818"/>
      <c r="J717" s="772"/>
      <c r="K717" s="772"/>
      <c r="L717" s="772"/>
      <c r="M717" s="772"/>
      <c r="N717" s="772"/>
      <c r="O717" s="772"/>
      <c r="P717" s="772"/>
      <c r="Q717" s="772"/>
      <c r="R717" s="772"/>
      <c r="S717" s="772"/>
      <c r="T717" s="772"/>
      <c r="U717" s="772"/>
      <c r="V717" s="772"/>
      <c r="W717" s="772"/>
      <c r="X717" s="772"/>
      <c r="Y717" s="772"/>
      <c r="Z717" s="772"/>
      <c r="AA717" s="772"/>
      <c r="AB717" s="772"/>
      <c r="AC717" s="772"/>
      <c r="AD717" s="772"/>
      <c r="AE717" s="772"/>
      <c r="AF717" s="772"/>
      <c r="AG717" s="772"/>
      <c r="AH717" s="772"/>
    </row>
    <row r="718" ht="15.75" customHeight="1">
      <c r="A718" s="815"/>
      <c r="B718" s="782"/>
      <c r="C718" s="782"/>
      <c r="D718" s="782"/>
      <c r="E718" s="816"/>
      <c r="F718" s="816"/>
      <c r="G718" s="817"/>
      <c r="H718" s="817"/>
      <c r="I718" s="818"/>
      <c r="J718" s="772"/>
      <c r="K718" s="772"/>
      <c r="L718" s="772"/>
      <c r="M718" s="772"/>
      <c r="N718" s="772"/>
      <c r="O718" s="772"/>
      <c r="P718" s="772"/>
      <c r="Q718" s="772"/>
      <c r="R718" s="772"/>
      <c r="S718" s="772"/>
      <c r="T718" s="772"/>
      <c r="U718" s="772"/>
      <c r="V718" s="772"/>
      <c r="W718" s="772"/>
      <c r="X718" s="772"/>
      <c r="Y718" s="772"/>
      <c r="Z718" s="772"/>
      <c r="AA718" s="772"/>
      <c r="AB718" s="772"/>
      <c r="AC718" s="772"/>
      <c r="AD718" s="772"/>
      <c r="AE718" s="772"/>
      <c r="AF718" s="772"/>
      <c r="AG718" s="772"/>
      <c r="AH718" s="772"/>
    </row>
    <row r="719" ht="15.75" customHeight="1">
      <c r="A719" s="815"/>
      <c r="B719" s="782"/>
      <c r="C719" s="782"/>
      <c r="D719" s="782"/>
      <c r="E719" s="816"/>
      <c r="F719" s="816"/>
      <c r="G719" s="817"/>
      <c r="H719" s="817"/>
      <c r="I719" s="818"/>
      <c r="J719" s="772"/>
      <c r="K719" s="772"/>
      <c r="L719" s="772"/>
      <c r="M719" s="772"/>
      <c r="N719" s="772"/>
      <c r="O719" s="772"/>
      <c r="P719" s="772"/>
      <c r="Q719" s="772"/>
      <c r="R719" s="772"/>
      <c r="S719" s="772"/>
      <c r="T719" s="772"/>
      <c r="U719" s="772"/>
      <c r="V719" s="772"/>
      <c r="W719" s="772"/>
      <c r="X719" s="772"/>
      <c r="Y719" s="772"/>
      <c r="Z719" s="772"/>
      <c r="AA719" s="772"/>
      <c r="AB719" s="772"/>
      <c r="AC719" s="772"/>
      <c r="AD719" s="772"/>
      <c r="AE719" s="772"/>
      <c r="AF719" s="772"/>
      <c r="AG719" s="772"/>
      <c r="AH719" s="772"/>
    </row>
    <row r="720" ht="15.75" customHeight="1">
      <c r="A720" s="815"/>
      <c r="B720" s="782"/>
      <c r="C720" s="782"/>
      <c r="D720" s="782"/>
      <c r="E720" s="816"/>
      <c r="F720" s="816"/>
      <c r="G720" s="817"/>
      <c r="H720" s="817"/>
      <c r="I720" s="818"/>
      <c r="J720" s="772"/>
      <c r="K720" s="772"/>
      <c r="L720" s="772"/>
      <c r="M720" s="772"/>
      <c r="N720" s="772"/>
      <c r="O720" s="772"/>
      <c r="P720" s="772"/>
      <c r="Q720" s="772"/>
      <c r="R720" s="772"/>
      <c r="S720" s="772"/>
      <c r="T720" s="772"/>
      <c r="U720" s="772"/>
      <c r="V720" s="772"/>
      <c r="W720" s="772"/>
      <c r="X720" s="772"/>
      <c r="Y720" s="772"/>
      <c r="Z720" s="772"/>
      <c r="AA720" s="772"/>
      <c r="AB720" s="772"/>
      <c r="AC720" s="772"/>
      <c r="AD720" s="772"/>
      <c r="AE720" s="772"/>
      <c r="AF720" s="772"/>
      <c r="AG720" s="772"/>
      <c r="AH720" s="772"/>
    </row>
    <row r="721" ht="15.75" customHeight="1">
      <c r="A721" s="815"/>
      <c r="B721" s="782"/>
      <c r="C721" s="782"/>
      <c r="D721" s="782"/>
      <c r="E721" s="816"/>
      <c r="F721" s="816"/>
      <c r="G721" s="817"/>
      <c r="H721" s="817"/>
      <c r="I721" s="818"/>
      <c r="J721" s="772"/>
      <c r="K721" s="772"/>
      <c r="L721" s="772"/>
      <c r="M721" s="772"/>
      <c r="N721" s="772"/>
      <c r="O721" s="772"/>
      <c r="P721" s="772"/>
      <c r="Q721" s="772"/>
      <c r="R721" s="772"/>
      <c r="S721" s="772"/>
      <c r="T721" s="772"/>
      <c r="U721" s="772"/>
      <c r="V721" s="772"/>
      <c r="W721" s="772"/>
      <c r="X721" s="772"/>
      <c r="Y721" s="772"/>
      <c r="Z721" s="772"/>
      <c r="AA721" s="772"/>
      <c r="AB721" s="772"/>
      <c r="AC721" s="772"/>
      <c r="AD721" s="772"/>
      <c r="AE721" s="772"/>
      <c r="AF721" s="772"/>
      <c r="AG721" s="772"/>
      <c r="AH721" s="772"/>
    </row>
    <row r="722" ht="15.75" customHeight="1">
      <c r="A722" s="815"/>
      <c r="B722" s="782"/>
      <c r="C722" s="782"/>
      <c r="D722" s="782"/>
      <c r="E722" s="816"/>
      <c r="F722" s="816"/>
      <c r="G722" s="817"/>
      <c r="H722" s="817"/>
      <c r="I722" s="818"/>
      <c r="J722" s="772"/>
      <c r="K722" s="772"/>
      <c r="L722" s="772"/>
      <c r="M722" s="772"/>
      <c r="N722" s="772"/>
      <c r="O722" s="772"/>
      <c r="P722" s="772"/>
      <c r="Q722" s="772"/>
      <c r="R722" s="772"/>
      <c r="S722" s="772"/>
      <c r="T722" s="772"/>
      <c r="U722" s="772"/>
      <c r="V722" s="772"/>
      <c r="W722" s="772"/>
      <c r="X722" s="772"/>
      <c r="Y722" s="772"/>
      <c r="Z722" s="772"/>
      <c r="AA722" s="772"/>
      <c r="AB722" s="772"/>
      <c r="AC722" s="772"/>
      <c r="AD722" s="772"/>
      <c r="AE722" s="772"/>
      <c r="AF722" s="772"/>
      <c r="AG722" s="772"/>
      <c r="AH722" s="772"/>
    </row>
    <row r="723" ht="15.75" customHeight="1">
      <c r="A723" s="815"/>
      <c r="B723" s="782"/>
      <c r="C723" s="782"/>
      <c r="D723" s="782"/>
      <c r="E723" s="816"/>
      <c r="F723" s="816"/>
      <c r="G723" s="817"/>
      <c r="H723" s="817"/>
      <c r="I723" s="818"/>
      <c r="J723" s="772"/>
      <c r="K723" s="772"/>
      <c r="L723" s="772"/>
      <c r="M723" s="772"/>
      <c r="N723" s="772"/>
      <c r="O723" s="772"/>
      <c r="P723" s="772"/>
      <c r="Q723" s="772"/>
      <c r="R723" s="772"/>
      <c r="S723" s="772"/>
      <c r="T723" s="772"/>
      <c r="U723" s="772"/>
      <c r="V723" s="772"/>
      <c r="W723" s="772"/>
      <c r="X723" s="772"/>
      <c r="Y723" s="772"/>
      <c r="Z723" s="772"/>
      <c r="AA723" s="772"/>
      <c r="AB723" s="772"/>
      <c r="AC723" s="772"/>
      <c r="AD723" s="772"/>
      <c r="AE723" s="772"/>
      <c r="AF723" s="772"/>
      <c r="AG723" s="772"/>
      <c r="AH723" s="772"/>
    </row>
    <row r="724" ht="15.75" customHeight="1">
      <c r="A724" s="815"/>
      <c r="B724" s="782"/>
      <c r="C724" s="782"/>
      <c r="D724" s="782"/>
      <c r="E724" s="816"/>
      <c r="F724" s="816"/>
      <c r="G724" s="817"/>
      <c r="H724" s="817"/>
      <c r="I724" s="818"/>
      <c r="J724" s="772"/>
      <c r="K724" s="772"/>
      <c r="L724" s="772"/>
      <c r="M724" s="772"/>
      <c r="N724" s="772"/>
      <c r="O724" s="772"/>
      <c r="P724" s="772"/>
      <c r="Q724" s="772"/>
      <c r="R724" s="772"/>
      <c r="S724" s="772"/>
      <c r="T724" s="772"/>
      <c r="U724" s="772"/>
      <c r="V724" s="772"/>
      <c r="W724" s="772"/>
      <c r="X724" s="772"/>
      <c r="Y724" s="772"/>
      <c r="Z724" s="772"/>
      <c r="AA724" s="772"/>
      <c r="AB724" s="772"/>
      <c r="AC724" s="772"/>
      <c r="AD724" s="772"/>
      <c r="AE724" s="772"/>
      <c r="AF724" s="772"/>
      <c r="AG724" s="772"/>
      <c r="AH724" s="772"/>
    </row>
    <row r="725" ht="15.75" customHeight="1">
      <c r="A725" s="815"/>
      <c r="B725" s="782"/>
      <c r="C725" s="782"/>
      <c r="D725" s="782"/>
      <c r="E725" s="816"/>
      <c r="F725" s="816"/>
      <c r="G725" s="817"/>
      <c r="H725" s="817"/>
      <c r="I725" s="818"/>
      <c r="J725" s="772"/>
      <c r="K725" s="772"/>
      <c r="L725" s="772"/>
      <c r="M725" s="772"/>
      <c r="N725" s="772"/>
      <c r="O725" s="772"/>
      <c r="P725" s="772"/>
      <c r="Q725" s="772"/>
      <c r="R725" s="772"/>
      <c r="S725" s="772"/>
      <c r="T725" s="772"/>
      <c r="U725" s="772"/>
      <c r="V725" s="772"/>
      <c r="W725" s="772"/>
      <c r="X725" s="772"/>
      <c r="Y725" s="772"/>
      <c r="Z725" s="772"/>
      <c r="AA725" s="772"/>
      <c r="AB725" s="772"/>
      <c r="AC725" s="772"/>
      <c r="AD725" s="772"/>
      <c r="AE725" s="772"/>
      <c r="AF725" s="772"/>
      <c r="AG725" s="772"/>
      <c r="AH725" s="772"/>
    </row>
    <row r="726" ht="15.75" customHeight="1">
      <c r="A726" s="815"/>
      <c r="B726" s="782"/>
      <c r="C726" s="782"/>
      <c r="D726" s="782"/>
      <c r="E726" s="816"/>
      <c r="F726" s="816"/>
      <c r="G726" s="817"/>
      <c r="H726" s="817"/>
      <c r="I726" s="818"/>
      <c r="J726" s="772"/>
      <c r="K726" s="772"/>
      <c r="L726" s="772"/>
      <c r="M726" s="772"/>
      <c r="N726" s="772"/>
      <c r="O726" s="772"/>
      <c r="P726" s="772"/>
      <c r="Q726" s="772"/>
      <c r="R726" s="772"/>
      <c r="S726" s="772"/>
      <c r="T726" s="772"/>
      <c r="U726" s="772"/>
      <c r="V726" s="772"/>
      <c r="W726" s="772"/>
      <c r="X726" s="772"/>
      <c r="Y726" s="772"/>
      <c r="Z726" s="772"/>
      <c r="AA726" s="772"/>
      <c r="AB726" s="772"/>
      <c r="AC726" s="772"/>
      <c r="AD726" s="772"/>
      <c r="AE726" s="772"/>
      <c r="AF726" s="772"/>
      <c r="AG726" s="772"/>
      <c r="AH726" s="772"/>
    </row>
    <row r="727" ht="15.75" customHeight="1">
      <c r="A727" s="815"/>
      <c r="B727" s="782"/>
      <c r="C727" s="782"/>
      <c r="D727" s="782"/>
      <c r="E727" s="816"/>
      <c r="F727" s="816"/>
      <c r="G727" s="817"/>
      <c r="H727" s="817"/>
      <c r="I727" s="818"/>
      <c r="J727" s="772"/>
      <c r="K727" s="772"/>
      <c r="L727" s="772"/>
      <c r="M727" s="772"/>
      <c r="N727" s="772"/>
      <c r="O727" s="772"/>
      <c r="P727" s="772"/>
      <c r="Q727" s="772"/>
      <c r="R727" s="772"/>
      <c r="S727" s="772"/>
      <c r="T727" s="772"/>
      <c r="U727" s="772"/>
      <c r="V727" s="772"/>
      <c r="W727" s="772"/>
      <c r="X727" s="772"/>
      <c r="Y727" s="772"/>
      <c r="Z727" s="772"/>
      <c r="AA727" s="772"/>
      <c r="AB727" s="772"/>
      <c r="AC727" s="772"/>
      <c r="AD727" s="772"/>
      <c r="AE727" s="772"/>
      <c r="AF727" s="772"/>
      <c r="AG727" s="772"/>
      <c r="AH727" s="772"/>
    </row>
    <row r="728" ht="15.75" customHeight="1">
      <c r="A728" s="815"/>
      <c r="B728" s="782"/>
      <c r="C728" s="782"/>
      <c r="D728" s="782"/>
      <c r="E728" s="816"/>
      <c r="F728" s="816"/>
      <c r="G728" s="817"/>
      <c r="H728" s="817"/>
      <c r="I728" s="818"/>
      <c r="J728" s="772"/>
      <c r="K728" s="772"/>
      <c r="L728" s="772"/>
      <c r="M728" s="772"/>
      <c r="N728" s="772"/>
      <c r="O728" s="772"/>
      <c r="P728" s="772"/>
      <c r="Q728" s="772"/>
      <c r="R728" s="772"/>
      <c r="S728" s="772"/>
      <c r="T728" s="772"/>
      <c r="U728" s="772"/>
      <c r="V728" s="772"/>
      <c r="W728" s="772"/>
      <c r="X728" s="772"/>
      <c r="Y728" s="772"/>
      <c r="Z728" s="772"/>
      <c r="AA728" s="772"/>
      <c r="AB728" s="772"/>
      <c r="AC728" s="772"/>
      <c r="AD728" s="772"/>
      <c r="AE728" s="772"/>
      <c r="AF728" s="772"/>
      <c r="AG728" s="772"/>
      <c r="AH728" s="772"/>
    </row>
    <row r="729" ht="15.75" customHeight="1">
      <c r="A729" s="815"/>
      <c r="B729" s="782"/>
      <c r="C729" s="782"/>
      <c r="D729" s="782"/>
      <c r="E729" s="816"/>
      <c r="F729" s="816"/>
      <c r="G729" s="817"/>
      <c r="H729" s="817"/>
      <c r="I729" s="818"/>
      <c r="J729" s="772"/>
      <c r="K729" s="772"/>
      <c r="L729" s="772"/>
      <c r="M729" s="772"/>
      <c r="N729" s="772"/>
      <c r="O729" s="772"/>
      <c r="P729" s="772"/>
      <c r="Q729" s="772"/>
      <c r="R729" s="772"/>
      <c r="S729" s="772"/>
      <c r="T729" s="772"/>
      <c r="U729" s="772"/>
      <c r="V729" s="772"/>
      <c r="W729" s="772"/>
      <c r="X729" s="772"/>
      <c r="Y729" s="772"/>
      <c r="Z729" s="772"/>
      <c r="AA729" s="772"/>
      <c r="AB729" s="772"/>
      <c r="AC729" s="772"/>
      <c r="AD729" s="772"/>
      <c r="AE729" s="772"/>
      <c r="AF729" s="772"/>
      <c r="AG729" s="772"/>
      <c r="AH729" s="772"/>
    </row>
    <row r="730" ht="15.75" customHeight="1">
      <c r="A730" s="815"/>
      <c r="B730" s="782"/>
      <c r="C730" s="782"/>
      <c r="D730" s="782"/>
      <c r="E730" s="816"/>
      <c r="F730" s="816"/>
      <c r="G730" s="817"/>
      <c r="H730" s="817"/>
      <c r="I730" s="818"/>
      <c r="J730" s="772"/>
      <c r="K730" s="772"/>
      <c r="L730" s="772"/>
      <c r="M730" s="772"/>
      <c r="N730" s="772"/>
      <c r="O730" s="772"/>
      <c r="P730" s="772"/>
      <c r="Q730" s="772"/>
      <c r="R730" s="772"/>
      <c r="S730" s="772"/>
      <c r="T730" s="772"/>
      <c r="U730" s="772"/>
      <c r="V730" s="772"/>
      <c r="W730" s="772"/>
      <c r="X730" s="772"/>
      <c r="Y730" s="772"/>
      <c r="Z730" s="772"/>
      <c r="AA730" s="772"/>
      <c r="AB730" s="772"/>
      <c r="AC730" s="772"/>
      <c r="AD730" s="772"/>
      <c r="AE730" s="772"/>
      <c r="AF730" s="772"/>
      <c r="AG730" s="772"/>
      <c r="AH730" s="772"/>
    </row>
    <row r="731" ht="15.75" customHeight="1">
      <c r="A731" s="815"/>
      <c r="B731" s="782"/>
      <c r="C731" s="782"/>
      <c r="D731" s="782"/>
      <c r="E731" s="816"/>
      <c r="F731" s="816"/>
      <c r="G731" s="817"/>
      <c r="H731" s="817"/>
      <c r="I731" s="818"/>
      <c r="J731" s="772"/>
      <c r="K731" s="772"/>
      <c r="L731" s="772"/>
      <c r="M731" s="772"/>
      <c r="N731" s="772"/>
      <c r="O731" s="772"/>
      <c r="P731" s="772"/>
      <c r="Q731" s="772"/>
      <c r="R731" s="772"/>
      <c r="S731" s="772"/>
      <c r="T731" s="772"/>
      <c r="U731" s="772"/>
      <c r="V731" s="772"/>
      <c r="W731" s="772"/>
      <c r="X731" s="772"/>
      <c r="Y731" s="772"/>
      <c r="Z731" s="772"/>
      <c r="AA731" s="772"/>
      <c r="AB731" s="772"/>
      <c r="AC731" s="772"/>
      <c r="AD731" s="772"/>
      <c r="AE731" s="772"/>
      <c r="AF731" s="772"/>
      <c r="AG731" s="772"/>
      <c r="AH731" s="772"/>
    </row>
    <row r="732" ht="15.75" customHeight="1">
      <c r="A732" s="815"/>
      <c r="B732" s="782"/>
      <c r="C732" s="782"/>
      <c r="D732" s="782"/>
      <c r="E732" s="816"/>
      <c r="F732" s="816"/>
      <c r="G732" s="817"/>
      <c r="H732" s="817"/>
      <c r="I732" s="818"/>
      <c r="J732" s="772"/>
      <c r="K732" s="772"/>
      <c r="L732" s="772"/>
      <c r="M732" s="772"/>
      <c r="N732" s="772"/>
      <c r="O732" s="772"/>
      <c r="P732" s="772"/>
      <c r="Q732" s="772"/>
      <c r="R732" s="772"/>
      <c r="S732" s="772"/>
      <c r="T732" s="772"/>
      <c r="U732" s="772"/>
      <c r="V732" s="772"/>
      <c r="W732" s="772"/>
      <c r="X732" s="772"/>
      <c r="Y732" s="772"/>
      <c r="Z732" s="772"/>
      <c r="AA732" s="772"/>
      <c r="AB732" s="772"/>
      <c r="AC732" s="772"/>
      <c r="AD732" s="772"/>
      <c r="AE732" s="772"/>
      <c r="AF732" s="772"/>
      <c r="AG732" s="772"/>
      <c r="AH732" s="772"/>
    </row>
    <row r="733" ht="15.75" customHeight="1">
      <c r="A733" s="815"/>
      <c r="B733" s="782"/>
      <c r="C733" s="782"/>
      <c r="D733" s="782"/>
      <c r="E733" s="816"/>
      <c r="F733" s="816"/>
      <c r="G733" s="817"/>
      <c r="H733" s="817"/>
      <c r="I733" s="818"/>
      <c r="J733" s="772"/>
      <c r="K733" s="772"/>
      <c r="L733" s="772"/>
      <c r="M733" s="772"/>
      <c r="N733" s="772"/>
      <c r="O733" s="772"/>
      <c r="P733" s="772"/>
      <c r="Q733" s="772"/>
      <c r="R733" s="772"/>
      <c r="S733" s="772"/>
      <c r="T733" s="772"/>
      <c r="U733" s="772"/>
      <c r="V733" s="772"/>
      <c r="W733" s="772"/>
      <c r="X733" s="772"/>
      <c r="Y733" s="772"/>
      <c r="Z733" s="772"/>
      <c r="AA733" s="772"/>
      <c r="AB733" s="772"/>
      <c r="AC733" s="772"/>
      <c r="AD733" s="772"/>
      <c r="AE733" s="772"/>
      <c r="AF733" s="772"/>
      <c r="AG733" s="772"/>
      <c r="AH733" s="772"/>
    </row>
    <row r="734" ht="15.75" customHeight="1">
      <c r="A734" s="815"/>
      <c r="B734" s="782"/>
      <c r="C734" s="782"/>
      <c r="D734" s="782"/>
      <c r="E734" s="816"/>
      <c r="F734" s="816"/>
      <c r="G734" s="817"/>
      <c r="H734" s="817"/>
      <c r="I734" s="818"/>
      <c r="J734" s="772"/>
      <c r="K734" s="772"/>
      <c r="L734" s="772"/>
      <c r="M734" s="772"/>
      <c r="N734" s="772"/>
      <c r="O734" s="772"/>
      <c r="P734" s="772"/>
      <c r="Q734" s="772"/>
      <c r="R734" s="772"/>
      <c r="S734" s="772"/>
      <c r="T734" s="772"/>
      <c r="U734" s="772"/>
      <c r="V734" s="772"/>
      <c r="W734" s="772"/>
      <c r="X734" s="772"/>
      <c r="Y734" s="772"/>
      <c r="Z734" s="772"/>
      <c r="AA734" s="772"/>
      <c r="AB734" s="772"/>
      <c r="AC734" s="772"/>
      <c r="AD734" s="772"/>
      <c r="AE734" s="772"/>
      <c r="AF734" s="772"/>
      <c r="AG734" s="772"/>
      <c r="AH734" s="772"/>
    </row>
    <row r="735" ht="15.75" customHeight="1">
      <c r="A735" s="815"/>
      <c r="B735" s="782"/>
      <c r="C735" s="782"/>
      <c r="D735" s="782"/>
      <c r="E735" s="816"/>
      <c r="F735" s="816"/>
      <c r="G735" s="817"/>
      <c r="H735" s="817"/>
      <c r="I735" s="818"/>
      <c r="J735" s="772"/>
      <c r="K735" s="772"/>
      <c r="L735" s="772"/>
      <c r="M735" s="772"/>
      <c r="N735" s="772"/>
      <c r="O735" s="772"/>
      <c r="P735" s="772"/>
      <c r="Q735" s="772"/>
      <c r="R735" s="772"/>
      <c r="S735" s="772"/>
      <c r="T735" s="772"/>
      <c r="U735" s="772"/>
      <c r="V735" s="772"/>
      <c r="W735" s="772"/>
      <c r="X735" s="772"/>
      <c r="Y735" s="772"/>
      <c r="Z735" s="772"/>
      <c r="AA735" s="772"/>
      <c r="AB735" s="772"/>
      <c r="AC735" s="772"/>
      <c r="AD735" s="772"/>
      <c r="AE735" s="772"/>
      <c r="AF735" s="772"/>
      <c r="AG735" s="772"/>
      <c r="AH735" s="772"/>
    </row>
    <row r="736" ht="15.75" customHeight="1">
      <c r="A736" s="815"/>
      <c r="B736" s="782"/>
      <c r="C736" s="782"/>
      <c r="D736" s="782"/>
      <c r="E736" s="816"/>
      <c r="F736" s="816"/>
      <c r="G736" s="817"/>
      <c r="H736" s="817"/>
      <c r="I736" s="818"/>
      <c r="J736" s="772"/>
      <c r="K736" s="772"/>
      <c r="L736" s="772"/>
      <c r="M736" s="772"/>
      <c r="N736" s="772"/>
      <c r="O736" s="772"/>
      <c r="P736" s="772"/>
      <c r="Q736" s="772"/>
      <c r="R736" s="772"/>
      <c r="S736" s="772"/>
      <c r="T736" s="772"/>
      <c r="U736" s="772"/>
      <c r="V736" s="772"/>
      <c r="W736" s="772"/>
      <c r="X736" s="772"/>
      <c r="Y736" s="772"/>
      <c r="Z736" s="772"/>
      <c r="AA736" s="772"/>
      <c r="AB736" s="772"/>
      <c r="AC736" s="772"/>
      <c r="AD736" s="772"/>
      <c r="AE736" s="772"/>
      <c r="AF736" s="772"/>
      <c r="AG736" s="772"/>
      <c r="AH736" s="772"/>
    </row>
    <row r="737" ht="15.75" customHeight="1">
      <c r="A737" s="815"/>
      <c r="B737" s="782"/>
      <c r="C737" s="782"/>
      <c r="D737" s="782"/>
      <c r="E737" s="816"/>
      <c r="F737" s="816"/>
      <c r="G737" s="817"/>
      <c r="H737" s="817"/>
      <c r="I737" s="818"/>
      <c r="J737" s="772"/>
      <c r="K737" s="772"/>
      <c r="L737" s="772"/>
      <c r="M737" s="772"/>
      <c r="N737" s="772"/>
      <c r="O737" s="772"/>
      <c r="P737" s="772"/>
      <c r="Q737" s="772"/>
      <c r="R737" s="772"/>
      <c r="S737" s="772"/>
      <c r="T737" s="772"/>
      <c r="U737" s="772"/>
      <c r="V737" s="772"/>
      <c r="W737" s="772"/>
      <c r="X737" s="772"/>
      <c r="Y737" s="772"/>
      <c r="Z737" s="772"/>
      <c r="AA737" s="772"/>
      <c r="AB737" s="772"/>
      <c r="AC737" s="772"/>
      <c r="AD737" s="772"/>
      <c r="AE737" s="772"/>
      <c r="AF737" s="772"/>
      <c r="AG737" s="772"/>
      <c r="AH737" s="772"/>
    </row>
    <row r="738" ht="15.75" customHeight="1">
      <c r="A738" s="815"/>
      <c r="B738" s="782"/>
      <c r="C738" s="782"/>
      <c r="D738" s="782"/>
      <c r="E738" s="816"/>
      <c r="F738" s="816"/>
      <c r="G738" s="817"/>
      <c r="H738" s="817"/>
      <c r="I738" s="818"/>
      <c r="J738" s="772"/>
      <c r="K738" s="772"/>
      <c r="L738" s="772"/>
      <c r="M738" s="772"/>
      <c r="N738" s="772"/>
      <c r="O738" s="772"/>
      <c r="P738" s="772"/>
      <c r="Q738" s="772"/>
      <c r="R738" s="772"/>
      <c r="S738" s="772"/>
      <c r="T738" s="772"/>
      <c r="U738" s="772"/>
      <c r="V738" s="772"/>
      <c r="W738" s="772"/>
      <c r="X738" s="772"/>
      <c r="Y738" s="772"/>
      <c r="Z738" s="772"/>
      <c r="AA738" s="772"/>
      <c r="AB738" s="772"/>
      <c r="AC738" s="772"/>
      <c r="AD738" s="772"/>
      <c r="AE738" s="772"/>
      <c r="AF738" s="772"/>
      <c r="AG738" s="772"/>
      <c r="AH738" s="772"/>
    </row>
    <row r="739" ht="15.75" customHeight="1">
      <c r="A739" s="815"/>
      <c r="B739" s="782"/>
      <c r="C739" s="782"/>
      <c r="D739" s="782"/>
      <c r="E739" s="816"/>
      <c r="F739" s="816"/>
      <c r="G739" s="817"/>
      <c r="H739" s="817"/>
      <c r="I739" s="818"/>
      <c r="J739" s="772"/>
      <c r="K739" s="772"/>
      <c r="L739" s="772"/>
      <c r="M739" s="772"/>
      <c r="N739" s="772"/>
      <c r="O739" s="772"/>
      <c r="P739" s="772"/>
      <c r="Q739" s="772"/>
      <c r="R739" s="772"/>
      <c r="S739" s="772"/>
      <c r="T739" s="772"/>
      <c r="U739" s="772"/>
      <c r="V739" s="772"/>
      <c r="W739" s="772"/>
      <c r="X739" s="772"/>
      <c r="Y739" s="772"/>
      <c r="Z739" s="772"/>
      <c r="AA739" s="772"/>
      <c r="AB739" s="772"/>
      <c r="AC739" s="772"/>
      <c r="AD739" s="772"/>
      <c r="AE739" s="772"/>
      <c r="AF739" s="772"/>
      <c r="AG739" s="772"/>
      <c r="AH739" s="772"/>
    </row>
    <row r="740" ht="15.75" customHeight="1">
      <c r="A740" s="815"/>
      <c r="B740" s="782"/>
      <c r="C740" s="782"/>
      <c r="D740" s="782"/>
      <c r="E740" s="816"/>
      <c r="F740" s="816"/>
      <c r="G740" s="817"/>
      <c r="H740" s="817"/>
      <c r="I740" s="818"/>
      <c r="J740" s="772"/>
      <c r="K740" s="772"/>
      <c r="L740" s="772"/>
      <c r="M740" s="772"/>
      <c r="N740" s="772"/>
      <c r="O740" s="772"/>
      <c r="P740" s="772"/>
      <c r="Q740" s="772"/>
      <c r="R740" s="772"/>
      <c r="S740" s="772"/>
      <c r="T740" s="772"/>
      <c r="U740" s="772"/>
      <c r="V740" s="772"/>
      <c r="W740" s="772"/>
      <c r="X740" s="772"/>
      <c r="Y740" s="772"/>
      <c r="Z740" s="772"/>
      <c r="AA740" s="772"/>
      <c r="AB740" s="772"/>
      <c r="AC740" s="772"/>
      <c r="AD740" s="772"/>
      <c r="AE740" s="772"/>
      <c r="AF740" s="772"/>
      <c r="AG740" s="772"/>
      <c r="AH740" s="772"/>
    </row>
    <row r="741" ht="15.75" customHeight="1">
      <c r="A741" s="815"/>
      <c r="B741" s="782"/>
      <c r="C741" s="782"/>
      <c r="D741" s="782"/>
      <c r="E741" s="816"/>
      <c r="F741" s="816"/>
      <c r="G741" s="817"/>
      <c r="H741" s="817"/>
      <c r="I741" s="818"/>
      <c r="J741" s="772"/>
      <c r="K741" s="772"/>
      <c r="L741" s="772"/>
      <c r="M741" s="772"/>
      <c r="N741" s="772"/>
      <c r="O741" s="772"/>
      <c r="P741" s="772"/>
      <c r="Q741" s="772"/>
      <c r="R741" s="772"/>
      <c r="S741" s="772"/>
      <c r="T741" s="772"/>
      <c r="U741" s="772"/>
      <c r="V741" s="772"/>
      <c r="W741" s="772"/>
      <c r="X741" s="772"/>
      <c r="Y741" s="772"/>
      <c r="Z741" s="772"/>
      <c r="AA741" s="772"/>
      <c r="AB741" s="772"/>
      <c r="AC741" s="772"/>
      <c r="AD741" s="772"/>
      <c r="AE741" s="772"/>
      <c r="AF741" s="772"/>
      <c r="AG741" s="772"/>
      <c r="AH741" s="772"/>
    </row>
    <row r="742" ht="15.75" customHeight="1">
      <c r="A742" s="815"/>
      <c r="B742" s="782"/>
      <c r="C742" s="782"/>
      <c r="D742" s="782"/>
      <c r="E742" s="816"/>
      <c r="F742" s="816"/>
      <c r="G742" s="817"/>
      <c r="H742" s="817"/>
      <c r="I742" s="818"/>
      <c r="J742" s="772"/>
      <c r="K742" s="772"/>
      <c r="L742" s="772"/>
      <c r="M742" s="772"/>
      <c r="N742" s="772"/>
      <c r="O742" s="772"/>
      <c r="P742" s="772"/>
      <c r="Q742" s="772"/>
      <c r="R742" s="772"/>
      <c r="S742" s="772"/>
      <c r="T742" s="772"/>
      <c r="U742" s="772"/>
      <c r="V742" s="772"/>
      <c r="W742" s="772"/>
      <c r="X742" s="772"/>
      <c r="Y742" s="772"/>
      <c r="Z742" s="772"/>
      <c r="AA742" s="772"/>
      <c r="AB742" s="772"/>
      <c r="AC742" s="772"/>
      <c r="AD742" s="772"/>
      <c r="AE742" s="772"/>
      <c r="AF742" s="772"/>
      <c r="AG742" s="772"/>
      <c r="AH742" s="772"/>
    </row>
    <row r="743" ht="15.75" customHeight="1">
      <c r="A743" s="815"/>
      <c r="B743" s="782"/>
      <c r="C743" s="782"/>
      <c r="D743" s="782"/>
      <c r="E743" s="816"/>
      <c r="F743" s="816"/>
      <c r="G743" s="817"/>
      <c r="H743" s="817"/>
      <c r="I743" s="818"/>
      <c r="J743" s="772"/>
      <c r="K743" s="772"/>
      <c r="L743" s="772"/>
      <c r="M743" s="772"/>
      <c r="N743" s="772"/>
      <c r="O743" s="772"/>
      <c r="P743" s="772"/>
      <c r="Q743" s="772"/>
      <c r="R743" s="772"/>
      <c r="S743" s="772"/>
      <c r="T743" s="772"/>
      <c r="U743" s="772"/>
      <c r="V743" s="772"/>
      <c r="W743" s="772"/>
      <c r="X743" s="772"/>
      <c r="Y743" s="772"/>
      <c r="Z743" s="772"/>
      <c r="AA743" s="772"/>
      <c r="AB743" s="772"/>
      <c r="AC743" s="772"/>
      <c r="AD743" s="772"/>
      <c r="AE743" s="772"/>
      <c r="AF743" s="772"/>
      <c r="AG743" s="772"/>
      <c r="AH743" s="772"/>
    </row>
    <row r="744" ht="15.75" customHeight="1">
      <c r="A744" s="815"/>
      <c r="B744" s="782"/>
      <c r="C744" s="782"/>
      <c r="D744" s="782"/>
      <c r="E744" s="816"/>
      <c r="F744" s="816"/>
      <c r="G744" s="817"/>
      <c r="H744" s="817"/>
      <c r="I744" s="818"/>
      <c r="J744" s="772"/>
      <c r="K744" s="772"/>
      <c r="L744" s="772"/>
      <c r="M744" s="772"/>
      <c r="N744" s="772"/>
      <c r="O744" s="772"/>
      <c r="P744" s="772"/>
      <c r="Q744" s="772"/>
      <c r="R744" s="772"/>
      <c r="S744" s="772"/>
      <c r="T744" s="772"/>
      <c r="U744" s="772"/>
      <c r="V744" s="772"/>
      <c r="W744" s="772"/>
      <c r="X744" s="772"/>
      <c r="Y744" s="772"/>
      <c r="Z744" s="772"/>
      <c r="AA744" s="772"/>
      <c r="AB744" s="772"/>
      <c r="AC744" s="772"/>
      <c r="AD744" s="772"/>
      <c r="AE744" s="772"/>
      <c r="AF744" s="772"/>
      <c r="AG744" s="772"/>
      <c r="AH744" s="772"/>
    </row>
    <row r="745" ht="15.75" customHeight="1">
      <c r="A745" s="815"/>
      <c r="B745" s="782"/>
      <c r="C745" s="782"/>
      <c r="D745" s="782"/>
      <c r="E745" s="816"/>
      <c r="F745" s="816"/>
      <c r="G745" s="817"/>
      <c r="H745" s="817"/>
      <c r="I745" s="818"/>
      <c r="J745" s="772"/>
      <c r="K745" s="772"/>
      <c r="L745" s="772"/>
      <c r="M745" s="772"/>
      <c r="N745" s="772"/>
      <c r="O745" s="772"/>
      <c r="P745" s="772"/>
      <c r="Q745" s="772"/>
      <c r="R745" s="772"/>
      <c r="S745" s="772"/>
      <c r="T745" s="772"/>
      <c r="U745" s="772"/>
      <c r="V745" s="772"/>
      <c r="W745" s="772"/>
      <c r="X745" s="772"/>
      <c r="Y745" s="772"/>
      <c r="Z745" s="772"/>
      <c r="AA745" s="772"/>
      <c r="AB745" s="772"/>
      <c r="AC745" s="772"/>
      <c r="AD745" s="772"/>
      <c r="AE745" s="772"/>
      <c r="AF745" s="772"/>
      <c r="AG745" s="772"/>
      <c r="AH745" s="772"/>
    </row>
    <row r="746" ht="15.75" customHeight="1">
      <c r="A746" s="815"/>
      <c r="B746" s="782"/>
      <c r="C746" s="782"/>
      <c r="D746" s="782"/>
      <c r="E746" s="816"/>
      <c r="F746" s="816"/>
      <c r="G746" s="817"/>
      <c r="H746" s="817"/>
      <c r="I746" s="818"/>
      <c r="J746" s="772"/>
      <c r="K746" s="772"/>
      <c r="L746" s="772"/>
      <c r="M746" s="772"/>
      <c r="N746" s="772"/>
      <c r="O746" s="772"/>
      <c r="P746" s="772"/>
      <c r="Q746" s="772"/>
      <c r="R746" s="772"/>
      <c r="S746" s="772"/>
      <c r="T746" s="772"/>
      <c r="U746" s="772"/>
      <c r="V746" s="772"/>
      <c r="W746" s="772"/>
      <c r="X746" s="772"/>
      <c r="Y746" s="772"/>
      <c r="Z746" s="772"/>
      <c r="AA746" s="772"/>
      <c r="AB746" s="772"/>
      <c r="AC746" s="772"/>
      <c r="AD746" s="772"/>
      <c r="AE746" s="772"/>
      <c r="AF746" s="772"/>
      <c r="AG746" s="772"/>
      <c r="AH746" s="772"/>
    </row>
    <row r="747" ht="15.75" customHeight="1">
      <c r="A747" s="815"/>
      <c r="B747" s="782"/>
      <c r="C747" s="782"/>
      <c r="D747" s="782"/>
      <c r="E747" s="816"/>
      <c r="F747" s="816"/>
      <c r="G747" s="817"/>
      <c r="H747" s="817"/>
      <c r="I747" s="818"/>
      <c r="J747" s="772"/>
      <c r="K747" s="772"/>
      <c r="L747" s="772"/>
      <c r="M747" s="772"/>
      <c r="N747" s="772"/>
      <c r="O747" s="772"/>
      <c r="P747" s="772"/>
      <c r="Q747" s="772"/>
      <c r="R747" s="772"/>
      <c r="S747" s="772"/>
      <c r="T747" s="772"/>
      <c r="U747" s="772"/>
      <c r="V747" s="772"/>
      <c r="W747" s="772"/>
      <c r="X747" s="772"/>
      <c r="Y747" s="772"/>
      <c r="Z747" s="772"/>
      <c r="AA747" s="772"/>
      <c r="AB747" s="772"/>
      <c r="AC747" s="772"/>
      <c r="AD747" s="772"/>
      <c r="AE747" s="772"/>
      <c r="AF747" s="772"/>
      <c r="AG747" s="772"/>
      <c r="AH747" s="772"/>
    </row>
    <row r="748" ht="15.75" customHeight="1">
      <c r="A748" s="815"/>
      <c r="B748" s="782"/>
      <c r="C748" s="782"/>
      <c r="D748" s="782"/>
      <c r="E748" s="816"/>
      <c r="F748" s="816"/>
      <c r="G748" s="817"/>
      <c r="H748" s="817"/>
      <c r="I748" s="818"/>
      <c r="J748" s="772"/>
      <c r="K748" s="772"/>
      <c r="L748" s="772"/>
      <c r="M748" s="772"/>
      <c r="N748" s="772"/>
      <c r="O748" s="772"/>
      <c r="P748" s="772"/>
      <c r="Q748" s="772"/>
      <c r="R748" s="772"/>
      <c r="S748" s="772"/>
      <c r="T748" s="772"/>
      <c r="U748" s="772"/>
      <c r="V748" s="772"/>
      <c r="W748" s="772"/>
      <c r="X748" s="772"/>
      <c r="Y748" s="772"/>
      <c r="Z748" s="772"/>
      <c r="AA748" s="772"/>
      <c r="AB748" s="772"/>
      <c r="AC748" s="772"/>
      <c r="AD748" s="772"/>
      <c r="AE748" s="772"/>
      <c r="AF748" s="772"/>
      <c r="AG748" s="772"/>
      <c r="AH748" s="772"/>
    </row>
    <row r="749" ht="15.75" customHeight="1">
      <c r="A749" s="815"/>
      <c r="B749" s="782"/>
      <c r="C749" s="782"/>
      <c r="D749" s="782"/>
      <c r="E749" s="816"/>
      <c r="F749" s="816"/>
      <c r="G749" s="817"/>
      <c r="H749" s="817"/>
      <c r="I749" s="818"/>
      <c r="J749" s="772"/>
      <c r="K749" s="772"/>
      <c r="L749" s="772"/>
      <c r="M749" s="772"/>
      <c r="N749" s="772"/>
      <c r="O749" s="772"/>
      <c r="P749" s="772"/>
      <c r="Q749" s="772"/>
      <c r="R749" s="772"/>
      <c r="S749" s="772"/>
      <c r="T749" s="772"/>
      <c r="U749" s="772"/>
      <c r="V749" s="772"/>
      <c r="W749" s="772"/>
      <c r="X749" s="772"/>
      <c r="Y749" s="772"/>
      <c r="Z749" s="772"/>
      <c r="AA749" s="772"/>
      <c r="AB749" s="772"/>
      <c r="AC749" s="772"/>
      <c r="AD749" s="772"/>
      <c r="AE749" s="772"/>
      <c r="AF749" s="772"/>
      <c r="AG749" s="772"/>
      <c r="AH749" s="772"/>
    </row>
    <row r="750" ht="15.75" customHeight="1">
      <c r="A750" s="815"/>
      <c r="B750" s="782"/>
      <c r="C750" s="782"/>
      <c r="D750" s="782"/>
      <c r="E750" s="816"/>
      <c r="F750" s="816"/>
      <c r="G750" s="817"/>
      <c r="H750" s="817"/>
      <c r="I750" s="818"/>
      <c r="J750" s="772"/>
      <c r="K750" s="772"/>
      <c r="L750" s="772"/>
      <c r="M750" s="772"/>
      <c r="N750" s="772"/>
      <c r="O750" s="772"/>
      <c r="P750" s="772"/>
      <c r="Q750" s="772"/>
      <c r="R750" s="772"/>
      <c r="S750" s="772"/>
      <c r="T750" s="772"/>
      <c r="U750" s="772"/>
      <c r="V750" s="772"/>
      <c r="W750" s="772"/>
      <c r="X750" s="772"/>
      <c r="Y750" s="772"/>
      <c r="Z750" s="772"/>
      <c r="AA750" s="772"/>
      <c r="AB750" s="772"/>
      <c r="AC750" s="772"/>
      <c r="AD750" s="772"/>
      <c r="AE750" s="772"/>
      <c r="AF750" s="772"/>
      <c r="AG750" s="772"/>
      <c r="AH750" s="772"/>
    </row>
    <row r="751" ht="15.75" customHeight="1">
      <c r="A751" s="815"/>
      <c r="B751" s="782"/>
      <c r="C751" s="782"/>
      <c r="D751" s="782"/>
      <c r="E751" s="816"/>
      <c r="F751" s="816"/>
      <c r="G751" s="817"/>
      <c r="H751" s="817"/>
      <c r="I751" s="818"/>
      <c r="J751" s="772"/>
      <c r="K751" s="772"/>
      <c r="L751" s="772"/>
      <c r="M751" s="772"/>
      <c r="N751" s="772"/>
      <c r="O751" s="772"/>
      <c r="P751" s="772"/>
      <c r="Q751" s="772"/>
      <c r="R751" s="772"/>
      <c r="S751" s="772"/>
      <c r="T751" s="772"/>
      <c r="U751" s="772"/>
      <c r="V751" s="772"/>
      <c r="W751" s="772"/>
      <c r="X751" s="772"/>
      <c r="Y751" s="772"/>
      <c r="Z751" s="772"/>
      <c r="AA751" s="772"/>
      <c r="AB751" s="772"/>
      <c r="AC751" s="772"/>
      <c r="AD751" s="772"/>
      <c r="AE751" s="772"/>
      <c r="AF751" s="772"/>
      <c r="AG751" s="772"/>
      <c r="AH751" s="772"/>
    </row>
    <row r="752" ht="15.75" customHeight="1">
      <c r="A752" s="815"/>
      <c r="B752" s="782"/>
      <c r="C752" s="782"/>
      <c r="D752" s="782"/>
      <c r="E752" s="816"/>
      <c r="F752" s="816"/>
      <c r="G752" s="817"/>
      <c r="H752" s="817"/>
      <c r="I752" s="818"/>
      <c r="J752" s="772"/>
      <c r="K752" s="772"/>
      <c r="L752" s="772"/>
      <c r="M752" s="772"/>
      <c r="N752" s="772"/>
      <c r="O752" s="772"/>
      <c r="P752" s="772"/>
      <c r="Q752" s="772"/>
      <c r="R752" s="772"/>
      <c r="S752" s="772"/>
      <c r="T752" s="772"/>
      <c r="U752" s="772"/>
      <c r="V752" s="772"/>
      <c r="W752" s="772"/>
      <c r="X752" s="772"/>
      <c r="Y752" s="772"/>
      <c r="Z752" s="772"/>
      <c r="AA752" s="772"/>
      <c r="AB752" s="772"/>
      <c r="AC752" s="772"/>
      <c r="AD752" s="772"/>
      <c r="AE752" s="772"/>
      <c r="AF752" s="772"/>
      <c r="AG752" s="772"/>
      <c r="AH752" s="772"/>
    </row>
    <row r="753" ht="15.75" customHeight="1">
      <c r="A753" s="815"/>
      <c r="B753" s="782"/>
      <c r="C753" s="782"/>
      <c r="D753" s="782"/>
      <c r="E753" s="816"/>
      <c r="F753" s="816"/>
      <c r="G753" s="817"/>
      <c r="H753" s="817"/>
      <c r="I753" s="818"/>
      <c r="J753" s="772"/>
      <c r="K753" s="772"/>
      <c r="L753" s="772"/>
      <c r="M753" s="772"/>
      <c r="N753" s="772"/>
      <c r="O753" s="772"/>
      <c r="P753" s="772"/>
      <c r="Q753" s="772"/>
      <c r="R753" s="772"/>
      <c r="S753" s="772"/>
      <c r="T753" s="772"/>
      <c r="U753" s="772"/>
      <c r="V753" s="772"/>
      <c r="W753" s="772"/>
      <c r="X753" s="772"/>
      <c r="Y753" s="772"/>
      <c r="Z753" s="772"/>
      <c r="AA753" s="772"/>
      <c r="AB753" s="772"/>
      <c r="AC753" s="772"/>
      <c r="AD753" s="772"/>
      <c r="AE753" s="772"/>
      <c r="AF753" s="772"/>
      <c r="AG753" s="772"/>
      <c r="AH753" s="772"/>
    </row>
    <row r="754" ht="15.75" customHeight="1">
      <c r="A754" s="815"/>
      <c r="B754" s="782"/>
      <c r="C754" s="782"/>
      <c r="D754" s="782"/>
      <c r="E754" s="816"/>
      <c r="F754" s="816"/>
      <c r="G754" s="817"/>
      <c r="H754" s="817"/>
      <c r="I754" s="818"/>
      <c r="J754" s="772"/>
      <c r="K754" s="772"/>
      <c r="L754" s="772"/>
      <c r="M754" s="772"/>
      <c r="N754" s="772"/>
      <c r="O754" s="772"/>
      <c r="P754" s="772"/>
      <c r="Q754" s="772"/>
      <c r="R754" s="772"/>
      <c r="S754" s="772"/>
      <c r="T754" s="772"/>
      <c r="U754" s="772"/>
      <c r="V754" s="772"/>
      <c r="W754" s="772"/>
      <c r="X754" s="772"/>
      <c r="Y754" s="772"/>
      <c r="Z754" s="772"/>
      <c r="AA754" s="772"/>
      <c r="AB754" s="772"/>
      <c r="AC754" s="772"/>
      <c r="AD754" s="772"/>
      <c r="AE754" s="772"/>
      <c r="AF754" s="772"/>
      <c r="AG754" s="772"/>
      <c r="AH754" s="772"/>
    </row>
    <row r="755" ht="15.75" customHeight="1">
      <c r="A755" s="815"/>
      <c r="B755" s="782"/>
      <c r="C755" s="782"/>
      <c r="D755" s="782"/>
      <c r="E755" s="816"/>
      <c r="F755" s="816"/>
      <c r="G755" s="817"/>
      <c r="H755" s="817"/>
      <c r="I755" s="818"/>
      <c r="J755" s="772"/>
      <c r="K755" s="772"/>
      <c r="L755" s="772"/>
      <c r="M755" s="772"/>
      <c r="N755" s="772"/>
      <c r="O755" s="772"/>
      <c r="P755" s="772"/>
      <c r="Q755" s="772"/>
      <c r="R755" s="772"/>
      <c r="S755" s="772"/>
      <c r="T755" s="772"/>
      <c r="U755" s="772"/>
      <c r="V755" s="772"/>
      <c r="W755" s="772"/>
      <c r="X755" s="772"/>
      <c r="Y755" s="772"/>
      <c r="Z755" s="772"/>
      <c r="AA755" s="772"/>
      <c r="AB755" s="772"/>
      <c r="AC755" s="772"/>
      <c r="AD755" s="772"/>
      <c r="AE755" s="772"/>
      <c r="AF755" s="772"/>
      <c r="AG755" s="772"/>
      <c r="AH755" s="772"/>
    </row>
    <row r="756" ht="15.75" customHeight="1">
      <c r="A756" s="815"/>
      <c r="B756" s="782"/>
      <c r="C756" s="782"/>
      <c r="D756" s="782"/>
      <c r="E756" s="816"/>
      <c r="F756" s="816"/>
      <c r="G756" s="817"/>
      <c r="H756" s="817"/>
      <c r="I756" s="818"/>
      <c r="J756" s="772"/>
      <c r="K756" s="772"/>
      <c r="L756" s="772"/>
      <c r="M756" s="772"/>
      <c r="N756" s="772"/>
      <c r="O756" s="772"/>
      <c r="P756" s="772"/>
      <c r="Q756" s="772"/>
      <c r="R756" s="772"/>
      <c r="S756" s="772"/>
      <c r="T756" s="772"/>
      <c r="U756" s="772"/>
      <c r="V756" s="772"/>
      <c r="W756" s="772"/>
      <c r="X756" s="772"/>
      <c r="Y756" s="772"/>
      <c r="Z756" s="772"/>
      <c r="AA756" s="772"/>
      <c r="AB756" s="772"/>
      <c r="AC756" s="772"/>
      <c r="AD756" s="772"/>
      <c r="AE756" s="772"/>
      <c r="AF756" s="772"/>
      <c r="AG756" s="772"/>
      <c r="AH756" s="772"/>
    </row>
    <row r="757" ht="15.75" customHeight="1">
      <c r="A757" s="815"/>
      <c r="B757" s="782"/>
      <c r="C757" s="782"/>
      <c r="D757" s="782"/>
      <c r="E757" s="816"/>
      <c r="F757" s="816"/>
      <c r="G757" s="817"/>
      <c r="H757" s="817"/>
      <c r="I757" s="818"/>
      <c r="J757" s="772"/>
      <c r="K757" s="772"/>
      <c r="L757" s="772"/>
      <c r="M757" s="772"/>
      <c r="N757" s="772"/>
      <c r="O757" s="772"/>
      <c r="P757" s="772"/>
      <c r="Q757" s="772"/>
      <c r="R757" s="772"/>
      <c r="S757" s="772"/>
      <c r="T757" s="772"/>
      <c r="U757" s="772"/>
      <c r="V757" s="772"/>
      <c r="W757" s="772"/>
      <c r="X757" s="772"/>
      <c r="Y757" s="772"/>
      <c r="Z757" s="772"/>
      <c r="AA757" s="772"/>
      <c r="AB757" s="772"/>
      <c r="AC757" s="772"/>
      <c r="AD757" s="772"/>
      <c r="AE757" s="772"/>
      <c r="AF757" s="772"/>
      <c r="AG757" s="772"/>
      <c r="AH757" s="772"/>
    </row>
    <row r="758" ht="15.75" customHeight="1">
      <c r="A758" s="815"/>
      <c r="B758" s="782"/>
      <c r="C758" s="782"/>
      <c r="D758" s="782"/>
      <c r="E758" s="816"/>
      <c r="F758" s="816"/>
      <c r="G758" s="817"/>
      <c r="H758" s="817"/>
      <c r="I758" s="818"/>
      <c r="J758" s="772"/>
      <c r="K758" s="772"/>
      <c r="L758" s="772"/>
      <c r="M758" s="772"/>
      <c r="N758" s="772"/>
      <c r="O758" s="772"/>
      <c r="P758" s="772"/>
      <c r="Q758" s="772"/>
      <c r="R758" s="772"/>
      <c r="S758" s="772"/>
      <c r="T758" s="772"/>
      <c r="U758" s="772"/>
      <c r="V758" s="772"/>
      <c r="W758" s="772"/>
      <c r="X758" s="772"/>
      <c r="Y758" s="772"/>
      <c r="Z758" s="772"/>
      <c r="AA758" s="772"/>
      <c r="AB758" s="772"/>
      <c r="AC758" s="772"/>
      <c r="AD758" s="772"/>
      <c r="AE758" s="772"/>
      <c r="AF758" s="772"/>
      <c r="AG758" s="772"/>
      <c r="AH758" s="772"/>
    </row>
    <row r="759" ht="15.75" customHeight="1">
      <c r="A759" s="815"/>
      <c r="B759" s="782"/>
      <c r="C759" s="782"/>
      <c r="D759" s="782"/>
      <c r="E759" s="816"/>
      <c r="F759" s="816"/>
      <c r="G759" s="817"/>
      <c r="H759" s="817"/>
      <c r="I759" s="818"/>
      <c r="J759" s="772"/>
      <c r="K759" s="772"/>
      <c r="L759" s="772"/>
      <c r="M759" s="772"/>
      <c r="N759" s="772"/>
      <c r="O759" s="772"/>
      <c r="P759" s="772"/>
      <c r="Q759" s="772"/>
      <c r="R759" s="772"/>
      <c r="S759" s="772"/>
      <c r="T759" s="772"/>
      <c r="U759" s="772"/>
      <c r="V759" s="772"/>
      <c r="W759" s="772"/>
      <c r="X759" s="772"/>
      <c r="Y759" s="772"/>
      <c r="Z759" s="772"/>
      <c r="AA759" s="772"/>
      <c r="AB759" s="772"/>
      <c r="AC759" s="772"/>
      <c r="AD759" s="772"/>
      <c r="AE759" s="772"/>
      <c r="AF759" s="772"/>
      <c r="AG759" s="772"/>
      <c r="AH759" s="772"/>
    </row>
    <row r="760" ht="15.75" customHeight="1">
      <c r="A760" s="815"/>
      <c r="B760" s="782"/>
      <c r="C760" s="782"/>
      <c r="D760" s="782"/>
      <c r="E760" s="816"/>
      <c r="F760" s="816"/>
      <c r="G760" s="817"/>
      <c r="H760" s="817"/>
      <c r="I760" s="818"/>
      <c r="J760" s="772"/>
      <c r="K760" s="772"/>
      <c r="L760" s="772"/>
      <c r="M760" s="772"/>
      <c r="N760" s="772"/>
      <c r="O760" s="772"/>
      <c r="P760" s="772"/>
      <c r="Q760" s="772"/>
      <c r="R760" s="772"/>
      <c r="S760" s="772"/>
      <c r="T760" s="772"/>
      <c r="U760" s="772"/>
      <c r="V760" s="772"/>
      <c r="W760" s="772"/>
      <c r="X760" s="772"/>
      <c r="Y760" s="772"/>
      <c r="Z760" s="772"/>
      <c r="AA760" s="772"/>
      <c r="AB760" s="772"/>
      <c r="AC760" s="772"/>
      <c r="AD760" s="772"/>
      <c r="AE760" s="772"/>
      <c r="AF760" s="772"/>
      <c r="AG760" s="772"/>
      <c r="AH760" s="772"/>
    </row>
    <row r="761" ht="15.75" customHeight="1">
      <c r="A761" s="815"/>
      <c r="B761" s="782"/>
      <c r="C761" s="782"/>
      <c r="D761" s="782"/>
      <c r="E761" s="816"/>
      <c r="F761" s="816"/>
      <c r="G761" s="817"/>
      <c r="H761" s="817"/>
      <c r="I761" s="818"/>
      <c r="J761" s="772"/>
      <c r="K761" s="772"/>
      <c r="L761" s="772"/>
      <c r="M761" s="772"/>
      <c r="N761" s="772"/>
      <c r="O761" s="772"/>
      <c r="P761" s="772"/>
      <c r="Q761" s="772"/>
      <c r="R761" s="772"/>
      <c r="S761" s="772"/>
      <c r="T761" s="772"/>
      <c r="U761" s="772"/>
      <c r="V761" s="772"/>
      <c r="W761" s="772"/>
      <c r="X761" s="772"/>
      <c r="Y761" s="772"/>
      <c r="Z761" s="772"/>
      <c r="AA761" s="772"/>
      <c r="AB761" s="772"/>
      <c r="AC761" s="772"/>
      <c r="AD761" s="772"/>
      <c r="AE761" s="772"/>
      <c r="AF761" s="772"/>
      <c r="AG761" s="772"/>
      <c r="AH761" s="772"/>
    </row>
    <row r="762" ht="15.75" customHeight="1">
      <c r="A762" s="815"/>
      <c r="B762" s="782"/>
      <c r="C762" s="782"/>
      <c r="D762" s="782"/>
      <c r="E762" s="816"/>
      <c r="F762" s="816"/>
      <c r="G762" s="817"/>
      <c r="H762" s="817"/>
      <c r="I762" s="818"/>
      <c r="J762" s="772"/>
      <c r="K762" s="772"/>
      <c r="L762" s="772"/>
      <c r="M762" s="772"/>
      <c r="N762" s="772"/>
      <c r="O762" s="772"/>
      <c r="P762" s="772"/>
      <c r="Q762" s="772"/>
      <c r="R762" s="772"/>
      <c r="S762" s="772"/>
      <c r="T762" s="772"/>
      <c r="U762" s="772"/>
      <c r="V762" s="772"/>
      <c r="W762" s="772"/>
      <c r="X762" s="772"/>
      <c r="Y762" s="772"/>
      <c r="Z762" s="772"/>
      <c r="AA762" s="772"/>
      <c r="AB762" s="772"/>
      <c r="AC762" s="772"/>
      <c r="AD762" s="772"/>
      <c r="AE762" s="772"/>
      <c r="AF762" s="772"/>
      <c r="AG762" s="772"/>
      <c r="AH762" s="772"/>
    </row>
    <row r="763" ht="15.75" customHeight="1">
      <c r="A763" s="815"/>
      <c r="B763" s="782"/>
      <c r="C763" s="782"/>
      <c r="D763" s="782"/>
      <c r="E763" s="816"/>
      <c r="F763" s="816"/>
      <c r="G763" s="817"/>
      <c r="H763" s="817"/>
      <c r="I763" s="818"/>
      <c r="J763" s="772"/>
      <c r="K763" s="772"/>
      <c r="L763" s="772"/>
      <c r="M763" s="772"/>
      <c r="N763" s="772"/>
      <c r="O763" s="772"/>
      <c r="P763" s="772"/>
      <c r="Q763" s="772"/>
      <c r="R763" s="772"/>
      <c r="S763" s="772"/>
      <c r="T763" s="772"/>
      <c r="U763" s="772"/>
      <c r="V763" s="772"/>
      <c r="W763" s="772"/>
      <c r="X763" s="772"/>
      <c r="Y763" s="772"/>
      <c r="Z763" s="772"/>
      <c r="AA763" s="772"/>
      <c r="AB763" s="772"/>
      <c r="AC763" s="772"/>
      <c r="AD763" s="772"/>
      <c r="AE763" s="772"/>
      <c r="AF763" s="772"/>
      <c r="AG763" s="772"/>
      <c r="AH763" s="772"/>
    </row>
    <row r="764" ht="15.75" customHeight="1">
      <c r="A764" s="815"/>
      <c r="B764" s="782"/>
      <c r="C764" s="782"/>
      <c r="D764" s="782"/>
      <c r="E764" s="816"/>
      <c r="F764" s="816"/>
      <c r="G764" s="817"/>
      <c r="H764" s="817"/>
      <c r="I764" s="818"/>
      <c r="J764" s="772"/>
      <c r="K764" s="772"/>
      <c r="L764" s="772"/>
      <c r="M764" s="772"/>
      <c r="N764" s="772"/>
      <c r="O764" s="772"/>
      <c r="P764" s="772"/>
      <c r="Q764" s="772"/>
      <c r="R764" s="772"/>
      <c r="S764" s="772"/>
      <c r="T764" s="772"/>
      <c r="U764" s="772"/>
      <c r="V764" s="772"/>
      <c r="W764" s="772"/>
      <c r="X764" s="772"/>
      <c r="Y764" s="772"/>
      <c r="Z764" s="772"/>
      <c r="AA764" s="772"/>
      <c r="AB764" s="772"/>
      <c r="AC764" s="772"/>
      <c r="AD764" s="772"/>
      <c r="AE764" s="772"/>
      <c r="AF764" s="772"/>
      <c r="AG764" s="772"/>
      <c r="AH764" s="772"/>
    </row>
    <row r="765" ht="15.75" customHeight="1">
      <c r="A765" s="815"/>
      <c r="B765" s="782"/>
      <c r="C765" s="782"/>
      <c r="D765" s="782"/>
      <c r="E765" s="816"/>
      <c r="F765" s="816"/>
      <c r="G765" s="817"/>
      <c r="H765" s="817"/>
      <c r="I765" s="818"/>
      <c r="J765" s="772"/>
      <c r="K765" s="772"/>
      <c r="L765" s="772"/>
      <c r="M765" s="772"/>
      <c r="N765" s="772"/>
      <c r="O765" s="772"/>
      <c r="P765" s="772"/>
      <c r="Q765" s="772"/>
      <c r="R765" s="772"/>
      <c r="S765" s="772"/>
      <c r="T765" s="772"/>
      <c r="U765" s="772"/>
      <c r="V765" s="772"/>
      <c r="W765" s="772"/>
      <c r="X765" s="772"/>
      <c r="Y765" s="772"/>
      <c r="Z765" s="772"/>
      <c r="AA765" s="772"/>
      <c r="AB765" s="772"/>
      <c r="AC765" s="772"/>
      <c r="AD765" s="772"/>
      <c r="AE765" s="772"/>
      <c r="AF765" s="772"/>
      <c r="AG765" s="772"/>
      <c r="AH765" s="772"/>
    </row>
    <row r="766" ht="15.75" customHeight="1">
      <c r="A766" s="815"/>
      <c r="B766" s="782"/>
      <c r="C766" s="782"/>
      <c r="D766" s="782"/>
      <c r="E766" s="816"/>
      <c r="F766" s="816"/>
      <c r="G766" s="817"/>
      <c r="H766" s="817"/>
      <c r="I766" s="818"/>
      <c r="J766" s="772"/>
      <c r="K766" s="772"/>
      <c r="L766" s="772"/>
      <c r="M766" s="772"/>
      <c r="N766" s="772"/>
      <c r="O766" s="772"/>
      <c r="P766" s="772"/>
      <c r="Q766" s="772"/>
      <c r="R766" s="772"/>
      <c r="S766" s="772"/>
      <c r="T766" s="772"/>
      <c r="U766" s="772"/>
      <c r="V766" s="772"/>
      <c r="W766" s="772"/>
      <c r="X766" s="772"/>
      <c r="Y766" s="772"/>
      <c r="Z766" s="772"/>
      <c r="AA766" s="772"/>
      <c r="AB766" s="772"/>
      <c r="AC766" s="772"/>
      <c r="AD766" s="772"/>
      <c r="AE766" s="772"/>
      <c r="AF766" s="772"/>
      <c r="AG766" s="772"/>
      <c r="AH766" s="772"/>
    </row>
    <row r="767" ht="15.75" customHeight="1">
      <c r="A767" s="815"/>
      <c r="B767" s="782"/>
      <c r="C767" s="782"/>
      <c r="D767" s="782"/>
      <c r="E767" s="816"/>
      <c r="F767" s="816"/>
      <c r="G767" s="817"/>
      <c r="H767" s="817"/>
      <c r="I767" s="818"/>
      <c r="J767" s="772"/>
      <c r="K767" s="772"/>
      <c r="L767" s="772"/>
      <c r="M767" s="772"/>
      <c r="N767" s="772"/>
      <c r="O767" s="772"/>
      <c r="P767" s="772"/>
      <c r="Q767" s="772"/>
      <c r="R767" s="772"/>
      <c r="S767" s="772"/>
      <c r="T767" s="772"/>
      <c r="U767" s="772"/>
      <c r="V767" s="772"/>
      <c r="W767" s="772"/>
      <c r="X767" s="772"/>
      <c r="Y767" s="772"/>
      <c r="Z767" s="772"/>
      <c r="AA767" s="772"/>
      <c r="AB767" s="772"/>
      <c r="AC767" s="772"/>
      <c r="AD767" s="772"/>
      <c r="AE767" s="772"/>
      <c r="AF767" s="772"/>
      <c r="AG767" s="772"/>
      <c r="AH767" s="772"/>
    </row>
    <row r="768" ht="15.75" customHeight="1">
      <c r="A768" s="815"/>
      <c r="B768" s="782"/>
      <c r="C768" s="782"/>
      <c r="D768" s="782"/>
      <c r="E768" s="816"/>
      <c r="F768" s="816"/>
      <c r="G768" s="817"/>
      <c r="H768" s="817"/>
      <c r="I768" s="818"/>
      <c r="J768" s="772"/>
      <c r="K768" s="772"/>
      <c r="L768" s="772"/>
      <c r="M768" s="772"/>
      <c r="N768" s="772"/>
      <c r="O768" s="772"/>
      <c r="P768" s="772"/>
      <c r="Q768" s="772"/>
      <c r="R768" s="772"/>
      <c r="S768" s="772"/>
      <c r="T768" s="772"/>
      <c r="U768" s="772"/>
      <c r="V768" s="772"/>
      <c r="W768" s="772"/>
      <c r="X768" s="772"/>
      <c r="Y768" s="772"/>
      <c r="Z768" s="772"/>
      <c r="AA768" s="772"/>
      <c r="AB768" s="772"/>
      <c r="AC768" s="772"/>
      <c r="AD768" s="772"/>
      <c r="AE768" s="772"/>
      <c r="AF768" s="772"/>
      <c r="AG768" s="772"/>
      <c r="AH768" s="772"/>
    </row>
    <row r="769" ht="15.75" customHeight="1">
      <c r="A769" s="815"/>
      <c r="B769" s="782"/>
      <c r="C769" s="782"/>
      <c r="D769" s="782"/>
      <c r="E769" s="816"/>
      <c r="F769" s="816"/>
      <c r="G769" s="817"/>
      <c r="H769" s="817"/>
      <c r="I769" s="818"/>
      <c r="J769" s="772"/>
      <c r="K769" s="772"/>
      <c r="L769" s="772"/>
      <c r="M769" s="772"/>
      <c r="N769" s="772"/>
      <c r="O769" s="772"/>
      <c r="P769" s="772"/>
      <c r="Q769" s="772"/>
      <c r="R769" s="772"/>
      <c r="S769" s="772"/>
      <c r="T769" s="772"/>
      <c r="U769" s="772"/>
      <c r="V769" s="772"/>
      <c r="W769" s="772"/>
      <c r="X769" s="772"/>
      <c r="Y769" s="772"/>
      <c r="Z769" s="772"/>
      <c r="AA769" s="772"/>
      <c r="AB769" s="772"/>
      <c r="AC769" s="772"/>
      <c r="AD769" s="772"/>
      <c r="AE769" s="772"/>
      <c r="AF769" s="772"/>
      <c r="AG769" s="772"/>
      <c r="AH769" s="772"/>
    </row>
    <row r="770" ht="15.75" customHeight="1">
      <c r="A770" s="815"/>
      <c r="B770" s="782"/>
      <c r="C770" s="782"/>
      <c r="D770" s="782"/>
      <c r="E770" s="816"/>
      <c r="F770" s="816"/>
      <c r="G770" s="817"/>
      <c r="H770" s="817"/>
      <c r="I770" s="818"/>
      <c r="J770" s="772"/>
      <c r="K770" s="772"/>
      <c r="L770" s="772"/>
      <c r="M770" s="772"/>
      <c r="N770" s="772"/>
      <c r="O770" s="772"/>
      <c r="P770" s="772"/>
      <c r="Q770" s="772"/>
      <c r="R770" s="772"/>
      <c r="S770" s="772"/>
      <c r="T770" s="772"/>
      <c r="U770" s="772"/>
      <c r="V770" s="772"/>
      <c r="W770" s="772"/>
      <c r="X770" s="772"/>
      <c r="Y770" s="772"/>
      <c r="Z770" s="772"/>
      <c r="AA770" s="772"/>
      <c r="AB770" s="772"/>
      <c r="AC770" s="772"/>
      <c r="AD770" s="772"/>
      <c r="AE770" s="772"/>
      <c r="AF770" s="772"/>
      <c r="AG770" s="772"/>
      <c r="AH770" s="772"/>
    </row>
    <row r="771" ht="15.75" customHeight="1">
      <c r="A771" s="815"/>
      <c r="B771" s="782"/>
      <c r="C771" s="782"/>
      <c r="D771" s="782"/>
      <c r="E771" s="816"/>
      <c r="F771" s="816"/>
      <c r="G771" s="817"/>
      <c r="H771" s="817"/>
      <c r="I771" s="818"/>
      <c r="J771" s="772"/>
      <c r="K771" s="772"/>
      <c r="L771" s="772"/>
      <c r="M771" s="772"/>
      <c r="N771" s="772"/>
      <c r="O771" s="772"/>
      <c r="P771" s="772"/>
      <c r="Q771" s="772"/>
      <c r="R771" s="772"/>
      <c r="S771" s="772"/>
      <c r="T771" s="772"/>
      <c r="U771" s="772"/>
      <c r="V771" s="772"/>
      <c r="W771" s="772"/>
      <c r="X771" s="772"/>
      <c r="Y771" s="772"/>
      <c r="Z771" s="772"/>
      <c r="AA771" s="772"/>
      <c r="AB771" s="772"/>
      <c r="AC771" s="772"/>
      <c r="AD771" s="772"/>
      <c r="AE771" s="772"/>
      <c r="AF771" s="772"/>
      <c r="AG771" s="772"/>
      <c r="AH771" s="772"/>
    </row>
    <row r="772" ht="15.75" customHeight="1">
      <c r="A772" s="815"/>
      <c r="B772" s="782"/>
      <c r="C772" s="782"/>
      <c r="D772" s="782"/>
      <c r="E772" s="816"/>
      <c r="F772" s="816"/>
      <c r="G772" s="817"/>
      <c r="H772" s="817"/>
      <c r="I772" s="818"/>
      <c r="J772" s="772"/>
      <c r="K772" s="772"/>
      <c r="L772" s="772"/>
      <c r="M772" s="772"/>
      <c r="N772" s="772"/>
      <c r="O772" s="772"/>
      <c r="P772" s="772"/>
      <c r="Q772" s="772"/>
      <c r="R772" s="772"/>
      <c r="S772" s="772"/>
      <c r="T772" s="772"/>
      <c r="U772" s="772"/>
      <c r="V772" s="772"/>
      <c r="W772" s="772"/>
      <c r="X772" s="772"/>
      <c r="Y772" s="772"/>
      <c r="Z772" s="772"/>
      <c r="AA772" s="772"/>
      <c r="AB772" s="772"/>
      <c r="AC772" s="772"/>
      <c r="AD772" s="772"/>
      <c r="AE772" s="772"/>
      <c r="AF772" s="772"/>
      <c r="AG772" s="772"/>
      <c r="AH772" s="772"/>
    </row>
    <row r="773" ht="15.75" customHeight="1">
      <c r="A773" s="815"/>
      <c r="B773" s="782"/>
      <c r="C773" s="782"/>
      <c r="D773" s="782"/>
      <c r="E773" s="816"/>
      <c r="F773" s="816"/>
      <c r="G773" s="817"/>
      <c r="H773" s="817"/>
      <c r="I773" s="818"/>
      <c r="J773" s="772"/>
      <c r="K773" s="772"/>
      <c r="L773" s="772"/>
      <c r="M773" s="772"/>
      <c r="N773" s="772"/>
      <c r="O773" s="772"/>
      <c r="P773" s="772"/>
      <c r="Q773" s="772"/>
      <c r="R773" s="772"/>
      <c r="S773" s="772"/>
      <c r="T773" s="772"/>
      <c r="U773" s="772"/>
      <c r="V773" s="772"/>
      <c r="W773" s="772"/>
      <c r="X773" s="772"/>
      <c r="Y773" s="772"/>
      <c r="Z773" s="772"/>
      <c r="AA773" s="772"/>
      <c r="AB773" s="772"/>
      <c r="AC773" s="772"/>
      <c r="AD773" s="772"/>
      <c r="AE773" s="772"/>
      <c r="AF773" s="772"/>
      <c r="AG773" s="772"/>
      <c r="AH773" s="772"/>
    </row>
    <row r="774" ht="15.75" customHeight="1">
      <c r="A774" s="815"/>
      <c r="B774" s="782"/>
      <c r="C774" s="782"/>
      <c r="D774" s="782"/>
      <c r="E774" s="816"/>
      <c r="F774" s="816"/>
      <c r="G774" s="817"/>
      <c r="H774" s="817"/>
      <c r="I774" s="818"/>
      <c r="J774" s="772"/>
      <c r="K774" s="772"/>
      <c r="L774" s="772"/>
      <c r="M774" s="772"/>
      <c r="N774" s="772"/>
      <c r="O774" s="772"/>
      <c r="P774" s="772"/>
      <c r="Q774" s="772"/>
      <c r="R774" s="772"/>
      <c r="S774" s="772"/>
      <c r="T774" s="772"/>
      <c r="U774" s="772"/>
      <c r="V774" s="772"/>
      <c r="W774" s="772"/>
      <c r="X774" s="772"/>
      <c r="Y774" s="772"/>
      <c r="Z774" s="772"/>
      <c r="AA774" s="772"/>
      <c r="AB774" s="772"/>
      <c r="AC774" s="772"/>
      <c r="AD774" s="772"/>
      <c r="AE774" s="772"/>
      <c r="AF774" s="772"/>
      <c r="AG774" s="772"/>
      <c r="AH774" s="772"/>
    </row>
    <row r="775" ht="15.75" customHeight="1">
      <c r="A775" s="815"/>
      <c r="B775" s="782"/>
      <c r="C775" s="782"/>
      <c r="D775" s="782"/>
      <c r="E775" s="816"/>
      <c r="F775" s="816"/>
      <c r="G775" s="817"/>
      <c r="H775" s="817"/>
      <c r="I775" s="818"/>
      <c r="J775" s="772"/>
      <c r="K775" s="772"/>
      <c r="L775" s="772"/>
      <c r="M775" s="772"/>
      <c r="N775" s="772"/>
      <c r="O775" s="772"/>
      <c r="P775" s="772"/>
      <c r="Q775" s="772"/>
      <c r="R775" s="772"/>
      <c r="S775" s="772"/>
      <c r="T775" s="772"/>
      <c r="U775" s="772"/>
      <c r="V775" s="772"/>
      <c r="W775" s="772"/>
      <c r="X775" s="772"/>
      <c r="Y775" s="772"/>
      <c r="Z775" s="772"/>
      <c r="AA775" s="772"/>
      <c r="AB775" s="772"/>
      <c r="AC775" s="772"/>
      <c r="AD775" s="772"/>
      <c r="AE775" s="772"/>
      <c r="AF775" s="772"/>
      <c r="AG775" s="772"/>
      <c r="AH775" s="772"/>
    </row>
    <row r="776" ht="15.75" customHeight="1">
      <c r="A776" s="815"/>
      <c r="B776" s="782"/>
      <c r="C776" s="782"/>
      <c r="D776" s="782"/>
      <c r="E776" s="816"/>
      <c r="F776" s="816"/>
      <c r="G776" s="817"/>
      <c r="H776" s="817"/>
      <c r="I776" s="818"/>
      <c r="J776" s="772"/>
      <c r="K776" s="772"/>
      <c r="L776" s="772"/>
      <c r="M776" s="772"/>
      <c r="N776" s="772"/>
      <c r="O776" s="772"/>
      <c r="P776" s="772"/>
      <c r="Q776" s="772"/>
      <c r="R776" s="772"/>
      <c r="S776" s="772"/>
      <c r="T776" s="772"/>
      <c r="U776" s="772"/>
      <c r="V776" s="772"/>
      <c r="W776" s="772"/>
      <c r="X776" s="772"/>
      <c r="Y776" s="772"/>
      <c r="Z776" s="772"/>
      <c r="AA776" s="772"/>
      <c r="AB776" s="772"/>
      <c r="AC776" s="772"/>
      <c r="AD776" s="772"/>
      <c r="AE776" s="772"/>
      <c r="AF776" s="772"/>
      <c r="AG776" s="772"/>
      <c r="AH776" s="772"/>
    </row>
    <row r="777" ht="15.75" customHeight="1">
      <c r="A777" s="815"/>
      <c r="B777" s="782"/>
      <c r="C777" s="782"/>
      <c r="D777" s="782"/>
      <c r="E777" s="816"/>
      <c r="F777" s="816"/>
      <c r="G777" s="817"/>
      <c r="H777" s="817"/>
      <c r="I777" s="818"/>
      <c r="J777" s="772"/>
      <c r="K777" s="772"/>
      <c r="L777" s="772"/>
      <c r="M777" s="772"/>
      <c r="N777" s="772"/>
      <c r="O777" s="772"/>
      <c r="P777" s="772"/>
      <c r="Q777" s="772"/>
      <c r="R777" s="772"/>
      <c r="S777" s="772"/>
      <c r="T777" s="772"/>
      <c r="U777" s="772"/>
      <c r="V777" s="772"/>
      <c r="W777" s="772"/>
      <c r="X777" s="772"/>
      <c r="Y777" s="772"/>
      <c r="Z777" s="772"/>
      <c r="AA777" s="772"/>
      <c r="AB777" s="772"/>
      <c r="AC777" s="772"/>
      <c r="AD777" s="772"/>
      <c r="AE777" s="772"/>
      <c r="AF777" s="772"/>
      <c r="AG777" s="772"/>
      <c r="AH777" s="772"/>
    </row>
    <row r="778" ht="15.75" customHeight="1">
      <c r="A778" s="815"/>
      <c r="B778" s="782"/>
      <c r="C778" s="782"/>
      <c r="D778" s="782"/>
      <c r="E778" s="816"/>
      <c r="F778" s="816"/>
      <c r="G778" s="817"/>
      <c r="H778" s="817"/>
      <c r="I778" s="818"/>
      <c r="J778" s="772"/>
      <c r="K778" s="772"/>
      <c r="L778" s="772"/>
      <c r="M778" s="772"/>
      <c r="N778" s="772"/>
      <c r="O778" s="772"/>
      <c r="P778" s="772"/>
      <c r="Q778" s="772"/>
      <c r="R778" s="772"/>
      <c r="S778" s="772"/>
      <c r="T778" s="772"/>
      <c r="U778" s="772"/>
      <c r="V778" s="772"/>
      <c r="W778" s="772"/>
      <c r="X778" s="772"/>
      <c r="Y778" s="772"/>
      <c r="Z778" s="772"/>
      <c r="AA778" s="772"/>
      <c r="AB778" s="772"/>
      <c r="AC778" s="772"/>
      <c r="AD778" s="772"/>
      <c r="AE778" s="772"/>
      <c r="AF778" s="772"/>
      <c r="AG778" s="772"/>
      <c r="AH778" s="772"/>
    </row>
    <row r="779" ht="15.75" customHeight="1">
      <c r="A779" s="815"/>
      <c r="B779" s="782"/>
      <c r="C779" s="782"/>
      <c r="D779" s="782"/>
      <c r="E779" s="816"/>
      <c r="F779" s="816"/>
      <c r="G779" s="817"/>
      <c r="H779" s="817"/>
      <c r="I779" s="818"/>
      <c r="J779" s="772"/>
      <c r="K779" s="772"/>
      <c r="L779" s="772"/>
      <c r="M779" s="772"/>
      <c r="N779" s="772"/>
      <c r="O779" s="772"/>
      <c r="P779" s="772"/>
      <c r="Q779" s="772"/>
      <c r="R779" s="772"/>
      <c r="S779" s="772"/>
      <c r="T779" s="772"/>
      <c r="U779" s="772"/>
      <c r="V779" s="772"/>
      <c r="W779" s="772"/>
      <c r="X779" s="772"/>
      <c r="Y779" s="772"/>
      <c r="Z779" s="772"/>
      <c r="AA779" s="772"/>
      <c r="AB779" s="772"/>
      <c r="AC779" s="772"/>
      <c r="AD779" s="772"/>
      <c r="AE779" s="772"/>
      <c r="AF779" s="772"/>
      <c r="AG779" s="772"/>
      <c r="AH779" s="772"/>
    </row>
    <row r="780" ht="15.75" customHeight="1">
      <c r="A780" s="815"/>
      <c r="B780" s="782"/>
      <c r="C780" s="782"/>
      <c r="D780" s="782"/>
      <c r="E780" s="816"/>
      <c r="F780" s="816"/>
      <c r="G780" s="817"/>
      <c r="H780" s="817"/>
      <c r="I780" s="818"/>
      <c r="J780" s="772"/>
      <c r="K780" s="772"/>
      <c r="L780" s="772"/>
      <c r="M780" s="772"/>
      <c r="N780" s="772"/>
      <c r="O780" s="772"/>
      <c r="P780" s="772"/>
      <c r="Q780" s="772"/>
      <c r="R780" s="772"/>
      <c r="S780" s="772"/>
      <c r="T780" s="772"/>
      <c r="U780" s="772"/>
      <c r="V780" s="772"/>
      <c r="W780" s="772"/>
      <c r="X780" s="772"/>
      <c r="Y780" s="772"/>
      <c r="Z780" s="772"/>
      <c r="AA780" s="772"/>
      <c r="AB780" s="772"/>
      <c r="AC780" s="772"/>
      <c r="AD780" s="772"/>
      <c r="AE780" s="772"/>
      <c r="AF780" s="772"/>
      <c r="AG780" s="772"/>
      <c r="AH780" s="772"/>
    </row>
    <row r="781" ht="15.75" customHeight="1">
      <c r="A781" s="815"/>
      <c r="B781" s="782"/>
      <c r="C781" s="782"/>
      <c r="D781" s="782"/>
      <c r="E781" s="816"/>
      <c r="F781" s="816"/>
      <c r="G781" s="817"/>
      <c r="H781" s="817"/>
      <c r="I781" s="818"/>
      <c r="J781" s="772"/>
      <c r="K781" s="772"/>
      <c r="L781" s="772"/>
      <c r="M781" s="772"/>
      <c r="N781" s="772"/>
      <c r="O781" s="772"/>
      <c r="P781" s="772"/>
      <c r="Q781" s="772"/>
      <c r="R781" s="772"/>
      <c r="S781" s="772"/>
      <c r="T781" s="772"/>
      <c r="U781" s="772"/>
      <c r="V781" s="772"/>
      <c r="W781" s="772"/>
      <c r="X781" s="772"/>
      <c r="Y781" s="772"/>
      <c r="Z781" s="772"/>
      <c r="AA781" s="772"/>
      <c r="AB781" s="772"/>
      <c r="AC781" s="772"/>
      <c r="AD781" s="772"/>
      <c r="AE781" s="772"/>
      <c r="AF781" s="772"/>
      <c r="AG781" s="772"/>
      <c r="AH781" s="772"/>
    </row>
    <row r="782" ht="15.75" customHeight="1">
      <c r="A782" s="815"/>
      <c r="B782" s="782"/>
      <c r="C782" s="782"/>
      <c r="D782" s="782"/>
      <c r="E782" s="816"/>
      <c r="F782" s="816"/>
      <c r="G782" s="817"/>
      <c r="H782" s="817"/>
      <c r="I782" s="818"/>
      <c r="J782" s="772"/>
      <c r="K782" s="772"/>
      <c r="L782" s="772"/>
      <c r="M782" s="772"/>
      <c r="N782" s="772"/>
      <c r="O782" s="772"/>
      <c r="P782" s="772"/>
      <c r="Q782" s="772"/>
      <c r="R782" s="772"/>
      <c r="S782" s="772"/>
      <c r="T782" s="772"/>
      <c r="U782" s="772"/>
      <c r="V782" s="772"/>
      <c r="W782" s="772"/>
      <c r="X782" s="772"/>
      <c r="Y782" s="772"/>
      <c r="Z782" s="772"/>
      <c r="AA782" s="772"/>
      <c r="AB782" s="772"/>
      <c r="AC782" s="772"/>
      <c r="AD782" s="772"/>
      <c r="AE782" s="772"/>
      <c r="AF782" s="772"/>
      <c r="AG782" s="772"/>
      <c r="AH782" s="772"/>
    </row>
    <row r="783" ht="15.75" customHeight="1">
      <c r="A783" s="815"/>
      <c r="B783" s="782"/>
      <c r="C783" s="782"/>
      <c r="D783" s="782"/>
      <c r="E783" s="816"/>
      <c r="F783" s="816"/>
      <c r="G783" s="817"/>
      <c r="H783" s="817"/>
      <c r="I783" s="818"/>
      <c r="J783" s="772"/>
      <c r="K783" s="772"/>
      <c r="L783" s="772"/>
      <c r="M783" s="772"/>
      <c r="N783" s="772"/>
      <c r="O783" s="772"/>
      <c r="P783" s="772"/>
      <c r="Q783" s="772"/>
      <c r="R783" s="772"/>
      <c r="S783" s="772"/>
      <c r="T783" s="772"/>
      <c r="U783" s="772"/>
      <c r="V783" s="772"/>
      <c r="W783" s="772"/>
      <c r="X783" s="772"/>
      <c r="Y783" s="772"/>
      <c r="Z783" s="772"/>
      <c r="AA783" s="772"/>
      <c r="AB783" s="772"/>
      <c r="AC783" s="772"/>
      <c r="AD783" s="772"/>
      <c r="AE783" s="772"/>
      <c r="AF783" s="772"/>
      <c r="AG783" s="772"/>
      <c r="AH783" s="772"/>
    </row>
    <row r="784" ht="15.75" customHeight="1">
      <c r="A784" s="815"/>
      <c r="B784" s="782"/>
      <c r="C784" s="782"/>
      <c r="D784" s="782"/>
      <c r="E784" s="816"/>
      <c r="F784" s="816"/>
      <c r="G784" s="817"/>
      <c r="H784" s="817"/>
      <c r="I784" s="818"/>
      <c r="J784" s="772"/>
      <c r="K784" s="772"/>
      <c r="L784" s="772"/>
      <c r="M784" s="772"/>
      <c r="N784" s="772"/>
      <c r="O784" s="772"/>
      <c r="P784" s="772"/>
      <c r="Q784" s="772"/>
      <c r="R784" s="772"/>
      <c r="S784" s="772"/>
      <c r="T784" s="772"/>
      <c r="U784" s="772"/>
      <c r="V784" s="772"/>
      <c r="W784" s="772"/>
      <c r="X784" s="772"/>
      <c r="Y784" s="772"/>
      <c r="Z784" s="772"/>
      <c r="AA784" s="772"/>
      <c r="AB784" s="772"/>
      <c r="AC784" s="772"/>
      <c r="AD784" s="772"/>
      <c r="AE784" s="772"/>
      <c r="AF784" s="772"/>
      <c r="AG784" s="772"/>
      <c r="AH784" s="772"/>
    </row>
    <row r="785" ht="15.75" customHeight="1">
      <c r="A785" s="815"/>
      <c r="B785" s="782"/>
      <c r="C785" s="782"/>
      <c r="D785" s="782"/>
      <c r="E785" s="816"/>
      <c r="F785" s="816"/>
      <c r="G785" s="817"/>
      <c r="H785" s="817"/>
      <c r="I785" s="818"/>
      <c r="J785" s="772"/>
      <c r="K785" s="772"/>
      <c r="L785" s="772"/>
      <c r="M785" s="772"/>
      <c r="N785" s="772"/>
      <c r="O785" s="772"/>
      <c r="P785" s="772"/>
      <c r="Q785" s="772"/>
      <c r="R785" s="772"/>
      <c r="S785" s="772"/>
      <c r="T785" s="772"/>
      <c r="U785" s="772"/>
      <c r="V785" s="772"/>
      <c r="W785" s="772"/>
      <c r="X785" s="772"/>
      <c r="Y785" s="772"/>
      <c r="Z785" s="772"/>
      <c r="AA785" s="772"/>
      <c r="AB785" s="772"/>
      <c r="AC785" s="772"/>
      <c r="AD785" s="772"/>
      <c r="AE785" s="772"/>
      <c r="AF785" s="772"/>
      <c r="AG785" s="772"/>
      <c r="AH785" s="772"/>
    </row>
    <row r="786" ht="15.75" customHeight="1">
      <c r="A786" s="815"/>
      <c r="B786" s="782"/>
      <c r="C786" s="782"/>
      <c r="D786" s="782"/>
      <c r="E786" s="816"/>
      <c r="F786" s="816"/>
      <c r="G786" s="817"/>
      <c r="H786" s="817"/>
      <c r="I786" s="818"/>
      <c r="J786" s="772"/>
      <c r="K786" s="772"/>
      <c r="L786" s="772"/>
      <c r="M786" s="772"/>
      <c r="N786" s="772"/>
      <c r="O786" s="772"/>
      <c r="P786" s="772"/>
      <c r="Q786" s="772"/>
      <c r="R786" s="772"/>
      <c r="S786" s="772"/>
      <c r="T786" s="772"/>
      <c r="U786" s="772"/>
      <c r="V786" s="772"/>
      <c r="W786" s="772"/>
      <c r="X786" s="772"/>
      <c r="Y786" s="772"/>
      <c r="Z786" s="772"/>
      <c r="AA786" s="772"/>
      <c r="AB786" s="772"/>
      <c r="AC786" s="772"/>
      <c r="AD786" s="772"/>
      <c r="AE786" s="772"/>
      <c r="AF786" s="772"/>
      <c r="AG786" s="772"/>
      <c r="AH786" s="772"/>
    </row>
    <row r="787" ht="15.75" customHeight="1">
      <c r="A787" s="815"/>
      <c r="B787" s="782"/>
      <c r="C787" s="782"/>
      <c r="D787" s="782"/>
      <c r="E787" s="816"/>
      <c r="F787" s="816"/>
      <c r="G787" s="817"/>
      <c r="H787" s="817"/>
      <c r="I787" s="818"/>
      <c r="J787" s="772"/>
      <c r="K787" s="772"/>
      <c r="L787" s="772"/>
      <c r="M787" s="772"/>
      <c r="N787" s="772"/>
      <c r="O787" s="772"/>
      <c r="P787" s="772"/>
      <c r="Q787" s="772"/>
      <c r="R787" s="772"/>
      <c r="S787" s="772"/>
      <c r="T787" s="772"/>
      <c r="U787" s="772"/>
      <c r="V787" s="772"/>
      <c r="W787" s="772"/>
      <c r="X787" s="772"/>
      <c r="Y787" s="772"/>
      <c r="Z787" s="772"/>
      <c r="AA787" s="772"/>
      <c r="AB787" s="772"/>
      <c r="AC787" s="772"/>
      <c r="AD787" s="772"/>
      <c r="AE787" s="772"/>
      <c r="AF787" s="772"/>
      <c r="AG787" s="772"/>
      <c r="AH787" s="772"/>
    </row>
    <row r="788" ht="15.75" customHeight="1">
      <c r="A788" s="815"/>
      <c r="B788" s="782"/>
      <c r="C788" s="782"/>
      <c r="D788" s="782"/>
      <c r="E788" s="816"/>
      <c r="F788" s="816"/>
      <c r="G788" s="817"/>
      <c r="H788" s="817"/>
      <c r="I788" s="818"/>
      <c r="J788" s="772"/>
      <c r="K788" s="772"/>
      <c r="L788" s="772"/>
      <c r="M788" s="772"/>
      <c r="N788" s="772"/>
      <c r="O788" s="772"/>
      <c r="P788" s="772"/>
      <c r="Q788" s="772"/>
      <c r="R788" s="772"/>
      <c r="S788" s="772"/>
      <c r="T788" s="772"/>
      <c r="U788" s="772"/>
      <c r="V788" s="772"/>
      <c r="W788" s="772"/>
      <c r="X788" s="772"/>
      <c r="Y788" s="772"/>
      <c r="Z788" s="772"/>
      <c r="AA788" s="772"/>
      <c r="AB788" s="772"/>
      <c r="AC788" s="772"/>
      <c r="AD788" s="772"/>
      <c r="AE788" s="772"/>
      <c r="AF788" s="772"/>
      <c r="AG788" s="772"/>
      <c r="AH788" s="772"/>
    </row>
    <row r="789" ht="15.75" customHeight="1">
      <c r="A789" s="815"/>
      <c r="B789" s="782"/>
      <c r="C789" s="782"/>
      <c r="D789" s="782"/>
      <c r="E789" s="816"/>
      <c r="F789" s="816"/>
      <c r="G789" s="817"/>
      <c r="H789" s="817"/>
      <c r="I789" s="818"/>
      <c r="J789" s="772"/>
      <c r="K789" s="772"/>
      <c r="L789" s="772"/>
      <c r="M789" s="772"/>
      <c r="N789" s="772"/>
      <c r="O789" s="772"/>
      <c r="P789" s="772"/>
      <c r="Q789" s="772"/>
      <c r="R789" s="772"/>
      <c r="S789" s="772"/>
      <c r="T789" s="772"/>
      <c r="U789" s="772"/>
      <c r="V789" s="772"/>
      <c r="W789" s="772"/>
      <c r="X789" s="772"/>
      <c r="Y789" s="772"/>
      <c r="Z789" s="772"/>
      <c r="AA789" s="772"/>
      <c r="AB789" s="772"/>
      <c r="AC789" s="772"/>
      <c r="AD789" s="772"/>
      <c r="AE789" s="772"/>
      <c r="AF789" s="772"/>
      <c r="AG789" s="772"/>
      <c r="AH789" s="772"/>
    </row>
    <row r="790" ht="15.75" customHeight="1">
      <c r="A790" s="815"/>
      <c r="B790" s="782"/>
      <c r="C790" s="782"/>
      <c r="D790" s="782"/>
      <c r="E790" s="816"/>
      <c r="F790" s="816"/>
      <c r="G790" s="817"/>
      <c r="H790" s="817"/>
      <c r="I790" s="818"/>
      <c r="J790" s="772"/>
      <c r="K790" s="772"/>
      <c r="L790" s="772"/>
      <c r="M790" s="772"/>
      <c r="N790" s="772"/>
      <c r="O790" s="772"/>
      <c r="P790" s="772"/>
      <c r="Q790" s="772"/>
      <c r="R790" s="772"/>
      <c r="S790" s="772"/>
      <c r="T790" s="772"/>
      <c r="U790" s="772"/>
      <c r="V790" s="772"/>
      <c r="W790" s="772"/>
      <c r="X790" s="772"/>
      <c r="Y790" s="772"/>
      <c r="Z790" s="772"/>
      <c r="AA790" s="772"/>
      <c r="AB790" s="772"/>
      <c r="AC790" s="772"/>
      <c r="AD790" s="772"/>
      <c r="AE790" s="772"/>
      <c r="AF790" s="772"/>
      <c r="AG790" s="772"/>
      <c r="AH790" s="772"/>
    </row>
    <row r="791" ht="15.75" customHeight="1">
      <c r="A791" s="815"/>
      <c r="B791" s="782"/>
      <c r="C791" s="782"/>
      <c r="D791" s="782"/>
      <c r="E791" s="816"/>
      <c r="F791" s="816"/>
      <c r="G791" s="817"/>
      <c r="H791" s="817"/>
      <c r="I791" s="818"/>
      <c r="J791" s="772"/>
      <c r="K791" s="772"/>
      <c r="L791" s="772"/>
      <c r="M791" s="772"/>
      <c r="N791" s="772"/>
      <c r="O791" s="772"/>
      <c r="P791" s="772"/>
      <c r="Q791" s="772"/>
      <c r="R791" s="772"/>
      <c r="S791" s="772"/>
      <c r="T791" s="772"/>
      <c r="U791" s="772"/>
      <c r="V791" s="772"/>
      <c r="W791" s="772"/>
      <c r="X791" s="772"/>
      <c r="Y791" s="772"/>
      <c r="Z791" s="772"/>
      <c r="AA791" s="772"/>
      <c r="AB791" s="772"/>
      <c r="AC791" s="772"/>
      <c r="AD791" s="772"/>
      <c r="AE791" s="772"/>
      <c r="AF791" s="772"/>
      <c r="AG791" s="772"/>
      <c r="AH791" s="772"/>
    </row>
    <row r="792" ht="15.75" customHeight="1">
      <c r="A792" s="815"/>
      <c r="B792" s="782"/>
      <c r="C792" s="782"/>
      <c r="D792" s="782"/>
      <c r="E792" s="816"/>
      <c r="F792" s="816"/>
      <c r="G792" s="817"/>
      <c r="H792" s="817"/>
      <c r="I792" s="818"/>
      <c r="J792" s="772"/>
      <c r="K792" s="772"/>
      <c r="L792" s="772"/>
      <c r="M792" s="772"/>
      <c r="N792" s="772"/>
      <c r="O792" s="772"/>
      <c r="P792" s="772"/>
      <c r="Q792" s="772"/>
      <c r="R792" s="772"/>
      <c r="S792" s="772"/>
      <c r="T792" s="772"/>
      <c r="U792" s="772"/>
      <c r="V792" s="772"/>
      <c r="W792" s="772"/>
      <c r="X792" s="772"/>
      <c r="Y792" s="772"/>
      <c r="Z792" s="772"/>
      <c r="AA792" s="772"/>
      <c r="AB792" s="772"/>
      <c r="AC792" s="772"/>
      <c r="AD792" s="772"/>
      <c r="AE792" s="772"/>
      <c r="AF792" s="772"/>
      <c r="AG792" s="772"/>
      <c r="AH792" s="772"/>
    </row>
    <row r="793" ht="15.75" customHeight="1">
      <c r="A793" s="815"/>
      <c r="B793" s="782"/>
      <c r="C793" s="782"/>
      <c r="D793" s="782"/>
      <c r="E793" s="816"/>
      <c r="F793" s="816"/>
      <c r="G793" s="817"/>
      <c r="H793" s="817"/>
      <c r="I793" s="818"/>
      <c r="J793" s="772"/>
      <c r="K793" s="772"/>
      <c r="L793" s="772"/>
      <c r="M793" s="772"/>
      <c r="N793" s="772"/>
      <c r="O793" s="772"/>
      <c r="P793" s="772"/>
      <c r="Q793" s="772"/>
      <c r="R793" s="772"/>
      <c r="S793" s="772"/>
      <c r="T793" s="772"/>
      <c r="U793" s="772"/>
      <c r="V793" s="772"/>
      <c r="W793" s="772"/>
      <c r="X793" s="772"/>
      <c r="Y793" s="772"/>
      <c r="Z793" s="772"/>
      <c r="AA793" s="772"/>
      <c r="AB793" s="772"/>
      <c r="AC793" s="772"/>
      <c r="AD793" s="772"/>
      <c r="AE793" s="772"/>
      <c r="AF793" s="772"/>
      <c r="AG793" s="772"/>
      <c r="AH793" s="772"/>
    </row>
    <row r="794" ht="15.75" customHeight="1">
      <c r="A794" s="815"/>
      <c r="B794" s="782"/>
      <c r="C794" s="782"/>
      <c r="D794" s="782"/>
      <c r="E794" s="816"/>
      <c r="F794" s="816"/>
      <c r="G794" s="817"/>
      <c r="H794" s="817"/>
      <c r="I794" s="818"/>
      <c r="J794" s="772"/>
      <c r="K794" s="772"/>
      <c r="L794" s="772"/>
      <c r="M794" s="772"/>
      <c r="N794" s="772"/>
      <c r="O794" s="772"/>
      <c r="P794" s="772"/>
      <c r="Q794" s="772"/>
      <c r="R794" s="772"/>
      <c r="S794" s="772"/>
      <c r="T794" s="772"/>
      <c r="U794" s="772"/>
      <c r="V794" s="772"/>
      <c r="W794" s="772"/>
      <c r="X794" s="772"/>
      <c r="Y794" s="772"/>
      <c r="Z794" s="772"/>
      <c r="AA794" s="772"/>
      <c r="AB794" s="772"/>
      <c r="AC794" s="772"/>
      <c r="AD794" s="772"/>
      <c r="AE794" s="772"/>
      <c r="AF794" s="772"/>
      <c r="AG794" s="772"/>
      <c r="AH794" s="772"/>
    </row>
    <row r="795" ht="15.75" customHeight="1">
      <c r="A795" s="815"/>
      <c r="B795" s="782"/>
      <c r="C795" s="782"/>
      <c r="D795" s="782"/>
      <c r="E795" s="816"/>
      <c r="F795" s="816"/>
      <c r="G795" s="817"/>
      <c r="H795" s="817"/>
      <c r="I795" s="818"/>
      <c r="J795" s="772"/>
      <c r="K795" s="772"/>
      <c r="L795" s="772"/>
      <c r="M795" s="772"/>
      <c r="N795" s="772"/>
      <c r="O795" s="772"/>
      <c r="P795" s="772"/>
      <c r="Q795" s="772"/>
      <c r="R795" s="772"/>
      <c r="S795" s="772"/>
      <c r="T795" s="772"/>
      <c r="U795" s="772"/>
      <c r="V795" s="772"/>
      <c r="W795" s="772"/>
      <c r="X795" s="772"/>
      <c r="Y795" s="772"/>
      <c r="Z795" s="772"/>
      <c r="AA795" s="772"/>
      <c r="AB795" s="772"/>
      <c r="AC795" s="772"/>
      <c r="AD795" s="772"/>
      <c r="AE795" s="772"/>
      <c r="AF795" s="772"/>
      <c r="AG795" s="772"/>
      <c r="AH795" s="772"/>
    </row>
    <row r="796" ht="15.75" customHeight="1">
      <c r="A796" s="815"/>
      <c r="B796" s="782"/>
      <c r="C796" s="782"/>
      <c r="D796" s="782"/>
      <c r="E796" s="816"/>
      <c r="F796" s="816"/>
      <c r="G796" s="817"/>
      <c r="H796" s="817"/>
      <c r="I796" s="818"/>
      <c r="J796" s="772"/>
      <c r="K796" s="772"/>
      <c r="L796" s="772"/>
      <c r="M796" s="772"/>
      <c r="N796" s="772"/>
      <c r="O796" s="772"/>
      <c r="P796" s="772"/>
      <c r="Q796" s="772"/>
      <c r="R796" s="772"/>
      <c r="S796" s="772"/>
      <c r="T796" s="772"/>
      <c r="U796" s="772"/>
      <c r="V796" s="772"/>
      <c r="W796" s="772"/>
      <c r="X796" s="772"/>
      <c r="Y796" s="772"/>
      <c r="Z796" s="772"/>
      <c r="AA796" s="772"/>
      <c r="AB796" s="772"/>
      <c r="AC796" s="772"/>
      <c r="AD796" s="772"/>
      <c r="AE796" s="772"/>
      <c r="AF796" s="772"/>
      <c r="AG796" s="772"/>
      <c r="AH796" s="772"/>
    </row>
    <row r="797" ht="15.75" customHeight="1">
      <c r="A797" s="815"/>
      <c r="B797" s="782"/>
      <c r="C797" s="782"/>
      <c r="D797" s="782"/>
      <c r="E797" s="816"/>
      <c r="F797" s="816"/>
      <c r="G797" s="817"/>
      <c r="H797" s="817"/>
      <c r="I797" s="818"/>
      <c r="J797" s="772"/>
      <c r="K797" s="772"/>
      <c r="L797" s="772"/>
      <c r="M797" s="772"/>
      <c r="N797" s="772"/>
      <c r="O797" s="772"/>
      <c r="P797" s="772"/>
      <c r="Q797" s="772"/>
      <c r="R797" s="772"/>
      <c r="S797" s="772"/>
      <c r="T797" s="772"/>
      <c r="U797" s="772"/>
      <c r="V797" s="772"/>
      <c r="W797" s="772"/>
      <c r="X797" s="772"/>
      <c r="Y797" s="772"/>
      <c r="Z797" s="772"/>
      <c r="AA797" s="772"/>
      <c r="AB797" s="772"/>
      <c r="AC797" s="772"/>
      <c r="AD797" s="772"/>
      <c r="AE797" s="772"/>
      <c r="AF797" s="772"/>
      <c r="AG797" s="772"/>
      <c r="AH797" s="772"/>
    </row>
    <row r="798" ht="15.75" customHeight="1">
      <c r="A798" s="815"/>
      <c r="B798" s="782"/>
      <c r="C798" s="782"/>
      <c r="D798" s="782"/>
      <c r="E798" s="816"/>
      <c r="F798" s="816"/>
      <c r="G798" s="817"/>
      <c r="H798" s="817"/>
      <c r="I798" s="818"/>
      <c r="J798" s="772"/>
      <c r="K798" s="772"/>
      <c r="L798" s="772"/>
      <c r="M798" s="772"/>
      <c r="N798" s="772"/>
      <c r="O798" s="772"/>
      <c r="P798" s="772"/>
      <c r="Q798" s="772"/>
      <c r="R798" s="772"/>
      <c r="S798" s="772"/>
      <c r="T798" s="772"/>
      <c r="U798" s="772"/>
      <c r="V798" s="772"/>
      <c r="W798" s="772"/>
      <c r="X798" s="772"/>
      <c r="Y798" s="772"/>
      <c r="Z798" s="772"/>
      <c r="AA798" s="772"/>
      <c r="AB798" s="772"/>
      <c r="AC798" s="772"/>
      <c r="AD798" s="772"/>
      <c r="AE798" s="772"/>
      <c r="AF798" s="772"/>
      <c r="AG798" s="772"/>
      <c r="AH798" s="772"/>
    </row>
    <row r="799" ht="15.75" customHeight="1">
      <c r="A799" s="815"/>
      <c r="B799" s="782"/>
      <c r="C799" s="782"/>
      <c r="D799" s="782"/>
      <c r="E799" s="816"/>
      <c r="F799" s="816"/>
      <c r="G799" s="817"/>
      <c r="H799" s="817"/>
      <c r="I799" s="818"/>
      <c r="J799" s="772"/>
      <c r="K799" s="772"/>
      <c r="L799" s="772"/>
      <c r="M799" s="772"/>
      <c r="N799" s="772"/>
      <c r="O799" s="772"/>
      <c r="P799" s="772"/>
      <c r="Q799" s="772"/>
      <c r="R799" s="772"/>
      <c r="S799" s="772"/>
      <c r="T799" s="772"/>
      <c r="U799" s="772"/>
      <c r="V799" s="772"/>
      <c r="W799" s="772"/>
      <c r="X799" s="772"/>
      <c r="Y799" s="772"/>
      <c r="Z799" s="772"/>
      <c r="AA799" s="772"/>
      <c r="AB799" s="772"/>
      <c r="AC799" s="772"/>
      <c r="AD799" s="772"/>
      <c r="AE799" s="772"/>
      <c r="AF799" s="772"/>
      <c r="AG799" s="772"/>
      <c r="AH799" s="772"/>
    </row>
    <row r="800" ht="15.75" customHeight="1">
      <c r="A800" s="815"/>
      <c r="B800" s="782"/>
      <c r="C800" s="782"/>
      <c r="D800" s="782"/>
      <c r="E800" s="816"/>
      <c r="F800" s="816"/>
      <c r="G800" s="817"/>
      <c r="H800" s="817"/>
      <c r="I800" s="818"/>
      <c r="J800" s="772"/>
      <c r="K800" s="772"/>
      <c r="L800" s="772"/>
      <c r="M800" s="772"/>
      <c r="N800" s="772"/>
      <c r="O800" s="772"/>
      <c r="P800" s="772"/>
      <c r="Q800" s="772"/>
      <c r="R800" s="772"/>
      <c r="S800" s="772"/>
      <c r="T800" s="772"/>
      <c r="U800" s="772"/>
      <c r="V800" s="772"/>
      <c r="W800" s="772"/>
      <c r="X800" s="772"/>
      <c r="Y800" s="772"/>
      <c r="Z800" s="772"/>
      <c r="AA800" s="772"/>
      <c r="AB800" s="772"/>
      <c r="AC800" s="772"/>
      <c r="AD800" s="772"/>
      <c r="AE800" s="772"/>
      <c r="AF800" s="772"/>
      <c r="AG800" s="772"/>
      <c r="AH800" s="772"/>
    </row>
    <row r="801" ht="15.75" customHeight="1">
      <c r="A801" s="815"/>
      <c r="B801" s="782"/>
      <c r="C801" s="782"/>
      <c r="D801" s="782"/>
      <c r="E801" s="816"/>
      <c r="F801" s="816"/>
      <c r="G801" s="817"/>
      <c r="H801" s="817"/>
      <c r="I801" s="818"/>
      <c r="J801" s="772"/>
      <c r="K801" s="772"/>
      <c r="L801" s="772"/>
      <c r="M801" s="772"/>
      <c r="N801" s="772"/>
      <c r="O801" s="772"/>
      <c r="P801" s="772"/>
      <c r="Q801" s="772"/>
      <c r="R801" s="772"/>
      <c r="S801" s="772"/>
      <c r="T801" s="772"/>
      <c r="U801" s="772"/>
      <c r="V801" s="772"/>
      <c r="W801" s="772"/>
      <c r="X801" s="772"/>
      <c r="Y801" s="772"/>
      <c r="Z801" s="772"/>
      <c r="AA801" s="772"/>
      <c r="AB801" s="772"/>
      <c r="AC801" s="772"/>
      <c r="AD801" s="772"/>
      <c r="AE801" s="772"/>
      <c r="AF801" s="772"/>
      <c r="AG801" s="772"/>
      <c r="AH801" s="772"/>
    </row>
    <row r="802" ht="15.75" customHeight="1">
      <c r="A802" s="815"/>
      <c r="B802" s="782"/>
      <c r="C802" s="782"/>
      <c r="D802" s="782"/>
      <c r="E802" s="816"/>
      <c r="F802" s="816"/>
      <c r="G802" s="817"/>
      <c r="H802" s="817"/>
      <c r="I802" s="818"/>
      <c r="J802" s="772"/>
      <c r="K802" s="772"/>
      <c r="L802" s="772"/>
      <c r="M802" s="772"/>
      <c r="N802" s="772"/>
      <c r="O802" s="772"/>
      <c r="P802" s="772"/>
      <c r="Q802" s="772"/>
      <c r="R802" s="772"/>
      <c r="S802" s="772"/>
      <c r="T802" s="772"/>
      <c r="U802" s="772"/>
      <c r="V802" s="772"/>
      <c r="W802" s="772"/>
      <c r="X802" s="772"/>
      <c r="Y802" s="772"/>
      <c r="Z802" s="772"/>
      <c r="AA802" s="772"/>
      <c r="AB802" s="772"/>
      <c r="AC802" s="772"/>
      <c r="AD802" s="772"/>
      <c r="AE802" s="772"/>
      <c r="AF802" s="772"/>
      <c r="AG802" s="772"/>
      <c r="AH802" s="772"/>
    </row>
    <row r="803" ht="15.75" customHeight="1">
      <c r="A803" s="815"/>
      <c r="B803" s="782"/>
      <c r="C803" s="782"/>
      <c r="D803" s="782"/>
      <c r="E803" s="816"/>
      <c r="F803" s="816"/>
      <c r="G803" s="817"/>
      <c r="H803" s="817"/>
      <c r="I803" s="818"/>
      <c r="J803" s="772"/>
      <c r="K803" s="772"/>
      <c r="L803" s="772"/>
      <c r="M803" s="772"/>
      <c r="N803" s="772"/>
      <c r="O803" s="772"/>
      <c r="P803" s="772"/>
      <c r="Q803" s="772"/>
      <c r="R803" s="772"/>
      <c r="S803" s="772"/>
      <c r="T803" s="772"/>
      <c r="U803" s="772"/>
      <c r="V803" s="772"/>
      <c r="W803" s="772"/>
      <c r="X803" s="772"/>
      <c r="Y803" s="772"/>
      <c r="Z803" s="772"/>
      <c r="AA803" s="772"/>
      <c r="AB803" s="772"/>
      <c r="AC803" s="772"/>
      <c r="AD803" s="772"/>
      <c r="AE803" s="772"/>
      <c r="AF803" s="772"/>
      <c r="AG803" s="772"/>
      <c r="AH803" s="772"/>
    </row>
    <row r="804" ht="15.75" customHeight="1">
      <c r="A804" s="815"/>
      <c r="B804" s="782"/>
      <c r="C804" s="782"/>
      <c r="D804" s="782"/>
      <c r="E804" s="816"/>
      <c r="F804" s="816"/>
      <c r="G804" s="817"/>
      <c r="H804" s="817"/>
      <c r="I804" s="818"/>
      <c r="J804" s="772"/>
      <c r="K804" s="772"/>
      <c r="L804" s="772"/>
      <c r="M804" s="772"/>
      <c r="N804" s="772"/>
      <c r="O804" s="772"/>
      <c r="P804" s="772"/>
      <c r="Q804" s="772"/>
      <c r="R804" s="772"/>
      <c r="S804" s="772"/>
      <c r="T804" s="772"/>
      <c r="U804" s="772"/>
      <c r="V804" s="772"/>
      <c r="W804" s="772"/>
      <c r="X804" s="772"/>
      <c r="Y804" s="772"/>
      <c r="Z804" s="772"/>
      <c r="AA804" s="772"/>
      <c r="AB804" s="772"/>
      <c r="AC804" s="772"/>
      <c r="AD804" s="772"/>
      <c r="AE804" s="772"/>
      <c r="AF804" s="772"/>
      <c r="AG804" s="772"/>
      <c r="AH804" s="772"/>
    </row>
    <row r="805" ht="15.75" customHeight="1">
      <c r="A805" s="815"/>
      <c r="B805" s="782"/>
      <c r="C805" s="782"/>
      <c r="D805" s="782"/>
      <c r="E805" s="816"/>
      <c r="F805" s="816"/>
      <c r="G805" s="817"/>
      <c r="H805" s="817"/>
      <c r="I805" s="818"/>
      <c r="J805" s="772"/>
      <c r="K805" s="772"/>
      <c r="L805" s="772"/>
      <c r="M805" s="772"/>
      <c r="N805" s="772"/>
      <c r="O805" s="772"/>
      <c r="P805" s="772"/>
      <c r="Q805" s="772"/>
      <c r="R805" s="772"/>
      <c r="S805" s="772"/>
      <c r="T805" s="772"/>
      <c r="U805" s="772"/>
      <c r="V805" s="772"/>
      <c r="W805" s="772"/>
      <c r="X805" s="772"/>
      <c r="Y805" s="772"/>
      <c r="Z805" s="772"/>
      <c r="AA805" s="772"/>
      <c r="AB805" s="772"/>
      <c r="AC805" s="772"/>
      <c r="AD805" s="772"/>
      <c r="AE805" s="772"/>
      <c r="AF805" s="772"/>
      <c r="AG805" s="772"/>
      <c r="AH805" s="772"/>
    </row>
    <row r="806" ht="15.75" customHeight="1">
      <c r="A806" s="815"/>
      <c r="B806" s="782"/>
      <c r="C806" s="782"/>
      <c r="D806" s="782"/>
      <c r="E806" s="816"/>
      <c r="F806" s="816"/>
      <c r="G806" s="817"/>
      <c r="H806" s="817"/>
      <c r="I806" s="818"/>
      <c r="J806" s="772"/>
      <c r="K806" s="772"/>
      <c r="L806" s="772"/>
      <c r="M806" s="772"/>
      <c r="N806" s="772"/>
      <c r="O806" s="772"/>
      <c r="P806" s="772"/>
      <c r="Q806" s="772"/>
      <c r="R806" s="772"/>
      <c r="S806" s="772"/>
      <c r="T806" s="772"/>
      <c r="U806" s="772"/>
      <c r="V806" s="772"/>
      <c r="W806" s="772"/>
      <c r="X806" s="772"/>
      <c r="Y806" s="772"/>
      <c r="Z806" s="772"/>
      <c r="AA806" s="772"/>
      <c r="AB806" s="772"/>
      <c r="AC806" s="772"/>
      <c r="AD806" s="772"/>
      <c r="AE806" s="772"/>
      <c r="AF806" s="772"/>
      <c r="AG806" s="772"/>
      <c r="AH806" s="772"/>
    </row>
    <row r="807" ht="15.75" customHeight="1">
      <c r="A807" s="815"/>
      <c r="B807" s="782"/>
      <c r="C807" s="782"/>
      <c r="D807" s="782"/>
      <c r="E807" s="816"/>
      <c r="F807" s="816"/>
      <c r="G807" s="817"/>
      <c r="H807" s="817"/>
      <c r="I807" s="818"/>
      <c r="J807" s="772"/>
      <c r="K807" s="772"/>
      <c r="L807" s="772"/>
      <c r="M807" s="772"/>
      <c r="N807" s="772"/>
      <c r="O807" s="772"/>
      <c r="P807" s="772"/>
      <c r="Q807" s="772"/>
      <c r="R807" s="772"/>
      <c r="S807" s="772"/>
      <c r="T807" s="772"/>
      <c r="U807" s="772"/>
      <c r="V807" s="772"/>
      <c r="W807" s="772"/>
      <c r="X807" s="772"/>
      <c r="Y807" s="772"/>
      <c r="Z807" s="772"/>
      <c r="AA807" s="772"/>
      <c r="AB807" s="772"/>
      <c r="AC807" s="772"/>
      <c r="AD807" s="772"/>
      <c r="AE807" s="772"/>
      <c r="AF807" s="772"/>
      <c r="AG807" s="772"/>
      <c r="AH807" s="772"/>
    </row>
    <row r="808" ht="15.75" customHeight="1">
      <c r="A808" s="815"/>
      <c r="B808" s="782"/>
      <c r="C808" s="782"/>
      <c r="D808" s="782"/>
      <c r="E808" s="816"/>
      <c r="F808" s="816"/>
      <c r="G808" s="817"/>
      <c r="H808" s="817"/>
      <c r="I808" s="818"/>
      <c r="J808" s="772"/>
      <c r="K808" s="772"/>
      <c r="L808" s="772"/>
      <c r="M808" s="772"/>
      <c r="N808" s="772"/>
      <c r="O808" s="772"/>
      <c r="P808" s="772"/>
      <c r="Q808" s="772"/>
      <c r="R808" s="772"/>
      <c r="S808" s="772"/>
      <c r="T808" s="772"/>
      <c r="U808" s="772"/>
      <c r="V808" s="772"/>
      <c r="W808" s="772"/>
      <c r="X808" s="772"/>
      <c r="Y808" s="772"/>
      <c r="Z808" s="772"/>
      <c r="AA808" s="772"/>
      <c r="AB808" s="772"/>
      <c r="AC808" s="772"/>
      <c r="AD808" s="772"/>
      <c r="AE808" s="772"/>
      <c r="AF808" s="772"/>
      <c r="AG808" s="772"/>
      <c r="AH808" s="772"/>
    </row>
    <row r="809" ht="15.75" customHeight="1">
      <c r="A809" s="815"/>
      <c r="B809" s="782"/>
      <c r="C809" s="782"/>
      <c r="D809" s="782"/>
      <c r="E809" s="816"/>
      <c r="F809" s="816"/>
      <c r="G809" s="817"/>
      <c r="H809" s="817"/>
      <c r="I809" s="818"/>
      <c r="J809" s="772"/>
      <c r="K809" s="772"/>
      <c r="L809" s="772"/>
      <c r="M809" s="772"/>
      <c r="N809" s="772"/>
      <c r="O809" s="772"/>
      <c r="P809" s="772"/>
      <c r="Q809" s="772"/>
      <c r="R809" s="772"/>
      <c r="S809" s="772"/>
      <c r="T809" s="772"/>
      <c r="U809" s="772"/>
      <c r="V809" s="772"/>
      <c r="W809" s="772"/>
      <c r="X809" s="772"/>
      <c r="Y809" s="772"/>
      <c r="Z809" s="772"/>
      <c r="AA809" s="772"/>
      <c r="AB809" s="772"/>
      <c r="AC809" s="772"/>
      <c r="AD809" s="772"/>
      <c r="AE809" s="772"/>
      <c r="AF809" s="772"/>
      <c r="AG809" s="772"/>
      <c r="AH809" s="772"/>
    </row>
    <row r="810" ht="15.75" customHeight="1">
      <c r="A810" s="815"/>
      <c r="B810" s="782"/>
      <c r="C810" s="782"/>
      <c r="D810" s="782"/>
      <c r="E810" s="816"/>
      <c r="F810" s="816"/>
      <c r="G810" s="817"/>
      <c r="H810" s="817"/>
      <c r="I810" s="818"/>
      <c r="J810" s="772"/>
      <c r="K810" s="772"/>
      <c r="L810" s="772"/>
      <c r="M810" s="772"/>
      <c r="N810" s="772"/>
      <c r="O810" s="772"/>
      <c r="P810" s="772"/>
      <c r="Q810" s="772"/>
      <c r="R810" s="772"/>
      <c r="S810" s="772"/>
      <c r="T810" s="772"/>
      <c r="U810" s="772"/>
      <c r="V810" s="772"/>
      <c r="W810" s="772"/>
      <c r="X810" s="772"/>
      <c r="Y810" s="772"/>
      <c r="Z810" s="772"/>
      <c r="AA810" s="772"/>
      <c r="AB810" s="772"/>
      <c r="AC810" s="772"/>
      <c r="AD810" s="772"/>
      <c r="AE810" s="772"/>
      <c r="AF810" s="772"/>
      <c r="AG810" s="772"/>
      <c r="AH810" s="772"/>
    </row>
    <row r="811" ht="15.75" customHeight="1">
      <c r="A811" s="815"/>
      <c r="B811" s="782"/>
      <c r="C811" s="782"/>
      <c r="D811" s="782"/>
      <c r="E811" s="816"/>
      <c r="F811" s="816"/>
      <c r="G811" s="817"/>
      <c r="H811" s="817"/>
      <c r="I811" s="818"/>
      <c r="J811" s="772"/>
      <c r="K811" s="772"/>
      <c r="L811" s="772"/>
      <c r="M811" s="772"/>
      <c r="N811" s="772"/>
      <c r="O811" s="772"/>
      <c r="P811" s="772"/>
      <c r="Q811" s="772"/>
      <c r="R811" s="772"/>
      <c r="S811" s="772"/>
      <c r="T811" s="772"/>
      <c r="U811" s="772"/>
      <c r="V811" s="772"/>
      <c r="W811" s="772"/>
      <c r="X811" s="772"/>
      <c r="Y811" s="772"/>
      <c r="Z811" s="772"/>
      <c r="AA811" s="772"/>
      <c r="AB811" s="772"/>
      <c r="AC811" s="772"/>
      <c r="AD811" s="772"/>
      <c r="AE811" s="772"/>
      <c r="AF811" s="772"/>
      <c r="AG811" s="772"/>
      <c r="AH811" s="772"/>
    </row>
    <row r="812" ht="15.75" customHeight="1">
      <c r="A812" s="815"/>
      <c r="B812" s="782"/>
      <c r="C812" s="782"/>
      <c r="D812" s="782"/>
      <c r="E812" s="816"/>
      <c r="F812" s="816"/>
      <c r="G812" s="817"/>
      <c r="H812" s="817"/>
      <c r="I812" s="818"/>
      <c r="J812" s="772"/>
      <c r="K812" s="772"/>
      <c r="L812" s="772"/>
      <c r="M812" s="772"/>
      <c r="N812" s="772"/>
      <c r="O812" s="772"/>
      <c r="P812" s="772"/>
      <c r="Q812" s="772"/>
      <c r="R812" s="772"/>
      <c r="S812" s="772"/>
      <c r="T812" s="772"/>
      <c r="U812" s="772"/>
      <c r="V812" s="772"/>
      <c r="W812" s="772"/>
      <c r="X812" s="772"/>
      <c r="Y812" s="772"/>
      <c r="Z812" s="772"/>
      <c r="AA812" s="772"/>
      <c r="AB812" s="772"/>
      <c r="AC812" s="772"/>
      <c r="AD812" s="772"/>
      <c r="AE812" s="772"/>
      <c r="AF812" s="772"/>
      <c r="AG812" s="772"/>
      <c r="AH812" s="772"/>
    </row>
    <row r="813" ht="15.75" customHeight="1">
      <c r="A813" s="815"/>
      <c r="B813" s="782"/>
      <c r="C813" s="782"/>
      <c r="D813" s="782"/>
      <c r="E813" s="816"/>
      <c r="F813" s="816"/>
      <c r="G813" s="817"/>
      <c r="H813" s="817"/>
      <c r="I813" s="818"/>
      <c r="J813" s="772"/>
      <c r="K813" s="772"/>
      <c r="L813" s="772"/>
      <c r="M813" s="772"/>
      <c r="N813" s="772"/>
      <c r="O813" s="772"/>
      <c r="P813" s="772"/>
      <c r="Q813" s="772"/>
      <c r="R813" s="772"/>
      <c r="S813" s="772"/>
      <c r="T813" s="772"/>
      <c r="U813" s="772"/>
      <c r="V813" s="772"/>
      <c r="W813" s="772"/>
      <c r="X813" s="772"/>
      <c r="Y813" s="772"/>
      <c r="Z813" s="772"/>
      <c r="AA813" s="772"/>
      <c r="AB813" s="772"/>
      <c r="AC813" s="772"/>
      <c r="AD813" s="772"/>
      <c r="AE813" s="772"/>
      <c r="AF813" s="772"/>
      <c r="AG813" s="772"/>
      <c r="AH813" s="772"/>
    </row>
    <row r="814" ht="15.75" customHeight="1">
      <c r="A814" s="815"/>
      <c r="B814" s="782"/>
      <c r="C814" s="782"/>
      <c r="D814" s="782"/>
      <c r="E814" s="816"/>
      <c r="F814" s="816"/>
      <c r="G814" s="817"/>
      <c r="H814" s="817"/>
      <c r="I814" s="818"/>
      <c r="J814" s="772"/>
      <c r="K814" s="772"/>
      <c r="L814" s="772"/>
      <c r="M814" s="772"/>
      <c r="N814" s="772"/>
      <c r="O814" s="772"/>
      <c r="P814" s="772"/>
      <c r="Q814" s="772"/>
      <c r="R814" s="772"/>
      <c r="S814" s="772"/>
      <c r="T814" s="772"/>
      <c r="U814" s="772"/>
      <c r="V814" s="772"/>
      <c r="W814" s="772"/>
      <c r="X814" s="772"/>
      <c r="Y814" s="772"/>
      <c r="Z814" s="772"/>
      <c r="AA814" s="772"/>
      <c r="AB814" s="772"/>
      <c r="AC814" s="772"/>
      <c r="AD814" s="772"/>
      <c r="AE814" s="772"/>
      <c r="AF814" s="772"/>
      <c r="AG814" s="772"/>
      <c r="AH814" s="772"/>
    </row>
    <row r="815" ht="15.75" customHeight="1">
      <c r="A815" s="815"/>
      <c r="B815" s="782"/>
      <c r="C815" s="782"/>
      <c r="D815" s="782"/>
      <c r="E815" s="816"/>
      <c r="F815" s="816"/>
      <c r="G815" s="817"/>
      <c r="H815" s="817"/>
      <c r="I815" s="818"/>
      <c r="J815" s="772"/>
      <c r="K815" s="772"/>
      <c r="L815" s="772"/>
      <c r="M815" s="772"/>
      <c r="N815" s="772"/>
      <c r="O815" s="772"/>
      <c r="P815" s="772"/>
      <c r="Q815" s="772"/>
      <c r="R815" s="772"/>
      <c r="S815" s="772"/>
      <c r="T815" s="772"/>
      <c r="U815" s="772"/>
      <c r="V815" s="772"/>
      <c r="W815" s="772"/>
      <c r="X815" s="772"/>
      <c r="Y815" s="772"/>
      <c r="Z815" s="772"/>
      <c r="AA815" s="772"/>
      <c r="AB815" s="772"/>
      <c r="AC815" s="772"/>
      <c r="AD815" s="772"/>
      <c r="AE815" s="772"/>
      <c r="AF815" s="772"/>
      <c r="AG815" s="772"/>
      <c r="AH815" s="772"/>
    </row>
    <row r="816" ht="15.75" customHeight="1">
      <c r="A816" s="815"/>
      <c r="B816" s="782"/>
      <c r="C816" s="782"/>
      <c r="D816" s="782"/>
      <c r="E816" s="816"/>
      <c r="F816" s="816"/>
      <c r="G816" s="817"/>
      <c r="H816" s="817"/>
      <c r="I816" s="818"/>
      <c r="J816" s="772"/>
      <c r="K816" s="772"/>
      <c r="L816" s="772"/>
      <c r="M816" s="772"/>
      <c r="N816" s="772"/>
      <c r="O816" s="772"/>
      <c r="P816" s="772"/>
      <c r="Q816" s="772"/>
      <c r="R816" s="772"/>
      <c r="S816" s="772"/>
      <c r="T816" s="772"/>
      <c r="U816" s="772"/>
      <c r="V816" s="772"/>
      <c r="W816" s="772"/>
      <c r="X816" s="772"/>
      <c r="Y816" s="772"/>
      <c r="Z816" s="772"/>
      <c r="AA816" s="772"/>
      <c r="AB816" s="772"/>
      <c r="AC816" s="772"/>
      <c r="AD816" s="772"/>
      <c r="AE816" s="772"/>
      <c r="AF816" s="772"/>
      <c r="AG816" s="772"/>
      <c r="AH816" s="772"/>
    </row>
    <row r="817" ht="15.75" customHeight="1">
      <c r="A817" s="815"/>
      <c r="B817" s="782"/>
      <c r="C817" s="782"/>
      <c r="D817" s="782"/>
      <c r="E817" s="816"/>
      <c r="F817" s="816"/>
      <c r="G817" s="817"/>
      <c r="H817" s="817"/>
      <c r="I817" s="818"/>
      <c r="J817" s="772"/>
      <c r="K817" s="772"/>
      <c r="L817" s="772"/>
      <c r="M817" s="772"/>
      <c r="N817" s="772"/>
      <c r="O817" s="772"/>
      <c r="P817" s="772"/>
      <c r="Q817" s="772"/>
      <c r="R817" s="772"/>
      <c r="S817" s="772"/>
      <c r="T817" s="772"/>
      <c r="U817" s="772"/>
      <c r="V817" s="772"/>
      <c r="W817" s="772"/>
      <c r="X817" s="772"/>
      <c r="Y817" s="772"/>
      <c r="Z817" s="772"/>
      <c r="AA817" s="772"/>
      <c r="AB817" s="772"/>
      <c r="AC817" s="772"/>
      <c r="AD817" s="772"/>
      <c r="AE817" s="772"/>
      <c r="AF817" s="772"/>
      <c r="AG817" s="772"/>
      <c r="AH817" s="772"/>
    </row>
    <row r="818" ht="15.75" customHeight="1">
      <c r="A818" s="815"/>
      <c r="B818" s="782"/>
      <c r="C818" s="782"/>
      <c r="D818" s="782"/>
      <c r="E818" s="816"/>
      <c r="F818" s="816"/>
      <c r="G818" s="817"/>
      <c r="H818" s="817"/>
      <c r="I818" s="818"/>
      <c r="J818" s="772"/>
      <c r="K818" s="772"/>
      <c r="L818" s="772"/>
      <c r="M818" s="772"/>
      <c r="N818" s="772"/>
      <c r="O818" s="772"/>
      <c r="P818" s="772"/>
      <c r="Q818" s="772"/>
      <c r="R818" s="772"/>
      <c r="S818" s="772"/>
      <c r="T818" s="772"/>
      <c r="U818" s="772"/>
      <c r="V818" s="772"/>
      <c r="W818" s="772"/>
      <c r="X818" s="772"/>
      <c r="Y818" s="772"/>
      <c r="Z818" s="772"/>
      <c r="AA818" s="772"/>
      <c r="AB818" s="772"/>
      <c r="AC818" s="772"/>
      <c r="AD818" s="772"/>
      <c r="AE818" s="772"/>
      <c r="AF818" s="772"/>
      <c r="AG818" s="772"/>
      <c r="AH818" s="772"/>
    </row>
    <row r="819" ht="15.75" customHeight="1">
      <c r="A819" s="815"/>
      <c r="B819" s="782"/>
      <c r="C819" s="782"/>
      <c r="D819" s="782"/>
      <c r="E819" s="816"/>
      <c r="F819" s="816"/>
      <c r="G819" s="817"/>
      <c r="H819" s="817"/>
      <c r="I819" s="818"/>
      <c r="J819" s="772"/>
      <c r="K819" s="772"/>
      <c r="L819" s="772"/>
      <c r="M819" s="772"/>
      <c r="N819" s="772"/>
      <c r="O819" s="772"/>
      <c r="P819" s="772"/>
      <c r="Q819" s="772"/>
      <c r="R819" s="772"/>
      <c r="S819" s="772"/>
      <c r="T819" s="772"/>
      <c r="U819" s="772"/>
      <c r="V819" s="772"/>
      <c r="W819" s="772"/>
      <c r="X819" s="772"/>
      <c r="Y819" s="772"/>
      <c r="Z819" s="772"/>
      <c r="AA819" s="772"/>
      <c r="AB819" s="772"/>
      <c r="AC819" s="772"/>
      <c r="AD819" s="772"/>
      <c r="AE819" s="772"/>
      <c r="AF819" s="772"/>
      <c r="AG819" s="772"/>
      <c r="AH819" s="772"/>
    </row>
    <row r="820" ht="15.75" customHeight="1">
      <c r="A820" s="815"/>
      <c r="B820" s="782"/>
      <c r="C820" s="782"/>
      <c r="D820" s="782"/>
      <c r="E820" s="816"/>
      <c r="F820" s="816"/>
      <c r="G820" s="817"/>
      <c r="H820" s="817"/>
      <c r="I820" s="818"/>
      <c r="J820" s="772"/>
      <c r="K820" s="772"/>
      <c r="L820" s="772"/>
      <c r="M820" s="772"/>
      <c r="N820" s="772"/>
      <c r="O820" s="772"/>
      <c r="P820" s="772"/>
      <c r="Q820" s="772"/>
      <c r="R820" s="772"/>
      <c r="S820" s="772"/>
      <c r="T820" s="772"/>
      <c r="U820" s="772"/>
      <c r="V820" s="772"/>
      <c r="W820" s="772"/>
      <c r="X820" s="772"/>
      <c r="Y820" s="772"/>
      <c r="Z820" s="772"/>
      <c r="AA820" s="772"/>
      <c r="AB820" s="772"/>
      <c r="AC820" s="772"/>
      <c r="AD820" s="772"/>
      <c r="AE820" s="772"/>
      <c r="AF820" s="772"/>
      <c r="AG820" s="772"/>
      <c r="AH820" s="772"/>
    </row>
    <row r="821" ht="15.75" customHeight="1">
      <c r="A821" s="815"/>
      <c r="B821" s="782"/>
      <c r="C821" s="782"/>
      <c r="D821" s="782"/>
      <c r="E821" s="816"/>
      <c r="F821" s="816"/>
      <c r="G821" s="817"/>
      <c r="H821" s="817"/>
      <c r="I821" s="818"/>
      <c r="J821" s="772"/>
      <c r="K821" s="772"/>
      <c r="L821" s="772"/>
      <c r="M821" s="772"/>
      <c r="N821" s="772"/>
      <c r="O821" s="772"/>
      <c r="P821" s="772"/>
      <c r="Q821" s="772"/>
      <c r="R821" s="772"/>
      <c r="S821" s="772"/>
      <c r="T821" s="772"/>
      <c r="U821" s="772"/>
      <c r="V821" s="772"/>
      <c r="W821" s="772"/>
      <c r="X821" s="772"/>
      <c r="Y821" s="772"/>
      <c r="Z821" s="772"/>
      <c r="AA821" s="772"/>
      <c r="AB821" s="772"/>
      <c r="AC821" s="772"/>
      <c r="AD821" s="772"/>
      <c r="AE821" s="772"/>
      <c r="AF821" s="772"/>
      <c r="AG821" s="772"/>
      <c r="AH821" s="772"/>
    </row>
    <row r="822" ht="15.75" customHeight="1">
      <c r="A822" s="815"/>
      <c r="B822" s="782"/>
      <c r="C822" s="782"/>
      <c r="D822" s="782"/>
      <c r="E822" s="816"/>
      <c r="F822" s="816"/>
      <c r="G822" s="817"/>
      <c r="H822" s="817"/>
      <c r="I822" s="818"/>
      <c r="J822" s="772"/>
      <c r="K822" s="772"/>
      <c r="L822" s="772"/>
      <c r="M822" s="772"/>
      <c r="N822" s="772"/>
      <c r="O822" s="772"/>
      <c r="P822" s="772"/>
      <c r="Q822" s="772"/>
      <c r="R822" s="772"/>
      <c r="S822" s="772"/>
      <c r="T822" s="772"/>
      <c r="U822" s="772"/>
      <c r="V822" s="772"/>
      <c r="W822" s="772"/>
      <c r="X822" s="772"/>
      <c r="Y822" s="772"/>
      <c r="Z822" s="772"/>
      <c r="AA822" s="772"/>
      <c r="AB822" s="772"/>
      <c r="AC822" s="772"/>
      <c r="AD822" s="772"/>
      <c r="AE822" s="772"/>
      <c r="AF822" s="772"/>
      <c r="AG822" s="772"/>
      <c r="AH822" s="772"/>
    </row>
    <row r="823" ht="15.75" customHeight="1">
      <c r="A823" s="815"/>
      <c r="B823" s="782"/>
      <c r="C823" s="782"/>
      <c r="D823" s="782"/>
      <c r="E823" s="816"/>
      <c r="F823" s="816"/>
      <c r="G823" s="817"/>
      <c r="H823" s="817"/>
      <c r="I823" s="818"/>
      <c r="J823" s="772"/>
      <c r="K823" s="772"/>
      <c r="L823" s="772"/>
      <c r="M823" s="772"/>
      <c r="N823" s="772"/>
      <c r="O823" s="772"/>
      <c r="P823" s="772"/>
      <c r="Q823" s="772"/>
      <c r="R823" s="772"/>
      <c r="S823" s="772"/>
      <c r="T823" s="772"/>
      <c r="U823" s="772"/>
      <c r="V823" s="772"/>
      <c r="W823" s="772"/>
      <c r="X823" s="772"/>
      <c r="Y823" s="772"/>
      <c r="Z823" s="772"/>
      <c r="AA823" s="772"/>
      <c r="AB823" s="772"/>
      <c r="AC823" s="772"/>
      <c r="AD823" s="772"/>
      <c r="AE823" s="772"/>
      <c r="AF823" s="772"/>
      <c r="AG823" s="772"/>
      <c r="AH823" s="772"/>
    </row>
    <row r="824" ht="15.75" customHeight="1">
      <c r="A824" s="815"/>
      <c r="B824" s="782"/>
      <c r="C824" s="782"/>
      <c r="D824" s="782"/>
      <c r="E824" s="816"/>
      <c r="F824" s="816"/>
      <c r="G824" s="817"/>
      <c r="H824" s="817"/>
      <c r="I824" s="818"/>
      <c r="J824" s="772"/>
      <c r="K824" s="772"/>
      <c r="L824" s="772"/>
      <c r="M824" s="772"/>
      <c r="N824" s="772"/>
      <c r="O824" s="772"/>
      <c r="P824" s="772"/>
      <c r="Q824" s="772"/>
      <c r="R824" s="772"/>
      <c r="S824" s="772"/>
      <c r="T824" s="772"/>
      <c r="U824" s="772"/>
      <c r="V824" s="772"/>
      <c r="W824" s="772"/>
      <c r="X824" s="772"/>
      <c r="Y824" s="772"/>
      <c r="Z824" s="772"/>
      <c r="AA824" s="772"/>
      <c r="AB824" s="772"/>
      <c r="AC824" s="772"/>
      <c r="AD824" s="772"/>
      <c r="AE824" s="772"/>
      <c r="AF824" s="772"/>
      <c r="AG824" s="772"/>
      <c r="AH824" s="772"/>
    </row>
    <row r="825" ht="15.75" customHeight="1">
      <c r="A825" s="815"/>
      <c r="B825" s="782"/>
      <c r="C825" s="782"/>
      <c r="D825" s="782"/>
      <c r="E825" s="816"/>
      <c r="F825" s="816"/>
      <c r="G825" s="817"/>
      <c r="H825" s="817"/>
      <c r="I825" s="818"/>
      <c r="J825" s="772"/>
      <c r="K825" s="772"/>
      <c r="L825" s="772"/>
      <c r="M825" s="772"/>
      <c r="N825" s="772"/>
      <c r="O825" s="772"/>
      <c r="P825" s="772"/>
      <c r="Q825" s="772"/>
      <c r="R825" s="772"/>
      <c r="S825" s="772"/>
      <c r="T825" s="772"/>
      <c r="U825" s="772"/>
      <c r="V825" s="772"/>
      <c r="W825" s="772"/>
      <c r="X825" s="772"/>
      <c r="Y825" s="772"/>
      <c r="Z825" s="772"/>
      <c r="AA825" s="772"/>
      <c r="AB825" s="772"/>
      <c r="AC825" s="772"/>
      <c r="AD825" s="772"/>
      <c r="AE825" s="772"/>
      <c r="AF825" s="772"/>
      <c r="AG825" s="772"/>
      <c r="AH825" s="772"/>
    </row>
    <row r="826" ht="15.75" customHeight="1">
      <c r="A826" s="815"/>
      <c r="B826" s="782"/>
      <c r="C826" s="782"/>
      <c r="D826" s="782"/>
      <c r="E826" s="816"/>
      <c r="F826" s="816"/>
      <c r="G826" s="817"/>
      <c r="H826" s="817"/>
      <c r="I826" s="818"/>
      <c r="J826" s="772"/>
      <c r="K826" s="772"/>
      <c r="L826" s="772"/>
      <c r="M826" s="772"/>
      <c r="N826" s="772"/>
      <c r="O826" s="772"/>
      <c r="P826" s="772"/>
      <c r="Q826" s="772"/>
      <c r="R826" s="772"/>
      <c r="S826" s="772"/>
      <c r="T826" s="772"/>
      <c r="U826" s="772"/>
      <c r="V826" s="772"/>
      <c r="W826" s="772"/>
      <c r="X826" s="772"/>
      <c r="Y826" s="772"/>
      <c r="Z826" s="772"/>
      <c r="AA826" s="772"/>
      <c r="AB826" s="772"/>
      <c r="AC826" s="772"/>
      <c r="AD826" s="772"/>
      <c r="AE826" s="772"/>
      <c r="AF826" s="772"/>
      <c r="AG826" s="772"/>
      <c r="AH826" s="772"/>
    </row>
    <row r="827" ht="15.75" customHeight="1">
      <c r="A827" s="815"/>
      <c r="B827" s="782"/>
      <c r="C827" s="782"/>
      <c r="D827" s="782"/>
      <c r="E827" s="816"/>
      <c r="F827" s="816"/>
      <c r="G827" s="817"/>
      <c r="H827" s="817"/>
      <c r="I827" s="818"/>
      <c r="J827" s="772"/>
      <c r="K827" s="772"/>
      <c r="L827" s="772"/>
      <c r="M827" s="772"/>
      <c r="N827" s="772"/>
      <c r="O827" s="772"/>
      <c r="P827" s="772"/>
      <c r="Q827" s="772"/>
      <c r="R827" s="772"/>
      <c r="S827" s="772"/>
      <c r="T827" s="772"/>
      <c r="U827" s="772"/>
      <c r="V827" s="772"/>
      <c r="W827" s="772"/>
      <c r="X827" s="772"/>
      <c r="Y827" s="772"/>
      <c r="Z827" s="772"/>
      <c r="AA827" s="772"/>
      <c r="AB827" s="772"/>
      <c r="AC827" s="772"/>
      <c r="AD827" s="772"/>
      <c r="AE827" s="772"/>
      <c r="AF827" s="772"/>
      <c r="AG827" s="772"/>
      <c r="AH827" s="772"/>
    </row>
    <row r="828" ht="15.75" customHeight="1">
      <c r="A828" s="815"/>
      <c r="B828" s="782"/>
      <c r="C828" s="782"/>
      <c r="D828" s="782"/>
      <c r="E828" s="816"/>
      <c r="F828" s="816"/>
      <c r="G828" s="817"/>
      <c r="H828" s="817"/>
      <c r="I828" s="818"/>
      <c r="J828" s="772"/>
      <c r="K828" s="772"/>
      <c r="L828" s="772"/>
      <c r="M828" s="772"/>
      <c r="N828" s="772"/>
      <c r="O828" s="772"/>
      <c r="P828" s="772"/>
      <c r="Q828" s="772"/>
      <c r="R828" s="772"/>
      <c r="S828" s="772"/>
      <c r="T828" s="772"/>
      <c r="U828" s="772"/>
      <c r="V828" s="772"/>
      <c r="W828" s="772"/>
      <c r="X828" s="772"/>
      <c r="Y828" s="772"/>
      <c r="Z828" s="772"/>
      <c r="AA828" s="772"/>
      <c r="AB828" s="772"/>
      <c r="AC828" s="772"/>
      <c r="AD828" s="772"/>
      <c r="AE828" s="772"/>
      <c r="AF828" s="772"/>
      <c r="AG828" s="772"/>
      <c r="AH828" s="772"/>
    </row>
    <row r="829" ht="15.75" customHeight="1">
      <c r="A829" s="815"/>
      <c r="B829" s="782"/>
      <c r="C829" s="782"/>
      <c r="D829" s="782"/>
      <c r="E829" s="816"/>
      <c r="F829" s="816"/>
      <c r="G829" s="817"/>
      <c r="H829" s="817"/>
      <c r="I829" s="818"/>
      <c r="J829" s="772"/>
      <c r="K829" s="772"/>
      <c r="L829" s="772"/>
      <c r="M829" s="772"/>
      <c r="N829" s="772"/>
      <c r="O829" s="772"/>
      <c r="P829" s="772"/>
      <c r="Q829" s="772"/>
      <c r="R829" s="772"/>
      <c r="S829" s="772"/>
      <c r="T829" s="772"/>
      <c r="U829" s="772"/>
      <c r="V829" s="772"/>
      <c r="W829" s="772"/>
      <c r="X829" s="772"/>
      <c r="Y829" s="772"/>
      <c r="Z829" s="772"/>
      <c r="AA829" s="772"/>
      <c r="AB829" s="772"/>
      <c r="AC829" s="772"/>
      <c r="AD829" s="772"/>
      <c r="AE829" s="772"/>
      <c r="AF829" s="772"/>
      <c r="AG829" s="772"/>
      <c r="AH829" s="772"/>
    </row>
    <row r="830" ht="15.75" customHeight="1">
      <c r="A830" s="815"/>
      <c r="B830" s="782"/>
      <c r="C830" s="782"/>
      <c r="D830" s="782"/>
      <c r="E830" s="816"/>
      <c r="F830" s="816"/>
      <c r="G830" s="817"/>
      <c r="H830" s="817"/>
      <c r="I830" s="818"/>
      <c r="J830" s="772"/>
      <c r="K830" s="772"/>
      <c r="L830" s="772"/>
      <c r="M830" s="772"/>
      <c r="N830" s="772"/>
      <c r="O830" s="772"/>
      <c r="P830" s="772"/>
      <c r="Q830" s="772"/>
      <c r="R830" s="772"/>
      <c r="S830" s="772"/>
      <c r="T830" s="772"/>
      <c r="U830" s="772"/>
      <c r="V830" s="772"/>
      <c r="W830" s="772"/>
      <c r="X830" s="772"/>
      <c r="Y830" s="772"/>
      <c r="Z830" s="772"/>
      <c r="AA830" s="772"/>
      <c r="AB830" s="772"/>
      <c r="AC830" s="772"/>
      <c r="AD830" s="772"/>
      <c r="AE830" s="772"/>
      <c r="AF830" s="772"/>
      <c r="AG830" s="772"/>
      <c r="AH830" s="772"/>
    </row>
    <row r="831" ht="15.75" customHeight="1">
      <c r="A831" s="815"/>
      <c r="B831" s="782"/>
      <c r="C831" s="782"/>
      <c r="D831" s="782"/>
      <c r="E831" s="816"/>
      <c r="F831" s="816"/>
      <c r="G831" s="817"/>
      <c r="H831" s="817"/>
      <c r="I831" s="818"/>
      <c r="J831" s="772"/>
      <c r="K831" s="772"/>
      <c r="L831" s="772"/>
      <c r="M831" s="772"/>
      <c r="N831" s="772"/>
      <c r="O831" s="772"/>
      <c r="P831" s="772"/>
      <c r="Q831" s="772"/>
      <c r="R831" s="772"/>
      <c r="S831" s="772"/>
      <c r="T831" s="772"/>
      <c r="U831" s="772"/>
      <c r="V831" s="772"/>
      <c r="W831" s="772"/>
      <c r="X831" s="772"/>
      <c r="Y831" s="772"/>
      <c r="Z831" s="772"/>
      <c r="AA831" s="772"/>
      <c r="AB831" s="772"/>
      <c r="AC831" s="772"/>
      <c r="AD831" s="772"/>
      <c r="AE831" s="772"/>
      <c r="AF831" s="772"/>
      <c r="AG831" s="772"/>
      <c r="AH831" s="772"/>
    </row>
    <row r="832" ht="15.75" customHeight="1">
      <c r="A832" s="815"/>
      <c r="B832" s="782"/>
      <c r="C832" s="782"/>
      <c r="D832" s="782"/>
      <c r="E832" s="816"/>
      <c r="F832" s="816"/>
      <c r="G832" s="817"/>
      <c r="H832" s="817"/>
      <c r="I832" s="818"/>
      <c r="J832" s="772"/>
      <c r="K832" s="772"/>
      <c r="L832" s="772"/>
      <c r="M832" s="772"/>
      <c r="N832" s="772"/>
      <c r="O832" s="772"/>
      <c r="P832" s="772"/>
      <c r="Q832" s="772"/>
      <c r="R832" s="772"/>
      <c r="S832" s="772"/>
      <c r="T832" s="772"/>
      <c r="U832" s="772"/>
      <c r="V832" s="772"/>
      <c r="W832" s="772"/>
      <c r="X832" s="772"/>
      <c r="Y832" s="772"/>
      <c r="Z832" s="772"/>
      <c r="AA832" s="772"/>
      <c r="AB832" s="772"/>
      <c r="AC832" s="772"/>
      <c r="AD832" s="772"/>
      <c r="AE832" s="772"/>
      <c r="AF832" s="772"/>
      <c r="AG832" s="772"/>
      <c r="AH832" s="772"/>
    </row>
    <row r="833" ht="15.75" customHeight="1">
      <c r="A833" s="815"/>
      <c r="B833" s="782"/>
      <c r="C833" s="782"/>
      <c r="D833" s="782"/>
      <c r="E833" s="816"/>
      <c r="F833" s="816"/>
      <c r="G833" s="817"/>
      <c r="H833" s="817"/>
      <c r="I833" s="818"/>
      <c r="J833" s="772"/>
      <c r="K833" s="772"/>
      <c r="L833" s="772"/>
      <c r="M833" s="772"/>
      <c r="N833" s="772"/>
      <c r="O833" s="772"/>
      <c r="P833" s="772"/>
      <c r="Q833" s="772"/>
      <c r="R833" s="772"/>
      <c r="S833" s="772"/>
      <c r="T833" s="772"/>
      <c r="U833" s="772"/>
      <c r="V833" s="772"/>
      <c r="W833" s="772"/>
      <c r="X833" s="772"/>
      <c r="Y833" s="772"/>
      <c r="Z833" s="772"/>
      <c r="AA833" s="772"/>
      <c r="AB833" s="772"/>
      <c r="AC833" s="772"/>
      <c r="AD833" s="772"/>
      <c r="AE833" s="772"/>
      <c r="AF833" s="772"/>
      <c r="AG833" s="772"/>
      <c r="AH833" s="772"/>
    </row>
    <row r="834" ht="15.75" customHeight="1">
      <c r="A834" s="815"/>
      <c r="B834" s="782"/>
      <c r="C834" s="782"/>
      <c r="D834" s="782"/>
      <c r="E834" s="816"/>
      <c r="F834" s="816"/>
      <c r="G834" s="817"/>
      <c r="H834" s="817"/>
      <c r="I834" s="818"/>
      <c r="J834" s="772"/>
      <c r="K834" s="772"/>
      <c r="L834" s="772"/>
      <c r="M834" s="772"/>
      <c r="N834" s="772"/>
      <c r="O834" s="772"/>
      <c r="P834" s="772"/>
      <c r="Q834" s="772"/>
      <c r="R834" s="772"/>
      <c r="S834" s="772"/>
      <c r="T834" s="772"/>
      <c r="U834" s="772"/>
      <c r="V834" s="772"/>
      <c r="W834" s="772"/>
      <c r="X834" s="772"/>
      <c r="Y834" s="772"/>
      <c r="Z834" s="772"/>
      <c r="AA834" s="772"/>
      <c r="AB834" s="772"/>
      <c r="AC834" s="772"/>
      <c r="AD834" s="772"/>
      <c r="AE834" s="772"/>
      <c r="AF834" s="772"/>
      <c r="AG834" s="772"/>
      <c r="AH834" s="772"/>
    </row>
    <row r="835" ht="15.75" customHeight="1">
      <c r="A835" s="815"/>
      <c r="B835" s="782"/>
      <c r="C835" s="782"/>
      <c r="D835" s="782"/>
      <c r="E835" s="816"/>
      <c r="F835" s="816"/>
      <c r="G835" s="817"/>
      <c r="H835" s="817"/>
      <c r="I835" s="818"/>
      <c r="J835" s="772"/>
      <c r="K835" s="772"/>
      <c r="L835" s="772"/>
      <c r="M835" s="772"/>
      <c r="N835" s="772"/>
      <c r="O835" s="772"/>
      <c r="P835" s="772"/>
      <c r="Q835" s="772"/>
      <c r="R835" s="772"/>
      <c r="S835" s="772"/>
      <c r="T835" s="772"/>
      <c r="U835" s="772"/>
      <c r="V835" s="772"/>
      <c r="W835" s="772"/>
      <c r="X835" s="772"/>
      <c r="Y835" s="772"/>
      <c r="Z835" s="772"/>
      <c r="AA835" s="772"/>
      <c r="AB835" s="772"/>
      <c r="AC835" s="772"/>
      <c r="AD835" s="772"/>
      <c r="AE835" s="772"/>
      <c r="AF835" s="772"/>
      <c r="AG835" s="772"/>
      <c r="AH835" s="772"/>
    </row>
    <row r="836" ht="15.75" customHeight="1">
      <c r="A836" s="815"/>
      <c r="B836" s="782"/>
      <c r="C836" s="782"/>
      <c r="D836" s="782"/>
      <c r="E836" s="816"/>
      <c r="F836" s="816"/>
      <c r="G836" s="817"/>
      <c r="H836" s="817"/>
      <c r="I836" s="818"/>
      <c r="J836" s="772"/>
      <c r="K836" s="772"/>
      <c r="L836" s="772"/>
      <c r="M836" s="772"/>
      <c r="N836" s="772"/>
      <c r="O836" s="772"/>
      <c r="P836" s="772"/>
      <c r="Q836" s="772"/>
      <c r="R836" s="772"/>
      <c r="S836" s="772"/>
      <c r="T836" s="772"/>
      <c r="U836" s="772"/>
      <c r="V836" s="772"/>
      <c r="W836" s="772"/>
      <c r="X836" s="772"/>
      <c r="Y836" s="772"/>
      <c r="Z836" s="772"/>
      <c r="AA836" s="772"/>
      <c r="AB836" s="772"/>
      <c r="AC836" s="772"/>
      <c r="AD836" s="772"/>
      <c r="AE836" s="772"/>
      <c r="AF836" s="772"/>
      <c r="AG836" s="772"/>
      <c r="AH836" s="772"/>
    </row>
    <row r="837" ht="15.75" customHeight="1">
      <c r="A837" s="815"/>
      <c r="B837" s="782"/>
      <c r="C837" s="782"/>
      <c r="D837" s="782"/>
      <c r="E837" s="816"/>
      <c r="F837" s="816"/>
      <c r="G837" s="817"/>
      <c r="H837" s="817"/>
      <c r="I837" s="818"/>
      <c r="J837" s="772"/>
      <c r="K837" s="772"/>
      <c r="L837" s="772"/>
      <c r="M837" s="772"/>
      <c r="N837" s="772"/>
      <c r="O837" s="772"/>
      <c r="P837" s="772"/>
      <c r="Q837" s="772"/>
      <c r="R837" s="772"/>
      <c r="S837" s="772"/>
      <c r="T837" s="772"/>
      <c r="U837" s="772"/>
      <c r="V837" s="772"/>
      <c r="W837" s="772"/>
      <c r="X837" s="772"/>
      <c r="Y837" s="772"/>
      <c r="Z837" s="772"/>
      <c r="AA837" s="772"/>
      <c r="AB837" s="772"/>
      <c r="AC837" s="772"/>
      <c r="AD837" s="772"/>
      <c r="AE837" s="772"/>
      <c r="AF837" s="772"/>
      <c r="AG837" s="772"/>
      <c r="AH837" s="772"/>
    </row>
    <row r="838" ht="15.75" customHeight="1">
      <c r="A838" s="815"/>
      <c r="B838" s="782"/>
      <c r="C838" s="782"/>
      <c r="D838" s="782"/>
      <c r="E838" s="816"/>
      <c r="F838" s="816"/>
      <c r="G838" s="817"/>
      <c r="H838" s="817"/>
      <c r="I838" s="818"/>
      <c r="J838" s="772"/>
      <c r="K838" s="772"/>
      <c r="L838" s="772"/>
      <c r="M838" s="772"/>
      <c r="N838" s="772"/>
      <c r="O838" s="772"/>
      <c r="P838" s="772"/>
      <c r="Q838" s="772"/>
      <c r="R838" s="772"/>
      <c r="S838" s="772"/>
      <c r="T838" s="772"/>
      <c r="U838" s="772"/>
      <c r="V838" s="772"/>
      <c r="W838" s="772"/>
      <c r="X838" s="772"/>
      <c r="Y838" s="772"/>
      <c r="Z838" s="772"/>
      <c r="AA838" s="772"/>
      <c r="AB838" s="772"/>
      <c r="AC838" s="772"/>
      <c r="AD838" s="772"/>
      <c r="AE838" s="772"/>
      <c r="AF838" s="772"/>
      <c r="AG838" s="772"/>
      <c r="AH838" s="772"/>
    </row>
    <row r="839" ht="15.75" customHeight="1">
      <c r="A839" s="815"/>
      <c r="B839" s="782"/>
      <c r="C839" s="782"/>
      <c r="D839" s="782"/>
      <c r="E839" s="816"/>
      <c r="F839" s="816"/>
      <c r="G839" s="817"/>
      <c r="H839" s="817"/>
      <c r="I839" s="818"/>
      <c r="J839" s="772"/>
      <c r="K839" s="772"/>
      <c r="L839" s="772"/>
      <c r="M839" s="772"/>
      <c r="N839" s="772"/>
      <c r="O839" s="772"/>
      <c r="P839" s="772"/>
      <c r="Q839" s="772"/>
      <c r="R839" s="772"/>
      <c r="S839" s="772"/>
      <c r="T839" s="772"/>
      <c r="U839" s="772"/>
      <c r="V839" s="772"/>
      <c r="W839" s="772"/>
      <c r="X839" s="772"/>
      <c r="Y839" s="772"/>
      <c r="Z839" s="772"/>
      <c r="AA839" s="772"/>
      <c r="AB839" s="772"/>
      <c r="AC839" s="772"/>
      <c r="AD839" s="772"/>
      <c r="AE839" s="772"/>
      <c r="AF839" s="772"/>
      <c r="AG839" s="772"/>
      <c r="AH839" s="772"/>
    </row>
    <row r="840" ht="15.75" customHeight="1">
      <c r="A840" s="815"/>
      <c r="B840" s="782"/>
      <c r="C840" s="782"/>
      <c r="D840" s="782"/>
      <c r="E840" s="816"/>
      <c r="F840" s="816"/>
      <c r="G840" s="817"/>
      <c r="H840" s="817"/>
      <c r="I840" s="818"/>
      <c r="J840" s="772"/>
      <c r="K840" s="772"/>
      <c r="L840" s="772"/>
      <c r="M840" s="772"/>
      <c r="N840" s="772"/>
      <c r="O840" s="772"/>
      <c r="P840" s="772"/>
      <c r="Q840" s="772"/>
      <c r="R840" s="772"/>
      <c r="S840" s="772"/>
      <c r="T840" s="772"/>
      <c r="U840" s="772"/>
      <c r="V840" s="772"/>
      <c r="W840" s="772"/>
      <c r="X840" s="772"/>
      <c r="Y840" s="772"/>
      <c r="Z840" s="772"/>
      <c r="AA840" s="772"/>
      <c r="AB840" s="772"/>
      <c r="AC840" s="772"/>
      <c r="AD840" s="772"/>
      <c r="AE840" s="772"/>
      <c r="AF840" s="772"/>
      <c r="AG840" s="772"/>
      <c r="AH840" s="772"/>
    </row>
    <row r="841" ht="15.75" customHeight="1">
      <c r="A841" s="815"/>
      <c r="B841" s="782"/>
      <c r="C841" s="782"/>
      <c r="D841" s="782"/>
      <c r="E841" s="816"/>
      <c r="F841" s="816"/>
      <c r="G841" s="817"/>
      <c r="H841" s="817"/>
      <c r="I841" s="818"/>
      <c r="J841" s="772"/>
      <c r="K841" s="772"/>
      <c r="L841" s="772"/>
      <c r="M841" s="772"/>
      <c r="N841" s="772"/>
      <c r="O841" s="772"/>
      <c r="P841" s="772"/>
      <c r="Q841" s="772"/>
      <c r="R841" s="772"/>
      <c r="S841" s="772"/>
      <c r="T841" s="772"/>
      <c r="U841" s="772"/>
      <c r="V841" s="772"/>
      <c r="W841" s="772"/>
      <c r="X841" s="772"/>
      <c r="Y841" s="772"/>
      <c r="Z841" s="772"/>
      <c r="AA841" s="772"/>
      <c r="AB841" s="772"/>
      <c r="AC841" s="772"/>
      <c r="AD841" s="772"/>
      <c r="AE841" s="772"/>
      <c r="AF841" s="772"/>
      <c r="AG841" s="772"/>
      <c r="AH841" s="772"/>
    </row>
    <row r="842" ht="15.75" customHeight="1">
      <c r="A842" s="815"/>
      <c r="B842" s="782"/>
      <c r="C842" s="782"/>
      <c r="D842" s="782"/>
      <c r="E842" s="816"/>
      <c r="F842" s="816"/>
      <c r="G842" s="817"/>
      <c r="H842" s="817"/>
      <c r="I842" s="818"/>
      <c r="J842" s="772"/>
      <c r="K842" s="772"/>
      <c r="L842" s="772"/>
      <c r="M842" s="772"/>
      <c r="N842" s="772"/>
      <c r="O842" s="772"/>
      <c r="P842" s="772"/>
      <c r="Q842" s="772"/>
      <c r="R842" s="772"/>
      <c r="S842" s="772"/>
      <c r="T842" s="772"/>
      <c r="U842" s="772"/>
      <c r="V842" s="772"/>
      <c r="W842" s="772"/>
      <c r="X842" s="772"/>
      <c r="Y842" s="772"/>
      <c r="Z842" s="772"/>
      <c r="AA842" s="772"/>
      <c r="AB842" s="772"/>
      <c r="AC842" s="772"/>
      <c r="AD842" s="772"/>
      <c r="AE842" s="772"/>
      <c r="AF842" s="772"/>
      <c r="AG842" s="772"/>
      <c r="AH842" s="772"/>
    </row>
    <row r="843" ht="15.75" customHeight="1">
      <c r="A843" s="815"/>
      <c r="B843" s="782"/>
      <c r="C843" s="782"/>
      <c r="D843" s="782"/>
      <c r="E843" s="816"/>
      <c r="F843" s="816"/>
      <c r="G843" s="817"/>
      <c r="H843" s="817"/>
      <c r="I843" s="818"/>
      <c r="J843" s="772"/>
      <c r="K843" s="772"/>
      <c r="L843" s="772"/>
      <c r="M843" s="772"/>
      <c r="N843" s="772"/>
      <c r="O843" s="772"/>
      <c r="P843" s="772"/>
      <c r="Q843" s="772"/>
      <c r="R843" s="772"/>
      <c r="S843" s="772"/>
      <c r="T843" s="772"/>
      <c r="U843" s="772"/>
      <c r="V843" s="772"/>
      <c r="W843" s="772"/>
      <c r="X843" s="772"/>
      <c r="Y843" s="772"/>
      <c r="Z843" s="772"/>
      <c r="AA843" s="772"/>
      <c r="AB843" s="772"/>
      <c r="AC843" s="772"/>
      <c r="AD843" s="772"/>
      <c r="AE843" s="772"/>
      <c r="AF843" s="772"/>
      <c r="AG843" s="772"/>
      <c r="AH843" s="772"/>
    </row>
    <row r="844" ht="15.75" customHeight="1">
      <c r="A844" s="815"/>
      <c r="B844" s="782"/>
      <c r="C844" s="782"/>
      <c r="D844" s="782"/>
      <c r="E844" s="816"/>
      <c r="F844" s="816"/>
      <c r="G844" s="817"/>
      <c r="H844" s="817"/>
      <c r="I844" s="818"/>
      <c r="J844" s="772"/>
      <c r="K844" s="772"/>
      <c r="L844" s="772"/>
      <c r="M844" s="772"/>
      <c r="N844" s="772"/>
      <c r="O844" s="772"/>
      <c r="P844" s="772"/>
      <c r="Q844" s="772"/>
      <c r="R844" s="772"/>
      <c r="S844" s="772"/>
      <c r="T844" s="772"/>
      <c r="U844" s="772"/>
      <c r="V844" s="772"/>
      <c r="W844" s="772"/>
      <c r="X844" s="772"/>
      <c r="Y844" s="772"/>
      <c r="Z844" s="772"/>
      <c r="AA844" s="772"/>
      <c r="AB844" s="772"/>
      <c r="AC844" s="772"/>
      <c r="AD844" s="772"/>
      <c r="AE844" s="772"/>
      <c r="AF844" s="772"/>
      <c r="AG844" s="772"/>
      <c r="AH844" s="772"/>
    </row>
    <row r="845" ht="15.75" customHeight="1">
      <c r="A845" s="815"/>
      <c r="B845" s="782"/>
      <c r="C845" s="782"/>
      <c r="D845" s="782"/>
      <c r="E845" s="816"/>
      <c r="F845" s="816"/>
      <c r="G845" s="817"/>
      <c r="H845" s="817"/>
      <c r="I845" s="818"/>
      <c r="J845" s="772"/>
      <c r="K845" s="772"/>
      <c r="L845" s="772"/>
      <c r="M845" s="772"/>
      <c r="N845" s="772"/>
      <c r="O845" s="772"/>
      <c r="P845" s="772"/>
      <c r="Q845" s="772"/>
      <c r="R845" s="772"/>
      <c r="S845" s="772"/>
      <c r="T845" s="772"/>
      <c r="U845" s="772"/>
      <c r="V845" s="772"/>
      <c r="W845" s="772"/>
      <c r="X845" s="772"/>
      <c r="Y845" s="772"/>
      <c r="Z845" s="772"/>
      <c r="AA845" s="772"/>
      <c r="AB845" s="772"/>
      <c r="AC845" s="772"/>
      <c r="AD845" s="772"/>
      <c r="AE845" s="772"/>
      <c r="AF845" s="772"/>
      <c r="AG845" s="772"/>
      <c r="AH845" s="772"/>
    </row>
    <row r="846" ht="15.75" customHeight="1">
      <c r="A846" s="815"/>
      <c r="B846" s="782"/>
      <c r="C846" s="782"/>
      <c r="D846" s="782"/>
      <c r="E846" s="816"/>
      <c r="F846" s="816"/>
      <c r="G846" s="817"/>
      <c r="H846" s="817"/>
      <c r="I846" s="818"/>
      <c r="J846" s="772"/>
      <c r="K846" s="772"/>
      <c r="L846" s="772"/>
      <c r="M846" s="772"/>
      <c r="N846" s="772"/>
      <c r="O846" s="772"/>
      <c r="P846" s="772"/>
      <c r="Q846" s="772"/>
      <c r="R846" s="772"/>
      <c r="S846" s="772"/>
      <c r="T846" s="772"/>
      <c r="U846" s="772"/>
      <c r="V846" s="772"/>
      <c r="W846" s="772"/>
      <c r="X846" s="772"/>
      <c r="Y846" s="772"/>
      <c r="Z846" s="772"/>
      <c r="AA846" s="772"/>
      <c r="AB846" s="772"/>
      <c r="AC846" s="772"/>
      <c r="AD846" s="772"/>
      <c r="AE846" s="772"/>
      <c r="AF846" s="772"/>
      <c r="AG846" s="772"/>
      <c r="AH846" s="772"/>
    </row>
    <row r="847" ht="15.75" customHeight="1">
      <c r="A847" s="815"/>
      <c r="B847" s="782"/>
      <c r="C847" s="782"/>
      <c r="D847" s="782"/>
      <c r="E847" s="816"/>
      <c r="F847" s="816"/>
      <c r="G847" s="817"/>
      <c r="H847" s="817"/>
      <c r="I847" s="818"/>
      <c r="J847" s="772"/>
      <c r="K847" s="772"/>
      <c r="L847" s="772"/>
      <c r="M847" s="772"/>
      <c r="N847" s="772"/>
      <c r="O847" s="772"/>
      <c r="P847" s="772"/>
      <c r="Q847" s="772"/>
      <c r="R847" s="772"/>
      <c r="S847" s="772"/>
      <c r="T847" s="772"/>
      <c r="U847" s="772"/>
      <c r="V847" s="772"/>
      <c r="W847" s="772"/>
      <c r="X847" s="772"/>
      <c r="Y847" s="772"/>
      <c r="Z847" s="772"/>
      <c r="AA847" s="772"/>
      <c r="AB847" s="772"/>
      <c r="AC847" s="772"/>
      <c r="AD847" s="772"/>
      <c r="AE847" s="772"/>
      <c r="AF847" s="772"/>
      <c r="AG847" s="772"/>
      <c r="AH847" s="772"/>
    </row>
    <row r="848" ht="15.75" customHeight="1">
      <c r="A848" s="815"/>
      <c r="B848" s="782"/>
      <c r="C848" s="782"/>
      <c r="D848" s="782"/>
      <c r="E848" s="816"/>
      <c r="F848" s="816"/>
      <c r="G848" s="817"/>
      <c r="H848" s="817"/>
      <c r="I848" s="818"/>
      <c r="J848" s="772"/>
      <c r="K848" s="772"/>
      <c r="L848" s="772"/>
      <c r="M848" s="772"/>
      <c r="N848" s="772"/>
      <c r="O848" s="772"/>
      <c r="P848" s="772"/>
      <c r="Q848" s="772"/>
      <c r="R848" s="772"/>
      <c r="S848" s="772"/>
      <c r="T848" s="772"/>
      <c r="U848" s="772"/>
      <c r="V848" s="772"/>
      <c r="W848" s="772"/>
      <c r="X848" s="772"/>
      <c r="Y848" s="772"/>
      <c r="Z848" s="772"/>
      <c r="AA848" s="772"/>
      <c r="AB848" s="772"/>
      <c r="AC848" s="772"/>
      <c r="AD848" s="772"/>
      <c r="AE848" s="772"/>
      <c r="AF848" s="772"/>
      <c r="AG848" s="772"/>
      <c r="AH848" s="772"/>
    </row>
    <row r="849" ht="15.75" customHeight="1">
      <c r="A849" s="815"/>
      <c r="B849" s="782"/>
      <c r="C849" s="782"/>
      <c r="D849" s="782"/>
      <c r="E849" s="816"/>
      <c r="F849" s="816"/>
      <c r="G849" s="817"/>
      <c r="H849" s="817"/>
      <c r="I849" s="818"/>
      <c r="J849" s="772"/>
      <c r="K849" s="772"/>
      <c r="L849" s="772"/>
      <c r="M849" s="772"/>
      <c r="N849" s="772"/>
      <c r="O849" s="772"/>
      <c r="P849" s="772"/>
      <c r="Q849" s="772"/>
      <c r="R849" s="772"/>
      <c r="S849" s="772"/>
      <c r="T849" s="772"/>
      <c r="U849" s="772"/>
      <c r="V849" s="772"/>
      <c r="W849" s="772"/>
      <c r="X849" s="772"/>
      <c r="Y849" s="772"/>
      <c r="Z849" s="772"/>
      <c r="AA849" s="772"/>
      <c r="AB849" s="772"/>
      <c r="AC849" s="772"/>
      <c r="AD849" s="772"/>
      <c r="AE849" s="772"/>
      <c r="AF849" s="772"/>
      <c r="AG849" s="772"/>
      <c r="AH849" s="772"/>
    </row>
    <row r="850" ht="15.75" customHeight="1">
      <c r="A850" s="815"/>
      <c r="B850" s="782"/>
      <c r="C850" s="782"/>
      <c r="D850" s="782"/>
      <c r="E850" s="816"/>
      <c r="F850" s="816"/>
      <c r="G850" s="817"/>
      <c r="H850" s="817"/>
      <c r="I850" s="818"/>
      <c r="J850" s="772"/>
      <c r="K850" s="772"/>
      <c r="L850" s="772"/>
      <c r="M850" s="772"/>
      <c r="N850" s="772"/>
      <c r="O850" s="772"/>
      <c r="P850" s="772"/>
      <c r="Q850" s="772"/>
      <c r="R850" s="772"/>
      <c r="S850" s="772"/>
      <c r="T850" s="772"/>
      <c r="U850" s="772"/>
      <c r="V850" s="772"/>
      <c r="W850" s="772"/>
      <c r="X850" s="772"/>
      <c r="Y850" s="772"/>
      <c r="Z850" s="772"/>
      <c r="AA850" s="772"/>
      <c r="AB850" s="772"/>
      <c r="AC850" s="772"/>
      <c r="AD850" s="772"/>
      <c r="AE850" s="772"/>
      <c r="AF850" s="772"/>
      <c r="AG850" s="772"/>
      <c r="AH850" s="772"/>
    </row>
    <row r="851" ht="15.75" customHeight="1">
      <c r="A851" s="815"/>
      <c r="B851" s="782"/>
      <c r="C851" s="782"/>
      <c r="D851" s="782"/>
      <c r="E851" s="816"/>
      <c r="F851" s="816"/>
      <c r="G851" s="817"/>
      <c r="H851" s="817"/>
      <c r="I851" s="818"/>
      <c r="J851" s="772"/>
      <c r="K851" s="772"/>
      <c r="L851" s="772"/>
      <c r="M851" s="772"/>
      <c r="N851" s="772"/>
      <c r="O851" s="772"/>
      <c r="P851" s="772"/>
      <c r="Q851" s="772"/>
      <c r="R851" s="772"/>
      <c r="S851" s="772"/>
      <c r="T851" s="772"/>
      <c r="U851" s="772"/>
      <c r="V851" s="772"/>
      <c r="W851" s="772"/>
      <c r="X851" s="772"/>
      <c r="Y851" s="772"/>
      <c r="Z851" s="772"/>
      <c r="AA851" s="772"/>
      <c r="AB851" s="772"/>
      <c r="AC851" s="772"/>
      <c r="AD851" s="772"/>
      <c r="AE851" s="772"/>
      <c r="AF851" s="772"/>
      <c r="AG851" s="772"/>
      <c r="AH851" s="772"/>
    </row>
    <row r="852" ht="15.75" customHeight="1">
      <c r="A852" s="815"/>
      <c r="B852" s="782"/>
      <c r="C852" s="782"/>
      <c r="D852" s="782"/>
      <c r="E852" s="816"/>
      <c r="F852" s="816"/>
      <c r="G852" s="817"/>
      <c r="H852" s="817"/>
      <c r="I852" s="818"/>
      <c r="J852" s="772"/>
      <c r="K852" s="772"/>
      <c r="L852" s="772"/>
      <c r="M852" s="772"/>
      <c r="N852" s="772"/>
      <c r="O852" s="772"/>
      <c r="P852" s="772"/>
      <c r="Q852" s="772"/>
      <c r="R852" s="772"/>
      <c r="S852" s="772"/>
      <c r="T852" s="772"/>
      <c r="U852" s="772"/>
      <c r="V852" s="772"/>
      <c r="W852" s="772"/>
      <c r="X852" s="772"/>
      <c r="Y852" s="772"/>
      <c r="Z852" s="772"/>
      <c r="AA852" s="772"/>
      <c r="AB852" s="772"/>
      <c r="AC852" s="772"/>
      <c r="AD852" s="772"/>
      <c r="AE852" s="772"/>
      <c r="AF852" s="772"/>
      <c r="AG852" s="772"/>
      <c r="AH852" s="772"/>
    </row>
    <row r="853" ht="15.75" customHeight="1">
      <c r="A853" s="815"/>
      <c r="B853" s="782"/>
      <c r="C853" s="782"/>
      <c r="D853" s="782"/>
      <c r="E853" s="816"/>
      <c r="F853" s="816"/>
      <c r="G853" s="817"/>
      <c r="H853" s="817"/>
      <c r="I853" s="818"/>
      <c r="J853" s="772"/>
      <c r="K853" s="772"/>
      <c r="L853" s="772"/>
      <c r="M853" s="772"/>
      <c r="N853" s="772"/>
      <c r="O853" s="772"/>
      <c r="P853" s="772"/>
      <c r="Q853" s="772"/>
      <c r="R853" s="772"/>
      <c r="S853" s="772"/>
      <c r="T853" s="772"/>
      <c r="U853" s="772"/>
      <c r="V853" s="772"/>
      <c r="W853" s="772"/>
      <c r="X853" s="772"/>
      <c r="Y853" s="772"/>
      <c r="Z853" s="772"/>
      <c r="AA853" s="772"/>
      <c r="AB853" s="772"/>
      <c r="AC853" s="772"/>
      <c r="AD853" s="772"/>
      <c r="AE853" s="772"/>
      <c r="AF853" s="772"/>
      <c r="AG853" s="772"/>
      <c r="AH853" s="772"/>
    </row>
    <row r="854" ht="15.75" customHeight="1">
      <c r="A854" s="815"/>
      <c r="B854" s="782"/>
      <c r="C854" s="782"/>
      <c r="D854" s="782"/>
      <c r="E854" s="816"/>
      <c r="F854" s="816"/>
      <c r="G854" s="817"/>
      <c r="H854" s="817"/>
      <c r="I854" s="818"/>
      <c r="J854" s="772"/>
      <c r="K854" s="772"/>
      <c r="L854" s="772"/>
      <c r="M854" s="772"/>
      <c r="N854" s="772"/>
      <c r="O854" s="772"/>
      <c r="P854" s="772"/>
      <c r="Q854" s="772"/>
      <c r="R854" s="772"/>
      <c r="S854" s="772"/>
      <c r="T854" s="772"/>
      <c r="U854" s="772"/>
      <c r="V854" s="772"/>
      <c r="W854" s="772"/>
      <c r="X854" s="772"/>
      <c r="Y854" s="772"/>
      <c r="Z854" s="772"/>
      <c r="AA854" s="772"/>
      <c r="AB854" s="772"/>
      <c r="AC854" s="772"/>
      <c r="AD854" s="772"/>
      <c r="AE854" s="772"/>
      <c r="AF854" s="772"/>
      <c r="AG854" s="772"/>
      <c r="AH854" s="772"/>
    </row>
    <row r="855" ht="15.75" customHeight="1">
      <c r="A855" s="815"/>
      <c r="B855" s="782"/>
      <c r="C855" s="782"/>
      <c r="D855" s="782"/>
      <c r="E855" s="816"/>
      <c r="F855" s="816"/>
      <c r="G855" s="817"/>
      <c r="H855" s="817"/>
      <c r="I855" s="818"/>
      <c r="J855" s="772"/>
      <c r="K855" s="772"/>
      <c r="L855" s="772"/>
      <c r="M855" s="772"/>
      <c r="N855" s="772"/>
      <c r="O855" s="772"/>
      <c r="P855" s="772"/>
      <c r="Q855" s="772"/>
      <c r="R855" s="772"/>
      <c r="S855" s="772"/>
      <c r="T855" s="772"/>
      <c r="U855" s="772"/>
      <c r="V855" s="772"/>
      <c r="W855" s="772"/>
      <c r="X855" s="772"/>
      <c r="Y855" s="772"/>
      <c r="Z855" s="772"/>
      <c r="AA855" s="772"/>
      <c r="AB855" s="772"/>
      <c r="AC855" s="772"/>
      <c r="AD855" s="772"/>
      <c r="AE855" s="772"/>
      <c r="AF855" s="772"/>
      <c r="AG855" s="772"/>
      <c r="AH855" s="772"/>
    </row>
    <row r="856" ht="15.75" customHeight="1">
      <c r="A856" s="815"/>
      <c r="B856" s="782"/>
      <c r="C856" s="782"/>
      <c r="D856" s="782"/>
      <c r="E856" s="816"/>
      <c r="F856" s="816"/>
      <c r="G856" s="817"/>
      <c r="H856" s="817"/>
      <c r="I856" s="818"/>
      <c r="J856" s="772"/>
      <c r="K856" s="772"/>
      <c r="L856" s="772"/>
      <c r="M856" s="772"/>
      <c r="N856" s="772"/>
      <c r="O856" s="772"/>
      <c r="P856" s="772"/>
      <c r="Q856" s="772"/>
      <c r="R856" s="772"/>
      <c r="S856" s="772"/>
      <c r="T856" s="772"/>
      <c r="U856" s="772"/>
      <c r="V856" s="772"/>
      <c r="W856" s="772"/>
      <c r="X856" s="772"/>
      <c r="Y856" s="772"/>
      <c r="Z856" s="772"/>
      <c r="AA856" s="772"/>
      <c r="AB856" s="772"/>
      <c r="AC856" s="772"/>
      <c r="AD856" s="772"/>
      <c r="AE856" s="772"/>
      <c r="AF856" s="772"/>
      <c r="AG856" s="772"/>
      <c r="AH856" s="772"/>
    </row>
    <row r="857" ht="15.75" customHeight="1">
      <c r="A857" s="815"/>
      <c r="B857" s="782"/>
      <c r="C857" s="782"/>
      <c r="D857" s="782"/>
      <c r="E857" s="816"/>
      <c r="F857" s="816"/>
      <c r="G857" s="817"/>
      <c r="H857" s="817"/>
      <c r="I857" s="818"/>
      <c r="J857" s="772"/>
      <c r="K857" s="772"/>
      <c r="L857" s="772"/>
      <c r="M857" s="772"/>
      <c r="N857" s="772"/>
      <c r="O857" s="772"/>
      <c r="P857" s="772"/>
      <c r="Q857" s="772"/>
      <c r="R857" s="772"/>
      <c r="S857" s="772"/>
      <c r="T857" s="772"/>
      <c r="U857" s="772"/>
      <c r="V857" s="772"/>
      <c r="W857" s="772"/>
      <c r="X857" s="772"/>
      <c r="Y857" s="772"/>
      <c r="Z857" s="772"/>
      <c r="AA857" s="772"/>
      <c r="AB857" s="772"/>
      <c r="AC857" s="772"/>
      <c r="AD857" s="772"/>
      <c r="AE857" s="772"/>
      <c r="AF857" s="772"/>
      <c r="AG857" s="772"/>
      <c r="AH857" s="772"/>
    </row>
    <row r="858" ht="15.75" customHeight="1">
      <c r="A858" s="815"/>
      <c r="B858" s="782"/>
      <c r="C858" s="782"/>
      <c r="D858" s="782"/>
      <c r="E858" s="816"/>
      <c r="F858" s="816"/>
      <c r="G858" s="817"/>
      <c r="H858" s="817"/>
      <c r="I858" s="818"/>
      <c r="J858" s="772"/>
      <c r="K858" s="772"/>
      <c r="L858" s="772"/>
      <c r="M858" s="772"/>
      <c r="N858" s="772"/>
      <c r="O858" s="772"/>
      <c r="P858" s="772"/>
      <c r="Q858" s="772"/>
      <c r="R858" s="772"/>
      <c r="S858" s="772"/>
      <c r="T858" s="772"/>
      <c r="U858" s="772"/>
      <c r="V858" s="772"/>
      <c r="W858" s="772"/>
      <c r="X858" s="772"/>
      <c r="Y858" s="772"/>
      <c r="Z858" s="772"/>
      <c r="AA858" s="772"/>
      <c r="AB858" s="772"/>
      <c r="AC858" s="772"/>
      <c r="AD858" s="772"/>
      <c r="AE858" s="772"/>
      <c r="AF858" s="772"/>
      <c r="AG858" s="772"/>
      <c r="AH858" s="772"/>
    </row>
    <row r="859" ht="15.75" customHeight="1">
      <c r="A859" s="815"/>
      <c r="B859" s="782"/>
      <c r="C859" s="782"/>
      <c r="D859" s="782"/>
      <c r="E859" s="816"/>
      <c r="F859" s="816"/>
      <c r="G859" s="817"/>
      <c r="H859" s="817"/>
      <c r="I859" s="818"/>
      <c r="J859" s="772"/>
      <c r="K859" s="772"/>
      <c r="L859" s="772"/>
      <c r="M859" s="772"/>
      <c r="N859" s="772"/>
      <c r="O859" s="772"/>
      <c r="P859" s="772"/>
      <c r="Q859" s="772"/>
      <c r="R859" s="772"/>
      <c r="S859" s="772"/>
      <c r="T859" s="772"/>
      <c r="U859" s="772"/>
      <c r="V859" s="772"/>
      <c r="W859" s="772"/>
      <c r="X859" s="772"/>
      <c r="Y859" s="772"/>
      <c r="Z859" s="772"/>
      <c r="AA859" s="772"/>
      <c r="AB859" s="772"/>
      <c r="AC859" s="772"/>
      <c r="AD859" s="772"/>
      <c r="AE859" s="772"/>
      <c r="AF859" s="772"/>
      <c r="AG859" s="772"/>
      <c r="AH859" s="772"/>
    </row>
    <row r="860" ht="15.75" customHeight="1">
      <c r="A860" s="815"/>
      <c r="B860" s="782"/>
      <c r="C860" s="782"/>
      <c r="D860" s="782"/>
      <c r="E860" s="816"/>
      <c r="F860" s="816"/>
      <c r="G860" s="817"/>
      <c r="H860" s="817"/>
      <c r="I860" s="818"/>
      <c r="J860" s="772"/>
      <c r="K860" s="772"/>
      <c r="L860" s="772"/>
      <c r="M860" s="772"/>
      <c r="N860" s="772"/>
      <c r="O860" s="772"/>
      <c r="P860" s="772"/>
      <c r="Q860" s="772"/>
      <c r="R860" s="772"/>
      <c r="S860" s="772"/>
      <c r="T860" s="772"/>
      <c r="U860" s="772"/>
      <c r="V860" s="772"/>
      <c r="W860" s="772"/>
      <c r="X860" s="772"/>
      <c r="Y860" s="772"/>
      <c r="Z860" s="772"/>
      <c r="AA860" s="772"/>
      <c r="AB860" s="772"/>
      <c r="AC860" s="772"/>
      <c r="AD860" s="772"/>
      <c r="AE860" s="772"/>
      <c r="AF860" s="772"/>
      <c r="AG860" s="772"/>
      <c r="AH860" s="772"/>
    </row>
    <row r="861" ht="15.75" customHeight="1">
      <c r="A861" s="815"/>
      <c r="B861" s="782"/>
      <c r="C861" s="782"/>
      <c r="D861" s="782"/>
      <c r="E861" s="816"/>
      <c r="F861" s="816"/>
      <c r="G861" s="817"/>
      <c r="H861" s="817"/>
      <c r="I861" s="818"/>
      <c r="J861" s="772"/>
      <c r="K861" s="772"/>
      <c r="L861" s="772"/>
      <c r="M861" s="772"/>
      <c r="N861" s="772"/>
      <c r="O861" s="772"/>
      <c r="P861" s="772"/>
      <c r="Q861" s="772"/>
      <c r="R861" s="772"/>
      <c r="S861" s="772"/>
      <c r="T861" s="772"/>
      <c r="U861" s="772"/>
      <c r="V861" s="772"/>
      <c r="W861" s="772"/>
      <c r="X861" s="772"/>
      <c r="Y861" s="772"/>
      <c r="Z861" s="772"/>
      <c r="AA861" s="772"/>
      <c r="AB861" s="772"/>
      <c r="AC861" s="772"/>
      <c r="AD861" s="772"/>
      <c r="AE861" s="772"/>
      <c r="AF861" s="772"/>
      <c r="AG861" s="772"/>
      <c r="AH861" s="772"/>
    </row>
    <row r="862" ht="15.75" customHeight="1">
      <c r="A862" s="815"/>
      <c r="B862" s="782"/>
      <c r="C862" s="782"/>
      <c r="D862" s="782"/>
      <c r="E862" s="816"/>
      <c r="F862" s="816"/>
      <c r="G862" s="817"/>
      <c r="H862" s="817"/>
      <c r="I862" s="818"/>
      <c r="J862" s="772"/>
      <c r="K862" s="772"/>
      <c r="L862" s="772"/>
      <c r="M862" s="772"/>
      <c r="N862" s="772"/>
      <c r="O862" s="772"/>
      <c r="P862" s="772"/>
      <c r="Q862" s="772"/>
      <c r="R862" s="772"/>
      <c r="S862" s="772"/>
      <c r="T862" s="772"/>
      <c r="U862" s="772"/>
      <c r="V862" s="772"/>
      <c r="W862" s="772"/>
      <c r="X862" s="772"/>
      <c r="Y862" s="772"/>
      <c r="Z862" s="772"/>
      <c r="AA862" s="772"/>
      <c r="AB862" s="772"/>
      <c r="AC862" s="772"/>
      <c r="AD862" s="772"/>
      <c r="AE862" s="772"/>
      <c r="AF862" s="772"/>
      <c r="AG862" s="772"/>
      <c r="AH862" s="772"/>
    </row>
    <row r="863" ht="15.75" customHeight="1">
      <c r="A863" s="815"/>
      <c r="B863" s="782"/>
      <c r="C863" s="782"/>
      <c r="D863" s="782"/>
      <c r="E863" s="816"/>
      <c r="F863" s="816"/>
      <c r="G863" s="817"/>
      <c r="H863" s="817"/>
      <c r="I863" s="818"/>
      <c r="J863" s="772"/>
      <c r="K863" s="772"/>
      <c r="L863" s="772"/>
      <c r="M863" s="772"/>
      <c r="N863" s="772"/>
      <c r="O863" s="772"/>
      <c r="P863" s="772"/>
      <c r="Q863" s="772"/>
      <c r="R863" s="772"/>
      <c r="S863" s="772"/>
      <c r="T863" s="772"/>
      <c r="U863" s="772"/>
      <c r="V863" s="772"/>
      <c r="W863" s="772"/>
      <c r="X863" s="772"/>
      <c r="Y863" s="772"/>
      <c r="Z863" s="772"/>
      <c r="AA863" s="772"/>
      <c r="AB863" s="772"/>
      <c r="AC863" s="772"/>
      <c r="AD863" s="772"/>
      <c r="AE863" s="772"/>
      <c r="AF863" s="772"/>
      <c r="AG863" s="772"/>
      <c r="AH863" s="772"/>
    </row>
    <row r="864" ht="15.75" customHeight="1">
      <c r="A864" s="815"/>
      <c r="B864" s="782"/>
      <c r="C864" s="782"/>
      <c r="D864" s="782"/>
      <c r="E864" s="816"/>
      <c r="F864" s="816"/>
      <c r="G864" s="817"/>
      <c r="H864" s="817"/>
      <c r="I864" s="818"/>
      <c r="J864" s="772"/>
      <c r="K864" s="772"/>
      <c r="L864" s="772"/>
      <c r="M864" s="772"/>
      <c r="N864" s="772"/>
      <c r="O864" s="772"/>
      <c r="P864" s="772"/>
      <c r="Q864" s="772"/>
      <c r="R864" s="772"/>
      <c r="S864" s="772"/>
      <c r="T864" s="772"/>
      <c r="U864" s="772"/>
      <c r="V864" s="772"/>
      <c r="W864" s="772"/>
      <c r="X864" s="772"/>
      <c r="Y864" s="772"/>
      <c r="Z864" s="772"/>
      <c r="AA864" s="772"/>
      <c r="AB864" s="772"/>
      <c r="AC864" s="772"/>
      <c r="AD864" s="772"/>
      <c r="AE864" s="772"/>
      <c r="AF864" s="772"/>
      <c r="AG864" s="772"/>
      <c r="AH864" s="772"/>
    </row>
    <row r="865" ht="15.75" customHeight="1">
      <c r="A865" s="815"/>
      <c r="B865" s="782"/>
      <c r="C865" s="782"/>
      <c r="D865" s="782"/>
      <c r="E865" s="816"/>
      <c r="F865" s="816"/>
      <c r="G865" s="817"/>
      <c r="H865" s="817"/>
      <c r="I865" s="818"/>
      <c r="J865" s="772"/>
      <c r="K865" s="772"/>
      <c r="L865" s="772"/>
      <c r="M865" s="772"/>
      <c r="N865" s="772"/>
      <c r="O865" s="772"/>
      <c r="P865" s="772"/>
      <c r="Q865" s="772"/>
      <c r="R865" s="772"/>
      <c r="S865" s="772"/>
      <c r="T865" s="772"/>
      <c r="U865" s="772"/>
      <c r="V865" s="772"/>
      <c r="W865" s="772"/>
      <c r="X865" s="772"/>
      <c r="Y865" s="772"/>
      <c r="Z865" s="772"/>
      <c r="AA865" s="772"/>
      <c r="AB865" s="772"/>
      <c r="AC865" s="772"/>
      <c r="AD865" s="772"/>
      <c r="AE865" s="772"/>
      <c r="AF865" s="772"/>
      <c r="AG865" s="772"/>
      <c r="AH865" s="772"/>
    </row>
    <row r="866" ht="15.75" customHeight="1">
      <c r="A866" s="815"/>
      <c r="B866" s="782"/>
      <c r="C866" s="782"/>
      <c r="D866" s="782"/>
      <c r="E866" s="816"/>
      <c r="F866" s="816"/>
      <c r="G866" s="817"/>
      <c r="H866" s="817"/>
      <c r="I866" s="818"/>
      <c r="J866" s="772"/>
      <c r="K866" s="772"/>
      <c r="L866" s="772"/>
      <c r="M866" s="772"/>
      <c r="N866" s="772"/>
      <c r="O866" s="772"/>
      <c r="P866" s="772"/>
      <c r="Q866" s="772"/>
      <c r="R866" s="772"/>
      <c r="S866" s="772"/>
      <c r="T866" s="772"/>
      <c r="U866" s="772"/>
      <c r="V866" s="772"/>
      <c r="W866" s="772"/>
      <c r="X866" s="772"/>
      <c r="Y866" s="772"/>
      <c r="Z866" s="772"/>
      <c r="AA866" s="772"/>
      <c r="AB866" s="772"/>
      <c r="AC866" s="772"/>
      <c r="AD866" s="772"/>
      <c r="AE866" s="772"/>
      <c r="AF866" s="772"/>
      <c r="AG866" s="772"/>
      <c r="AH866" s="772"/>
    </row>
    <row r="867" ht="15.75" customHeight="1">
      <c r="A867" s="815"/>
      <c r="B867" s="782"/>
      <c r="C867" s="782"/>
      <c r="D867" s="782"/>
      <c r="E867" s="816"/>
      <c r="F867" s="816"/>
      <c r="G867" s="817"/>
      <c r="H867" s="817"/>
      <c r="I867" s="818"/>
      <c r="J867" s="772"/>
      <c r="K867" s="772"/>
      <c r="L867" s="772"/>
      <c r="M867" s="772"/>
      <c r="N867" s="772"/>
      <c r="O867" s="772"/>
      <c r="P867" s="772"/>
      <c r="Q867" s="772"/>
      <c r="R867" s="772"/>
      <c r="S867" s="772"/>
      <c r="T867" s="772"/>
      <c r="U867" s="772"/>
      <c r="V867" s="772"/>
      <c r="W867" s="772"/>
      <c r="X867" s="772"/>
      <c r="Y867" s="772"/>
      <c r="Z867" s="772"/>
      <c r="AA867" s="772"/>
      <c r="AB867" s="772"/>
      <c r="AC867" s="772"/>
      <c r="AD867" s="772"/>
      <c r="AE867" s="772"/>
      <c r="AF867" s="772"/>
      <c r="AG867" s="772"/>
      <c r="AH867" s="772"/>
    </row>
    <row r="868" ht="15.75" customHeight="1">
      <c r="A868" s="815"/>
      <c r="B868" s="782"/>
      <c r="C868" s="782"/>
      <c r="D868" s="782"/>
      <c r="E868" s="816"/>
      <c r="F868" s="816"/>
      <c r="G868" s="817"/>
      <c r="H868" s="817"/>
      <c r="I868" s="818"/>
      <c r="J868" s="772"/>
      <c r="K868" s="772"/>
      <c r="L868" s="772"/>
      <c r="M868" s="772"/>
      <c r="N868" s="772"/>
      <c r="O868" s="772"/>
      <c r="P868" s="772"/>
      <c r="Q868" s="772"/>
      <c r="R868" s="772"/>
      <c r="S868" s="772"/>
      <c r="T868" s="772"/>
      <c r="U868" s="772"/>
      <c r="V868" s="772"/>
      <c r="W868" s="772"/>
      <c r="X868" s="772"/>
      <c r="Y868" s="772"/>
      <c r="Z868" s="772"/>
      <c r="AA868" s="772"/>
      <c r="AB868" s="772"/>
      <c r="AC868" s="772"/>
      <c r="AD868" s="772"/>
      <c r="AE868" s="772"/>
      <c r="AF868" s="772"/>
      <c r="AG868" s="772"/>
      <c r="AH868" s="772"/>
    </row>
    <row r="869" ht="15.75" customHeight="1">
      <c r="A869" s="815"/>
      <c r="B869" s="782"/>
      <c r="C869" s="782"/>
      <c r="D869" s="782"/>
      <c r="E869" s="816"/>
      <c r="F869" s="816"/>
      <c r="G869" s="817"/>
      <c r="H869" s="817"/>
      <c r="I869" s="818"/>
      <c r="J869" s="772"/>
      <c r="K869" s="772"/>
      <c r="L869" s="772"/>
      <c r="M869" s="772"/>
      <c r="N869" s="772"/>
      <c r="O869" s="772"/>
      <c r="P869" s="772"/>
      <c r="Q869" s="772"/>
      <c r="R869" s="772"/>
      <c r="S869" s="772"/>
      <c r="T869" s="772"/>
      <c r="U869" s="772"/>
      <c r="V869" s="772"/>
      <c r="W869" s="772"/>
      <c r="X869" s="772"/>
      <c r="Y869" s="772"/>
      <c r="Z869" s="772"/>
      <c r="AA869" s="772"/>
      <c r="AB869" s="772"/>
      <c r="AC869" s="772"/>
      <c r="AD869" s="772"/>
      <c r="AE869" s="772"/>
      <c r="AF869" s="772"/>
      <c r="AG869" s="772"/>
      <c r="AH869" s="772"/>
    </row>
    <row r="870" ht="15.75" customHeight="1">
      <c r="A870" s="815"/>
      <c r="B870" s="782"/>
      <c r="C870" s="782"/>
      <c r="D870" s="782"/>
      <c r="E870" s="816"/>
      <c r="F870" s="816"/>
      <c r="G870" s="817"/>
      <c r="H870" s="817"/>
      <c r="I870" s="818"/>
      <c r="J870" s="772"/>
      <c r="K870" s="772"/>
      <c r="L870" s="772"/>
      <c r="M870" s="772"/>
      <c r="N870" s="772"/>
      <c r="O870" s="772"/>
      <c r="P870" s="772"/>
      <c r="Q870" s="772"/>
      <c r="R870" s="772"/>
      <c r="S870" s="772"/>
      <c r="T870" s="772"/>
      <c r="U870" s="772"/>
      <c r="V870" s="772"/>
      <c r="W870" s="772"/>
      <c r="X870" s="772"/>
      <c r="Y870" s="772"/>
      <c r="Z870" s="772"/>
      <c r="AA870" s="772"/>
      <c r="AB870" s="772"/>
      <c r="AC870" s="772"/>
      <c r="AD870" s="772"/>
      <c r="AE870" s="772"/>
      <c r="AF870" s="772"/>
      <c r="AG870" s="772"/>
      <c r="AH870" s="772"/>
    </row>
    <row r="871" ht="15.75" customHeight="1">
      <c r="A871" s="815"/>
      <c r="B871" s="782"/>
      <c r="C871" s="782"/>
      <c r="D871" s="782"/>
      <c r="E871" s="816"/>
      <c r="F871" s="816"/>
      <c r="G871" s="817"/>
      <c r="H871" s="817"/>
      <c r="I871" s="818"/>
      <c r="J871" s="772"/>
      <c r="K871" s="772"/>
      <c r="L871" s="772"/>
      <c r="M871" s="772"/>
      <c r="N871" s="772"/>
      <c r="O871" s="772"/>
      <c r="P871" s="772"/>
      <c r="Q871" s="772"/>
      <c r="R871" s="772"/>
      <c r="S871" s="772"/>
      <c r="T871" s="772"/>
      <c r="U871" s="772"/>
      <c r="V871" s="772"/>
      <c r="W871" s="772"/>
      <c r="X871" s="772"/>
      <c r="Y871" s="772"/>
      <c r="Z871" s="772"/>
      <c r="AA871" s="772"/>
      <c r="AB871" s="772"/>
      <c r="AC871" s="772"/>
      <c r="AD871" s="772"/>
      <c r="AE871" s="772"/>
      <c r="AF871" s="772"/>
      <c r="AG871" s="772"/>
      <c r="AH871" s="772"/>
    </row>
    <row r="872" ht="15.75" customHeight="1">
      <c r="A872" s="815"/>
      <c r="B872" s="782"/>
      <c r="C872" s="782"/>
      <c r="D872" s="782"/>
      <c r="E872" s="816"/>
      <c r="F872" s="816"/>
      <c r="G872" s="817"/>
      <c r="H872" s="817"/>
      <c r="I872" s="818"/>
      <c r="J872" s="772"/>
      <c r="K872" s="772"/>
      <c r="L872" s="772"/>
      <c r="M872" s="772"/>
      <c r="N872" s="772"/>
      <c r="O872" s="772"/>
      <c r="P872" s="772"/>
      <c r="Q872" s="772"/>
      <c r="R872" s="772"/>
      <c r="S872" s="772"/>
      <c r="T872" s="772"/>
      <c r="U872" s="772"/>
      <c r="V872" s="772"/>
      <c r="W872" s="772"/>
      <c r="X872" s="772"/>
      <c r="Y872" s="772"/>
      <c r="Z872" s="772"/>
      <c r="AA872" s="772"/>
      <c r="AB872" s="772"/>
      <c r="AC872" s="772"/>
      <c r="AD872" s="772"/>
      <c r="AE872" s="772"/>
      <c r="AF872" s="772"/>
      <c r="AG872" s="772"/>
      <c r="AH872" s="772"/>
    </row>
    <row r="873" ht="15.75" customHeight="1">
      <c r="A873" s="815"/>
      <c r="B873" s="782"/>
      <c r="C873" s="782"/>
      <c r="D873" s="782"/>
      <c r="E873" s="816"/>
      <c r="F873" s="816"/>
      <c r="G873" s="817"/>
      <c r="H873" s="817"/>
      <c r="I873" s="818"/>
      <c r="J873" s="772"/>
      <c r="K873" s="772"/>
      <c r="L873" s="772"/>
      <c r="M873" s="772"/>
      <c r="N873" s="772"/>
      <c r="O873" s="772"/>
      <c r="P873" s="772"/>
      <c r="Q873" s="772"/>
      <c r="R873" s="772"/>
      <c r="S873" s="772"/>
      <c r="T873" s="772"/>
      <c r="U873" s="772"/>
      <c r="V873" s="772"/>
      <c r="W873" s="772"/>
      <c r="X873" s="772"/>
      <c r="Y873" s="772"/>
      <c r="Z873" s="772"/>
      <c r="AA873" s="772"/>
      <c r="AB873" s="772"/>
      <c r="AC873" s="772"/>
      <c r="AD873" s="772"/>
      <c r="AE873" s="772"/>
      <c r="AF873" s="772"/>
      <c r="AG873" s="772"/>
      <c r="AH873" s="772"/>
    </row>
    <row r="874" ht="15.75" customHeight="1">
      <c r="A874" s="815"/>
      <c r="B874" s="782"/>
      <c r="C874" s="782"/>
      <c r="D874" s="782"/>
      <c r="E874" s="816"/>
      <c r="F874" s="816"/>
      <c r="G874" s="817"/>
      <c r="H874" s="817"/>
      <c r="I874" s="818"/>
      <c r="J874" s="772"/>
      <c r="K874" s="772"/>
      <c r="L874" s="772"/>
      <c r="M874" s="772"/>
      <c r="N874" s="772"/>
      <c r="O874" s="772"/>
      <c r="P874" s="772"/>
      <c r="Q874" s="772"/>
      <c r="R874" s="772"/>
      <c r="S874" s="772"/>
      <c r="T874" s="772"/>
      <c r="U874" s="772"/>
      <c r="V874" s="772"/>
      <c r="W874" s="772"/>
      <c r="X874" s="772"/>
      <c r="Y874" s="772"/>
      <c r="Z874" s="772"/>
      <c r="AA874" s="772"/>
      <c r="AB874" s="772"/>
      <c r="AC874" s="772"/>
      <c r="AD874" s="772"/>
      <c r="AE874" s="772"/>
      <c r="AF874" s="772"/>
      <c r="AG874" s="772"/>
      <c r="AH874" s="772"/>
    </row>
    <row r="875" ht="15.75" customHeight="1">
      <c r="A875" s="815"/>
      <c r="B875" s="782"/>
      <c r="C875" s="782"/>
      <c r="D875" s="782"/>
      <c r="E875" s="816"/>
      <c r="F875" s="816"/>
      <c r="G875" s="817"/>
      <c r="H875" s="817"/>
      <c r="I875" s="818"/>
      <c r="J875" s="772"/>
      <c r="K875" s="772"/>
      <c r="L875" s="772"/>
      <c r="M875" s="772"/>
      <c r="N875" s="772"/>
      <c r="O875" s="772"/>
      <c r="P875" s="772"/>
      <c r="Q875" s="772"/>
      <c r="R875" s="772"/>
      <c r="S875" s="772"/>
      <c r="T875" s="772"/>
      <c r="U875" s="772"/>
      <c r="V875" s="772"/>
      <c r="W875" s="772"/>
      <c r="X875" s="772"/>
      <c r="Y875" s="772"/>
      <c r="Z875" s="772"/>
      <c r="AA875" s="772"/>
      <c r="AB875" s="772"/>
      <c r="AC875" s="772"/>
      <c r="AD875" s="772"/>
      <c r="AE875" s="772"/>
      <c r="AF875" s="772"/>
      <c r="AG875" s="772"/>
      <c r="AH875" s="772"/>
    </row>
    <row r="876" ht="15.75" customHeight="1">
      <c r="A876" s="815"/>
      <c r="B876" s="782"/>
      <c r="C876" s="782"/>
      <c r="D876" s="782"/>
      <c r="E876" s="816"/>
      <c r="F876" s="816"/>
      <c r="G876" s="817"/>
      <c r="H876" s="817"/>
      <c r="I876" s="818"/>
      <c r="J876" s="772"/>
      <c r="K876" s="772"/>
      <c r="L876" s="772"/>
      <c r="M876" s="772"/>
      <c r="N876" s="772"/>
      <c r="O876" s="772"/>
      <c r="P876" s="772"/>
      <c r="Q876" s="772"/>
      <c r="R876" s="772"/>
      <c r="S876" s="772"/>
      <c r="T876" s="772"/>
      <c r="U876" s="772"/>
      <c r="V876" s="772"/>
      <c r="W876" s="772"/>
      <c r="X876" s="772"/>
      <c r="Y876" s="772"/>
      <c r="Z876" s="772"/>
      <c r="AA876" s="772"/>
      <c r="AB876" s="772"/>
      <c r="AC876" s="772"/>
      <c r="AD876" s="772"/>
      <c r="AE876" s="772"/>
      <c r="AF876" s="772"/>
      <c r="AG876" s="772"/>
      <c r="AH876" s="772"/>
    </row>
    <row r="877" ht="15.75" customHeight="1">
      <c r="A877" s="815"/>
      <c r="B877" s="782"/>
      <c r="C877" s="782"/>
      <c r="D877" s="782"/>
      <c r="E877" s="816"/>
      <c r="F877" s="816"/>
      <c r="G877" s="817"/>
      <c r="H877" s="817"/>
      <c r="I877" s="818"/>
      <c r="J877" s="772"/>
      <c r="K877" s="772"/>
      <c r="L877" s="772"/>
      <c r="M877" s="772"/>
      <c r="N877" s="772"/>
      <c r="O877" s="772"/>
      <c r="P877" s="772"/>
      <c r="Q877" s="772"/>
      <c r="R877" s="772"/>
      <c r="S877" s="772"/>
      <c r="T877" s="772"/>
      <c r="U877" s="772"/>
      <c r="V877" s="772"/>
      <c r="W877" s="772"/>
      <c r="X877" s="772"/>
      <c r="Y877" s="772"/>
      <c r="Z877" s="772"/>
      <c r="AA877" s="772"/>
      <c r="AB877" s="772"/>
      <c r="AC877" s="772"/>
      <c r="AD877" s="772"/>
      <c r="AE877" s="772"/>
      <c r="AF877" s="772"/>
      <c r="AG877" s="772"/>
      <c r="AH877" s="772"/>
    </row>
    <row r="878" ht="15.75" customHeight="1">
      <c r="A878" s="815"/>
      <c r="B878" s="782"/>
      <c r="C878" s="782"/>
      <c r="D878" s="782"/>
      <c r="E878" s="816"/>
      <c r="F878" s="816"/>
      <c r="G878" s="817"/>
      <c r="H878" s="817"/>
      <c r="I878" s="818"/>
      <c r="J878" s="772"/>
      <c r="K878" s="772"/>
      <c r="L878" s="772"/>
      <c r="M878" s="772"/>
      <c r="N878" s="772"/>
      <c r="O878" s="772"/>
      <c r="P878" s="772"/>
      <c r="Q878" s="772"/>
      <c r="R878" s="772"/>
      <c r="S878" s="772"/>
      <c r="T878" s="772"/>
      <c r="U878" s="772"/>
      <c r="V878" s="772"/>
      <c r="W878" s="772"/>
      <c r="X878" s="772"/>
      <c r="Y878" s="772"/>
      <c r="Z878" s="772"/>
      <c r="AA878" s="772"/>
      <c r="AB878" s="772"/>
      <c r="AC878" s="772"/>
      <c r="AD878" s="772"/>
      <c r="AE878" s="772"/>
      <c r="AF878" s="772"/>
      <c r="AG878" s="772"/>
      <c r="AH878" s="772"/>
    </row>
    <row r="879" ht="15.75" customHeight="1">
      <c r="A879" s="815"/>
      <c r="B879" s="782"/>
      <c r="C879" s="782"/>
      <c r="D879" s="782"/>
      <c r="E879" s="816"/>
      <c r="F879" s="816"/>
      <c r="G879" s="817"/>
      <c r="H879" s="817"/>
      <c r="I879" s="818"/>
      <c r="J879" s="772"/>
      <c r="K879" s="772"/>
      <c r="L879" s="772"/>
      <c r="M879" s="772"/>
      <c r="N879" s="772"/>
      <c r="O879" s="772"/>
      <c r="P879" s="772"/>
      <c r="Q879" s="772"/>
      <c r="R879" s="772"/>
      <c r="S879" s="772"/>
      <c r="T879" s="772"/>
      <c r="U879" s="772"/>
      <c r="V879" s="772"/>
      <c r="W879" s="772"/>
      <c r="X879" s="772"/>
      <c r="Y879" s="772"/>
      <c r="Z879" s="772"/>
      <c r="AA879" s="772"/>
      <c r="AB879" s="772"/>
      <c r="AC879" s="772"/>
      <c r="AD879" s="772"/>
      <c r="AE879" s="772"/>
      <c r="AF879" s="772"/>
      <c r="AG879" s="772"/>
      <c r="AH879" s="772"/>
    </row>
    <row r="880" ht="15.75" customHeight="1">
      <c r="A880" s="815"/>
      <c r="B880" s="782"/>
      <c r="C880" s="782"/>
      <c r="D880" s="782"/>
      <c r="E880" s="816"/>
      <c r="F880" s="816"/>
      <c r="G880" s="817"/>
      <c r="H880" s="817"/>
      <c r="I880" s="818"/>
      <c r="J880" s="772"/>
      <c r="K880" s="772"/>
      <c r="L880" s="772"/>
      <c r="M880" s="772"/>
      <c r="N880" s="772"/>
      <c r="O880" s="772"/>
      <c r="P880" s="772"/>
      <c r="Q880" s="772"/>
      <c r="R880" s="772"/>
      <c r="S880" s="772"/>
      <c r="T880" s="772"/>
      <c r="U880" s="772"/>
      <c r="V880" s="772"/>
      <c r="W880" s="772"/>
      <c r="X880" s="772"/>
      <c r="Y880" s="772"/>
      <c r="Z880" s="772"/>
      <c r="AA880" s="772"/>
      <c r="AB880" s="772"/>
      <c r="AC880" s="772"/>
      <c r="AD880" s="772"/>
      <c r="AE880" s="772"/>
      <c r="AF880" s="772"/>
      <c r="AG880" s="772"/>
      <c r="AH880" s="772"/>
    </row>
    <row r="881" ht="15.75" customHeight="1">
      <c r="A881" s="815"/>
      <c r="B881" s="782"/>
      <c r="C881" s="782"/>
      <c r="D881" s="782"/>
      <c r="E881" s="816"/>
      <c r="F881" s="816"/>
      <c r="G881" s="817"/>
      <c r="H881" s="817"/>
      <c r="I881" s="818"/>
      <c r="J881" s="772"/>
      <c r="K881" s="772"/>
      <c r="L881" s="772"/>
      <c r="M881" s="772"/>
      <c r="N881" s="772"/>
      <c r="O881" s="772"/>
      <c r="P881" s="772"/>
      <c r="Q881" s="772"/>
      <c r="R881" s="772"/>
      <c r="S881" s="772"/>
      <c r="T881" s="772"/>
      <c r="U881" s="772"/>
      <c r="V881" s="772"/>
      <c r="W881" s="772"/>
      <c r="X881" s="772"/>
      <c r="Y881" s="772"/>
      <c r="Z881" s="772"/>
      <c r="AA881" s="772"/>
      <c r="AB881" s="772"/>
      <c r="AC881" s="772"/>
      <c r="AD881" s="772"/>
      <c r="AE881" s="772"/>
      <c r="AF881" s="772"/>
      <c r="AG881" s="772"/>
      <c r="AH881" s="772"/>
    </row>
    <row r="882" ht="15.75" customHeight="1">
      <c r="A882" s="815"/>
      <c r="B882" s="782"/>
      <c r="C882" s="782"/>
      <c r="D882" s="782"/>
      <c r="E882" s="816"/>
      <c r="F882" s="816"/>
      <c r="G882" s="817"/>
      <c r="H882" s="817"/>
      <c r="I882" s="818"/>
      <c r="J882" s="772"/>
      <c r="K882" s="772"/>
      <c r="L882" s="772"/>
      <c r="M882" s="772"/>
      <c r="N882" s="772"/>
      <c r="O882" s="772"/>
      <c r="P882" s="772"/>
      <c r="Q882" s="772"/>
      <c r="R882" s="772"/>
      <c r="S882" s="772"/>
      <c r="T882" s="772"/>
      <c r="U882" s="772"/>
      <c r="V882" s="772"/>
      <c r="W882" s="772"/>
      <c r="X882" s="772"/>
      <c r="Y882" s="772"/>
      <c r="Z882" s="772"/>
      <c r="AA882" s="772"/>
      <c r="AB882" s="772"/>
      <c r="AC882" s="772"/>
      <c r="AD882" s="772"/>
      <c r="AE882" s="772"/>
      <c r="AF882" s="772"/>
      <c r="AG882" s="772"/>
      <c r="AH882" s="772"/>
    </row>
    <row r="883" ht="15.75" customHeight="1">
      <c r="A883" s="815"/>
      <c r="B883" s="782"/>
      <c r="C883" s="782"/>
      <c r="D883" s="782"/>
      <c r="E883" s="816"/>
      <c r="F883" s="816"/>
      <c r="G883" s="817"/>
      <c r="H883" s="817"/>
      <c r="I883" s="818"/>
      <c r="J883" s="772"/>
      <c r="K883" s="772"/>
      <c r="L883" s="772"/>
      <c r="M883" s="772"/>
      <c r="N883" s="772"/>
      <c r="O883" s="772"/>
      <c r="P883" s="772"/>
      <c r="Q883" s="772"/>
      <c r="R883" s="772"/>
      <c r="S883" s="772"/>
      <c r="T883" s="772"/>
      <c r="U883" s="772"/>
      <c r="V883" s="772"/>
      <c r="W883" s="772"/>
      <c r="X883" s="772"/>
      <c r="Y883" s="772"/>
      <c r="Z883" s="772"/>
      <c r="AA883" s="772"/>
      <c r="AB883" s="772"/>
      <c r="AC883" s="772"/>
      <c r="AD883" s="772"/>
      <c r="AE883" s="772"/>
      <c r="AF883" s="772"/>
      <c r="AG883" s="772"/>
      <c r="AH883" s="772"/>
    </row>
    <row r="884" ht="15.75" customHeight="1">
      <c r="A884" s="815"/>
      <c r="B884" s="782"/>
      <c r="C884" s="782"/>
      <c r="D884" s="782"/>
      <c r="E884" s="816"/>
      <c r="F884" s="816"/>
      <c r="G884" s="817"/>
      <c r="H884" s="817"/>
      <c r="I884" s="818"/>
      <c r="J884" s="772"/>
      <c r="K884" s="772"/>
      <c r="L884" s="772"/>
      <c r="M884" s="772"/>
      <c r="N884" s="772"/>
      <c r="O884" s="772"/>
      <c r="P884" s="772"/>
      <c r="Q884" s="772"/>
      <c r="R884" s="772"/>
      <c r="S884" s="772"/>
      <c r="T884" s="772"/>
      <c r="U884" s="772"/>
      <c r="V884" s="772"/>
      <c r="W884" s="772"/>
      <c r="X884" s="772"/>
      <c r="Y884" s="772"/>
      <c r="Z884" s="772"/>
      <c r="AA884" s="772"/>
      <c r="AB884" s="772"/>
      <c r="AC884" s="772"/>
      <c r="AD884" s="772"/>
      <c r="AE884" s="772"/>
      <c r="AF884" s="772"/>
      <c r="AG884" s="772"/>
      <c r="AH884" s="772"/>
    </row>
    <row r="885" ht="15.75" customHeight="1">
      <c r="A885" s="815"/>
      <c r="B885" s="782"/>
      <c r="C885" s="782"/>
      <c r="D885" s="782"/>
      <c r="E885" s="816"/>
      <c r="F885" s="816"/>
      <c r="G885" s="817"/>
      <c r="H885" s="817"/>
      <c r="I885" s="818"/>
      <c r="J885" s="772"/>
      <c r="K885" s="772"/>
      <c r="L885" s="772"/>
      <c r="M885" s="772"/>
      <c r="N885" s="772"/>
      <c r="O885" s="772"/>
      <c r="P885" s="772"/>
      <c r="Q885" s="772"/>
      <c r="R885" s="772"/>
      <c r="S885" s="772"/>
      <c r="T885" s="772"/>
      <c r="U885" s="772"/>
      <c r="V885" s="772"/>
      <c r="W885" s="772"/>
      <c r="X885" s="772"/>
      <c r="Y885" s="772"/>
      <c r="Z885" s="772"/>
      <c r="AA885" s="772"/>
      <c r="AB885" s="772"/>
      <c r="AC885" s="772"/>
      <c r="AD885" s="772"/>
      <c r="AE885" s="772"/>
      <c r="AF885" s="772"/>
      <c r="AG885" s="772"/>
      <c r="AH885" s="772"/>
    </row>
    <row r="886" ht="15.75" customHeight="1">
      <c r="A886" s="815"/>
      <c r="B886" s="782"/>
      <c r="C886" s="782"/>
      <c r="D886" s="782"/>
      <c r="E886" s="816"/>
      <c r="F886" s="816"/>
      <c r="G886" s="817"/>
      <c r="H886" s="817"/>
      <c r="I886" s="818"/>
      <c r="J886" s="772"/>
      <c r="K886" s="772"/>
      <c r="L886" s="772"/>
      <c r="M886" s="772"/>
      <c r="N886" s="772"/>
      <c r="O886" s="772"/>
      <c r="P886" s="772"/>
      <c r="Q886" s="772"/>
      <c r="R886" s="772"/>
      <c r="S886" s="772"/>
      <c r="T886" s="772"/>
      <c r="U886" s="772"/>
      <c r="V886" s="772"/>
      <c r="W886" s="772"/>
      <c r="X886" s="772"/>
      <c r="Y886" s="772"/>
      <c r="Z886" s="772"/>
      <c r="AA886" s="772"/>
      <c r="AB886" s="772"/>
      <c r="AC886" s="772"/>
      <c r="AD886" s="772"/>
      <c r="AE886" s="772"/>
      <c r="AF886" s="772"/>
      <c r="AG886" s="772"/>
      <c r="AH886" s="772"/>
    </row>
    <row r="887" ht="15.75" customHeight="1">
      <c r="A887" s="815"/>
      <c r="B887" s="782"/>
      <c r="C887" s="782"/>
      <c r="D887" s="782"/>
      <c r="E887" s="816"/>
      <c r="F887" s="816"/>
      <c r="G887" s="817"/>
      <c r="H887" s="817"/>
      <c r="I887" s="818"/>
      <c r="J887" s="772"/>
      <c r="K887" s="772"/>
      <c r="L887" s="772"/>
      <c r="M887" s="772"/>
      <c r="N887" s="772"/>
      <c r="O887" s="772"/>
      <c r="P887" s="772"/>
      <c r="Q887" s="772"/>
      <c r="R887" s="772"/>
      <c r="S887" s="772"/>
      <c r="T887" s="772"/>
      <c r="U887" s="772"/>
      <c r="V887" s="772"/>
      <c r="W887" s="772"/>
      <c r="X887" s="772"/>
      <c r="Y887" s="772"/>
      <c r="Z887" s="772"/>
      <c r="AA887" s="772"/>
      <c r="AB887" s="772"/>
      <c r="AC887" s="772"/>
      <c r="AD887" s="772"/>
      <c r="AE887" s="772"/>
      <c r="AF887" s="772"/>
      <c r="AG887" s="772"/>
      <c r="AH887" s="772"/>
    </row>
    <row r="888" ht="15.75" customHeight="1">
      <c r="A888" s="815"/>
      <c r="B888" s="782"/>
      <c r="C888" s="782"/>
      <c r="D888" s="782"/>
      <c r="E888" s="816"/>
      <c r="F888" s="816"/>
      <c r="G888" s="817"/>
      <c r="H888" s="817"/>
      <c r="I888" s="818"/>
      <c r="J888" s="772"/>
      <c r="K888" s="772"/>
      <c r="L888" s="772"/>
      <c r="M888" s="772"/>
      <c r="N888" s="772"/>
      <c r="O888" s="772"/>
      <c r="P888" s="772"/>
      <c r="Q888" s="772"/>
      <c r="R888" s="772"/>
      <c r="S888" s="772"/>
      <c r="T888" s="772"/>
      <c r="U888" s="772"/>
      <c r="V888" s="772"/>
      <c r="W888" s="772"/>
      <c r="X888" s="772"/>
      <c r="Y888" s="772"/>
      <c r="Z888" s="772"/>
      <c r="AA888" s="772"/>
      <c r="AB888" s="772"/>
      <c r="AC888" s="772"/>
      <c r="AD888" s="772"/>
      <c r="AE888" s="772"/>
      <c r="AF888" s="772"/>
      <c r="AG888" s="772"/>
      <c r="AH888" s="772"/>
    </row>
    <row r="889" ht="15.75" customHeight="1">
      <c r="A889" s="815"/>
      <c r="B889" s="782"/>
      <c r="C889" s="782"/>
      <c r="D889" s="782"/>
      <c r="E889" s="816"/>
      <c r="F889" s="816"/>
      <c r="G889" s="817"/>
      <c r="H889" s="817"/>
      <c r="I889" s="818"/>
      <c r="J889" s="772"/>
      <c r="K889" s="772"/>
      <c r="L889" s="772"/>
      <c r="M889" s="772"/>
      <c r="N889" s="772"/>
      <c r="O889" s="772"/>
      <c r="P889" s="772"/>
      <c r="Q889" s="772"/>
      <c r="R889" s="772"/>
      <c r="S889" s="772"/>
      <c r="T889" s="772"/>
      <c r="U889" s="772"/>
      <c r="V889" s="772"/>
      <c r="W889" s="772"/>
      <c r="X889" s="772"/>
      <c r="Y889" s="772"/>
      <c r="Z889" s="772"/>
      <c r="AA889" s="772"/>
      <c r="AB889" s="772"/>
      <c r="AC889" s="772"/>
      <c r="AD889" s="772"/>
      <c r="AE889" s="772"/>
      <c r="AF889" s="772"/>
      <c r="AG889" s="772"/>
      <c r="AH889" s="772"/>
    </row>
    <row r="890" ht="15.75" customHeight="1">
      <c r="A890" s="815"/>
      <c r="B890" s="782"/>
      <c r="C890" s="782"/>
      <c r="D890" s="782"/>
      <c r="E890" s="816"/>
      <c r="F890" s="816"/>
      <c r="G890" s="817"/>
      <c r="H890" s="817"/>
      <c r="I890" s="818"/>
      <c r="J890" s="772"/>
      <c r="K890" s="772"/>
      <c r="L890" s="772"/>
      <c r="M890" s="772"/>
      <c r="N890" s="772"/>
      <c r="O890" s="772"/>
      <c r="P890" s="772"/>
      <c r="Q890" s="772"/>
      <c r="R890" s="772"/>
      <c r="S890" s="772"/>
      <c r="T890" s="772"/>
      <c r="U890" s="772"/>
      <c r="V890" s="772"/>
      <c r="W890" s="772"/>
      <c r="X890" s="772"/>
      <c r="Y890" s="772"/>
      <c r="Z890" s="772"/>
      <c r="AA890" s="772"/>
      <c r="AB890" s="772"/>
      <c r="AC890" s="772"/>
      <c r="AD890" s="772"/>
      <c r="AE890" s="772"/>
      <c r="AF890" s="772"/>
      <c r="AG890" s="772"/>
      <c r="AH890" s="772"/>
    </row>
    <row r="891" ht="15.75" customHeight="1">
      <c r="A891" s="815"/>
      <c r="B891" s="782"/>
      <c r="C891" s="782"/>
      <c r="D891" s="782"/>
      <c r="E891" s="816"/>
      <c r="F891" s="816"/>
      <c r="G891" s="817"/>
      <c r="H891" s="817"/>
      <c r="I891" s="818"/>
      <c r="J891" s="772"/>
      <c r="K891" s="772"/>
      <c r="L891" s="772"/>
      <c r="M891" s="772"/>
      <c r="N891" s="772"/>
      <c r="O891" s="772"/>
      <c r="P891" s="772"/>
      <c r="Q891" s="772"/>
      <c r="R891" s="772"/>
      <c r="S891" s="772"/>
      <c r="T891" s="772"/>
      <c r="U891" s="772"/>
      <c r="V891" s="772"/>
      <c r="W891" s="772"/>
      <c r="X891" s="772"/>
      <c r="Y891" s="772"/>
      <c r="Z891" s="772"/>
      <c r="AA891" s="772"/>
      <c r="AB891" s="772"/>
      <c r="AC891" s="772"/>
      <c r="AD891" s="772"/>
      <c r="AE891" s="772"/>
      <c r="AF891" s="772"/>
      <c r="AG891" s="772"/>
      <c r="AH891" s="772"/>
    </row>
    <row r="892" ht="15.75" customHeight="1">
      <c r="A892" s="815"/>
      <c r="B892" s="782"/>
      <c r="C892" s="782"/>
      <c r="D892" s="782"/>
      <c r="E892" s="816"/>
      <c r="F892" s="816"/>
      <c r="G892" s="817"/>
      <c r="H892" s="817"/>
      <c r="I892" s="818"/>
      <c r="J892" s="772"/>
      <c r="K892" s="772"/>
      <c r="L892" s="772"/>
      <c r="M892" s="772"/>
      <c r="N892" s="772"/>
      <c r="O892" s="772"/>
      <c r="P892" s="772"/>
      <c r="Q892" s="772"/>
      <c r="R892" s="772"/>
      <c r="S892" s="772"/>
      <c r="T892" s="772"/>
      <c r="U892" s="772"/>
      <c r="V892" s="772"/>
      <c r="W892" s="772"/>
      <c r="X892" s="772"/>
      <c r="Y892" s="772"/>
      <c r="Z892" s="772"/>
      <c r="AA892" s="772"/>
      <c r="AB892" s="772"/>
      <c r="AC892" s="772"/>
      <c r="AD892" s="772"/>
      <c r="AE892" s="772"/>
      <c r="AF892" s="772"/>
      <c r="AG892" s="772"/>
      <c r="AH892" s="772"/>
    </row>
    <row r="893" ht="15.75" customHeight="1">
      <c r="A893" s="815"/>
      <c r="B893" s="782"/>
      <c r="C893" s="782"/>
      <c r="D893" s="782"/>
      <c r="E893" s="816"/>
      <c r="F893" s="816"/>
      <c r="G893" s="817"/>
      <c r="H893" s="817"/>
      <c r="I893" s="818"/>
      <c r="J893" s="772"/>
      <c r="K893" s="772"/>
      <c r="L893" s="772"/>
      <c r="M893" s="772"/>
      <c r="N893" s="772"/>
      <c r="O893" s="772"/>
      <c r="P893" s="772"/>
      <c r="Q893" s="772"/>
      <c r="R893" s="772"/>
      <c r="S893" s="772"/>
      <c r="T893" s="772"/>
      <c r="U893" s="772"/>
      <c r="V893" s="772"/>
      <c r="W893" s="772"/>
      <c r="X893" s="772"/>
      <c r="Y893" s="772"/>
      <c r="Z893" s="772"/>
      <c r="AA893" s="772"/>
      <c r="AB893" s="772"/>
      <c r="AC893" s="772"/>
      <c r="AD893" s="772"/>
      <c r="AE893" s="772"/>
      <c r="AF893" s="772"/>
      <c r="AG893" s="772"/>
      <c r="AH893" s="772"/>
    </row>
    <row r="894" ht="15.75" customHeight="1">
      <c r="A894" s="815"/>
      <c r="B894" s="782"/>
      <c r="C894" s="782"/>
      <c r="D894" s="782"/>
      <c r="E894" s="816"/>
      <c r="F894" s="816"/>
      <c r="G894" s="817"/>
      <c r="H894" s="817"/>
      <c r="I894" s="818"/>
      <c r="J894" s="772"/>
      <c r="K894" s="772"/>
      <c r="L894" s="772"/>
      <c r="M894" s="772"/>
      <c r="N894" s="772"/>
      <c r="O894" s="772"/>
      <c r="P894" s="772"/>
      <c r="Q894" s="772"/>
      <c r="R894" s="772"/>
      <c r="S894" s="772"/>
      <c r="T894" s="772"/>
      <c r="U894" s="772"/>
      <c r="V894" s="772"/>
      <c r="W894" s="772"/>
      <c r="X894" s="772"/>
      <c r="Y894" s="772"/>
      <c r="Z894" s="772"/>
      <c r="AA894" s="772"/>
      <c r="AB894" s="772"/>
      <c r="AC894" s="772"/>
      <c r="AD894" s="772"/>
      <c r="AE894" s="772"/>
      <c r="AF894" s="772"/>
      <c r="AG894" s="772"/>
      <c r="AH894" s="772"/>
    </row>
    <row r="895" ht="15.75" customHeight="1">
      <c r="A895" s="815"/>
      <c r="B895" s="782"/>
      <c r="C895" s="782"/>
      <c r="D895" s="782"/>
      <c r="E895" s="816"/>
      <c r="F895" s="816"/>
      <c r="G895" s="817"/>
      <c r="H895" s="817"/>
      <c r="I895" s="818"/>
      <c r="J895" s="772"/>
      <c r="K895" s="772"/>
      <c r="L895" s="772"/>
      <c r="M895" s="772"/>
      <c r="N895" s="772"/>
      <c r="O895" s="772"/>
      <c r="P895" s="772"/>
      <c r="Q895" s="772"/>
      <c r="R895" s="772"/>
      <c r="S895" s="772"/>
      <c r="T895" s="772"/>
      <c r="U895" s="772"/>
      <c r="V895" s="772"/>
      <c r="W895" s="772"/>
      <c r="X895" s="772"/>
      <c r="Y895" s="772"/>
      <c r="Z895" s="772"/>
      <c r="AA895" s="772"/>
      <c r="AB895" s="772"/>
      <c r="AC895" s="772"/>
      <c r="AD895" s="772"/>
      <c r="AE895" s="772"/>
      <c r="AF895" s="772"/>
      <c r="AG895" s="772"/>
      <c r="AH895" s="772"/>
    </row>
    <row r="896" ht="15.75" customHeight="1">
      <c r="A896" s="815"/>
      <c r="B896" s="782"/>
      <c r="C896" s="782"/>
      <c r="D896" s="782"/>
      <c r="E896" s="816"/>
      <c r="F896" s="816"/>
      <c r="G896" s="817"/>
      <c r="H896" s="817"/>
      <c r="I896" s="818"/>
      <c r="J896" s="772"/>
      <c r="K896" s="772"/>
      <c r="L896" s="772"/>
      <c r="M896" s="772"/>
      <c r="N896" s="772"/>
      <c r="O896" s="772"/>
      <c r="P896" s="772"/>
      <c r="Q896" s="772"/>
      <c r="R896" s="772"/>
      <c r="S896" s="772"/>
      <c r="T896" s="772"/>
      <c r="U896" s="772"/>
      <c r="V896" s="772"/>
      <c r="W896" s="772"/>
      <c r="X896" s="772"/>
      <c r="Y896" s="772"/>
      <c r="Z896" s="772"/>
      <c r="AA896" s="772"/>
      <c r="AB896" s="772"/>
      <c r="AC896" s="772"/>
      <c r="AD896" s="772"/>
      <c r="AE896" s="772"/>
      <c r="AF896" s="772"/>
      <c r="AG896" s="772"/>
      <c r="AH896" s="772"/>
    </row>
    <row r="897" ht="15.75" customHeight="1">
      <c r="A897" s="815"/>
      <c r="B897" s="782"/>
      <c r="C897" s="782"/>
      <c r="D897" s="782"/>
      <c r="E897" s="816"/>
      <c r="F897" s="816"/>
      <c r="G897" s="817"/>
      <c r="H897" s="817"/>
      <c r="I897" s="818"/>
      <c r="J897" s="772"/>
      <c r="K897" s="772"/>
      <c r="L897" s="772"/>
      <c r="M897" s="772"/>
      <c r="N897" s="772"/>
      <c r="O897" s="772"/>
      <c r="P897" s="772"/>
      <c r="Q897" s="772"/>
      <c r="R897" s="772"/>
      <c r="S897" s="772"/>
      <c r="T897" s="772"/>
      <c r="U897" s="772"/>
      <c r="V897" s="772"/>
      <c r="W897" s="772"/>
      <c r="X897" s="772"/>
      <c r="Y897" s="772"/>
      <c r="Z897" s="772"/>
      <c r="AA897" s="772"/>
      <c r="AB897" s="772"/>
      <c r="AC897" s="772"/>
      <c r="AD897" s="772"/>
      <c r="AE897" s="772"/>
      <c r="AF897" s="772"/>
      <c r="AG897" s="772"/>
      <c r="AH897" s="772"/>
    </row>
    <row r="898" ht="15.75" customHeight="1">
      <c r="A898" s="815"/>
      <c r="B898" s="782"/>
      <c r="C898" s="782"/>
      <c r="D898" s="782"/>
      <c r="E898" s="816"/>
      <c r="F898" s="816"/>
      <c r="G898" s="817"/>
      <c r="H898" s="817"/>
      <c r="I898" s="818"/>
      <c r="J898" s="772"/>
      <c r="K898" s="772"/>
      <c r="L898" s="772"/>
      <c r="M898" s="772"/>
      <c r="N898" s="772"/>
      <c r="O898" s="772"/>
      <c r="P898" s="772"/>
      <c r="Q898" s="772"/>
      <c r="R898" s="772"/>
      <c r="S898" s="772"/>
      <c r="T898" s="772"/>
      <c r="U898" s="772"/>
      <c r="V898" s="772"/>
      <c r="W898" s="772"/>
      <c r="X898" s="772"/>
      <c r="Y898" s="772"/>
      <c r="Z898" s="772"/>
      <c r="AA898" s="772"/>
      <c r="AB898" s="772"/>
      <c r="AC898" s="772"/>
      <c r="AD898" s="772"/>
      <c r="AE898" s="772"/>
      <c r="AF898" s="772"/>
      <c r="AG898" s="772"/>
      <c r="AH898" s="772"/>
    </row>
    <row r="899" ht="15.75" customHeight="1">
      <c r="A899" s="815"/>
      <c r="B899" s="782"/>
      <c r="C899" s="782"/>
      <c r="D899" s="782"/>
      <c r="E899" s="816"/>
      <c r="F899" s="816"/>
      <c r="G899" s="817"/>
      <c r="H899" s="817"/>
      <c r="I899" s="818"/>
      <c r="J899" s="772"/>
      <c r="K899" s="772"/>
      <c r="L899" s="772"/>
      <c r="M899" s="772"/>
      <c r="N899" s="772"/>
      <c r="O899" s="772"/>
      <c r="P899" s="772"/>
      <c r="Q899" s="772"/>
      <c r="R899" s="772"/>
      <c r="S899" s="772"/>
      <c r="T899" s="772"/>
      <c r="U899" s="772"/>
      <c r="V899" s="772"/>
      <c r="W899" s="772"/>
      <c r="X899" s="772"/>
      <c r="Y899" s="772"/>
      <c r="Z899" s="772"/>
      <c r="AA899" s="772"/>
      <c r="AB899" s="772"/>
      <c r="AC899" s="772"/>
      <c r="AD899" s="772"/>
      <c r="AE899" s="772"/>
      <c r="AF899" s="772"/>
      <c r="AG899" s="772"/>
      <c r="AH899" s="772"/>
    </row>
    <row r="900" ht="15.75" customHeight="1">
      <c r="A900" s="815"/>
      <c r="B900" s="782"/>
      <c r="C900" s="782"/>
      <c r="D900" s="782"/>
      <c r="E900" s="816"/>
      <c r="F900" s="816"/>
      <c r="G900" s="817"/>
      <c r="H900" s="817"/>
      <c r="I900" s="818"/>
      <c r="J900" s="772"/>
      <c r="K900" s="772"/>
      <c r="L900" s="772"/>
      <c r="M900" s="772"/>
      <c r="N900" s="772"/>
      <c r="O900" s="772"/>
      <c r="P900" s="772"/>
      <c r="Q900" s="772"/>
      <c r="R900" s="772"/>
      <c r="S900" s="772"/>
      <c r="T900" s="772"/>
      <c r="U900" s="772"/>
      <c r="V900" s="772"/>
      <c r="W900" s="772"/>
      <c r="X900" s="772"/>
      <c r="Y900" s="772"/>
      <c r="Z900" s="772"/>
      <c r="AA900" s="772"/>
      <c r="AB900" s="772"/>
      <c r="AC900" s="772"/>
      <c r="AD900" s="772"/>
      <c r="AE900" s="772"/>
      <c r="AF900" s="772"/>
      <c r="AG900" s="772"/>
      <c r="AH900" s="772"/>
    </row>
    <row r="901" ht="15.75" customHeight="1">
      <c r="A901" s="815"/>
      <c r="B901" s="782"/>
      <c r="C901" s="782"/>
      <c r="D901" s="782"/>
      <c r="E901" s="816"/>
      <c r="F901" s="816"/>
      <c r="G901" s="817"/>
      <c r="H901" s="817"/>
      <c r="I901" s="818"/>
      <c r="J901" s="772"/>
      <c r="K901" s="772"/>
      <c r="L901" s="772"/>
      <c r="M901" s="772"/>
      <c r="N901" s="772"/>
      <c r="O901" s="772"/>
      <c r="P901" s="772"/>
      <c r="Q901" s="772"/>
      <c r="R901" s="772"/>
      <c r="S901" s="772"/>
      <c r="T901" s="772"/>
      <c r="U901" s="772"/>
      <c r="V901" s="772"/>
      <c r="W901" s="772"/>
      <c r="X901" s="772"/>
      <c r="Y901" s="772"/>
      <c r="Z901" s="772"/>
      <c r="AA901" s="772"/>
      <c r="AB901" s="772"/>
      <c r="AC901" s="772"/>
      <c r="AD901" s="772"/>
      <c r="AE901" s="772"/>
      <c r="AF901" s="772"/>
      <c r="AG901" s="772"/>
      <c r="AH901" s="772"/>
    </row>
    <row r="902" ht="15.75" customHeight="1">
      <c r="A902" s="815"/>
      <c r="B902" s="782"/>
      <c r="C902" s="782"/>
      <c r="D902" s="782"/>
      <c r="E902" s="816"/>
      <c r="F902" s="816"/>
      <c r="G902" s="817"/>
      <c r="H902" s="817"/>
      <c r="I902" s="818"/>
      <c r="J902" s="772"/>
      <c r="K902" s="772"/>
      <c r="L902" s="772"/>
      <c r="M902" s="772"/>
      <c r="N902" s="772"/>
      <c r="O902" s="772"/>
      <c r="P902" s="772"/>
      <c r="Q902" s="772"/>
      <c r="R902" s="772"/>
      <c r="S902" s="772"/>
      <c r="T902" s="772"/>
      <c r="U902" s="772"/>
      <c r="V902" s="772"/>
      <c r="W902" s="772"/>
      <c r="X902" s="772"/>
      <c r="Y902" s="772"/>
      <c r="Z902" s="772"/>
      <c r="AA902" s="772"/>
      <c r="AB902" s="772"/>
      <c r="AC902" s="772"/>
      <c r="AD902" s="772"/>
      <c r="AE902" s="772"/>
      <c r="AF902" s="772"/>
      <c r="AG902" s="772"/>
      <c r="AH902" s="772"/>
    </row>
    <row r="903" ht="15.75" customHeight="1">
      <c r="A903" s="815"/>
      <c r="B903" s="782"/>
      <c r="C903" s="782"/>
      <c r="D903" s="782"/>
      <c r="E903" s="816"/>
      <c r="F903" s="816"/>
      <c r="G903" s="817"/>
      <c r="H903" s="817"/>
      <c r="I903" s="818"/>
      <c r="J903" s="772"/>
      <c r="K903" s="772"/>
      <c r="L903" s="772"/>
      <c r="M903" s="772"/>
      <c r="N903" s="772"/>
      <c r="O903" s="772"/>
      <c r="P903" s="772"/>
      <c r="Q903" s="772"/>
      <c r="R903" s="772"/>
      <c r="S903" s="772"/>
      <c r="T903" s="772"/>
      <c r="U903" s="772"/>
      <c r="V903" s="772"/>
      <c r="W903" s="772"/>
      <c r="X903" s="772"/>
      <c r="Y903" s="772"/>
      <c r="Z903" s="772"/>
      <c r="AA903" s="772"/>
      <c r="AB903" s="772"/>
      <c r="AC903" s="772"/>
      <c r="AD903" s="772"/>
      <c r="AE903" s="772"/>
      <c r="AF903" s="772"/>
      <c r="AG903" s="772"/>
      <c r="AH903" s="772"/>
    </row>
    <row r="904" ht="15.75" customHeight="1">
      <c r="A904" s="815"/>
      <c r="B904" s="782"/>
      <c r="C904" s="782"/>
      <c r="D904" s="782"/>
      <c r="E904" s="816"/>
      <c r="F904" s="816"/>
      <c r="G904" s="817"/>
      <c r="H904" s="817"/>
      <c r="I904" s="818"/>
      <c r="J904" s="772"/>
      <c r="K904" s="772"/>
      <c r="L904" s="772"/>
      <c r="M904" s="772"/>
      <c r="N904" s="772"/>
      <c r="O904" s="772"/>
      <c r="P904" s="772"/>
      <c r="Q904" s="772"/>
      <c r="R904" s="772"/>
      <c r="S904" s="772"/>
      <c r="T904" s="772"/>
      <c r="U904" s="772"/>
      <c r="V904" s="772"/>
      <c r="W904" s="772"/>
      <c r="X904" s="772"/>
      <c r="Y904" s="772"/>
      <c r="Z904" s="772"/>
      <c r="AA904" s="772"/>
      <c r="AB904" s="772"/>
      <c r="AC904" s="772"/>
      <c r="AD904" s="772"/>
      <c r="AE904" s="772"/>
      <c r="AF904" s="772"/>
      <c r="AG904" s="772"/>
      <c r="AH904" s="772"/>
    </row>
    <row r="905" ht="15.75" customHeight="1">
      <c r="A905" s="815"/>
      <c r="B905" s="782"/>
      <c r="C905" s="782"/>
      <c r="D905" s="782"/>
      <c r="E905" s="816"/>
      <c r="F905" s="816"/>
      <c r="G905" s="817"/>
      <c r="H905" s="817"/>
      <c r="I905" s="818"/>
      <c r="J905" s="772"/>
      <c r="K905" s="772"/>
      <c r="L905" s="772"/>
      <c r="M905" s="772"/>
      <c r="N905" s="772"/>
      <c r="O905" s="772"/>
      <c r="P905" s="772"/>
      <c r="Q905" s="772"/>
      <c r="R905" s="772"/>
      <c r="S905" s="772"/>
      <c r="T905" s="772"/>
      <c r="U905" s="772"/>
      <c r="V905" s="772"/>
      <c r="W905" s="772"/>
      <c r="X905" s="772"/>
      <c r="Y905" s="772"/>
      <c r="Z905" s="772"/>
      <c r="AA905" s="772"/>
      <c r="AB905" s="772"/>
      <c r="AC905" s="772"/>
      <c r="AD905" s="772"/>
      <c r="AE905" s="772"/>
      <c r="AF905" s="772"/>
      <c r="AG905" s="772"/>
      <c r="AH905" s="772"/>
    </row>
    <row r="906" ht="15.75" customHeight="1">
      <c r="A906" s="815"/>
      <c r="B906" s="782"/>
      <c r="C906" s="782"/>
      <c r="D906" s="782"/>
      <c r="E906" s="816"/>
      <c r="F906" s="816"/>
      <c r="G906" s="817"/>
      <c r="H906" s="817"/>
      <c r="I906" s="818"/>
      <c r="J906" s="772"/>
      <c r="K906" s="772"/>
      <c r="L906" s="772"/>
      <c r="M906" s="772"/>
      <c r="N906" s="772"/>
      <c r="O906" s="772"/>
      <c r="P906" s="772"/>
      <c r="Q906" s="772"/>
      <c r="R906" s="772"/>
      <c r="S906" s="772"/>
      <c r="T906" s="772"/>
      <c r="U906" s="772"/>
      <c r="V906" s="772"/>
      <c r="W906" s="772"/>
      <c r="X906" s="772"/>
      <c r="Y906" s="772"/>
      <c r="Z906" s="772"/>
      <c r="AA906" s="772"/>
      <c r="AB906" s="772"/>
      <c r="AC906" s="772"/>
      <c r="AD906" s="772"/>
      <c r="AE906" s="772"/>
      <c r="AF906" s="772"/>
      <c r="AG906" s="772"/>
      <c r="AH906" s="772"/>
    </row>
    <row r="907" ht="15.75" customHeight="1">
      <c r="A907" s="815"/>
      <c r="B907" s="782"/>
      <c r="C907" s="782"/>
      <c r="D907" s="782"/>
      <c r="E907" s="816"/>
      <c r="F907" s="816"/>
      <c r="G907" s="817"/>
      <c r="H907" s="817"/>
      <c r="I907" s="818"/>
      <c r="J907" s="772"/>
      <c r="K907" s="772"/>
      <c r="L907" s="772"/>
      <c r="M907" s="772"/>
      <c r="N907" s="772"/>
      <c r="O907" s="772"/>
      <c r="P907" s="772"/>
      <c r="Q907" s="772"/>
      <c r="R907" s="772"/>
      <c r="S907" s="772"/>
      <c r="T907" s="772"/>
      <c r="U907" s="772"/>
      <c r="V907" s="772"/>
      <c r="W907" s="772"/>
      <c r="X907" s="772"/>
      <c r="Y907" s="772"/>
      <c r="Z907" s="772"/>
      <c r="AA907" s="772"/>
      <c r="AB907" s="772"/>
      <c r="AC907" s="772"/>
      <c r="AD907" s="772"/>
      <c r="AE907" s="772"/>
      <c r="AF907" s="772"/>
      <c r="AG907" s="772"/>
      <c r="AH907" s="772"/>
    </row>
    <row r="908" ht="15.75" customHeight="1">
      <c r="A908" s="815"/>
      <c r="B908" s="782"/>
      <c r="C908" s="782"/>
      <c r="D908" s="782"/>
      <c r="E908" s="816"/>
      <c r="F908" s="816"/>
      <c r="G908" s="817"/>
      <c r="H908" s="817"/>
      <c r="I908" s="818"/>
      <c r="J908" s="772"/>
      <c r="K908" s="772"/>
      <c r="L908" s="772"/>
      <c r="M908" s="772"/>
      <c r="N908" s="772"/>
      <c r="O908" s="772"/>
      <c r="P908" s="772"/>
      <c r="Q908" s="772"/>
      <c r="R908" s="772"/>
      <c r="S908" s="772"/>
      <c r="T908" s="772"/>
      <c r="U908" s="772"/>
      <c r="V908" s="772"/>
      <c r="W908" s="772"/>
      <c r="X908" s="772"/>
      <c r="Y908" s="772"/>
      <c r="Z908" s="772"/>
      <c r="AA908" s="772"/>
      <c r="AB908" s="772"/>
      <c r="AC908" s="772"/>
      <c r="AD908" s="772"/>
      <c r="AE908" s="772"/>
      <c r="AF908" s="772"/>
      <c r="AG908" s="772"/>
      <c r="AH908" s="772"/>
    </row>
    <row r="909" ht="15.75" customHeight="1">
      <c r="A909" s="815"/>
      <c r="B909" s="782"/>
      <c r="C909" s="782"/>
      <c r="D909" s="782"/>
      <c r="E909" s="816"/>
      <c r="F909" s="816"/>
      <c r="G909" s="817"/>
      <c r="H909" s="817"/>
      <c r="I909" s="818"/>
      <c r="J909" s="772"/>
      <c r="K909" s="772"/>
      <c r="L909" s="772"/>
      <c r="M909" s="772"/>
      <c r="N909" s="772"/>
      <c r="O909" s="772"/>
      <c r="P909" s="772"/>
      <c r="Q909" s="772"/>
      <c r="R909" s="772"/>
      <c r="S909" s="772"/>
      <c r="T909" s="772"/>
      <c r="U909" s="772"/>
      <c r="V909" s="772"/>
      <c r="W909" s="772"/>
      <c r="X909" s="772"/>
      <c r="Y909" s="772"/>
      <c r="Z909" s="772"/>
      <c r="AA909" s="772"/>
      <c r="AB909" s="772"/>
      <c r="AC909" s="772"/>
      <c r="AD909" s="772"/>
      <c r="AE909" s="772"/>
      <c r="AF909" s="772"/>
      <c r="AG909" s="772"/>
      <c r="AH909" s="772"/>
    </row>
    <row r="910" ht="15.75" customHeight="1">
      <c r="A910" s="815"/>
      <c r="B910" s="782"/>
      <c r="C910" s="782"/>
      <c r="D910" s="782"/>
      <c r="E910" s="816"/>
      <c r="F910" s="816"/>
      <c r="G910" s="817"/>
      <c r="H910" s="817"/>
      <c r="I910" s="818"/>
      <c r="J910" s="772"/>
      <c r="K910" s="772"/>
      <c r="L910" s="772"/>
      <c r="M910" s="772"/>
      <c r="N910" s="772"/>
      <c r="O910" s="772"/>
      <c r="P910" s="772"/>
      <c r="Q910" s="772"/>
      <c r="R910" s="772"/>
      <c r="S910" s="772"/>
      <c r="T910" s="772"/>
      <c r="U910" s="772"/>
      <c r="V910" s="772"/>
      <c r="W910" s="772"/>
      <c r="X910" s="772"/>
      <c r="Y910" s="772"/>
      <c r="Z910" s="772"/>
      <c r="AA910" s="772"/>
      <c r="AB910" s="772"/>
      <c r="AC910" s="772"/>
      <c r="AD910" s="772"/>
      <c r="AE910" s="772"/>
      <c r="AF910" s="772"/>
      <c r="AG910" s="772"/>
      <c r="AH910" s="772"/>
    </row>
    <row r="911" ht="15.75" customHeight="1">
      <c r="A911" s="815"/>
      <c r="B911" s="782"/>
      <c r="C911" s="782"/>
      <c r="D911" s="782"/>
      <c r="E911" s="816"/>
      <c r="F911" s="816"/>
      <c r="G911" s="817"/>
      <c r="H911" s="817"/>
      <c r="I911" s="818"/>
      <c r="J911" s="772"/>
      <c r="K911" s="772"/>
      <c r="L911" s="772"/>
      <c r="M911" s="772"/>
      <c r="N911" s="772"/>
      <c r="O911" s="772"/>
      <c r="P911" s="772"/>
      <c r="Q911" s="772"/>
      <c r="R911" s="772"/>
      <c r="S911" s="772"/>
      <c r="T911" s="772"/>
      <c r="U911" s="772"/>
      <c r="V911" s="772"/>
      <c r="W911" s="772"/>
      <c r="X911" s="772"/>
      <c r="Y911" s="772"/>
      <c r="Z911" s="772"/>
      <c r="AA911" s="772"/>
      <c r="AB911" s="772"/>
      <c r="AC911" s="772"/>
      <c r="AD911" s="772"/>
      <c r="AE911" s="772"/>
      <c r="AF911" s="772"/>
      <c r="AG911" s="772"/>
      <c r="AH911" s="772"/>
    </row>
    <row r="912" ht="15.75" customHeight="1">
      <c r="A912" s="815"/>
      <c r="B912" s="782"/>
      <c r="C912" s="782"/>
      <c r="D912" s="782"/>
      <c r="E912" s="816"/>
      <c r="F912" s="816"/>
      <c r="G912" s="817"/>
      <c r="H912" s="817"/>
      <c r="I912" s="818"/>
      <c r="J912" s="772"/>
      <c r="K912" s="772"/>
      <c r="L912" s="772"/>
      <c r="M912" s="772"/>
      <c r="N912" s="772"/>
      <c r="O912" s="772"/>
      <c r="P912" s="772"/>
      <c r="Q912" s="772"/>
      <c r="R912" s="772"/>
      <c r="S912" s="772"/>
      <c r="T912" s="772"/>
      <c r="U912" s="772"/>
      <c r="V912" s="772"/>
      <c r="W912" s="772"/>
      <c r="X912" s="772"/>
      <c r="Y912" s="772"/>
      <c r="Z912" s="772"/>
      <c r="AA912" s="772"/>
      <c r="AB912" s="772"/>
      <c r="AC912" s="772"/>
      <c r="AD912" s="772"/>
      <c r="AE912" s="772"/>
      <c r="AF912" s="772"/>
      <c r="AG912" s="772"/>
      <c r="AH912" s="772"/>
    </row>
    <row r="913" ht="15.75" customHeight="1">
      <c r="A913" s="815"/>
      <c r="B913" s="782"/>
      <c r="C913" s="782"/>
      <c r="D913" s="782"/>
      <c r="E913" s="816"/>
      <c r="F913" s="816"/>
      <c r="G913" s="817"/>
      <c r="H913" s="817"/>
      <c r="I913" s="818"/>
      <c r="J913" s="772"/>
      <c r="K913" s="772"/>
      <c r="L913" s="772"/>
      <c r="M913" s="772"/>
      <c r="N913" s="772"/>
      <c r="O913" s="772"/>
      <c r="P913" s="772"/>
      <c r="Q913" s="772"/>
      <c r="R913" s="772"/>
      <c r="S913" s="772"/>
      <c r="T913" s="772"/>
      <c r="U913" s="772"/>
      <c r="V913" s="772"/>
      <c r="W913" s="772"/>
      <c r="X913" s="772"/>
      <c r="Y913" s="772"/>
      <c r="Z913" s="772"/>
      <c r="AA913" s="772"/>
      <c r="AB913" s="772"/>
      <c r="AC913" s="772"/>
      <c r="AD913" s="772"/>
      <c r="AE913" s="772"/>
      <c r="AF913" s="772"/>
      <c r="AG913" s="772"/>
      <c r="AH913" s="772"/>
    </row>
    <row r="914" ht="15.75" customHeight="1">
      <c r="A914" s="815"/>
      <c r="B914" s="782"/>
      <c r="C914" s="782"/>
      <c r="D914" s="782"/>
      <c r="E914" s="816"/>
      <c r="F914" s="816"/>
      <c r="G914" s="817"/>
      <c r="H914" s="817"/>
      <c r="I914" s="818"/>
      <c r="J914" s="772"/>
      <c r="K914" s="772"/>
      <c r="L914" s="772"/>
      <c r="M914" s="772"/>
      <c r="N914" s="772"/>
      <c r="O914" s="772"/>
      <c r="P914" s="772"/>
      <c r="Q914" s="772"/>
      <c r="R914" s="772"/>
      <c r="S914" s="772"/>
      <c r="T914" s="772"/>
      <c r="U914" s="772"/>
      <c r="V914" s="772"/>
      <c r="W914" s="772"/>
      <c r="X914" s="772"/>
      <c r="Y914" s="772"/>
      <c r="Z914" s="772"/>
      <c r="AA914" s="772"/>
      <c r="AB914" s="772"/>
      <c r="AC914" s="772"/>
      <c r="AD914" s="772"/>
      <c r="AE914" s="772"/>
      <c r="AF914" s="772"/>
      <c r="AG914" s="772"/>
      <c r="AH914" s="772"/>
    </row>
    <row r="915" ht="15.75" customHeight="1">
      <c r="A915" s="815"/>
      <c r="B915" s="782"/>
      <c r="C915" s="782"/>
      <c r="D915" s="782"/>
      <c r="E915" s="816"/>
      <c r="F915" s="816"/>
      <c r="G915" s="817"/>
      <c r="H915" s="817"/>
      <c r="I915" s="818"/>
      <c r="J915" s="772"/>
      <c r="K915" s="772"/>
      <c r="L915" s="772"/>
      <c r="M915" s="772"/>
      <c r="N915" s="772"/>
      <c r="O915" s="772"/>
      <c r="P915" s="772"/>
      <c r="Q915" s="772"/>
      <c r="R915" s="772"/>
      <c r="S915" s="772"/>
      <c r="T915" s="772"/>
      <c r="U915" s="772"/>
      <c r="V915" s="772"/>
      <c r="W915" s="772"/>
      <c r="X915" s="772"/>
      <c r="Y915" s="772"/>
      <c r="Z915" s="772"/>
      <c r="AA915" s="772"/>
      <c r="AB915" s="772"/>
      <c r="AC915" s="772"/>
      <c r="AD915" s="772"/>
      <c r="AE915" s="772"/>
      <c r="AF915" s="772"/>
      <c r="AG915" s="772"/>
      <c r="AH915" s="772"/>
    </row>
    <row r="916" ht="15.75" customHeight="1">
      <c r="A916" s="815"/>
      <c r="B916" s="782"/>
      <c r="C916" s="782"/>
      <c r="D916" s="782"/>
      <c r="E916" s="816"/>
      <c r="F916" s="816"/>
      <c r="G916" s="817"/>
      <c r="H916" s="817"/>
      <c r="I916" s="818"/>
      <c r="J916" s="772"/>
      <c r="K916" s="772"/>
      <c r="L916" s="772"/>
      <c r="M916" s="772"/>
      <c r="N916" s="772"/>
      <c r="O916" s="772"/>
      <c r="P916" s="772"/>
      <c r="Q916" s="772"/>
      <c r="R916" s="772"/>
      <c r="S916" s="772"/>
      <c r="T916" s="772"/>
      <c r="U916" s="772"/>
      <c r="V916" s="772"/>
      <c r="W916" s="772"/>
      <c r="X916" s="772"/>
      <c r="Y916" s="772"/>
      <c r="Z916" s="772"/>
      <c r="AA916" s="772"/>
      <c r="AB916" s="772"/>
      <c r="AC916" s="772"/>
      <c r="AD916" s="772"/>
      <c r="AE916" s="772"/>
      <c r="AF916" s="772"/>
      <c r="AG916" s="772"/>
      <c r="AH916" s="772"/>
    </row>
    <row r="917" ht="15.75" customHeight="1">
      <c r="A917" s="815"/>
      <c r="B917" s="782"/>
      <c r="C917" s="782"/>
      <c r="D917" s="782"/>
      <c r="E917" s="816"/>
      <c r="F917" s="816"/>
      <c r="G917" s="817"/>
      <c r="H917" s="817"/>
      <c r="I917" s="818"/>
      <c r="J917" s="772"/>
      <c r="K917" s="772"/>
      <c r="L917" s="772"/>
      <c r="M917" s="772"/>
      <c r="N917" s="772"/>
      <c r="O917" s="772"/>
      <c r="P917" s="772"/>
      <c r="Q917" s="772"/>
      <c r="R917" s="772"/>
      <c r="S917" s="772"/>
      <c r="T917" s="772"/>
      <c r="U917" s="772"/>
      <c r="V917" s="772"/>
      <c r="W917" s="772"/>
      <c r="X917" s="772"/>
      <c r="Y917" s="772"/>
      <c r="Z917" s="772"/>
      <c r="AA917" s="772"/>
      <c r="AB917" s="772"/>
      <c r="AC917" s="772"/>
      <c r="AD917" s="772"/>
      <c r="AE917" s="772"/>
      <c r="AF917" s="772"/>
      <c r="AG917" s="772"/>
      <c r="AH917" s="772"/>
    </row>
    <row r="918" ht="15.75" customHeight="1">
      <c r="A918" s="815"/>
      <c r="B918" s="782"/>
      <c r="C918" s="782"/>
      <c r="D918" s="782"/>
      <c r="E918" s="816"/>
      <c r="F918" s="816"/>
      <c r="G918" s="817"/>
      <c r="H918" s="817"/>
      <c r="I918" s="818"/>
      <c r="J918" s="772"/>
      <c r="K918" s="772"/>
      <c r="L918" s="772"/>
      <c r="M918" s="772"/>
      <c r="N918" s="772"/>
      <c r="O918" s="772"/>
      <c r="P918" s="772"/>
      <c r="Q918" s="772"/>
      <c r="R918" s="772"/>
      <c r="S918" s="772"/>
      <c r="T918" s="772"/>
      <c r="U918" s="772"/>
      <c r="V918" s="772"/>
      <c r="W918" s="772"/>
      <c r="X918" s="772"/>
      <c r="Y918" s="772"/>
      <c r="Z918" s="772"/>
      <c r="AA918" s="772"/>
      <c r="AB918" s="772"/>
      <c r="AC918" s="772"/>
      <c r="AD918" s="772"/>
      <c r="AE918" s="772"/>
      <c r="AF918" s="772"/>
      <c r="AG918" s="772"/>
      <c r="AH918" s="772"/>
    </row>
    <row r="919" ht="15.75" customHeight="1">
      <c r="A919" s="815"/>
      <c r="B919" s="782"/>
      <c r="C919" s="782"/>
      <c r="D919" s="782"/>
      <c r="E919" s="816"/>
      <c r="F919" s="816"/>
      <c r="G919" s="817"/>
      <c r="H919" s="817"/>
      <c r="I919" s="818"/>
      <c r="J919" s="772"/>
      <c r="K919" s="772"/>
      <c r="L919" s="772"/>
      <c r="M919" s="772"/>
      <c r="N919" s="772"/>
      <c r="O919" s="772"/>
      <c r="P919" s="772"/>
      <c r="Q919" s="772"/>
      <c r="R919" s="772"/>
      <c r="S919" s="772"/>
      <c r="T919" s="772"/>
      <c r="U919" s="772"/>
      <c r="V919" s="772"/>
      <c r="W919" s="772"/>
      <c r="X919" s="772"/>
      <c r="Y919" s="772"/>
      <c r="Z919" s="772"/>
      <c r="AA919" s="772"/>
      <c r="AB919" s="772"/>
      <c r="AC919" s="772"/>
      <c r="AD919" s="772"/>
      <c r="AE919" s="772"/>
      <c r="AF919" s="772"/>
      <c r="AG919" s="772"/>
      <c r="AH919" s="772"/>
    </row>
    <row r="920" ht="15.75" customHeight="1">
      <c r="A920" s="815"/>
      <c r="B920" s="782"/>
      <c r="C920" s="782"/>
      <c r="D920" s="782"/>
      <c r="E920" s="816"/>
      <c r="F920" s="816"/>
      <c r="G920" s="817"/>
      <c r="H920" s="817"/>
      <c r="I920" s="818"/>
      <c r="J920" s="772"/>
      <c r="K920" s="772"/>
      <c r="L920" s="772"/>
      <c r="M920" s="772"/>
      <c r="N920" s="772"/>
      <c r="O920" s="772"/>
      <c r="P920" s="772"/>
      <c r="Q920" s="772"/>
      <c r="R920" s="772"/>
      <c r="S920" s="772"/>
      <c r="T920" s="772"/>
      <c r="U920" s="772"/>
      <c r="V920" s="772"/>
      <c r="W920" s="772"/>
      <c r="X920" s="772"/>
      <c r="Y920" s="772"/>
      <c r="Z920" s="772"/>
      <c r="AA920" s="772"/>
      <c r="AB920" s="772"/>
      <c r="AC920" s="772"/>
      <c r="AD920" s="772"/>
      <c r="AE920" s="772"/>
      <c r="AF920" s="772"/>
      <c r="AG920" s="772"/>
      <c r="AH920" s="772"/>
    </row>
    <row r="921" ht="15.75" customHeight="1">
      <c r="A921" s="815"/>
      <c r="B921" s="782"/>
      <c r="C921" s="782"/>
      <c r="D921" s="782"/>
      <c r="E921" s="816"/>
      <c r="F921" s="816"/>
      <c r="G921" s="817"/>
      <c r="H921" s="817"/>
      <c r="I921" s="818"/>
      <c r="J921" s="772"/>
      <c r="K921" s="772"/>
      <c r="L921" s="772"/>
      <c r="M921" s="772"/>
      <c r="N921" s="772"/>
      <c r="O921" s="772"/>
      <c r="P921" s="772"/>
      <c r="Q921" s="772"/>
      <c r="R921" s="772"/>
      <c r="S921" s="772"/>
      <c r="T921" s="772"/>
      <c r="U921" s="772"/>
      <c r="V921" s="772"/>
      <c r="W921" s="772"/>
      <c r="X921" s="772"/>
      <c r="Y921" s="772"/>
      <c r="Z921" s="772"/>
      <c r="AA921" s="772"/>
      <c r="AB921" s="772"/>
      <c r="AC921" s="772"/>
      <c r="AD921" s="772"/>
      <c r="AE921" s="772"/>
      <c r="AF921" s="772"/>
      <c r="AG921" s="772"/>
      <c r="AH921" s="772"/>
    </row>
    <row r="922" ht="15.75" customHeight="1">
      <c r="A922" s="815"/>
      <c r="B922" s="782"/>
      <c r="C922" s="782"/>
      <c r="D922" s="782"/>
      <c r="E922" s="816"/>
      <c r="F922" s="816"/>
      <c r="G922" s="817"/>
      <c r="H922" s="817"/>
      <c r="I922" s="818"/>
      <c r="J922" s="772"/>
      <c r="K922" s="772"/>
      <c r="L922" s="772"/>
      <c r="M922" s="772"/>
      <c r="N922" s="772"/>
      <c r="O922" s="772"/>
      <c r="P922" s="772"/>
      <c r="Q922" s="772"/>
      <c r="R922" s="772"/>
      <c r="S922" s="772"/>
      <c r="T922" s="772"/>
      <c r="U922" s="772"/>
      <c r="V922" s="772"/>
      <c r="W922" s="772"/>
      <c r="X922" s="772"/>
      <c r="Y922" s="772"/>
      <c r="Z922" s="772"/>
      <c r="AA922" s="772"/>
      <c r="AB922" s="772"/>
      <c r="AC922" s="772"/>
      <c r="AD922" s="772"/>
      <c r="AE922" s="772"/>
      <c r="AF922" s="772"/>
      <c r="AG922" s="772"/>
      <c r="AH922" s="772"/>
    </row>
    <row r="923" ht="15.75" customHeight="1">
      <c r="A923" s="815"/>
      <c r="B923" s="782"/>
      <c r="C923" s="782"/>
      <c r="D923" s="782"/>
      <c r="E923" s="816"/>
      <c r="F923" s="816"/>
      <c r="G923" s="817"/>
      <c r="H923" s="817"/>
      <c r="I923" s="818"/>
      <c r="J923" s="772"/>
      <c r="K923" s="772"/>
      <c r="L923" s="772"/>
      <c r="M923" s="772"/>
      <c r="N923" s="772"/>
      <c r="O923" s="772"/>
      <c r="P923" s="772"/>
      <c r="Q923" s="772"/>
      <c r="R923" s="772"/>
      <c r="S923" s="772"/>
      <c r="T923" s="772"/>
      <c r="U923" s="772"/>
      <c r="V923" s="772"/>
      <c r="W923" s="772"/>
      <c r="X923" s="772"/>
      <c r="Y923" s="772"/>
      <c r="Z923" s="772"/>
      <c r="AA923" s="772"/>
      <c r="AB923" s="772"/>
      <c r="AC923" s="772"/>
      <c r="AD923" s="772"/>
      <c r="AE923" s="772"/>
      <c r="AF923" s="772"/>
      <c r="AG923" s="772"/>
      <c r="AH923" s="772"/>
    </row>
    <row r="924" ht="15.75" customHeight="1">
      <c r="A924" s="815"/>
      <c r="B924" s="782"/>
      <c r="C924" s="782"/>
      <c r="D924" s="782"/>
      <c r="E924" s="816"/>
      <c r="F924" s="816"/>
      <c r="G924" s="817"/>
      <c r="H924" s="817"/>
      <c r="I924" s="818"/>
      <c r="J924" s="772"/>
      <c r="K924" s="772"/>
      <c r="L924" s="772"/>
      <c r="M924" s="772"/>
      <c r="N924" s="772"/>
      <c r="O924" s="772"/>
      <c r="P924" s="772"/>
      <c r="Q924" s="772"/>
      <c r="R924" s="772"/>
      <c r="S924" s="772"/>
      <c r="T924" s="772"/>
      <c r="U924" s="772"/>
      <c r="V924" s="772"/>
      <c r="W924" s="772"/>
      <c r="X924" s="772"/>
      <c r="Y924" s="772"/>
      <c r="Z924" s="772"/>
      <c r="AA924" s="772"/>
      <c r="AB924" s="772"/>
      <c r="AC924" s="772"/>
      <c r="AD924" s="772"/>
      <c r="AE924" s="772"/>
      <c r="AF924" s="772"/>
      <c r="AG924" s="772"/>
      <c r="AH924" s="772"/>
    </row>
    <row r="925" ht="15.75" customHeight="1">
      <c r="A925" s="815"/>
      <c r="B925" s="782"/>
      <c r="C925" s="782"/>
      <c r="D925" s="782"/>
      <c r="E925" s="816"/>
      <c r="F925" s="816"/>
      <c r="G925" s="817"/>
      <c r="H925" s="817"/>
      <c r="I925" s="818"/>
      <c r="J925" s="772"/>
      <c r="K925" s="772"/>
      <c r="L925" s="772"/>
      <c r="M925" s="772"/>
      <c r="N925" s="772"/>
      <c r="O925" s="772"/>
      <c r="P925" s="772"/>
      <c r="Q925" s="772"/>
      <c r="R925" s="772"/>
      <c r="S925" s="772"/>
      <c r="T925" s="772"/>
      <c r="U925" s="772"/>
      <c r="V925" s="772"/>
      <c r="W925" s="772"/>
      <c r="X925" s="772"/>
      <c r="Y925" s="772"/>
      <c r="Z925" s="772"/>
      <c r="AA925" s="772"/>
      <c r="AB925" s="772"/>
      <c r="AC925" s="772"/>
      <c r="AD925" s="772"/>
      <c r="AE925" s="772"/>
      <c r="AF925" s="772"/>
      <c r="AG925" s="772"/>
      <c r="AH925" s="772"/>
    </row>
    <row r="926" ht="15.75" customHeight="1">
      <c r="A926" s="815"/>
      <c r="B926" s="782"/>
      <c r="C926" s="782"/>
      <c r="D926" s="782"/>
      <c r="E926" s="816"/>
      <c r="F926" s="816"/>
      <c r="G926" s="817"/>
      <c r="H926" s="817"/>
      <c r="I926" s="818"/>
      <c r="J926" s="772"/>
      <c r="K926" s="772"/>
      <c r="L926" s="772"/>
      <c r="M926" s="772"/>
      <c r="N926" s="772"/>
      <c r="O926" s="772"/>
      <c r="P926" s="772"/>
      <c r="Q926" s="772"/>
      <c r="R926" s="772"/>
      <c r="S926" s="772"/>
      <c r="T926" s="772"/>
      <c r="U926" s="772"/>
      <c r="V926" s="772"/>
      <c r="W926" s="772"/>
      <c r="X926" s="772"/>
      <c r="Y926" s="772"/>
      <c r="Z926" s="772"/>
      <c r="AA926" s="772"/>
      <c r="AB926" s="772"/>
      <c r="AC926" s="772"/>
      <c r="AD926" s="772"/>
      <c r="AE926" s="772"/>
      <c r="AF926" s="772"/>
      <c r="AG926" s="772"/>
      <c r="AH926" s="772"/>
    </row>
    <row r="927" ht="15.75" customHeight="1">
      <c r="A927" s="815"/>
      <c r="B927" s="782"/>
      <c r="C927" s="782"/>
      <c r="D927" s="782"/>
      <c r="E927" s="816"/>
      <c r="F927" s="816"/>
      <c r="G927" s="817"/>
      <c r="H927" s="817"/>
      <c r="I927" s="818"/>
      <c r="J927" s="772"/>
      <c r="K927" s="772"/>
      <c r="L927" s="772"/>
      <c r="M927" s="772"/>
      <c r="N927" s="772"/>
      <c r="O927" s="772"/>
      <c r="P927" s="772"/>
      <c r="Q927" s="772"/>
      <c r="R927" s="772"/>
      <c r="S927" s="772"/>
      <c r="T927" s="772"/>
      <c r="U927" s="772"/>
      <c r="V927" s="772"/>
      <c r="W927" s="772"/>
      <c r="X927" s="772"/>
      <c r="Y927" s="772"/>
      <c r="Z927" s="772"/>
      <c r="AA927" s="772"/>
      <c r="AB927" s="772"/>
      <c r="AC927" s="772"/>
      <c r="AD927" s="772"/>
      <c r="AE927" s="772"/>
      <c r="AF927" s="772"/>
      <c r="AG927" s="772"/>
      <c r="AH927" s="772"/>
    </row>
    <row r="928" ht="15.75" customHeight="1">
      <c r="A928" s="815"/>
      <c r="B928" s="782"/>
      <c r="C928" s="782"/>
      <c r="D928" s="782"/>
      <c r="E928" s="816"/>
      <c r="F928" s="816"/>
      <c r="G928" s="817"/>
      <c r="H928" s="817"/>
      <c r="I928" s="818"/>
      <c r="J928" s="772"/>
      <c r="K928" s="772"/>
      <c r="L928" s="772"/>
      <c r="M928" s="772"/>
      <c r="N928" s="772"/>
      <c r="O928" s="772"/>
      <c r="P928" s="772"/>
      <c r="Q928" s="772"/>
      <c r="R928" s="772"/>
      <c r="S928" s="772"/>
      <c r="T928" s="772"/>
      <c r="U928" s="772"/>
      <c r="V928" s="772"/>
      <c r="W928" s="772"/>
      <c r="X928" s="772"/>
      <c r="Y928" s="772"/>
      <c r="Z928" s="772"/>
      <c r="AA928" s="772"/>
      <c r="AB928" s="772"/>
      <c r="AC928" s="772"/>
      <c r="AD928" s="772"/>
      <c r="AE928" s="772"/>
      <c r="AF928" s="772"/>
      <c r="AG928" s="772"/>
      <c r="AH928" s="772"/>
    </row>
    <row r="929" ht="15.75" customHeight="1">
      <c r="A929" s="815"/>
      <c r="B929" s="782"/>
      <c r="C929" s="782"/>
      <c r="D929" s="782"/>
      <c r="E929" s="816"/>
      <c r="F929" s="816"/>
      <c r="G929" s="817"/>
      <c r="H929" s="817"/>
      <c r="I929" s="818"/>
      <c r="J929" s="772"/>
      <c r="K929" s="772"/>
      <c r="L929" s="772"/>
      <c r="M929" s="772"/>
      <c r="N929" s="772"/>
      <c r="O929" s="772"/>
      <c r="P929" s="772"/>
      <c r="Q929" s="772"/>
      <c r="R929" s="772"/>
      <c r="S929" s="772"/>
      <c r="T929" s="772"/>
      <c r="U929" s="772"/>
      <c r="V929" s="772"/>
      <c r="W929" s="772"/>
      <c r="X929" s="772"/>
      <c r="Y929" s="772"/>
      <c r="Z929" s="772"/>
      <c r="AA929" s="772"/>
      <c r="AB929" s="772"/>
      <c r="AC929" s="772"/>
      <c r="AD929" s="772"/>
      <c r="AE929" s="772"/>
      <c r="AF929" s="772"/>
      <c r="AG929" s="772"/>
      <c r="AH929" s="772"/>
    </row>
    <row r="930" ht="15.75" customHeight="1">
      <c r="A930" s="815"/>
      <c r="B930" s="782"/>
      <c r="C930" s="782"/>
      <c r="D930" s="782"/>
      <c r="E930" s="816"/>
      <c r="F930" s="816"/>
      <c r="G930" s="817"/>
      <c r="H930" s="817"/>
      <c r="I930" s="818"/>
      <c r="J930" s="772"/>
      <c r="K930" s="772"/>
      <c r="L930" s="772"/>
      <c r="M930" s="772"/>
      <c r="N930" s="772"/>
      <c r="O930" s="772"/>
      <c r="P930" s="772"/>
      <c r="Q930" s="772"/>
      <c r="R930" s="772"/>
      <c r="S930" s="772"/>
      <c r="T930" s="772"/>
      <c r="U930" s="772"/>
      <c r="V930" s="772"/>
      <c r="W930" s="772"/>
      <c r="X930" s="772"/>
      <c r="Y930" s="772"/>
      <c r="Z930" s="772"/>
      <c r="AA930" s="772"/>
      <c r="AB930" s="772"/>
      <c r="AC930" s="772"/>
      <c r="AD930" s="772"/>
      <c r="AE930" s="772"/>
      <c r="AF930" s="772"/>
      <c r="AG930" s="772"/>
      <c r="AH930" s="772"/>
    </row>
    <row r="931" ht="15.75" customHeight="1">
      <c r="A931" s="815"/>
      <c r="B931" s="782"/>
      <c r="C931" s="782"/>
      <c r="D931" s="782"/>
      <c r="E931" s="816"/>
      <c r="F931" s="816"/>
      <c r="G931" s="817"/>
      <c r="H931" s="817"/>
      <c r="I931" s="818"/>
      <c r="J931" s="772"/>
      <c r="K931" s="772"/>
      <c r="L931" s="772"/>
      <c r="M931" s="772"/>
      <c r="N931" s="772"/>
      <c r="O931" s="772"/>
      <c r="P931" s="772"/>
      <c r="Q931" s="772"/>
      <c r="R931" s="772"/>
      <c r="S931" s="772"/>
      <c r="T931" s="772"/>
      <c r="U931" s="772"/>
      <c r="V931" s="772"/>
      <c r="W931" s="772"/>
      <c r="X931" s="772"/>
      <c r="Y931" s="772"/>
      <c r="Z931" s="772"/>
      <c r="AA931" s="772"/>
      <c r="AB931" s="772"/>
      <c r="AC931" s="772"/>
      <c r="AD931" s="772"/>
      <c r="AE931" s="772"/>
      <c r="AF931" s="772"/>
      <c r="AG931" s="772"/>
      <c r="AH931" s="772"/>
    </row>
    <row r="932" ht="15.75" customHeight="1">
      <c r="A932" s="815"/>
      <c r="B932" s="782"/>
      <c r="C932" s="782"/>
      <c r="D932" s="782"/>
      <c r="E932" s="816"/>
      <c r="F932" s="816"/>
      <c r="G932" s="817"/>
      <c r="H932" s="817"/>
      <c r="I932" s="818"/>
      <c r="J932" s="772"/>
      <c r="K932" s="772"/>
      <c r="L932" s="772"/>
      <c r="M932" s="772"/>
      <c r="N932" s="772"/>
      <c r="O932" s="772"/>
      <c r="P932" s="772"/>
      <c r="Q932" s="772"/>
      <c r="R932" s="772"/>
      <c r="S932" s="772"/>
      <c r="T932" s="772"/>
      <c r="U932" s="772"/>
      <c r="V932" s="772"/>
      <c r="W932" s="772"/>
      <c r="X932" s="772"/>
      <c r="Y932" s="772"/>
      <c r="Z932" s="772"/>
      <c r="AA932" s="772"/>
      <c r="AB932" s="772"/>
      <c r="AC932" s="772"/>
      <c r="AD932" s="772"/>
      <c r="AE932" s="772"/>
      <c r="AF932" s="772"/>
      <c r="AG932" s="772"/>
      <c r="AH932" s="772"/>
    </row>
    <row r="933" ht="15.75" customHeight="1">
      <c r="A933" s="815"/>
      <c r="B933" s="782"/>
      <c r="C933" s="782"/>
      <c r="D933" s="782"/>
      <c r="E933" s="816"/>
      <c r="F933" s="816"/>
      <c r="G933" s="817"/>
      <c r="H933" s="817"/>
      <c r="I933" s="818"/>
      <c r="J933" s="772"/>
      <c r="K933" s="772"/>
      <c r="L933" s="772"/>
      <c r="M933" s="772"/>
      <c r="N933" s="772"/>
      <c r="O933" s="772"/>
      <c r="P933" s="772"/>
      <c r="Q933" s="772"/>
      <c r="R933" s="772"/>
      <c r="S933" s="772"/>
      <c r="T933" s="772"/>
      <c r="U933" s="772"/>
      <c r="V933" s="772"/>
      <c r="W933" s="772"/>
      <c r="X933" s="772"/>
      <c r="Y933" s="772"/>
      <c r="Z933" s="772"/>
      <c r="AA933" s="772"/>
      <c r="AB933" s="772"/>
      <c r="AC933" s="772"/>
      <c r="AD933" s="772"/>
      <c r="AE933" s="772"/>
      <c r="AF933" s="772"/>
      <c r="AG933" s="772"/>
      <c r="AH933" s="772"/>
    </row>
    <row r="934" ht="15.75" customHeight="1">
      <c r="A934" s="815"/>
      <c r="B934" s="782"/>
      <c r="C934" s="782"/>
      <c r="D934" s="782"/>
      <c r="E934" s="816"/>
      <c r="F934" s="816"/>
      <c r="G934" s="817"/>
      <c r="H934" s="817"/>
      <c r="I934" s="818"/>
      <c r="J934" s="772"/>
      <c r="K934" s="772"/>
      <c r="L934" s="772"/>
      <c r="M934" s="772"/>
      <c r="N934" s="772"/>
      <c r="O934" s="772"/>
      <c r="P934" s="772"/>
      <c r="Q934" s="772"/>
      <c r="R934" s="772"/>
      <c r="S934" s="772"/>
      <c r="T934" s="772"/>
      <c r="U934" s="772"/>
      <c r="V934" s="772"/>
      <c r="W934" s="772"/>
      <c r="X934" s="772"/>
      <c r="Y934" s="772"/>
      <c r="Z934" s="772"/>
      <c r="AA934" s="772"/>
      <c r="AB934" s="772"/>
      <c r="AC934" s="772"/>
      <c r="AD934" s="772"/>
      <c r="AE934" s="772"/>
      <c r="AF934" s="772"/>
      <c r="AG934" s="772"/>
      <c r="AH934" s="772"/>
    </row>
    <row r="935" ht="15.75" customHeight="1">
      <c r="A935" s="815"/>
      <c r="B935" s="782"/>
      <c r="C935" s="782"/>
      <c r="D935" s="782"/>
      <c r="E935" s="816"/>
      <c r="F935" s="816"/>
      <c r="G935" s="817"/>
      <c r="H935" s="817"/>
      <c r="I935" s="818"/>
      <c r="J935" s="772"/>
      <c r="K935" s="772"/>
      <c r="L935" s="772"/>
      <c r="M935" s="772"/>
      <c r="N935" s="772"/>
      <c r="O935" s="772"/>
      <c r="P935" s="772"/>
      <c r="Q935" s="772"/>
      <c r="R935" s="772"/>
      <c r="S935" s="772"/>
      <c r="T935" s="772"/>
      <c r="U935" s="772"/>
      <c r="V935" s="772"/>
      <c r="W935" s="772"/>
      <c r="X935" s="772"/>
      <c r="Y935" s="772"/>
      <c r="Z935" s="772"/>
      <c r="AA935" s="772"/>
      <c r="AB935" s="772"/>
      <c r="AC935" s="772"/>
      <c r="AD935" s="772"/>
      <c r="AE935" s="772"/>
      <c r="AF935" s="772"/>
      <c r="AG935" s="772"/>
      <c r="AH935" s="772"/>
    </row>
    <row r="936" ht="15.75" customHeight="1">
      <c r="A936" s="815"/>
      <c r="B936" s="782"/>
      <c r="C936" s="782"/>
      <c r="D936" s="782"/>
      <c r="E936" s="816"/>
      <c r="F936" s="816"/>
      <c r="G936" s="817"/>
      <c r="H936" s="817"/>
      <c r="I936" s="818"/>
      <c r="J936" s="772"/>
      <c r="K936" s="772"/>
      <c r="L936" s="772"/>
      <c r="M936" s="772"/>
      <c r="N936" s="772"/>
      <c r="O936" s="772"/>
      <c r="P936" s="772"/>
      <c r="Q936" s="772"/>
      <c r="R936" s="772"/>
      <c r="S936" s="772"/>
      <c r="T936" s="772"/>
      <c r="U936" s="772"/>
      <c r="V936" s="772"/>
      <c r="W936" s="772"/>
      <c r="X936" s="772"/>
      <c r="Y936" s="772"/>
      <c r="Z936" s="772"/>
      <c r="AA936" s="772"/>
      <c r="AB936" s="772"/>
      <c r="AC936" s="772"/>
      <c r="AD936" s="772"/>
      <c r="AE936" s="772"/>
      <c r="AF936" s="772"/>
      <c r="AG936" s="772"/>
      <c r="AH936" s="772"/>
    </row>
    <row r="937" ht="15.75" customHeight="1">
      <c r="A937" s="815"/>
      <c r="B937" s="782"/>
      <c r="C937" s="782"/>
      <c r="D937" s="782"/>
      <c r="E937" s="816"/>
      <c r="F937" s="816"/>
      <c r="G937" s="817"/>
      <c r="H937" s="817"/>
      <c r="I937" s="818"/>
      <c r="J937" s="772"/>
      <c r="K937" s="772"/>
      <c r="L937" s="772"/>
      <c r="M937" s="772"/>
      <c r="N937" s="772"/>
      <c r="O937" s="772"/>
      <c r="P937" s="772"/>
      <c r="Q937" s="772"/>
      <c r="R937" s="772"/>
      <c r="S937" s="772"/>
      <c r="T937" s="772"/>
      <c r="U937" s="772"/>
      <c r="V937" s="772"/>
      <c r="W937" s="772"/>
      <c r="X937" s="772"/>
      <c r="Y937" s="772"/>
      <c r="Z937" s="772"/>
      <c r="AA937" s="772"/>
      <c r="AB937" s="772"/>
      <c r="AC937" s="772"/>
      <c r="AD937" s="772"/>
      <c r="AE937" s="772"/>
      <c r="AF937" s="772"/>
      <c r="AG937" s="772"/>
      <c r="AH937" s="772"/>
    </row>
    <row r="938" ht="15.75" customHeight="1">
      <c r="A938" s="815"/>
      <c r="B938" s="782"/>
      <c r="C938" s="782"/>
      <c r="D938" s="782"/>
      <c r="E938" s="816"/>
      <c r="F938" s="816"/>
      <c r="G938" s="817"/>
      <c r="H938" s="817"/>
      <c r="I938" s="818"/>
      <c r="J938" s="772"/>
      <c r="K938" s="772"/>
      <c r="L938" s="772"/>
      <c r="M938" s="772"/>
      <c r="N938" s="772"/>
      <c r="O938" s="772"/>
      <c r="P938" s="772"/>
      <c r="Q938" s="772"/>
      <c r="R938" s="772"/>
      <c r="S938" s="772"/>
      <c r="T938" s="772"/>
      <c r="U938" s="772"/>
      <c r="V938" s="772"/>
      <c r="W938" s="772"/>
      <c r="X938" s="772"/>
      <c r="Y938" s="772"/>
      <c r="Z938" s="772"/>
      <c r="AA938" s="772"/>
      <c r="AB938" s="772"/>
      <c r="AC938" s="772"/>
      <c r="AD938" s="772"/>
      <c r="AE938" s="772"/>
      <c r="AF938" s="772"/>
      <c r="AG938" s="772"/>
      <c r="AH938" s="772"/>
    </row>
    <row r="939" ht="15.75" customHeight="1">
      <c r="A939" s="815"/>
      <c r="B939" s="782"/>
      <c r="C939" s="782"/>
      <c r="D939" s="782"/>
      <c r="E939" s="816"/>
      <c r="F939" s="816"/>
      <c r="G939" s="817"/>
      <c r="H939" s="817"/>
      <c r="I939" s="818"/>
      <c r="J939" s="772"/>
      <c r="K939" s="772"/>
      <c r="L939" s="772"/>
      <c r="M939" s="772"/>
      <c r="N939" s="772"/>
      <c r="O939" s="772"/>
      <c r="P939" s="772"/>
      <c r="Q939" s="772"/>
      <c r="R939" s="772"/>
      <c r="S939" s="772"/>
      <c r="T939" s="772"/>
      <c r="U939" s="772"/>
      <c r="V939" s="772"/>
      <c r="W939" s="772"/>
      <c r="X939" s="772"/>
      <c r="Y939" s="772"/>
      <c r="Z939" s="772"/>
      <c r="AA939" s="772"/>
      <c r="AB939" s="772"/>
      <c r="AC939" s="772"/>
      <c r="AD939" s="772"/>
      <c r="AE939" s="772"/>
      <c r="AF939" s="772"/>
      <c r="AG939" s="772"/>
      <c r="AH939" s="772"/>
    </row>
    <row r="940" ht="15.75" customHeight="1">
      <c r="A940" s="815"/>
      <c r="B940" s="782"/>
      <c r="C940" s="782"/>
      <c r="D940" s="782"/>
      <c r="E940" s="816"/>
      <c r="F940" s="816"/>
      <c r="G940" s="817"/>
      <c r="H940" s="817"/>
      <c r="I940" s="818"/>
      <c r="J940" s="772"/>
      <c r="K940" s="772"/>
      <c r="L940" s="772"/>
      <c r="M940" s="772"/>
      <c r="N940" s="772"/>
      <c r="O940" s="772"/>
      <c r="P940" s="772"/>
      <c r="Q940" s="772"/>
      <c r="R940" s="772"/>
      <c r="S940" s="772"/>
      <c r="T940" s="772"/>
      <c r="U940" s="772"/>
      <c r="V940" s="772"/>
      <c r="W940" s="772"/>
      <c r="X940" s="772"/>
      <c r="Y940" s="772"/>
      <c r="Z940" s="772"/>
      <c r="AA940" s="772"/>
      <c r="AB940" s="772"/>
      <c r="AC940" s="772"/>
      <c r="AD940" s="772"/>
      <c r="AE940" s="772"/>
      <c r="AF940" s="772"/>
      <c r="AG940" s="772"/>
      <c r="AH940" s="772"/>
    </row>
    <row r="941" ht="15.75" customHeight="1">
      <c r="A941" s="815"/>
      <c r="B941" s="782"/>
      <c r="C941" s="782"/>
      <c r="D941" s="782"/>
      <c r="E941" s="816"/>
      <c r="F941" s="816"/>
      <c r="G941" s="817"/>
      <c r="H941" s="817"/>
      <c r="I941" s="818"/>
      <c r="J941" s="772"/>
      <c r="K941" s="772"/>
      <c r="L941" s="772"/>
      <c r="M941" s="772"/>
      <c r="N941" s="772"/>
      <c r="O941" s="772"/>
      <c r="P941" s="772"/>
      <c r="Q941" s="772"/>
      <c r="R941" s="772"/>
      <c r="S941" s="772"/>
      <c r="T941" s="772"/>
      <c r="U941" s="772"/>
      <c r="V941" s="772"/>
      <c r="W941" s="772"/>
      <c r="X941" s="772"/>
      <c r="Y941" s="772"/>
      <c r="Z941" s="772"/>
      <c r="AA941" s="772"/>
      <c r="AB941" s="772"/>
      <c r="AC941" s="772"/>
      <c r="AD941" s="772"/>
      <c r="AE941" s="772"/>
      <c r="AF941" s="772"/>
      <c r="AG941" s="772"/>
      <c r="AH941" s="772"/>
    </row>
    <row r="942" ht="15.75" customHeight="1">
      <c r="A942" s="815"/>
      <c r="B942" s="782"/>
      <c r="C942" s="782"/>
      <c r="D942" s="782"/>
      <c r="E942" s="816"/>
      <c r="F942" s="816"/>
      <c r="G942" s="817"/>
      <c r="H942" s="817"/>
      <c r="I942" s="818"/>
      <c r="J942" s="772"/>
      <c r="K942" s="772"/>
      <c r="L942" s="772"/>
      <c r="M942" s="772"/>
      <c r="N942" s="772"/>
      <c r="O942" s="772"/>
      <c r="P942" s="772"/>
      <c r="Q942" s="772"/>
      <c r="R942" s="772"/>
      <c r="S942" s="772"/>
      <c r="T942" s="772"/>
      <c r="U942" s="772"/>
      <c r="V942" s="772"/>
      <c r="W942" s="772"/>
      <c r="X942" s="772"/>
      <c r="Y942" s="772"/>
      <c r="Z942" s="772"/>
      <c r="AA942" s="772"/>
      <c r="AB942" s="772"/>
      <c r="AC942" s="772"/>
      <c r="AD942" s="772"/>
      <c r="AE942" s="772"/>
      <c r="AF942" s="772"/>
      <c r="AG942" s="772"/>
      <c r="AH942" s="772"/>
    </row>
    <row r="943" ht="15.75" customHeight="1">
      <c r="A943" s="815"/>
      <c r="B943" s="782"/>
      <c r="C943" s="782"/>
      <c r="D943" s="782"/>
      <c r="E943" s="816"/>
      <c r="F943" s="816"/>
      <c r="G943" s="817"/>
      <c r="H943" s="817"/>
      <c r="I943" s="818"/>
      <c r="J943" s="772"/>
      <c r="K943" s="772"/>
      <c r="L943" s="772"/>
      <c r="M943" s="772"/>
      <c r="N943" s="772"/>
      <c r="O943" s="772"/>
      <c r="P943" s="772"/>
      <c r="Q943" s="772"/>
      <c r="R943" s="772"/>
      <c r="S943" s="772"/>
      <c r="T943" s="772"/>
      <c r="U943" s="772"/>
      <c r="V943" s="772"/>
      <c r="W943" s="772"/>
      <c r="X943" s="772"/>
      <c r="Y943" s="772"/>
      <c r="Z943" s="772"/>
      <c r="AA943" s="772"/>
      <c r="AB943" s="772"/>
      <c r="AC943" s="772"/>
      <c r="AD943" s="772"/>
      <c r="AE943" s="772"/>
      <c r="AF943" s="772"/>
      <c r="AG943" s="772"/>
      <c r="AH943" s="772"/>
    </row>
    <row r="944" ht="15.75" customHeight="1">
      <c r="A944" s="815"/>
      <c r="B944" s="782"/>
      <c r="C944" s="782"/>
      <c r="D944" s="782"/>
      <c r="E944" s="816"/>
      <c r="F944" s="816"/>
      <c r="G944" s="817"/>
      <c r="H944" s="817"/>
      <c r="I944" s="818"/>
      <c r="J944" s="772"/>
      <c r="K944" s="772"/>
      <c r="L944" s="772"/>
      <c r="M944" s="772"/>
      <c r="N944" s="772"/>
      <c r="O944" s="772"/>
      <c r="P944" s="772"/>
      <c r="Q944" s="772"/>
      <c r="R944" s="772"/>
      <c r="S944" s="772"/>
      <c r="T944" s="772"/>
      <c r="U944" s="772"/>
      <c r="V944" s="772"/>
      <c r="W944" s="772"/>
      <c r="X944" s="772"/>
      <c r="Y944" s="772"/>
      <c r="Z944" s="772"/>
      <c r="AA944" s="772"/>
      <c r="AB944" s="772"/>
      <c r="AC944" s="772"/>
      <c r="AD944" s="772"/>
      <c r="AE944" s="772"/>
      <c r="AF944" s="772"/>
      <c r="AG944" s="772"/>
      <c r="AH944" s="772"/>
    </row>
    <row r="945" ht="15.75" customHeight="1">
      <c r="A945" s="815"/>
      <c r="B945" s="782"/>
      <c r="C945" s="782"/>
      <c r="D945" s="782"/>
      <c r="E945" s="816"/>
      <c r="F945" s="816"/>
      <c r="G945" s="817"/>
      <c r="H945" s="817"/>
      <c r="I945" s="818"/>
      <c r="J945" s="772"/>
      <c r="K945" s="772"/>
      <c r="L945" s="772"/>
      <c r="M945" s="772"/>
      <c r="N945" s="772"/>
      <c r="O945" s="772"/>
      <c r="P945" s="772"/>
      <c r="Q945" s="772"/>
      <c r="R945" s="772"/>
      <c r="S945" s="772"/>
      <c r="T945" s="772"/>
      <c r="U945" s="772"/>
      <c r="V945" s="772"/>
      <c r="W945" s="772"/>
      <c r="X945" s="772"/>
      <c r="Y945" s="772"/>
      <c r="Z945" s="772"/>
      <c r="AA945" s="772"/>
      <c r="AB945" s="772"/>
      <c r="AC945" s="772"/>
      <c r="AD945" s="772"/>
      <c r="AE945" s="772"/>
      <c r="AF945" s="772"/>
      <c r="AG945" s="772"/>
      <c r="AH945" s="772"/>
    </row>
    <row r="946" ht="15.75" customHeight="1">
      <c r="A946" s="815"/>
      <c r="B946" s="782"/>
      <c r="C946" s="782"/>
      <c r="D946" s="782"/>
      <c r="E946" s="816"/>
      <c r="F946" s="816"/>
      <c r="G946" s="817"/>
      <c r="H946" s="817"/>
      <c r="I946" s="818"/>
      <c r="J946" s="772"/>
      <c r="K946" s="772"/>
      <c r="L946" s="772"/>
      <c r="M946" s="772"/>
      <c r="N946" s="772"/>
      <c r="O946" s="772"/>
      <c r="P946" s="772"/>
      <c r="Q946" s="772"/>
      <c r="R946" s="772"/>
      <c r="S946" s="772"/>
      <c r="T946" s="772"/>
      <c r="U946" s="772"/>
      <c r="V946" s="772"/>
      <c r="W946" s="772"/>
      <c r="X946" s="772"/>
      <c r="Y946" s="772"/>
      <c r="Z946" s="772"/>
      <c r="AA946" s="772"/>
      <c r="AB946" s="772"/>
      <c r="AC946" s="772"/>
      <c r="AD946" s="772"/>
      <c r="AE946" s="772"/>
      <c r="AF946" s="772"/>
      <c r="AG946" s="772"/>
      <c r="AH946" s="772"/>
    </row>
    <row r="947" ht="15.75" customHeight="1">
      <c r="A947" s="815"/>
      <c r="B947" s="782"/>
      <c r="C947" s="782"/>
      <c r="D947" s="782"/>
      <c r="E947" s="816"/>
      <c r="F947" s="816"/>
      <c r="G947" s="817"/>
      <c r="H947" s="817"/>
      <c r="I947" s="818"/>
      <c r="J947" s="772"/>
      <c r="K947" s="772"/>
      <c r="L947" s="772"/>
      <c r="M947" s="772"/>
      <c r="N947" s="772"/>
      <c r="O947" s="772"/>
      <c r="P947" s="772"/>
      <c r="Q947" s="772"/>
      <c r="R947" s="772"/>
      <c r="S947" s="772"/>
      <c r="T947" s="772"/>
      <c r="U947" s="772"/>
      <c r="V947" s="772"/>
      <c r="W947" s="772"/>
      <c r="X947" s="772"/>
      <c r="Y947" s="772"/>
      <c r="Z947" s="772"/>
      <c r="AA947" s="772"/>
      <c r="AB947" s="772"/>
      <c r="AC947" s="772"/>
      <c r="AD947" s="772"/>
      <c r="AE947" s="772"/>
      <c r="AF947" s="772"/>
      <c r="AG947" s="772"/>
      <c r="AH947" s="772"/>
    </row>
    <row r="948" ht="15.75" customHeight="1">
      <c r="A948" s="815"/>
      <c r="B948" s="782"/>
      <c r="C948" s="782"/>
      <c r="D948" s="782"/>
      <c r="E948" s="816"/>
      <c r="F948" s="816"/>
      <c r="G948" s="817"/>
      <c r="H948" s="817"/>
      <c r="I948" s="818"/>
      <c r="J948" s="772"/>
      <c r="K948" s="772"/>
      <c r="L948" s="772"/>
      <c r="M948" s="772"/>
      <c r="N948" s="772"/>
      <c r="O948" s="772"/>
      <c r="P948" s="772"/>
      <c r="Q948" s="772"/>
      <c r="R948" s="772"/>
      <c r="S948" s="772"/>
      <c r="T948" s="772"/>
      <c r="U948" s="772"/>
      <c r="V948" s="772"/>
      <c r="W948" s="772"/>
      <c r="X948" s="772"/>
      <c r="Y948" s="772"/>
      <c r="Z948" s="772"/>
      <c r="AA948" s="772"/>
      <c r="AB948" s="772"/>
      <c r="AC948" s="772"/>
      <c r="AD948" s="772"/>
      <c r="AE948" s="772"/>
      <c r="AF948" s="772"/>
      <c r="AG948" s="772"/>
      <c r="AH948" s="772"/>
    </row>
    <row r="949" ht="15.75" customHeight="1">
      <c r="A949" s="815"/>
      <c r="B949" s="782"/>
      <c r="C949" s="782"/>
      <c r="D949" s="782"/>
      <c r="E949" s="816"/>
      <c r="F949" s="816"/>
      <c r="G949" s="817"/>
      <c r="H949" s="817"/>
      <c r="I949" s="818"/>
      <c r="J949" s="772"/>
      <c r="K949" s="772"/>
      <c r="L949" s="772"/>
      <c r="M949" s="772"/>
      <c r="N949" s="772"/>
      <c r="O949" s="772"/>
      <c r="P949" s="772"/>
      <c r="Q949" s="772"/>
      <c r="R949" s="772"/>
      <c r="S949" s="772"/>
      <c r="T949" s="772"/>
      <c r="U949" s="772"/>
      <c r="V949" s="772"/>
      <c r="W949" s="772"/>
      <c r="X949" s="772"/>
      <c r="Y949" s="772"/>
      <c r="Z949" s="772"/>
      <c r="AA949" s="772"/>
      <c r="AB949" s="772"/>
      <c r="AC949" s="772"/>
      <c r="AD949" s="772"/>
      <c r="AE949" s="772"/>
      <c r="AF949" s="772"/>
      <c r="AG949" s="772"/>
      <c r="AH949" s="772"/>
    </row>
    <row r="950" ht="15.75" customHeight="1">
      <c r="A950" s="815"/>
      <c r="B950" s="782"/>
      <c r="C950" s="782"/>
      <c r="D950" s="782"/>
      <c r="E950" s="816"/>
      <c r="F950" s="816"/>
      <c r="G950" s="817"/>
      <c r="H950" s="817"/>
      <c r="I950" s="818"/>
      <c r="J950" s="772"/>
      <c r="K950" s="772"/>
      <c r="L950" s="772"/>
      <c r="M950" s="772"/>
      <c r="N950" s="772"/>
      <c r="O950" s="772"/>
      <c r="P950" s="772"/>
      <c r="Q950" s="772"/>
      <c r="R950" s="772"/>
      <c r="S950" s="772"/>
      <c r="T950" s="772"/>
      <c r="U950" s="772"/>
      <c r="V950" s="772"/>
      <c r="W950" s="772"/>
      <c r="X950" s="772"/>
      <c r="Y950" s="772"/>
      <c r="Z950" s="772"/>
      <c r="AA950" s="772"/>
      <c r="AB950" s="772"/>
      <c r="AC950" s="772"/>
      <c r="AD950" s="772"/>
      <c r="AE950" s="772"/>
      <c r="AF950" s="772"/>
      <c r="AG950" s="772"/>
      <c r="AH950" s="772"/>
    </row>
    <row r="951" ht="15.75" customHeight="1">
      <c r="A951" s="815"/>
      <c r="B951" s="782"/>
      <c r="C951" s="782"/>
      <c r="D951" s="782"/>
      <c r="E951" s="816"/>
      <c r="F951" s="816"/>
      <c r="G951" s="817"/>
      <c r="H951" s="817"/>
      <c r="I951" s="818"/>
      <c r="J951" s="772"/>
      <c r="K951" s="772"/>
      <c r="L951" s="772"/>
      <c r="M951" s="772"/>
      <c r="N951" s="772"/>
      <c r="O951" s="772"/>
      <c r="P951" s="772"/>
      <c r="Q951" s="772"/>
      <c r="R951" s="772"/>
      <c r="S951" s="772"/>
      <c r="T951" s="772"/>
      <c r="U951" s="772"/>
      <c r="V951" s="772"/>
      <c r="W951" s="772"/>
      <c r="X951" s="772"/>
      <c r="Y951" s="772"/>
      <c r="Z951" s="772"/>
      <c r="AA951" s="772"/>
      <c r="AB951" s="772"/>
      <c r="AC951" s="772"/>
      <c r="AD951" s="772"/>
      <c r="AE951" s="772"/>
      <c r="AF951" s="772"/>
      <c r="AG951" s="772"/>
      <c r="AH951" s="772"/>
    </row>
    <row r="952" ht="15.75" customHeight="1">
      <c r="A952" s="815"/>
      <c r="B952" s="782"/>
      <c r="C952" s="782"/>
      <c r="D952" s="782"/>
      <c r="E952" s="816"/>
      <c r="F952" s="816"/>
      <c r="G952" s="817"/>
      <c r="H952" s="817"/>
      <c r="I952" s="818"/>
      <c r="J952" s="772"/>
      <c r="K952" s="772"/>
      <c r="L952" s="772"/>
      <c r="M952" s="772"/>
      <c r="N952" s="772"/>
      <c r="O952" s="772"/>
      <c r="P952" s="772"/>
      <c r="Q952" s="772"/>
      <c r="R952" s="772"/>
      <c r="S952" s="772"/>
      <c r="T952" s="772"/>
      <c r="U952" s="772"/>
      <c r="V952" s="772"/>
      <c r="W952" s="772"/>
      <c r="X952" s="772"/>
      <c r="Y952" s="772"/>
      <c r="Z952" s="772"/>
      <c r="AA952" s="772"/>
      <c r="AB952" s="772"/>
      <c r="AC952" s="772"/>
      <c r="AD952" s="772"/>
      <c r="AE952" s="772"/>
      <c r="AF952" s="772"/>
      <c r="AG952" s="772"/>
      <c r="AH952" s="772"/>
    </row>
    <row r="953" ht="15.75" customHeight="1">
      <c r="A953" s="815"/>
      <c r="B953" s="782"/>
      <c r="C953" s="782"/>
      <c r="D953" s="782"/>
      <c r="E953" s="816"/>
      <c r="F953" s="816"/>
      <c r="G953" s="817"/>
      <c r="H953" s="817"/>
      <c r="I953" s="818"/>
      <c r="J953" s="772"/>
      <c r="K953" s="772"/>
      <c r="L953" s="772"/>
      <c r="M953" s="772"/>
      <c r="N953" s="772"/>
      <c r="O953" s="772"/>
      <c r="P953" s="772"/>
      <c r="Q953" s="772"/>
      <c r="R953" s="772"/>
      <c r="S953" s="772"/>
      <c r="T953" s="772"/>
      <c r="U953" s="772"/>
      <c r="V953" s="772"/>
      <c r="W953" s="772"/>
      <c r="X953" s="772"/>
      <c r="Y953" s="772"/>
      <c r="Z953" s="772"/>
      <c r="AA953" s="772"/>
      <c r="AB953" s="772"/>
      <c r="AC953" s="772"/>
      <c r="AD953" s="772"/>
      <c r="AE953" s="772"/>
      <c r="AF953" s="772"/>
      <c r="AG953" s="772"/>
      <c r="AH953" s="772"/>
    </row>
    <row r="954" ht="15.75" customHeight="1">
      <c r="A954" s="815"/>
      <c r="B954" s="782"/>
      <c r="C954" s="782"/>
      <c r="D954" s="782"/>
      <c r="E954" s="816"/>
      <c r="F954" s="816"/>
      <c r="G954" s="817"/>
      <c r="H954" s="817"/>
      <c r="I954" s="818"/>
      <c r="J954" s="772"/>
      <c r="K954" s="772"/>
      <c r="L954" s="772"/>
      <c r="M954" s="772"/>
      <c r="N954" s="772"/>
      <c r="O954" s="772"/>
      <c r="P954" s="772"/>
      <c r="Q954" s="772"/>
      <c r="R954" s="772"/>
      <c r="S954" s="772"/>
      <c r="T954" s="772"/>
      <c r="U954" s="772"/>
      <c r="V954" s="772"/>
      <c r="W954" s="772"/>
      <c r="X954" s="772"/>
      <c r="Y954" s="772"/>
      <c r="Z954" s="772"/>
      <c r="AA954" s="772"/>
      <c r="AB954" s="772"/>
      <c r="AC954" s="772"/>
      <c r="AD954" s="772"/>
      <c r="AE954" s="772"/>
      <c r="AF954" s="772"/>
      <c r="AG954" s="772"/>
      <c r="AH954" s="772"/>
    </row>
    <row r="955" ht="15.75" customHeight="1">
      <c r="A955" s="815"/>
      <c r="B955" s="782"/>
      <c r="C955" s="782"/>
      <c r="D955" s="782"/>
      <c r="E955" s="816"/>
      <c r="F955" s="816"/>
      <c r="G955" s="817"/>
      <c r="H955" s="817"/>
      <c r="I955" s="818"/>
      <c r="J955" s="772"/>
      <c r="K955" s="772"/>
      <c r="L955" s="772"/>
      <c r="M955" s="772"/>
      <c r="N955" s="772"/>
      <c r="O955" s="772"/>
      <c r="P955" s="772"/>
      <c r="Q955" s="772"/>
      <c r="R955" s="772"/>
      <c r="S955" s="772"/>
      <c r="T955" s="772"/>
      <c r="U955" s="772"/>
      <c r="V955" s="772"/>
      <c r="W955" s="772"/>
      <c r="X955" s="772"/>
      <c r="Y955" s="772"/>
      <c r="Z955" s="772"/>
      <c r="AA955" s="772"/>
      <c r="AB955" s="772"/>
      <c r="AC955" s="772"/>
      <c r="AD955" s="772"/>
      <c r="AE955" s="772"/>
      <c r="AF955" s="772"/>
      <c r="AG955" s="772"/>
      <c r="AH955" s="772"/>
    </row>
    <row r="956" ht="15.75" customHeight="1">
      <c r="A956" s="815"/>
      <c r="B956" s="782"/>
      <c r="C956" s="782"/>
      <c r="D956" s="782"/>
      <c r="E956" s="816"/>
      <c r="F956" s="816"/>
      <c r="G956" s="817"/>
      <c r="H956" s="817"/>
      <c r="I956" s="818"/>
      <c r="J956" s="772"/>
      <c r="K956" s="772"/>
      <c r="L956" s="772"/>
      <c r="M956" s="772"/>
      <c r="N956" s="772"/>
      <c r="O956" s="772"/>
      <c r="P956" s="772"/>
      <c r="Q956" s="772"/>
      <c r="R956" s="772"/>
      <c r="S956" s="772"/>
      <c r="T956" s="772"/>
      <c r="U956" s="772"/>
      <c r="V956" s="772"/>
      <c r="W956" s="772"/>
      <c r="X956" s="772"/>
      <c r="Y956" s="772"/>
      <c r="Z956" s="772"/>
      <c r="AA956" s="772"/>
      <c r="AB956" s="772"/>
      <c r="AC956" s="772"/>
      <c r="AD956" s="772"/>
      <c r="AE956" s="772"/>
      <c r="AF956" s="772"/>
      <c r="AG956" s="772"/>
      <c r="AH956" s="772"/>
    </row>
    <row r="957" ht="15.75" customHeight="1">
      <c r="A957" s="815"/>
      <c r="B957" s="782"/>
      <c r="C957" s="782"/>
      <c r="D957" s="782"/>
      <c r="E957" s="816"/>
      <c r="F957" s="816"/>
      <c r="G957" s="817"/>
      <c r="H957" s="817"/>
      <c r="I957" s="818"/>
      <c r="J957" s="772"/>
      <c r="K957" s="772"/>
      <c r="L957" s="772"/>
      <c r="M957" s="772"/>
      <c r="N957" s="772"/>
      <c r="O957" s="772"/>
      <c r="P957" s="772"/>
      <c r="Q957" s="772"/>
      <c r="R957" s="772"/>
      <c r="S957" s="772"/>
      <c r="T957" s="772"/>
      <c r="U957" s="772"/>
      <c r="V957" s="772"/>
      <c r="W957" s="772"/>
      <c r="X957" s="772"/>
      <c r="Y957" s="772"/>
      <c r="Z957" s="772"/>
      <c r="AA957" s="772"/>
      <c r="AB957" s="772"/>
      <c r="AC957" s="772"/>
      <c r="AD957" s="772"/>
      <c r="AE957" s="772"/>
      <c r="AF957" s="772"/>
      <c r="AG957" s="772"/>
      <c r="AH957" s="772"/>
    </row>
    <row r="958" ht="15.75" customHeight="1">
      <c r="A958" s="815"/>
      <c r="B958" s="782"/>
      <c r="C958" s="782"/>
      <c r="D958" s="782"/>
      <c r="E958" s="816"/>
      <c r="F958" s="816"/>
      <c r="G958" s="817"/>
      <c r="H958" s="817"/>
      <c r="I958" s="818"/>
      <c r="J958" s="772"/>
      <c r="K958" s="772"/>
      <c r="L958" s="772"/>
      <c r="M958" s="772"/>
      <c r="N958" s="772"/>
      <c r="O958" s="772"/>
      <c r="P958" s="772"/>
      <c r="Q958" s="772"/>
      <c r="R958" s="772"/>
      <c r="S958" s="772"/>
      <c r="T958" s="772"/>
      <c r="U958" s="772"/>
      <c r="V958" s="772"/>
      <c r="W958" s="772"/>
      <c r="X958" s="772"/>
      <c r="Y958" s="772"/>
      <c r="Z958" s="772"/>
      <c r="AA958" s="772"/>
      <c r="AB958" s="772"/>
      <c r="AC958" s="772"/>
      <c r="AD958" s="772"/>
      <c r="AE958" s="772"/>
      <c r="AF958" s="772"/>
      <c r="AG958" s="772"/>
      <c r="AH958" s="772"/>
    </row>
    <row r="959" ht="15.75" customHeight="1">
      <c r="A959" s="815"/>
      <c r="B959" s="782"/>
      <c r="C959" s="782"/>
      <c r="D959" s="782"/>
      <c r="E959" s="816"/>
      <c r="F959" s="816"/>
      <c r="G959" s="817"/>
      <c r="H959" s="817"/>
      <c r="I959" s="818"/>
      <c r="J959" s="772"/>
      <c r="K959" s="772"/>
      <c r="L959" s="772"/>
      <c r="M959" s="772"/>
      <c r="N959" s="772"/>
      <c r="O959" s="772"/>
      <c r="P959" s="772"/>
      <c r="Q959" s="772"/>
      <c r="R959" s="772"/>
      <c r="S959" s="772"/>
      <c r="T959" s="772"/>
      <c r="U959" s="772"/>
      <c r="V959" s="772"/>
      <c r="W959" s="772"/>
      <c r="X959" s="772"/>
      <c r="Y959" s="772"/>
      <c r="Z959" s="772"/>
      <c r="AA959" s="772"/>
      <c r="AB959" s="772"/>
      <c r="AC959" s="772"/>
      <c r="AD959" s="772"/>
      <c r="AE959" s="772"/>
      <c r="AF959" s="772"/>
      <c r="AG959" s="772"/>
      <c r="AH959" s="772"/>
    </row>
    <row r="960" ht="15.75" customHeight="1">
      <c r="A960" s="815"/>
      <c r="B960" s="782"/>
      <c r="C960" s="782"/>
      <c r="D960" s="782"/>
      <c r="E960" s="816"/>
      <c r="F960" s="816"/>
      <c r="G960" s="817"/>
      <c r="H960" s="817"/>
      <c r="I960" s="818"/>
      <c r="J960" s="772"/>
      <c r="K960" s="772"/>
      <c r="L960" s="772"/>
      <c r="M960" s="772"/>
      <c r="N960" s="772"/>
      <c r="O960" s="772"/>
      <c r="P960" s="772"/>
      <c r="Q960" s="772"/>
      <c r="R960" s="772"/>
      <c r="S960" s="772"/>
      <c r="T960" s="772"/>
      <c r="U960" s="772"/>
      <c r="V960" s="772"/>
      <c r="W960" s="772"/>
      <c r="X960" s="772"/>
      <c r="Y960" s="772"/>
      <c r="Z960" s="772"/>
      <c r="AA960" s="772"/>
      <c r="AB960" s="772"/>
      <c r="AC960" s="772"/>
      <c r="AD960" s="772"/>
      <c r="AE960" s="772"/>
      <c r="AF960" s="772"/>
      <c r="AG960" s="772"/>
      <c r="AH960" s="772"/>
    </row>
    <row r="961" ht="15.75" customHeight="1">
      <c r="A961" s="815"/>
      <c r="B961" s="782"/>
      <c r="C961" s="782"/>
      <c r="D961" s="782"/>
      <c r="E961" s="816"/>
      <c r="F961" s="816"/>
      <c r="G961" s="817"/>
      <c r="H961" s="817"/>
      <c r="I961" s="818"/>
      <c r="J961" s="772"/>
      <c r="K961" s="772"/>
      <c r="L961" s="772"/>
      <c r="M961" s="772"/>
      <c r="N961" s="772"/>
      <c r="O961" s="772"/>
      <c r="P961" s="772"/>
      <c r="Q961" s="772"/>
      <c r="R961" s="772"/>
      <c r="S961" s="772"/>
      <c r="T961" s="772"/>
      <c r="U961" s="772"/>
      <c r="V961" s="772"/>
      <c r="W961" s="772"/>
      <c r="X961" s="772"/>
      <c r="Y961" s="772"/>
      <c r="Z961" s="772"/>
      <c r="AA961" s="772"/>
      <c r="AB961" s="772"/>
      <c r="AC961" s="772"/>
      <c r="AD961" s="772"/>
      <c r="AE961" s="772"/>
      <c r="AF961" s="772"/>
      <c r="AG961" s="772"/>
      <c r="AH961" s="772"/>
    </row>
    <row r="962" ht="15.75" customHeight="1">
      <c r="A962" s="815"/>
      <c r="B962" s="782"/>
      <c r="C962" s="782"/>
      <c r="D962" s="782"/>
      <c r="E962" s="816"/>
      <c r="F962" s="816"/>
      <c r="G962" s="817"/>
      <c r="H962" s="817"/>
      <c r="I962" s="818"/>
      <c r="J962" s="772"/>
      <c r="K962" s="772"/>
      <c r="L962" s="772"/>
      <c r="M962" s="772"/>
      <c r="N962" s="772"/>
      <c r="O962" s="772"/>
      <c r="P962" s="772"/>
      <c r="Q962" s="772"/>
      <c r="R962" s="772"/>
      <c r="S962" s="772"/>
      <c r="T962" s="772"/>
      <c r="U962" s="772"/>
      <c r="V962" s="772"/>
      <c r="W962" s="772"/>
      <c r="X962" s="772"/>
      <c r="Y962" s="772"/>
      <c r="Z962" s="772"/>
      <c r="AA962" s="772"/>
      <c r="AB962" s="772"/>
      <c r="AC962" s="772"/>
      <c r="AD962" s="772"/>
      <c r="AE962" s="772"/>
      <c r="AF962" s="772"/>
      <c r="AG962" s="772"/>
      <c r="AH962" s="772"/>
    </row>
    <row r="963" ht="15.75" customHeight="1">
      <c r="A963" s="815"/>
      <c r="B963" s="782"/>
      <c r="C963" s="782"/>
      <c r="D963" s="782"/>
      <c r="E963" s="816"/>
      <c r="F963" s="816"/>
      <c r="G963" s="817"/>
      <c r="H963" s="817"/>
      <c r="I963" s="818"/>
      <c r="J963" s="772"/>
      <c r="K963" s="772"/>
      <c r="L963" s="772"/>
      <c r="M963" s="772"/>
      <c r="N963" s="772"/>
      <c r="O963" s="772"/>
      <c r="P963" s="772"/>
      <c r="Q963" s="772"/>
      <c r="R963" s="772"/>
      <c r="S963" s="772"/>
      <c r="T963" s="772"/>
      <c r="U963" s="772"/>
      <c r="V963" s="772"/>
      <c r="W963" s="772"/>
      <c r="X963" s="772"/>
      <c r="Y963" s="772"/>
      <c r="Z963" s="772"/>
      <c r="AA963" s="772"/>
      <c r="AB963" s="772"/>
      <c r="AC963" s="772"/>
      <c r="AD963" s="772"/>
      <c r="AE963" s="772"/>
      <c r="AF963" s="772"/>
      <c r="AG963" s="772"/>
      <c r="AH963" s="772"/>
    </row>
    <row r="964" ht="15.75" customHeight="1">
      <c r="A964" s="815"/>
      <c r="B964" s="782"/>
      <c r="C964" s="782"/>
      <c r="D964" s="782"/>
      <c r="E964" s="816"/>
      <c r="F964" s="816"/>
      <c r="G964" s="817"/>
      <c r="H964" s="817"/>
      <c r="I964" s="818"/>
      <c r="J964" s="772"/>
      <c r="K964" s="772"/>
      <c r="L964" s="772"/>
      <c r="M964" s="772"/>
      <c r="N964" s="772"/>
      <c r="O964" s="772"/>
      <c r="P964" s="772"/>
      <c r="Q964" s="772"/>
      <c r="R964" s="772"/>
      <c r="S964" s="772"/>
      <c r="T964" s="772"/>
      <c r="U964" s="772"/>
      <c r="V964" s="772"/>
      <c r="W964" s="772"/>
      <c r="X964" s="772"/>
      <c r="Y964" s="772"/>
      <c r="Z964" s="772"/>
      <c r="AA964" s="772"/>
      <c r="AB964" s="772"/>
      <c r="AC964" s="772"/>
      <c r="AD964" s="772"/>
      <c r="AE964" s="772"/>
      <c r="AF964" s="772"/>
      <c r="AG964" s="772"/>
      <c r="AH964" s="772"/>
    </row>
    <row r="965" ht="15.75" customHeight="1">
      <c r="A965" s="815"/>
      <c r="B965" s="782"/>
      <c r="C965" s="782"/>
      <c r="D965" s="782"/>
      <c r="E965" s="816"/>
      <c r="F965" s="816"/>
      <c r="G965" s="817"/>
      <c r="H965" s="817"/>
      <c r="I965" s="818"/>
      <c r="J965" s="772"/>
      <c r="K965" s="772"/>
      <c r="L965" s="772"/>
      <c r="M965" s="772"/>
      <c r="N965" s="772"/>
      <c r="O965" s="772"/>
      <c r="P965" s="772"/>
      <c r="Q965" s="772"/>
      <c r="R965" s="772"/>
      <c r="S965" s="772"/>
      <c r="T965" s="772"/>
      <c r="U965" s="772"/>
      <c r="V965" s="772"/>
      <c r="W965" s="772"/>
      <c r="X965" s="772"/>
      <c r="Y965" s="772"/>
      <c r="Z965" s="772"/>
      <c r="AA965" s="772"/>
      <c r="AB965" s="772"/>
      <c r="AC965" s="772"/>
      <c r="AD965" s="772"/>
      <c r="AE965" s="772"/>
      <c r="AF965" s="772"/>
      <c r="AG965" s="772"/>
      <c r="AH965" s="772"/>
    </row>
    <row r="966" ht="15.75" customHeight="1">
      <c r="A966" s="815"/>
      <c r="B966" s="782"/>
      <c r="C966" s="782"/>
      <c r="D966" s="782"/>
      <c r="E966" s="816"/>
      <c r="F966" s="816"/>
      <c r="G966" s="817"/>
      <c r="H966" s="817"/>
      <c r="I966" s="818"/>
      <c r="J966" s="772"/>
      <c r="K966" s="772"/>
      <c r="L966" s="772"/>
      <c r="M966" s="772"/>
      <c r="N966" s="772"/>
      <c r="O966" s="772"/>
      <c r="P966" s="772"/>
      <c r="Q966" s="772"/>
      <c r="R966" s="772"/>
      <c r="S966" s="772"/>
      <c r="T966" s="772"/>
      <c r="U966" s="772"/>
      <c r="V966" s="772"/>
      <c r="W966" s="772"/>
      <c r="X966" s="772"/>
      <c r="Y966" s="772"/>
      <c r="Z966" s="772"/>
      <c r="AA966" s="772"/>
      <c r="AB966" s="772"/>
      <c r="AC966" s="772"/>
      <c r="AD966" s="772"/>
      <c r="AE966" s="772"/>
      <c r="AF966" s="772"/>
      <c r="AG966" s="772"/>
      <c r="AH966" s="772"/>
    </row>
    <row r="967" ht="15.75" customHeight="1">
      <c r="A967" s="815"/>
      <c r="B967" s="782"/>
      <c r="C967" s="782"/>
      <c r="D967" s="782"/>
      <c r="E967" s="816"/>
      <c r="F967" s="816"/>
      <c r="G967" s="817"/>
      <c r="H967" s="817"/>
      <c r="I967" s="818"/>
      <c r="J967" s="772"/>
      <c r="K967" s="772"/>
      <c r="L967" s="772"/>
      <c r="M967" s="772"/>
      <c r="N967" s="772"/>
      <c r="O967" s="772"/>
      <c r="P967" s="772"/>
      <c r="Q967" s="772"/>
      <c r="R967" s="772"/>
      <c r="S967" s="772"/>
      <c r="T967" s="772"/>
      <c r="U967" s="772"/>
      <c r="V967" s="772"/>
      <c r="W967" s="772"/>
      <c r="X967" s="772"/>
      <c r="Y967" s="772"/>
      <c r="Z967" s="772"/>
      <c r="AA967" s="772"/>
      <c r="AB967" s="772"/>
      <c r="AC967" s="772"/>
      <c r="AD967" s="772"/>
      <c r="AE967" s="772"/>
      <c r="AF967" s="772"/>
      <c r="AG967" s="772"/>
      <c r="AH967" s="772"/>
    </row>
    <row r="968" ht="15.75" customHeight="1">
      <c r="A968" s="815"/>
      <c r="B968" s="782"/>
      <c r="C968" s="782"/>
      <c r="D968" s="782"/>
      <c r="E968" s="816"/>
      <c r="F968" s="816"/>
      <c r="G968" s="817"/>
      <c r="H968" s="817"/>
      <c r="I968" s="818"/>
      <c r="J968" s="772"/>
      <c r="K968" s="772"/>
      <c r="L968" s="772"/>
      <c r="M968" s="772"/>
      <c r="N968" s="772"/>
      <c r="O968" s="772"/>
      <c r="P968" s="772"/>
      <c r="Q968" s="772"/>
      <c r="R968" s="772"/>
      <c r="S968" s="772"/>
      <c r="T968" s="772"/>
      <c r="U968" s="772"/>
      <c r="V968" s="772"/>
      <c r="W968" s="772"/>
      <c r="X968" s="772"/>
      <c r="Y968" s="772"/>
      <c r="Z968" s="772"/>
      <c r="AA968" s="772"/>
      <c r="AB968" s="772"/>
      <c r="AC968" s="772"/>
      <c r="AD968" s="772"/>
      <c r="AE968" s="772"/>
      <c r="AF968" s="772"/>
      <c r="AG968" s="772"/>
      <c r="AH968" s="772"/>
    </row>
    <row r="969" ht="15.75" customHeight="1">
      <c r="A969" s="815"/>
      <c r="B969" s="782"/>
      <c r="C969" s="782"/>
      <c r="D969" s="782"/>
      <c r="E969" s="816"/>
      <c r="F969" s="816"/>
      <c r="G969" s="817"/>
      <c r="H969" s="817"/>
      <c r="I969" s="818"/>
      <c r="J969" s="772"/>
      <c r="K969" s="772"/>
      <c r="L969" s="772"/>
      <c r="M969" s="772"/>
      <c r="N969" s="772"/>
      <c r="O969" s="772"/>
      <c r="P969" s="772"/>
      <c r="Q969" s="772"/>
      <c r="R969" s="772"/>
      <c r="S969" s="772"/>
      <c r="T969" s="772"/>
      <c r="U969" s="772"/>
      <c r="V969" s="772"/>
      <c r="W969" s="772"/>
      <c r="X969" s="772"/>
      <c r="Y969" s="772"/>
      <c r="Z969" s="772"/>
      <c r="AA969" s="772"/>
      <c r="AB969" s="772"/>
      <c r="AC969" s="772"/>
      <c r="AD969" s="772"/>
      <c r="AE969" s="772"/>
      <c r="AF969" s="772"/>
      <c r="AG969" s="772"/>
      <c r="AH969" s="772"/>
    </row>
    <row r="970" ht="15.75" customHeight="1">
      <c r="A970" s="815"/>
      <c r="B970" s="782"/>
      <c r="C970" s="782"/>
      <c r="D970" s="782"/>
      <c r="E970" s="816"/>
      <c r="F970" s="816"/>
      <c r="G970" s="817"/>
      <c r="H970" s="817"/>
      <c r="I970" s="818"/>
      <c r="J970" s="772"/>
      <c r="K970" s="772"/>
      <c r="L970" s="772"/>
      <c r="M970" s="772"/>
      <c r="N970" s="772"/>
      <c r="O970" s="772"/>
      <c r="P970" s="772"/>
      <c r="Q970" s="772"/>
      <c r="R970" s="772"/>
      <c r="S970" s="772"/>
      <c r="T970" s="772"/>
      <c r="U970" s="772"/>
      <c r="V970" s="772"/>
      <c r="W970" s="772"/>
      <c r="X970" s="772"/>
      <c r="Y970" s="772"/>
      <c r="Z970" s="772"/>
      <c r="AA970" s="772"/>
      <c r="AB970" s="772"/>
      <c r="AC970" s="772"/>
      <c r="AD970" s="772"/>
      <c r="AE970" s="772"/>
      <c r="AF970" s="772"/>
      <c r="AG970" s="772"/>
      <c r="AH970" s="772"/>
    </row>
    <row r="971" ht="15.75" customHeight="1">
      <c r="A971" s="815"/>
      <c r="B971" s="782"/>
      <c r="C971" s="782"/>
      <c r="D971" s="782"/>
      <c r="E971" s="816"/>
      <c r="F971" s="816"/>
      <c r="G971" s="817"/>
      <c r="H971" s="817"/>
      <c r="I971" s="818"/>
      <c r="J971" s="772"/>
      <c r="K971" s="772"/>
      <c r="L971" s="772"/>
      <c r="M971" s="772"/>
      <c r="N971" s="772"/>
      <c r="O971" s="772"/>
      <c r="P971" s="772"/>
      <c r="Q971" s="772"/>
      <c r="R971" s="772"/>
      <c r="S971" s="772"/>
      <c r="T971" s="772"/>
      <c r="U971" s="772"/>
      <c r="V971" s="772"/>
      <c r="W971" s="772"/>
      <c r="X971" s="772"/>
      <c r="Y971" s="772"/>
      <c r="Z971" s="772"/>
      <c r="AA971" s="772"/>
      <c r="AB971" s="772"/>
      <c r="AC971" s="772"/>
      <c r="AD971" s="772"/>
      <c r="AE971" s="772"/>
      <c r="AF971" s="772"/>
      <c r="AG971" s="772"/>
      <c r="AH971" s="772"/>
    </row>
    <row r="972" ht="15.75" customHeight="1">
      <c r="A972" s="815"/>
      <c r="B972" s="782"/>
      <c r="C972" s="782"/>
      <c r="D972" s="782"/>
      <c r="E972" s="816"/>
      <c r="F972" s="816"/>
      <c r="G972" s="817"/>
      <c r="H972" s="817"/>
      <c r="I972" s="818"/>
      <c r="J972" s="772"/>
      <c r="K972" s="772"/>
      <c r="L972" s="772"/>
      <c r="M972" s="772"/>
      <c r="N972" s="772"/>
      <c r="O972" s="772"/>
      <c r="P972" s="772"/>
      <c r="Q972" s="772"/>
      <c r="R972" s="772"/>
      <c r="S972" s="772"/>
      <c r="T972" s="772"/>
      <c r="U972" s="772"/>
      <c r="V972" s="772"/>
      <c r="W972" s="772"/>
      <c r="X972" s="772"/>
      <c r="Y972" s="772"/>
      <c r="Z972" s="772"/>
      <c r="AA972" s="772"/>
      <c r="AB972" s="772"/>
      <c r="AC972" s="772"/>
      <c r="AD972" s="772"/>
      <c r="AE972" s="772"/>
      <c r="AF972" s="772"/>
      <c r="AG972" s="772"/>
      <c r="AH972" s="772"/>
    </row>
    <row r="973" ht="15.75" customHeight="1">
      <c r="A973" s="815"/>
      <c r="B973" s="782"/>
      <c r="C973" s="782"/>
      <c r="D973" s="782"/>
      <c r="E973" s="816"/>
      <c r="F973" s="816"/>
      <c r="G973" s="817"/>
      <c r="H973" s="817"/>
      <c r="I973" s="818"/>
      <c r="J973" s="772"/>
      <c r="K973" s="772"/>
      <c r="L973" s="772"/>
      <c r="M973" s="772"/>
      <c r="N973" s="772"/>
      <c r="O973" s="772"/>
      <c r="P973" s="772"/>
      <c r="Q973" s="772"/>
      <c r="R973" s="772"/>
      <c r="S973" s="772"/>
      <c r="T973" s="772"/>
      <c r="U973" s="772"/>
      <c r="V973" s="772"/>
      <c r="W973" s="772"/>
      <c r="X973" s="772"/>
      <c r="Y973" s="772"/>
      <c r="Z973" s="772"/>
      <c r="AA973" s="772"/>
      <c r="AB973" s="772"/>
      <c r="AC973" s="772"/>
      <c r="AD973" s="772"/>
      <c r="AE973" s="772"/>
      <c r="AF973" s="772"/>
      <c r="AG973" s="772"/>
      <c r="AH973" s="772"/>
    </row>
    <row r="974" ht="15.75" customHeight="1">
      <c r="A974" s="815"/>
      <c r="B974" s="782"/>
      <c r="C974" s="782"/>
      <c r="D974" s="782"/>
      <c r="E974" s="816"/>
      <c r="F974" s="816"/>
      <c r="G974" s="817"/>
      <c r="H974" s="817"/>
      <c r="I974" s="818"/>
      <c r="J974" s="772"/>
      <c r="K974" s="772"/>
      <c r="L974" s="772"/>
      <c r="M974" s="772"/>
      <c r="N974" s="772"/>
      <c r="O974" s="772"/>
      <c r="P974" s="772"/>
      <c r="Q974" s="772"/>
      <c r="R974" s="772"/>
      <c r="S974" s="772"/>
      <c r="T974" s="772"/>
      <c r="U974" s="772"/>
      <c r="V974" s="772"/>
      <c r="W974" s="772"/>
      <c r="X974" s="772"/>
      <c r="Y974" s="772"/>
      <c r="Z974" s="772"/>
      <c r="AA974" s="772"/>
      <c r="AB974" s="772"/>
      <c r="AC974" s="772"/>
      <c r="AD974" s="772"/>
      <c r="AE974" s="772"/>
      <c r="AF974" s="772"/>
      <c r="AG974" s="772"/>
      <c r="AH974" s="772"/>
    </row>
    <row r="975" ht="15.75" customHeight="1">
      <c r="A975" s="815"/>
      <c r="B975" s="782"/>
      <c r="C975" s="782"/>
      <c r="D975" s="782"/>
      <c r="E975" s="816"/>
      <c r="F975" s="816"/>
      <c r="G975" s="817"/>
      <c r="H975" s="817"/>
      <c r="I975" s="818"/>
      <c r="J975" s="772"/>
      <c r="K975" s="772"/>
      <c r="L975" s="772"/>
      <c r="M975" s="772"/>
      <c r="N975" s="772"/>
      <c r="O975" s="772"/>
      <c r="P975" s="772"/>
      <c r="Q975" s="772"/>
      <c r="R975" s="772"/>
      <c r="S975" s="772"/>
      <c r="T975" s="772"/>
      <c r="U975" s="772"/>
      <c r="V975" s="772"/>
      <c r="W975" s="772"/>
      <c r="X975" s="772"/>
      <c r="Y975" s="772"/>
      <c r="Z975" s="772"/>
      <c r="AA975" s="772"/>
      <c r="AB975" s="772"/>
      <c r="AC975" s="772"/>
      <c r="AD975" s="772"/>
      <c r="AE975" s="772"/>
      <c r="AF975" s="772"/>
      <c r="AG975" s="772"/>
      <c r="AH975" s="772"/>
    </row>
    <row r="976" ht="15.75" customHeight="1">
      <c r="A976" s="815"/>
      <c r="B976" s="782"/>
      <c r="C976" s="782"/>
      <c r="D976" s="782"/>
      <c r="E976" s="816"/>
      <c r="F976" s="816"/>
      <c r="G976" s="817"/>
      <c r="H976" s="817"/>
      <c r="I976" s="818"/>
      <c r="J976" s="772"/>
      <c r="K976" s="772"/>
      <c r="L976" s="772"/>
      <c r="M976" s="772"/>
      <c r="N976" s="772"/>
      <c r="O976" s="772"/>
      <c r="P976" s="772"/>
      <c r="Q976" s="772"/>
      <c r="R976" s="772"/>
      <c r="S976" s="772"/>
      <c r="T976" s="772"/>
      <c r="U976" s="772"/>
      <c r="V976" s="772"/>
      <c r="W976" s="772"/>
      <c r="X976" s="772"/>
      <c r="Y976" s="772"/>
      <c r="Z976" s="772"/>
      <c r="AA976" s="772"/>
      <c r="AB976" s="772"/>
      <c r="AC976" s="772"/>
      <c r="AD976" s="772"/>
      <c r="AE976" s="772"/>
      <c r="AF976" s="772"/>
      <c r="AG976" s="772"/>
      <c r="AH976" s="772"/>
    </row>
    <row r="977" ht="15.75" customHeight="1">
      <c r="A977" s="815"/>
      <c r="B977" s="782"/>
      <c r="C977" s="782"/>
      <c r="D977" s="782"/>
      <c r="E977" s="816"/>
      <c r="F977" s="816"/>
      <c r="G977" s="817"/>
      <c r="H977" s="817"/>
      <c r="I977" s="818"/>
      <c r="J977" s="772"/>
      <c r="K977" s="772"/>
      <c r="L977" s="772"/>
      <c r="M977" s="772"/>
      <c r="N977" s="772"/>
      <c r="O977" s="772"/>
      <c r="P977" s="772"/>
      <c r="Q977" s="772"/>
      <c r="R977" s="772"/>
      <c r="S977" s="772"/>
      <c r="T977" s="772"/>
      <c r="U977" s="772"/>
      <c r="V977" s="772"/>
      <c r="W977" s="772"/>
      <c r="X977" s="772"/>
      <c r="Y977" s="772"/>
      <c r="Z977" s="772"/>
      <c r="AA977" s="772"/>
      <c r="AB977" s="772"/>
      <c r="AC977" s="772"/>
      <c r="AD977" s="772"/>
      <c r="AE977" s="772"/>
      <c r="AF977" s="772"/>
      <c r="AG977" s="772"/>
      <c r="AH977" s="772"/>
    </row>
    <row r="978" ht="15.75" customHeight="1">
      <c r="A978" s="815"/>
      <c r="B978" s="782"/>
      <c r="C978" s="782"/>
      <c r="D978" s="782"/>
      <c r="E978" s="816"/>
      <c r="F978" s="816"/>
      <c r="G978" s="817"/>
      <c r="H978" s="817"/>
      <c r="I978" s="818"/>
      <c r="J978" s="772"/>
      <c r="K978" s="772"/>
      <c r="L978" s="772"/>
      <c r="M978" s="772"/>
      <c r="N978" s="772"/>
      <c r="O978" s="772"/>
      <c r="P978" s="772"/>
      <c r="Q978" s="772"/>
      <c r="R978" s="772"/>
      <c r="S978" s="772"/>
      <c r="T978" s="772"/>
      <c r="U978" s="772"/>
      <c r="V978" s="772"/>
      <c r="W978" s="772"/>
      <c r="X978" s="772"/>
      <c r="Y978" s="772"/>
      <c r="Z978" s="772"/>
      <c r="AA978" s="772"/>
      <c r="AB978" s="772"/>
      <c r="AC978" s="772"/>
      <c r="AD978" s="772"/>
      <c r="AE978" s="772"/>
      <c r="AF978" s="772"/>
      <c r="AG978" s="772"/>
      <c r="AH978" s="772"/>
    </row>
    <row r="979" ht="15.75" customHeight="1">
      <c r="A979" s="815"/>
      <c r="B979" s="782"/>
      <c r="C979" s="782"/>
      <c r="D979" s="782"/>
      <c r="E979" s="816"/>
      <c r="F979" s="816"/>
      <c r="G979" s="817"/>
      <c r="H979" s="817"/>
      <c r="I979" s="818"/>
      <c r="J979" s="772"/>
      <c r="K979" s="772"/>
      <c r="L979" s="772"/>
      <c r="M979" s="772"/>
      <c r="N979" s="772"/>
      <c r="O979" s="772"/>
      <c r="P979" s="772"/>
      <c r="Q979" s="772"/>
      <c r="R979" s="772"/>
      <c r="S979" s="772"/>
      <c r="T979" s="772"/>
      <c r="U979" s="772"/>
      <c r="V979" s="772"/>
      <c r="W979" s="772"/>
      <c r="X979" s="772"/>
      <c r="Y979" s="772"/>
      <c r="Z979" s="772"/>
      <c r="AA979" s="772"/>
      <c r="AB979" s="772"/>
      <c r="AC979" s="772"/>
      <c r="AD979" s="772"/>
      <c r="AE979" s="772"/>
      <c r="AF979" s="772"/>
      <c r="AG979" s="772"/>
      <c r="AH979" s="772"/>
    </row>
    <row r="980" ht="15.75" customHeight="1">
      <c r="A980" s="815"/>
      <c r="B980" s="782"/>
      <c r="C980" s="782"/>
      <c r="D980" s="782"/>
      <c r="E980" s="816"/>
      <c r="F980" s="816"/>
      <c r="G980" s="817"/>
      <c r="H980" s="817"/>
      <c r="I980" s="818"/>
      <c r="J980" s="772"/>
      <c r="K980" s="772"/>
      <c r="L980" s="772"/>
      <c r="M980" s="772"/>
      <c r="N980" s="772"/>
      <c r="O980" s="772"/>
      <c r="P980" s="772"/>
      <c r="Q980" s="772"/>
      <c r="R980" s="772"/>
      <c r="S980" s="772"/>
      <c r="T980" s="772"/>
      <c r="U980" s="772"/>
      <c r="V980" s="772"/>
      <c r="W980" s="772"/>
      <c r="X980" s="772"/>
      <c r="Y980" s="772"/>
      <c r="Z980" s="772"/>
      <c r="AA980" s="772"/>
      <c r="AB980" s="772"/>
      <c r="AC980" s="772"/>
      <c r="AD980" s="772"/>
      <c r="AE980" s="772"/>
      <c r="AF980" s="772"/>
      <c r="AG980" s="772"/>
      <c r="AH980" s="772"/>
    </row>
    <row r="981" ht="15.75" customHeight="1">
      <c r="A981" s="815"/>
      <c r="B981" s="782"/>
      <c r="C981" s="782"/>
      <c r="D981" s="782"/>
      <c r="E981" s="816"/>
      <c r="F981" s="816"/>
      <c r="G981" s="817"/>
      <c r="H981" s="817"/>
      <c r="I981" s="818"/>
      <c r="J981" s="772"/>
      <c r="K981" s="772"/>
      <c r="L981" s="772"/>
      <c r="M981" s="772"/>
      <c r="N981" s="772"/>
      <c r="O981" s="772"/>
      <c r="P981" s="772"/>
      <c r="Q981" s="772"/>
      <c r="R981" s="772"/>
      <c r="S981" s="772"/>
      <c r="T981" s="772"/>
      <c r="U981" s="772"/>
      <c r="V981" s="772"/>
      <c r="W981" s="772"/>
      <c r="X981" s="772"/>
      <c r="Y981" s="772"/>
      <c r="Z981" s="772"/>
      <c r="AA981" s="772"/>
      <c r="AB981" s="772"/>
      <c r="AC981" s="772"/>
      <c r="AD981" s="772"/>
      <c r="AE981" s="772"/>
      <c r="AF981" s="772"/>
      <c r="AG981" s="772"/>
      <c r="AH981" s="772"/>
    </row>
    <row r="982" ht="15.75" customHeight="1">
      <c r="A982" s="815"/>
      <c r="B982" s="782"/>
      <c r="C982" s="782"/>
      <c r="D982" s="782"/>
      <c r="E982" s="816"/>
      <c r="F982" s="816"/>
      <c r="G982" s="817"/>
      <c r="H982" s="817"/>
      <c r="I982" s="818"/>
      <c r="J982" s="772"/>
      <c r="K982" s="772"/>
      <c r="L982" s="772"/>
      <c r="M982" s="772"/>
      <c r="N982" s="772"/>
      <c r="O982" s="772"/>
      <c r="P982" s="772"/>
      <c r="Q982" s="772"/>
      <c r="R982" s="772"/>
      <c r="S982" s="772"/>
      <c r="T982" s="772"/>
      <c r="U982" s="772"/>
      <c r="V982" s="772"/>
      <c r="W982" s="772"/>
      <c r="X982" s="772"/>
      <c r="Y982" s="772"/>
      <c r="Z982" s="772"/>
      <c r="AA982" s="772"/>
      <c r="AB982" s="772"/>
      <c r="AC982" s="772"/>
      <c r="AD982" s="772"/>
      <c r="AE982" s="772"/>
      <c r="AF982" s="772"/>
      <c r="AG982" s="772"/>
      <c r="AH982" s="772"/>
    </row>
    <row r="983" ht="15.75" customHeight="1">
      <c r="A983" s="815"/>
      <c r="B983" s="782"/>
      <c r="C983" s="782"/>
      <c r="D983" s="782"/>
      <c r="E983" s="816"/>
      <c r="F983" s="816"/>
      <c r="G983" s="817"/>
      <c r="H983" s="817"/>
      <c r="I983" s="818"/>
      <c r="J983" s="772"/>
      <c r="K983" s="772"/>
      <c r="L983" s="772"/>
      <c r="M983" s="772"/>
      <c r="N983" s="772"/>
      <c r="O983" s="772"/>
      <c r="P983" s="772"/>
      <c r="Q983" s="772"/>
      <c r="R983" s="772"/>
      <c r="S983" s="772"/>
      <c r="T983" s="772"/>
      <c r="U983" s="772"/>
      <c r="V983" s="772"/>
      <c r="W983" s="772"/>
      <c r="X983" s="772"/>
      <c r="Y983" s="772"/>
      <c r="Z983" s="772"/>
      <c r="AA983" s="772"/>
      <c r="AB983" s="772"/>
      <c r="AC983" s="772"/>
      <c r="AD983" s="772"/>
      <c r="AE983" s="772"/>
      <c r="AF983" s="772"/>
      <c r="AG983" s="772"/>
      <c r="AH983" s="772"/>
    </row>
    <row r="984" ht="15.75" customHeight="1">
      <c r="A984" s="815"/>
      <c r="B984" s="782"/>
      <c r="C984" s="782"/>
      <c r="D984" s="782"/>
      <c r="E984" s="816"/>
      <c r="F984" s="816"/>
      <c r="G984" s="817"/>
      <c r="H984" s="817"/>
      <c r="I984" s="818"/>
      <c r="J984" s="772"/>
      <c r="K984" s="772"/>
      <c r="L984" s="772"/>
      <c r="M984" s="772"/>
      <c r="N984" s="772"/>
      <c r="O984" s="772"/>
      <c r="P984" s="772"/>
      <c r="Q984" s="772"/>
      <c r="R984" s="772"/>
      <c r="S984" s="772"/>
      <c r="T984" s="772"/>
      <c r="U984" s="772"/>
      <c r="V984" s="772"/>
      <c r="W984" s="772"/>
      <c r="X984" s="772"/>
      <c r="Y984" s="772"/>
      <c r="Z984" s="772"/>
      <c r="AA984" s="772"/>
      <c r="AB984" s="772"/>
      <c r="AC984" s="772"/>
      <c r="AD984" s="772"/>
      <c r="AE984" s="772"/>
      <c r="AF984" s="772"/>
      <c r="AG984" s="772"/>
      <c r="AH984" s="772"/>
    </row>
    <row r="985" ht="15.75" customHeight="1">
      <c r="A985" s="815"/>
      <c r="B985" s="782"/>
      <c r="C985" s="782"/>
      <c r="D985" s="782"/>
      <c r="E985" s="816"/>
      <c r="F985" s="816"/>
      <c r="G985" s="817"/>
      <c r="H985" s="817"/>
      <c r="I985" s="818"/>
      <c r="J985" s="772"/>
      <c r="K985" s="772"/>
      <c r="L985" s="772"/>
      <c r="M985" s="772"/>
      <c r="N985" s="772"/>
      <c r="O985" s="772"/>
      <c r="P985" s="772"/>
      <c r="Q985" s="772"/>
      <c r="R985" s="772"/>
      <c r="S985" s="772"/>
      <c r="T985" s="772"/>
      <c r="U985" s="772"/>
      <c r="V985" s="772"/>
      <c r="W985" s="772"/>
      <c r="X985" s="772"/>
      <c r="Y985" s="772"/>
      <c r="Z985" s="772"/>
      <c r="AA985" s="772"/>
      <c r="AB985" s="772"/>
      <c r="AC985" s="772"/>
      <c r="AD985" s="772"/>
      <c r="AE985" s="772"/>
      <c r="AF985" s="772"/>
      <c r="AG985" s="772"/>
      <c r="AH985" s="772"/>
    </row>
    <row r="986" ht="15.75" customHeight="1">
      <c r="A986" s="815"/>
      <c r="B986" s="782"/>
      <c r="C986" s="782"/>
      <c r="D986" s="782"/>
      <c r="E986" s="816"/>
      <c r="F986" s="816"/>
      <c r="G986" s="817"/>
      <c r="H986" s="817"/>
      <c r="I986" s="818"/>
      <c r="J986" s="772"/>
      <c r="K986" s="772"/>
      <c r="L986" s="772"/>
      <c r="M986" s="772"/>
      <c r="N986" s="772"/>
      <c r="O986" s="772"/>
      <c r="P986" s="772"/>
      <c r="Q986" s="772"/>
      <c r="R986" s="772"/>
      <c r="S986" s="772"/>
      <c r="T986" s="772"/>
      <c r="U986" s="772"/>
      <c r="V986" s="772"/>
      <c r="W986" s="772"/>
      <c r="X986" s="772"/>
      <c r="Y986" s="772"/>
      <c r="Z986" s="772"/>
      <c r="AA986" s="772"/>
      <c r="AB986" s="772"/>
      <c r="AC986" s="772"/>
      <c r="AD986" s="772"/>
      <c r="AE986" s="772"/>
      <c r="AF986" s="772"/>
      <c r="AG986" s="772"/>
      <c r="AH986" s="772"/>
    </row>
    <row r="987" ht="15.75" customHeight="1">
      <c r="A987" s="815"/>
      <c r="B987" s="782"/>
      <c r="C987" s="782"/>
      <c r="D987" s="782"/>
      <c r="E987" s="816"/>
      <c r="F987" s="816"/>
      <c r="G987" s="817"/>
      <c r="H987" s="817"/>
      <c r="I987" s="818"/>
      <c r="J987" s="772"/>
      <c r="K987" s="772"/>
      <c r="L987" s="772"/>
      <c r="M987" s="772"/>
      <c r="N987" s="772"/>
      <c r="O987" s="772"/>
      <c r="P987" s="772"/>
      <c r="Q987" s="772"/>
      <c r="R987" s="772"/>
      <c r="S987" s="772"/>
      <c r="T987" s="772"/>
      <c r="U987" s="772"/>
      <c r="V987" s="772"/>
      <c r="W987" s="772"/>
      <c r="X987" s="772"/>
      <c r="Y987" s="772"/>
      <c r="Z987" s="772"/>
      <c r="AA987" s="772"/>
      <c r="AB987" s="772"/>
      <c r="AC987" s="772"/>
      <c r="AD987" s="772"/>
      <c r="AE987" s="772"/>
      <c r="AF987" s="772"/>
      <c r="AG987" s="772"/>
      <c r="AH987" s="772"/>
    </row>
    <row r="988" ht="15.75" customHeight="1">
      <c r="A988" s="815"/>
      <c r="B988" s="782"/>
      <c r="C988" s="782"/>
      <c r="D988" s="782"/>
      <c r="E988" s="816"/>
      <c r="F988" s="816"/>
      <c r="G988" s="817"/>
      <c r="H988" s="817"/>
      <c r="I988" s="818"/>
      <c r="J988" s="772"/>
      <c r="K988" s="772"/>
      <c r="L988" s="772"/>
      <c r="M988" s="772"/>
      <c r="N988" s="772"/>
      <c r="O988" s="772"/>
      <c r="P988" s="772"/>
      <c r="Q988" s="772"/>
      <c r="R988" s="772"/>
      <c r="S988" s="772"/>
      <c r="T988" s="772"/>
      <c r="U988" s="772"/>
      <c r="V988" s="772"/>
      <c r="W988" s="772"/>
      <c r="X988" s="772"/>
      <c r="Y988" s="772"/>
      <c r="Z988" s="772"/>
      <c r="AA988" s="772"/>
      <c r="AB988" s="772"/>
      <c r="AC988" s="772"/>
      <c r="AD988" s="772"/>
      <c r="AE988" s="772"/>
      <c r="AF988" s="772"/>
      <c r="AG988" s="772"/>
      <c r="AH988" s="772"/>
    </row>
    <row r="989" ht="15.75" customHeight="1">
      <c r="A989" s="815"/>
      <c r="B989" s="782"/>
      <c r="C989" s="782"/>
      <c r="D989" s="782"/>
      <c r="E989" s="816"/>
      <c r="F989" s="816"/>
      <c r="G989" s="817"/>
      <c r="H989" s="817"/>
      <c r="I989" s="818"/>
      <c r="J989" s="772"/>
      <c r="K989" s="772"/>
      <c r="L989" s="772"/>
      <c r="M989" s="772"/>
      <c r="N989" s="772"/>
      <c r="O989" s="772"/>
      <c r="P989" s="772"/>
      <c r="Q989" s="772"/>
      <c r="R989" s="772"/>
      <c r="S989" s="772"/>
      <c r="T989" s="772"/>
      <c r="U989" s="772"/>
      <c r="V989" s="772"/>
      <c r="W989" s="772"/>
      <c r="X989" s="772"/>
      <c r="Y989" s="772"/>
      <c r="Z989" s="772"/>
      <c r="AA989" s="772"/>
      <c r="AB989" s="772"/>
      <c r="AC989" s="772"/>
      <c r="AD989" s="772"/>
      <c r="AE989" s="772"/>
      <c r="AF989" s="772"/>
      <c r="AG989" s="772"/>
      <c r="AH989" s="772"/>
    </row>
    <row r="990" ht="15.75" customHeight="1">
      <c r="A990" s="815"/>
      <c r="B990" s="782"/>
      <c r="C990" s="782"/>
      <c r="D990" s="782"/>
      <c r="E990" s="816"/>
      <c r="F990" s="816"/>
      <c r="G990" s="817"/>
      <c r="H990" s="817"/>
      <c r="I990" s="818"/>
      <c r="J990" s="772"/>
      <c r="K990" s="772"/>
      <c r="L990" s="772"/>
      <c r="M990" s="772"/>
      <c r="N990" s="772"/>
      <c r="O990" s="772"/>
      <c r="P990" s="772"/>
      <c r="Q990" s="772"/>
      <c r="R990" s="772"/>
      <c r="S990" s="772"/>
      <c r="T990" s="772"/>
      <c r="U990" s="772"/>
      <c r="V990" s="772"/>
      <c r="W990" s="772"/>
      <c r="X990" s="772"/>
      <c r="Y990" s="772"/>
      <c r="Z990" s="772"/>
      <c r="AA990" s="772"/>
      <c r="AB990" s="772"/>
      <c r="AC990" s="772"/>
      <c r="AD990" s="772"/>
      <c r="AE990" s="772"/>
      <c r="AF990" s="772"/>
      <c r="AG990" s="772"/>
      <c r="AH990" s="772"/>
    </row>
    <row r="991" ht="15.75" customHeight="1">
      <c r="A991" s="815"/>
      <c r="B991" s="782"/>
      <c r="C991" s="782"/>
      <c r="D991" s="782"/>
      <c r="E991" s="816"/>
      <c r="F991" s="816"/>
      <c r="G991" s="817"/>
      <c r="H991" s="817"/>
      <c r="I991" s="818"/>
      <c r="J991" s="772"/>
      <c r="K991" s="772"/>
      <c r="L991" s="772"/>
      <c r="M991" s="772"/>
      <c r="N991" s="772"/>
      <c r="O991" s="772"/>
      <c r="P991" s="772"/>
      <c r="Q991" s="772"/>
      <c r="R991" s="772"/>
      <c r="S991" s="772"/>
      <c r="T991" s="772"/>
      <c r="U991" s="772"/>
      <c r="V991" s="772"/>
      <c r="W991" s="772"/>
      <c r="X991" s="772"/>
      <c r="Y991" s="772"/>
      <c r="Z991" s="772"/>
      <c r="AA991" s="772"/>
      <c r="AB991" s="772"/>
      <c r="AC991" s="772"/>
      <c r="AD991" s="772"/>
      <c r="AE991" s="772"/>
      <c r="AF991" s="772"/>
      <c r="AG991" s="772"/>
      <c r="AH991" s="772"/>
    </row>
    <row r="992" ht="15.75" customHeight="1">
      <c r="A992" s="815"/>
      <c r="B992" s="782"/>
      <c r="C992" s="782"/>
      <c r="D992" s="782"/>
      <c r="E992" s="816"/>
      <c r="F992" s="816"/>
      <c r="G992" s="817"/>
      <c r="H992" s="817"/>
      <c r="I992" s="818"/>
      <c r="J992" s="772"/>
      <c r="K992" s="772"/>
      <c r="L992" s="772"/>
      <c r="M992" s="772"/>
      <c r="N992" s="772"/>
      <c r="O992" s="772"/>
      <c r="P992" s="772"/>
      <c r="Q992" s="772"/>
      <c r="R992" s="772"/>
      <c r="S992" s="772"/>
      <c r="T992" s="772"/>
      <c r="U992" s="772"/>
      <c r="V992" s="772"/>
      <c r="W992" s="772"/>
      <c r="X992" s="772"/>
      <c r="Y992" s="772"/>
      <c r="Z992" s="772"/>
      <c r="AA992" s="772"/>
      <c r="AB992" s="772"/>
      <c r="AC992" s="772"/>
      <c r="AD992" s="772"/>
      <c r="AE992" s="772"/>
      <c r="AF992" s="772"/>
      <c r="AG992" s="772"/>
      <c r="AH992" s="772"/>
    </row>
    <row r="993" ht="15.75" customHeight="1">
      <c r="A993" s="815"/>
      <c r="B993" s="782"/>
      <c r="C993" s="782"/>
      <c r="D993" s="782"/>
      <c r="E993" s="816"/>
      <c r="F993" s="816"/>
      <c r="G993" s="817"/>
      <c r="H993" s="817"/>
      <c r="I993" s="818"/>
      <c r="J993" s="772"/>
      <c r="K993" s="772"/>
      <c r="L993" s="772"/>
      <c r="M993" s="772"/>
      <c r="N993" s="772"/>
      <c r="O993" s="772"/>
      <c r="P993" s="772"/>
      <c r="Q993" s="772"/>
      <c r="R993" s="772"/>
      <c r="S993" s="772"/>
      <c r="T993" s="772"/>
      <c r="U993" s="772"/>
      <c r="V993" s="772"/>
      <c r="W993" s="772"/>
      <c r="X993" s="772"/>
      <c r="Y993" s="772"/>
      <c r="Z993" s="772"/>
      <c r="AA993" s="772"/>
      <c r="AB993" s="772"/>
      <c r="AC993" s="772"/>
      <c r="AD993" s="772"/>
      <c r="AE993" s="772"/>
      <c r="AF993" s="772"/>
      <c r="AG993" s="772"/>
      <c r="AH993" s="772"/>
    </row>
    <row r="994" ht="15.75" customHeight="1">
      <c r="A994" s="815"/>
      <c r="B994" s="782"/>
      <c r="C994" s="782"/>
      <c r="D994" s="782"/>
      <c r="E994" s="816"/>
      <c r="F994" s="816"/>
      <c r="G994" s="817"/>
      <c r="H994" s="817"/>
      <c r="I994" s="818"/>
      <c r="J994" s="772"/>
      <c r="K994" s="772"/>
      <c r="L994" s="772"/>
      <c r="M994" s="772"/>
      <c r="N994" s="772"/>
      <c r="O994" s="772"/>
      <c r="P994" s="772"/>
      <c r="Q994" s="772"/>
      <c r="R994" s="772"/>
      <c r="S994" s="772"/>
      <c r="T994" s="772"/>
      <c r="U994" s="772"/>
      <c r="V994" s="772"/>
      <c r="W994" s="772"/>
      <c r="X994" s="772"/>
      <c r="Y994" s="772"/>
      <c r="Z994" s="772"/>
      <c r="AA994" s="772"/>
      <c r="AB994" s="772"/>
      <c r="AC994" s="772"/>
      <c r="AD994" s="772"/>
      <c r="AE994" s="772"/>
      <c r="AF994" s="772"/>
      <c r="AG994" s="772"/>
      <c r="AH994" s="772"/>
    </row>
    <row r="995" ht="15.75" customHeight="1">
      <c r="A995" s="815"/>
      <c r="B995" s="782"/>
      <c r="C995" s="782"/>
      <c r="D995" s="782"/>
      <c r="E995" s="816"/>
      <c r="F995" s="816"/>
      <c r="G995" s="817"/>
      <c r="H995" s="817"/>
      <c r="I995" s="818"/>
      <c r="J995" s="772"/>
      <c r="K995" s="772"/>
      <c r="L995" s="772"/>
      <c r="M995" s="772"/>
      <c r="N995" s="772"/>
      <c r="O995" s="772"/>
      <c r="P995" s="772"/>
      <c r="Q995" s="772"/>
      <c r="R995" s="772"/>
      <c r="S995" s="772"/>
      <c r="T995" s="772"/>
      <c r="U995" s="772"/>
      <c r="V995" s="772"/>
      <c r="W995" s="772"/>
      <c r="X995" s="772"/>
      <c r="Y995" s="772"/>
      <c r="Z995" s="772"/>
      <c r="AA995" s="772"/>
      <c r="AB995" s="772"/>
      <c r="AC995" s="772"/>
      <c r="AD995" s="772"/>
      <c r="AE995" s="772"/>
      <c r="AF995" s="772"/>
      <c r="AG995" s="772"/>
      <c r="AH995" s="772"/>
    </row>
    <row r="996" ht="15.75" customHeight="1">
      <c r="A996" s="815"/>
      <c r="B996" s="782"/>
      <c r="C996" s="782"/>
      <c r="D996" s="782"/>
      <c r="E996" s="816"/>
      <c r="F996" s="816"/>
      <c r="G996" s="817"/>
      <c r="H996" s="817"/>
      <c r="I996" s="818"/>
      <c r="J996" s="772"/>
      <c r="K996" s="772"/>
      <c r="L996" s="772"/>
      <c r="M996" s="772"/>
      <c r="N996" s="772"/>
      <c r="O996" s="772"/>
      <c r="P996" s="772"/>
      <c r="Q996" s="772"/>
      <c r="R996" s="772"/>
      <c r="S996" s="772"/>
      <c r="T996" s="772"/>
      <c r="U996" s="772"/>
      <c r="V996" s="772"/>
      <c r="W996" s="772"/>
      <c r="X996" s="772"/>
      <c r="Y996" s="772"/>
      <c r="Z996" s="772"/>
      <c r="AA996" s="772"/>
      <c r="AB996" s="772"/>
      <c r="AC996" s="772"/>
      <c r="AD996" s="772"/>
      <c r="AE996" s="772"/>
      <c r="AF996" s="772"/>
      <c r="AG996" s="772"/>
      <c r="AH996" s="772"/>
    </row>
    <row r="997" ht="15.75" customHeight="1">
      <c r="A997" s="815"/>
      <c r="B997" s="782"/>
      <c r="C997" s="782"/>
      <c r="D997" s="782"/>
      <c r="E997" s="816"/>
      <c r="F997" s="816"/>
      <c r="G997" s="817"/>
      <c r="H997" s="817"/>
      <c r="I997" s="818"/>
      <c r="J997" s="772"/>
      <c r="K997" s="772"/>
      <c r="L997" s="772"/>
      <c r="M997" s="772"/>
      <c r="N997" s="772"/>
      <c r="O997" s="772"/>
      <c r="P997" s="772"/>
      <c r="Q997" s="772"/>
      <c r="R997" s="772"/>
      <c r="S997" s="772"/>
      <c r="T997" s="772"/>
      <c r="U997" s="772"/>
      <c r="V997" s="772"/>
      <c r="W997" s="772"/>
      <c r="X997" s="772"/>
      <c r="Y997" s="772"/>
      <c r="Z997" s="772"/>
      <c r="AA997" s="772"/>
      <c r="AB997" s="772"/>
      <c r="AC997" s="772"/>
      <c r="AD997" s="772"/>
      <c r="AE997" s="772"/>
      <c r="AF997" s="772"/>
      <c r="AG997" s="772"/>
      <c r="AH997" s="772"/>
    </row>
    <row r="998" ht="15.75" customHeight="1">
      <c r="A998" s="815"/>
      <c r="B998" s="782"/>
      <c r="C998" s="782"/>
      <c r="D998" s="782"/>
      <c r="E998" s="816"/>
      <c r="F998" s="816"/>
      <c r="G998" s="817"/>
      <c r="H998" s="817"/>
      <c r="I998" s="818"/>
      <c r="J998" s="772"/>
      <c r="K998" s="772"/>
      <c r="L998" s="772"/>
      <c r="M998" s="772"/>
      <c r="N998" s="772"/>
      <c r="O998" s="772"/>
      <c r="P998" s="772"/>
      <c r="Q998" s="772"/>
      <c r="R998" s="772"/>
      <c r="S998" s="772"/>
      <c r="T998" s="772"/>
      <c r="U998" s="772"/>
      <c r="V998" s="772"/>
      <c r="W998" s="772"/>
      <c r="X998" s="772"/>
      <c r="Y998" s="772"/>
      <c r="Z998" s="772"/>
      <c r="AA998" s="772"/>
      <c r="AB998" s="772"/>
      <c r="AC998" s="772"/>
      <c r="AD998" s="772"/>
      <c r="AE998" s="772"/>
      <c r="AF998" s="772"/>
      <c r="AG998" s="772"/>
      <c r="AH998" s="772"/>
    </row>
    <row r="999" ht="15.75" customHeight="1">
      <c r="A999" s="815"/>
      <c r="B999" s="782"/>
      <c r="C999" s="782"/>
      <c r="D999" s="782"/>
      <c r="E999" s="816"/>
      <c r="F999" s="816"/>
      <c r="G999" s="817"/>
      <c r="H999" s="817"/>
      <c r="I999" s="818"/>
      <c r="J999" s="772"/>
      <c r="K999" s="772"/>
      <c r="L999" s="772"/>
      <c r="M999" s="772"/>
      <c r="N999" s="772"/>
      <c r="O999" s="772"/>
      <c r="P999" s="772"/>
      <c r="Q999" s="772"/>
      <c r="R999" s="772"/>
      <c r="S999" s="772"/>
      <c r="T999" s="772"/>
      <c r="U999" s="772"/>
      <c r="V999" s="772"/>
      <c r="W999" s="772"/>
      <c r="X999" s="772"/>
      <c r="Y999" s="772"/>
      <c r="Z999" s="772"/>
      <c r="AA999" s="772"/>
      <c r="AB999" s="772"/>
      <c r="AC999" s="772"/>
      <c r="AD999" s="772"/>
      <c r="AE999" s="772"/>
      <c r="AF999" s="772"/>
      <c r="AG999" s="772"/>
      <c r="AH999" s="772"/>
    </row>
    <row r="1000" ht="15.75" customHeight="1">
      <c r="A1000" s="815"/>
      <c r="B1000" s="782"/>
      <c r="C1000" s="782"/>
      <c r="D1000" s="782"/>
      <c r="E1000" s="816"/>
      <c r="F1000" s="816"/>
      <c r="G1000" s="817"/>
      <c r="H1000" s="817"/>
      <c r="I1000" s="818"/>
      <c r="J1000" s="772"/>
      <c r="K1000" s="772"/>
      <c r="L1000" s="772"/>
      <c r="M1000" s="772"/>
      <c r="N1000" s="772"/>
      <c r="O1000" s="772"/>
      <c r="P1000" s="772"/>
      <c r="Q1000" s="772"/>
      <c r="R1000" s="772"/>
      <c r="S1000" s="772"/>
      <c r="T1000" s="772"/>
      <c r="U1000" s="772"/>
      <c r="V1000" s="772"/>
      <c r="W1000" s="772"/>
      <c r="X1000" s="772"/>
      <c r="Y1000" s="772"/>
      <c r="Z1000" s="772"/>
      <c r="AA1000" s="772"/>
      <c r="AB1000" s="772"/>
      <c r="AC1000" s="772"/>
      <c r="AD1000" s="772"/>
      <c r="AE1000" s="772"/>
      <c r="AF1000" s="772"/>
      <c r="AG1000" s="772"/>
      <c r="AH1000" s="772"/>
    </row>
  </sheetData>
  <mergeCells count="2">
    <mergeCell ref="A1:I1"/>
    <mergeCell ref="A35:I35"/>
  </mergeCells>
  <hyperlinks>
    <hyperlink r:id="rId1" location="ESC!A1" ref="A4"/>
    <hyperlink r:id="rId2" location="T.B.!A1" ref="A5"/>
    <hyperlink r:id="rId3" location="TOMMATE!A1" ref="A8"/>
    <hyperlink r:id="rId4" location="TELEFONICA!A1" ref="A9"/>
    <hyperlink r:id="rId5" location="'LUIZ GESSIVALDO'!A1" ref="A10"/>
    <hyperlink r:id="rId6" location="CIEE!A1" ref="A11"/>
    <hyperlink r:id="rId7" location="ALLEN!A1" ref="A12"/>
    <hyperlink r:id="rId8" location="SOTAQUE!A1" ref="A13"/>
    <hyperlink r:id="rId9" location="'CORREIOS I'!A1" ref="A21"/>
    <hyperlink r:id="rId10" location="'CORREIOS I'!A1" ref="A22"/>
    <hyperlink r:id="rId11" location="IMESP!A1" ref="A23"/>
    <hyperlink r:id="rId12" location="'MAC CHIPS'!A1" ref="A24"/>
    <hyperlink r:id="rId13" location="ALPHAMED!A1" ref="A25"/>
    <hyperlink r:id="rId14" location="PUMJIL!A1" ref="A26"/>
    <hyperlink r:id="rId15" location="WCS!A1" ref="A27"/>
    <hyperlink r:id="rId16" location="OTIS!A1" ref="A28"/>
    <hyperlink r:id="rId17" location="'BELTIS II'!A1" ref="A29"/>
    <hyperlink r:id="rId18" location="'CAWI-TEC'!A1" ref="A31"/>
    <hyperlink r:id="rId19" location="TICKET!A1" ref="A32"/>
    <hyperlink r:id="rId20" location="'BELTIS I'!A1" ref="A34"/>
    <hyperlink r:id="rId21" location="FESPSP!A1" ref="A37"/>
  </hyperlinks>
  <printOptions/>
  <pageMargins bottom="0.7874015748031497" footer="0.0" header="0.0" left="0.5118110236220472" right="0.5118110236220472" top="0.7874015748031497"/>
  <pageSetup paperSize="9" orientation="landscape"/>
  <rowBreaks count="1" manualBreakCount="1">
    <brk id="14" man="1"/>
  </rowBreaks>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7.86"/>
    <col customWidth="1" min="2" max="2" width="16.0"/>
    <col customWidth="1" min="3" max="3" width="19.0"/>
    <col customWidth="1" min="4" max="4" width="10.43"/>
    <col customWidth="1" min="5" max="5" width="19.71"/>
    <col customWidth="1" min="6" max="6" width="10.0"/>
    <col customWidth="1" min="7" max="7" width="13.71"/>
    <col customWidth="1" min="8" max="8" width="20.71"/>
    <col customWidth="1" min="9" max="9" width="21.29"/>
    <col customWidth="1" min="10" max="26" width="30.71"/>
  </cols>
  <sheetData>
    <row r="1">
      <c r="A1" s="861" t="s">
        <v>5504</v>
      </c>
      <c r="B1" s="816"/>
      <c r="C1" s="817"/>
      <c r="D1" s="817"/>
    </row>
    <row r="2">
      <c r="A2" s="782"/>
      <c r="B2" s="816"/>
      <c r="C2" s="817"/>
      <c r="D2" s="817"/>
    </row>
    <row r="3">
      <c r="A3" s="862" t="s">
        <v>5505</v>
      </c>
      <c r="B3" s="863"/>
      <c r="C3" s="864"/>
      <c r="D3" s="865"/>
      <c r="E3" s="865"/>
      <c r="F3" s="865"/>
      <c r="G3" s="865"/>
      <c r="H3" s="866"/>
      <c r="I3" s="862"/>
    </row>
    <row r="4">
      <c r="A4" s="867" t="s">
        <v>5506</v>
      </c>
      <c r="B4" s="868" t="s">
        <v>5507</v>
      </c>
      <c r="C4" s="869" t="s">
        <v>5508</v>
      </c>
      <c r="D4" s="869" t="s">
        <v>5509</v>
      </c>
      <c r="E4" s="869" t="s">
        <v>5510</v>
      </c>
      <c r="F4" s="869" t="s">
        <v>5511</v>
      </c>
      <c r="G4" s="870" t="s">
        <v>5512</v>
      </c>
      <c r="H4" s="869" t="s">
        <v>5513</v>
      </c>
      <c r="I4" s="870" t="s">
        <v>5514</v>
      </c>
    </row>
    <row r="5">
      <c r="A5" s="783" t="s">
        <v>5515</v>
      </c>
      <c r="B5" s="871">
        <v>1343799.42</v>
      </c>
      <c r="C5" s="871">
        <f>+B5*D5%</f>
        <v>604709.739</v>
      </c>
      <c r="D5" s="872">
        <v>45.0</v>
      </c>
      <c r="E5" s="871">
        <f>+B5*F5%</f>
        <v>739089.681</v>
      </c>
      <c r="F5" s="872">
        <v>55.0</v>
      </c>
      <c r="G5" s="873" t="s">
        <v>5516</v>
      </c>
      <c r="H5" s="789" t="s">
        <v>5517</v>
      </c>
      <c r="I5" s="874" t="s">
        <v>5518</v>
      </c>
      <c r="J5" s="782"/>
      <c r="K5" s="782"/>
      <c r="L5" s="782"/>
      <c r="M5" s="782"/>
      <c r="N5" s="782"/>
      <c r="O5" s="782"/>
      <c r="P5" s="782"/>
      <c r="Q5" s="782"/>
      <c r="R5" s="782"/>
      <c r="S5" s="782"/>
      <c r="T5" s="782"/>
      <c r="U5" s="782"/>
      <c r="V5" s="782"/>
      <c r="W5" s="782"/>
      <c r="X5" s="782"/>
      <c r="Y5" s="782"/>
      <c r="Z5" s="782"/>
    </row>
    <row r="6">
      <c r="A6" s="783" t="s">
        <v>5515</v>
      </c>
      <c r="B6" s="871">
        <v>4920887.52</v>
      </c>
      <c r="C6" s="871">
        <f>B6*45%</f>
        <v>2214399.384</v>
      </c>
      <c r="D6" s="872">
        <v>45.0</v>
      </c>
      <c r="E6" s="871">
        <f>B6*55%</f>
        <v>2706488.136</v>
      </c>
      <c r="F6" s="872">
        <v>55.0</v>
      </c>
      <c r="G6" s="873" t="s">
        <v>5519</v>
      </c>
      <c r="H6" s="789" t="s">
        <v>5520</v>
      </c>
      <c r="I6" s="875" t="s">
        <v>5521</v>
      </c>
      <c r="J6" s="782"/>
      <c r="K6" s="782"/>
      <c r="L6" s="782"/>
      <c r="M6" s="782"/>
      <c r="N6" s="782"/>
      <c r="O6" s="782"/>
      <c r="P6" s="782"/>
      <c r="Q6" s="782"/>
      <c r="R6" s="782"/>
      <c r="S6" s="782"/>
      <c r="T6" s="782"/>
      <c r="U6" s="782"/>
      <c r="V6" s="782"/>
      <c r="W6" s="782"/>
      <c r="X6" s="782"/>
      <c r="Y6" s="782"/>
      <c r="Z6" s="782"/>
    </row>
    <row r="7">
      <c r="A7" s="783" t="s">
        <v>5522</v>
      </c>
      <c r="B7" s="871">
        <v>1042897.44</v>
      </c>
      <c r="C7" s="871">
        <f>B7*60%</f>
        <v>625738.464</v>
      </c>
      <c r="D7" s="872">
        <v>60.0</v>
      </c>
      <c r="E7" s="871">
        <f>B7*40%</f>
        <v>417158.976</v>
      </c>
      <c r="F7" s="872">
        <v>40.0</v>
      </c>
      <c r="G7" s="873" t="s">
        <v>5523</v>
      </c>
      <c r="H7" s="789" t="s">
        <v>5524</v>
      </c>
      <c r="I7" s="874" t="s">
        <v>5525</v>
      </c>
      <c r="J7" s="782"/>
      <c r="K7" s="782"/>
      <c r="L7" s="782"/>
      <c r="M7" s="782"/>
      <c r="N7" s="782"/>
      <c r="O7" s="782"/>
      <c r="P7" s="782"/>
      <c r="Q7" s="782"/>
      <c r="R7" s="782"/>
      <c r="S7" s="782"/>
      <c r="T7" s="782"/>
      <c r="U7" s="782"/>
      <c r="V7" s="782"/>
      <c r="W7" s="782"/>
      <c r="X7" s="782"/>
      <c r="Y7" s="782"/>
      <c r="Z7" s="782"/>
    </row>
    <row r="8">
      <c r="A8" s="783" t="s">
        <v>5526</v>
      </c>
      <c r="B8" s="871">
        <v>4397508.0</v>
      </c>
      <c r="C8" s="871">
        <f>B8*20%</f>
        <v>879501.6</v>
      </c>
      <c r="D8" s="872">
        <v>20.0</v>
      </c>
      <c r="E8" s="871">
        <f>B8*80%</f>
        <v>3518006.4</v>
      </c>
      <c r="F8" s="872">
        <v>80.0</v>
      </c>
      <c r="G8" s="873" t="s">
        <v>5527</v>
      </c>
      <c r="H8" s="789" t="s">
        <v>5524</v>
      </c>
      <c r="I8" s="875" t="s">
        <v>5528</v>
      </c>
      <c r="J8" s="782"/>
      <c r="K8" s="782"/>
      <c r="L8" s="782"/>
      <c r="M8" s="782"/>
      <c r="N8" s="782"/>
      <c r="O8" s="782"/>
      <c r="P8" s="782"/>
      <c r="Q8" s="782"/>
      <c r="R8" s="782"/>
      <c r="S8" s="782"/>
      <c r="T8" s="782"/>
      <c r="U8" s="782"/>
      <c r="V8" s="782"/>
      <c r="W8" s="782"/>
      <c r="X8" s="782"/>
      <c r="Y8" s="782"/>
      <c r="Z8" s="782"/>
    </row>
    <row r="9">
      <c r="A9" s="876" t="s">
        <v>5529</v>
      </c>
      <c r="B9" s="877">
        <f t="shared" ref="B9:C9" si="1">SUM(B5:B8)</f>
        <v>11705092.38</v>
      </c>
      <c r="C9" s="877">
        <f t="shared" si="1"/>
        <v>4324349.187</v>
      </c>
      <c r="D9" s="878"/>
      <c r="E9" s="877">
        <f>SUM(E5:E8)</f>
        <v>7380743.193</v>
      </c>
      <c r="F9" s="879"/>
      <c r="G9" s="879"/>
      <c r="H9" s="879"/>
      <c r="I9" s="783"/>
    </row>
    <row r="10">
      <c r="A10" s="880"/>
      <c r="B10" s="881"/>
      <c r="C10" s="881"/>
      <c r="D10" s="882"/>
      <c r="E10" s="881"/>
      <c r="F10" s="782"/>
      <c r="G10" s="782"/>
      <c r="H10" s="782"/>
      <c r="I10" s="880"/>
    </row>
    <row r="11">
      <c r="A11" s="862" t="s">
        <v>5530</v>
      </c>
      <c r="B11" s="863"/>
      <c r="C11" s="864"/>
      <c r="D11" s="865"/>
      <c r="E11" s="865"/>
      <c r="F11" s="865"/>
      <c r="G11" s="865"/>
      <c r="H11" s="866"/>
      <c r="I11" s="862"/>
    </row>
    <row r="12">
      <c r="A12" s="867" t="s">
        <v>5506</v>
      </c>
      <c r="B12" s="868" t="s">
        <v>5507</v>
      </c>
      <c r="C12" s="869" t="s">
        <v>5531</v>
      </c>
      <c r="D12" s="869" t="s">
        <v>5532</v>
      </c>
      <c r="E12" s="869" t="s">
        <v>5533</v>
      </c>
      <c r="F12" s="869" t="s">
        <v>5534</v>
      </c>
      <c r="G12" s="870" t="s">
        <v>5512</v>
      </c>
      <c r="H12" s="869" t="s">
        <v>5513</v>
      </c>
      <c r="I12" s="870" t="s">
        <v>5514</v>
      </c>
    </row>
    <row r="13">
      <c r="A13" s="783" t="s">
        <v>5535</v>
      </c>
      <c r="B13" s="871">
        <v>1256747.76</v>
      </c>
      <c r="C13" s="871">
        <f t="shared" ref="C13:C14" si="2">+B13*D13%</f>
        <v>0</v>
      </c>
      <c r="D13" s="872">
        <v>0.0</v>
      </c>
      <c r="E13" s="871">
        <f>+B13*F13%</f>
        <v>1256747.76</v>
      </c>
      <c r="F13" s="872">
        <v>100.0</v>
      </c>
      <c r="G13" s="873" t="s">
        <v>5536</v>
      </c>
      <c r="H13" s="789" t="s">
        <v>5517</v>
      </c>
      <c r="I13" s="875" t="s">
        <v>5537</v>
      </c>
    </row>
    <row r="14">
      <c r="A14" s="783" t="s">
        <v>5535</v>
      </c>
      <c r="B14" s="871">
        <v>2761343.64</v>
      </c>
      <c r="C14" s="871">
        <f t="shared" si="2"/>
        <v>0</v>
      </c>
      <c r="D14" s="872">
        <v>0.0</v>
      </c>
      <c r="E14" s="871">
        <f>B14</f>
        <v>2761343.64</v>
      </c>
      <c r="F14" s="872">
        <v>100.0</v>
      </c>
      <c r="G14" s="873" t="s">
        <v>5538</v>
      </c>
      <c r="H14" s="789" t="s">
        <v>5539</v>
      </c>
      <c r="I14" s="875" t="s">
        <v>5540</v>
      </c>
    </row>
    <row r="15">
      <c r="A15" s="876" t="s">
        <v>5529</v>
      </c>
      <c r="B15" s="877">
        <f>SUM(B13:B14)</f>
        <v>4018091.4</v>
      </c>
      <c r="C15" s="877">
        <f>SUM(C10:C14)</f>
        <v>0</v>
      </c>
      <c r="D15" s="878"/>
      <c r="E15" s="877">
        <f>SUM(E13:E14)</f>
        <v>4018091.4</v>
      </c>
      <c r="F15" s="879"/>
      <c r="G15" s="879"/>
      <c r="H15" s="879"/>
      <c r="I15" s="883"/>
    </row>
    <row r="16">
      <c r="A16" s="782"/>
      <c r="B16" s="816"/>
      <c r="C16" s="817"/>
      <c r="D16" s="817"/>
    </row>
    <row r="17">
      <c r="A17" s="782"/>
      <c r="B17" s="816"/>
      <c r="C17" s="817"/>
      <c r="D17" s="817"/>
    </row>
    <row r="18">
      <c r="A18" s="884" t="s">
        <v>5541</v>
      </c>
      <c r="B18" s="816"/>
      <c r="C18" s="817"/>
      <c r="D18" s="817"/>
    </row>
    <row r="19">
      <c r="A19" s="782"/>
      <c r="B19" s="816"/>
      <c r="C19" s="817"/>
      <c r="D19" s="817"/>
    </row>
    <row r="20">
      <c r="C20" s="885"/>
      <c r="D20" s="885"/>
    </row>
    <row r="21" ht="15.75" customHeight="1">
      <c r="A21" s="782"/>
      <c r="B21" s="816"/>
      <c r="C21" s="817"/>
      <c r="D21" s="817"/>
    </row>
    <row r="22" ht="15.75" customHeight="1">
      <c r="A22" s="782"/>
      <c r="B22" s="816"/>
      <c r="C22" s="817"/>
      <c r="D22" s="817"/>
    </row>
    <row r="23" ht="15.75" customHeight="1">
      <c r="A23" s="782"/>
      <c r="B23" s="816"/>
      <c r="C23" s="817"/>
      <c r="D23" s="817"/>
    </row>
    <row r="24" ht="15.75" customHeight="1">
      <c r="A24" s="782"/>
      <c r="B24" s="816"/>
      <c r="C24" s="817"/>
      <c r="D24" s="817"/>
    </row>
    <row r="25" ht="15.75" customHeight="1">
      <c r="A25" s="782"/>
      <c r="B25" s="816"/>
      <c r="C25" s="817"/>
      <c r="D25" s="817"/>
    </row>
    <row r="26" ht="15.75" customHeight="1">
      <c r="A26" s="782"/>
      <c r="B26" s="816"/>
      <c r="C26" s="817"/>
      <c r="D26" s="817"/>
    </row>
    <row r="27" ht="15.75" customHeight="1">
      <c r="A27" s="782"/>
      <c r="B27" s="816"/>
      <c r="C27" s="817"/>
      <c r="D27" s="817"/>
    </row>
    <row r="28" ht="15.75" customHeight="1">
      <c r="A28" s="782"/>
      <c r="B28" s="816"/>
      <c r="C28" s="817"/>
      <c r="D28" s="817"/>
    </row>
    <row r="29" ht="15.75" customHeight="1">
      <c r="A29" s="782"/>
      <c r="B29" s="816"/>
      <c r="C29" s="817"/>
      <c r="D29" s="817"/>
    </row>
    <row r="30" ht="15.75" customHeight="1">
      <c r="A30" s="782"/>
      <c r="B30" s="816"/>
      <c r="C30" s="817"/>
      <c r="D30" s="817"/>
    </row>
    <row r="31" ht="15.75" customHeight="1">
      <c r="A31" s="782"/>
      <c r="B31" s="816"/>
      <c r="C31" s="817"/>
      <c r="D31" s="817"/>
    </row>
    <row r="32" ht="15.75" customHeight="1">
      <c r="A32" s="782"/>
      <c r="B32" s="816"/>
      <c r="C32" s="817"/>
      <c r="D32" s="817"/>
    </row>
    <row r="33" ht="15.75" customHeight="1">
      <c r="A33" s="782"/>
      <c r="B33" s="816"/>
      <c r="C33" s="817"/>
      <c r="D33" s="817"/>
    </row>
    <row r="34" ht="15.75" customHeight="1">
      <c r="A34" s="782"/>
      <c r="B34" s="816"/>
      <c r="C34" s="817"/>
      <c r="D34" s="817"/>
    </row>
    <row r="35" ht="15.75" customHeight="1">
      <c r="A35" s="782"/>
      <c r="B35" s="816"/>
      <c r="C35" s="817"/>
      <c r="D35" s="817"/>
    </row>
    <row r="36" ht="15.75" customHeight="1">
      <c r="A36" s="782"/>
      <c r="B36" s="816"/>
      <c r="C36" s="817"/>
      <c r="D36" s="817"/>
    </row>
    <row r="37" ht="15.75" customHeight="1">
      <c r="A37" s="782"/>
      <c r="B37" s="816"/>
      <c r="C37" s="817"/>
      <c r="D37" s="817"/>
    </row>
    <row r="38" ht="15.75" customHeight="1">
      <c r="A38" s="782"/>
      <c r="B38" s="816"/>
      <c r="C38" s="817"/>
      <c r="D38" s="817"/>
    </row>
    <row r="39" ht="15.75" customHeight="1">
      <c r="A39" s="782"/>
      <c r="B39" s="816"/>
      <c r="C39" s="817"/>
      <c r="D39" s="817"/>
    </row>
    <row r="40" ht="15.75" customHeight="1">
      <c r="A40" s="782"/>
      <c r="B40" s="816"/>
      <c r="C40" s="817"/>
      <c r="D40" s="817"/>
    </row>
    <row r="41" ht="15.75" customHeight="1">
      <c r="A41" s="782"/>
      <c r="B41" s="816"/>
      <c r="C41" s="817"/>
      <c r="D41" s="817"/>
    </row>
    <row r="42" ht="15.75" customHeight="1">
      <c r="A42" s="782"/>
      <c r="B42" s="816"/>
      <c r="C42" s="817"/>
      <c r="D42" s="817"/>
    </row>
    <row r="43" ht="15.75" customHeight="1">
      <c r="A43" s="782"/>
      <c r="B43" s="816"/>
      <c r="C43" s="817"/>
      <c r="D43" s="817"/>
    </row>
    <row r="44" ht="15.75" customHeight="1">
      <c r="A44" s="782"/>
      <c r="B44" s="816"/>
      <c r="C44" s="817"/>
      <c r="D44" s="817"/>
    </row>
    <row r="45" ht="15.75" customHeight="1">
      <c r="A45" s="782"/>
      <c r="B45" s="816"/>
      <c r="C45" s="817"/>
      <c r="D45" s="817"/>
    </row>
    <row r="46" ht="15.75" customHeight="1">
      <c r="A46" s="782"/>
      <c r="B46" s="816"/>
      <c r="C46" s="817"/>
      <c r="D46" s="817"/>
    </row>
    <row r="47" ht="15.75" customHeight="1">
      <c r="A47" s="782"/>
      <c r="B47" s="816"/>
      <c r="C47" s="817"/>
      <c r="D47" s="817"/>
    </row>
    <row r="48" ht="15.75" customHeight="1">
      <c r="A48" s="782"/>
      <c r="B48" s="816"/>
      <c r="C48" s="817"/>
      <c r="D48" s="817"/>
    </row>
    <row r="49" ht="15.75" customHeight="1">
      <c r="A49" s="782"/>
      <c r="B49" s="816"/>
      <c r="C49" s="817"/>
      <c r="D49" s="817"/>
    </row>
    <row r="50" ht="15.75" customHeight="1">
      <c r="A50" s="782"/>
      <c r="B50" s="816"/>
      <c r="C50" s="817"/>
      <c r="D50" s="817"/>
    </row>
    <row r="51" ht="15.75" customHeight="1">
      <c r="A51" s="782"/>
      <c r="B51" s="816"/>
      <c r="C51" s="817"/>
      <c r="D51" s="817"/>
    </row>
    <row r="52" ht="15.75" customHeight="1">
      <c r="A52" s="782"/>
      <c r="B52" s="816"/>
      <c r="C52" s="817"/>
      <c r="D52" s="817"/>
    </row>
    <row r="53" ht="15.75" customHeight="1">
      <c r="A53" s="782"/>
      <c r="B53" s="816"/>
      <c r="C53" s="817"/>
      <c r="D53" s="817"/>
    </row>
    <row r="54" ht="15.75" customHeight="1">
      <c r="A54" s="782"/>
      <c r="B54" s="816"/>
      <c r="C54" s="817"/>
      <c r="D54" s="817"/>
    </row>
    <row r="55" ht="15.75" customHeight="1">
      <c r="A55" s="782"/>
      <c r="B55" s="816"/>
      <c r="C55" s="817"/>
      <c r="D55" s="817"/>
    </row>
    <row r="56" ht="15.75" customHeight="1">
      <c r="A56" s="782"/>
      <c r="B56" s="816"/>
      <c r="C56" s="817"/>
      <c r="D56" s="817"/>
    </row>
    <row r="57" ht="15.75" customHeight="1">
      <c r="A57" s="782"/>
      <c r="B57" s="816"/>
      <c r="C57" s="817"/>
      <c r="D57" s="817"/>
    </row>
    <row r="58" ht="15.75" customHeight="1">
      <c r="A58" s="782"/>
      <c r="B58" s="816"/>
      <c r="C58" s="817"/>
      <c r="D58" s="817"/>
    </row>
    <row r="59" ht="15.75" customHeight="1">
      <c r="A59" s="782"/>
      <c r="B59" s="816"/>
      <c r="C59" s="817"/>
      <c r="D59" s="817"/>
    </row>
    <row r="60" ht="15.75" customHeight="1">
      <c r="A60" s="782"/>
      <c r="B60" s="816"/>
      <c r="C60" s="817"/>
      <c r="D60" s="817"/>
    </row>
    <row r="61" ht="15.75" customHeight="1">
      <c r="A61" s="782"/>
      <c r="B61" s="816"/>
      <c r="C61" s="817"/>
      <c r="D61" s="817"/>
    </row>
    <row r="62" ht="15.75" customHeight="1">
      <c r="A62" s="782"/>
      <c r="B62" s="816"/>
      <c r="C62" s="817"/>
      <c r="D62" s="817"/>
    </row>
    <row r="63" ht="15.75" customHeight="1">
      <c r="A63" s="782"/>
      <c r="B63" s="816"/>
      <c r="C63" s="817"/>
      <c r="D63" s="817"/>
    </row>
    <row r="64" ht="15.75" customHeight="1">
      <c r="A64" s="782"/>
      <c r="B64" s="816"/>
      <c r="C64" s="817"/>
      <c r="D64" s="817"/>
    </row>
    <row r="65" ht="15.75" customHeight="1">
      <c r="A65" s="782"/>
      <c r="B65" s="816"/>
      <c r="C65" s="817"/>
      <c r="D65" s="817"/>
    </row>
    <row r="66" ht="15.75" customHeight="1">
      <c r="A66" s="782"/>
      <c r="B66" s="816"/>
      <c r="C66" s="817"/>
      <c r="D66" s="817"/>
    </row>
    <row r="67" ht="15.75" customHeight="1">
      <c r="A67" s="782"/>
      <c r="B67" s="816"/>
      <c r="C67" s="817"/>
      <c r="D67" s="817"/>
    </row>
    <row r="68" ht="15.75" customHeight="1">
      <c r="A68" s="782"/>
      <c r="B68" s="816"/>
      <c r="C68" s="817"/>
      <c r="D68" s="817"/>
    </row>
    <row r="69" ht="15.75" customHeight="1">
      <c r="A69" s="782"/>
      <c r="B69" s="816"/>
      <c r="C69" s="817"/>
      <c r="D69" s="817"/>
    </row>
    <row r="70" ht="15.75" customHeight="1">
      <c r="A70" s="782"/>
      <c r="B70" s="816"/>
      <c r="C70" s="817"/>
      <c r="D70" s="817"/>
    </row>
    <row r="71" ht="15.75" customHeight="1">
      <c r="A71" s="782"/>
      <c r="B71" s="816"/>
      <c r="C71" s="817"/>
      <c r="D71" s="817"/>
    </row>
    <row r="72" ht="15.75" customHeight="1">
      <c r="A72" s="782"/>
      <c r="B72" s="816"/>
      <c r="C72" s="817"/>
      <c r="D72" s="817"/>
    </row>
    <row r="73" ht="15.75" customHeight="1">
      <c r="A73" s="782"/>
      <c r="B73" s="816"/>
      <c r="C73" s="817"/>
      <c r="D73" s="817"/>
    </row>
    <row r="74" ht="15.75" customHeight="1">
      <c r="A74" s="782"/>
      <c r="B74" s="816"/>
      <c r="C74" s="817"/>
      <c r="D74" s="817"/>
    </row>
    <row r="75" ht="15.75" customHeight="1">
      <c r="A75" s="782"/>
      <c r="B75" s="816"/>
      <c r="C75" s="817"/>
      <c r="D75" s="817"/>
    </row>
    <row r="76" ht="15.75" customHeight="1">
      <c r="A76" s="782"/>
      <c r="B76" s="816"/>
      <c r="C76" s="817"/>
      <c r="D76" s="817"/>
    </row>
    <row r="77" ht="15.75" customHeight="1">
      <c r="A77" s="782"/>
      <c r="B77" s="816"/>
      <c r="C77" s="817"/>
      <c r="D77" s="817"/>
    </row>
    <row r="78" ht="15.75" customHeight="1">
      <c r="A78" s="782"/>
      <c r="B78" s="816"/>
      <c r="C78" s="817"/>
      <c r="D78" s="817"/>
    </row>
    <row r="79" ht="15.75" customHeight="1">
      <c r="A79" s="782"/>
      <c r="B79" s="816"/>
      <c r="C79" s="817"/>
      <c r="D79" s="817"/>
    </row>
    <row r="80" ht="15.75" customHeight="1">
      <c r="A80" s="782"/>
      <c r="B80" s="816"/>
      <c r="C80" s="817"/>
      <c r="D80" s="817"/>
    </row>
    <row r="81" ht="15.75" customHeight="1">
      <c r="A81" s="782"/>
      <c r="B81" s="816"/>
      <c r="C81" s="817"/>
      <c r="D81" s="817"/>
    </row>
    <row r="82" ht="15.75" customHeight="1">
      <c r="A82" s="782"/>
      <c r="B82" s="816"/>
      <c r="C82" s="817"/>
      <c r="D82" s="817"/>
    </row>
    <row r="83" ht="15.75" customHeight="1">
      <c r="A83" s="782"/>
      <c r="B83" s="816"/>
      <c r="C83" s="817"/>
      <c r="D83" s="817"/>
    </row>
    <row r="84" ht="15.75" customHeight="1">
      <c r="A84" s="782"/>
      <c r="B84" s="816"/>
      <c r="C84" s="817"/>
      <c r="D84" s="817"/>
    </row>
    <row r="85" ht="15.75" customHeight="1">
      <c r="A85" s="782"/>
      <c r="B85" s="816"/>
      <c r="C85" s="817"/>
      <c r="D85" s="817"/>
    </row>
    <row r="86" ht="15.75" customHeight="1">
      <c r="A86" s="782"/>
      <c r="B86" s="816"/>
      <c r="C86" s="817"/>
      <c r="D86" s="817"/>
    </row>
    <row r="87" ht="15.75" customHeight="1">
      <c r="A87" s="782"/>
      <c r="B87" s="816"/>
      <c r="C87" s="817"/>
      <c r="D87" s="817"/>
    </row>
    <row r="88" ht="15.75" customHeight="1">
      <c r="A88" s="782"/>
      <c r="B88" s="816"/>
      <c r="C88" s="817"/>
      <c r="D88" s="817"/>
    </row>
    <row r="89" ht="15.75" customHeight="1">
      <c r="A89" s="782"/>
      <c r="B89" s="816"/>
      <c r="C89" s="817"/>
      <c r="D89" s="817"/>
    </row>
    <row r="90" ht="15.75" customHeight="1">
      <c r="A90" s="782"/>
      <c r="B90" s="816"/>
      <c r="C90" s="817"/>
      <c r="D90" s="817"/>
    </row>
    <row r="91" ht="15.75" customHeight="1">
      <c r="A91" s="782"/>
      <c r="B91" s="816"/>
      <c r="C91" s="817"/>
      <c r="D91" s="817"/>
    </row>
    <row r="92" ht="15.75" customHeight="1">
      <c r="A92" s="782"/>
      <c r="B92" s="816"/>
      <c r="C92" s="817"/>
      <c r="D92" s="817"/>
    </row>
    <row r="93" ht="15.75" customHeight="1">
      <c r="A93" s="782"/>
      <c r="B93" s="816"/>
      <c r="C93" s="817"/>
      <c r="D93" s="817"/>
    </row>
    <row r="94" ht="15.75" customHeight="1">
      <c r="A94" s="782"/>
      <c r="B94" s="816"/>
      <c r="C94" s="817"/>
      <c r="D94" s="817"/>
    </row>
    <row r="95" ht="15.75" customHeight="1">
      <c r="A95" s="782"/>
      <c r="B95" s="816"/>
      <c r="C95" s="817"/>
      <c r="D95" s="817"/>
    </row>
    <row r="96" ht="15.75" customHeight="1">
      <c r="A96" s="782"/>
      <c r="B96" s="816"/>
      <c r="C96" s="817"/>
      <c r="D96" s="817"/>
    </row>
    <row r="97" ht="15.75" customHeight="1">
      <c r="A97" s="782"/>
      <c r="B97" s="816"/>
      <c r="C97" s="817"/>
      <c r="D97" s="817"/>
    </row>
    <row r="98" ht="15.75" customHeight="1">
      <c r="A98" s="782"/>
      <c r="B98" s="816"/>
      <c r="C98" s="817"/>
      <c r="D98" s="817"/>
    </row>
    <row r="99" ht="15.75" customHeight="1">
      <c r="A99" s="782"/>
      <c r="B99" s="816"/>
      <c r="C99" s="817"/>
      <c r="D99" s="817"/>
    </row>
    <row r="100" ht="15.75" customHeight="1">
      <c r="A100" s="782"/>
      <c r="B100" s="816"/>
      <c r="C100" s="817"/>
      <c r="D100" s="817"/>
    </row>
    <row r="101" ht="15.75" customHeight="1">
      <c r="A101" s="782"/>
      <c r="B101" s="816"/>
      <c r="C101" s="817"/>
      <c r="D101" s="817"/>
    </row>
    <row r="102" ht="15.75" customHeight="1">
      <c r="A102" s="782"/>
      <c r="B102" s="816"/>
      <c r="C102" s="817"/>
      <c r="D102" s="817"/>
    </row>
    <row r="103" ht="15.75" customHeight="1">
      <c r="A103" s="782"/>
      <c r="B103" s="816"/>
      <c r="C103" s="817"/>
      <c r="D103" s="817"/>
    </row>
    <row r="104" ht="15.75" customHeight="1">
      <c r="A104" s="782"/>
      <c r="B104" s="816"/>
      <c r="C104" s="817"/>
      <c r="D104" s="817"/>
    </row>
    <row r="105" ht="15.75" customHeight="1">
      <c r="A105" s="782"/>
      <c r="B105" s="816"/>
      <c r="C105" s="817"/>
      <c r="D105" s="817"/>
    </row>
    <row r="106" ht="15.75" customHeight="1">
      <c r="A106" s="782"/>
      <c r="B106" s="816"/>
      <c r="C106" s="817"/>
      <c r="D106" s="817"/>
    </row>
    <row r="107" ht="15.75" customHeight="1">
      <c r="A107" s="782"/>
      <c r="B107" s="816"/>
      <c r="C107" s="817"/>
      <c r="D107" s="817"/>
    </row>
    <row r="108" ht="15.75" customHeight="1">
      <c r="A108" s="782"/>
      <c r="B108" s="816"/>
      <c r="C108" s="817"/>
      <c r="D108" s="817"/>
    </row>
    <row r="109" ht="15.75" customHeight="1">
      <c r="A109" s="782"/>
      <c r="B109" s="816"/>
      <c r="C109" s="817"/>
      <c r="D109" s="817"/>
    </row>
    <row r="110" ht="15.75" customHeight="1">
      <c r="A110" s="782"/>
      <c r="B110" s="816"/>
      <c r="C110" s="817"/>
      <c r="D110" s="817"/>
    </row>
    <row r="111" ht="15.75" customHeight="1">
      <c r="A111" s="782"/>
      <c r="B111" s="816"/>
      <c r="C111" s="817"/>
      <c r="D111" s="817"/>
    </row>
    <row r="112" ht="15.75" customHeight="1">
      <c r="A112" s="782"/>
      <c r="B112" s="816"/>
      <c r="C112" s="817"/>
      <c r="D112" s="817"/>
    </row>
    <row r="113" ht="15.75" customHeight="1">
      <c r="A113" s="782"/>
      <c r="B113" s="816"/>
      <c r="C113" s="817"/>
      <c r="D113" s="817"/>
    </row>
    <row r="114" ht="15.75" customHeight="1">
      <c r="A114" s="782"/>
      <c r="B114" s="816"/>
      <c r="C114" s="817"/>
      <c r="D114" s="817"/>
    </row>
    <row r="115" ht="15.75" customHeight="1">
      <c r="A115" s="782"/>
      <c r="B115" s="816"/>
      <c r="C115" s="817"/>
      <c r="D115" s="817"/>
    </row>
    <row r="116" ht="15.75" customHeight="1">
      <c r="A116" s="782"/>
      <c r="B116" s="816"/>
      <c r="C116" s="817"/>
      <c r="D116" s="817"/>
    </row>
    <row r="117" ht="15.75" customHeight="1">
      <c r="A117" s="782"/>
      <c r="B117" s="816"/>
      <c r="C117" s="817"/>
      <c r="D117" s="817"/>
    </row>
    <row r="118" ht="15.75" customHeight="1">
      <c r="A118" s="782"/>
      <c r="B118" s="816"/>
      <c r="C118" s="817"/>
      <c r="D118" s="817"/>
    </row>
    <row r="119" ht="15.75" customHeight="1">
      <c r="A119" s="782"/>
      <c r="B119" s="816"/>
      <c r="C119" s="817"/>
      <c r="D119" s="817"/>
    </row>
    <row r="120" ht="15.75" customHeight="1">
      <c r="A120" s="782"/>
      <c r="B120" s="816"/>
      <c r="C120" s="817"/>
      <c r="D120" s="817"/>
    </row>
    <row r="121" ht="15.75" customHeight="1">
      <c r="A121" s="782"/>
      <c r="B121" s="816"/>
      <c r="C121" s="817"/>
      <c r="D121" s="817"/>
    </row>
    <row r="122" ht="15.75" customHeight="1">
      <c r="A122" s="782"/>
      <c r="B122" s="816"/>
      <c r="C122" s="817"/>
      <c r="D122" s="817"/>
    </row>
    <row r="123" ht="15.75" customHeight="1">
      <c r="A123" s="782"/>
      <c r="B123" s="816"/>
      <c r="C123" s="817"/>
      <c r="D123" s="817"/>
    </row>
    <row r="124" ht="15.75" customHeight="1">
      <c r="A124" s="782"/>
      <c r="B124" s="816"/>
      <c r="C124" s="817"/>
      <c r="D124" s="817"/>
    </row>
    <row r="125" ht="15.75" customHeight="1">
      <c r="A125" s="782"/>
      <c r="B125" s="816"/>
      <c r="C125" s="817"/>
      <c r="D125" s="817"/>
    </row>
    <row r="126" ht="15.75" customHeight="1">
      <c r="A126" s="782"/>
      <c r="B126" s="816"/>
      <c r="C126" s="817"/>
      <c r="D126" s="817"/>
    </row>
    <row r="127" ht="15.75" customHeight="1">
      <c r="A127" s="782"/>
      <c r="B127" s="816"/>
      <c r="C127" s="817"/>
      <c r="D127" s="817"/>
    </row>
    <row r="128" ht="15.75" customHeight="1">
      <c r="A128" s="782"/>
      <c r="B128" s="816"/>
      <c r="C128" s="817"/>
      <c r="D128" s="817"/>
    </row>
    <row r="129" ht="15.75" customHeight="1">
      <c r="A129" s="782"/>
      <c r="B129" s="816"/>
      <c r="C129" s="817"/>
      <c r="D129" s="817"/>
    </row>
    <row r="130" ht="15.75" customHeight="1">
      <c r="A130" s="782"/>
      <c r="B130" s="816"/>
      <c r="C130" s="817"/>
      <c r="D130" s="817"/>
    </row>
    <row r="131" ht="15.75" customHeight="1">
      <c r="A131" s="782"/>
      <c r="B131" s="816"/>
      <c r="C131" s="817"/>
      <c r="D131" s="817"/>
    </row>
    <row r="132" ht="15.75" customHeight="1">
      <c r="A132" s="782"/>
      <c r="B132" s="816"/>
      <c r="C132" s="817"/>
      <c r="D132" s="817"/>
    </row>
    <row r="133" ht="15.75" customHeight="1">
      <c r="A133" s="782"/>
      <c r="B133" s="816"/>
      <c r="C133" s="817"/>
      <c r="D133" s="817"/>
    </row>
    <row r="134" ht="15.75" customHeight="1">
      <c r="A134" s="782"/>
      <c r="B134" s="816"/>
      <c r="C134" s="817"/>
      <c r="D134" s="817"/>
    </row>
    <row r="135" ht="15.75" customHeight="1">
      <c r="A135" s="782"/>
      <c r="B135" s="816"/>
      <c r="C135" s="817"/>
      <c r="D135" s="817"/>
    </row>
    <row r="136" ht="15.75" customHeight="1">
      <c r="A136" s="782"/>
      <c r="B136" s="816"/>
      <c r="C136" s="817"/>
      <c r="D136" s="817"/>
    </row>
    <row r="137" ht="15.75" customHeight="1">
      <c r="A137" s="782"/>
      <c r="B137" s="816"/>
      <c r="C137" s="817"/>
      <c r="D137" s="817"/>
    </row>
    <row r="138" ht="15.75" customHeight="1">
      <c r="A138" s="782"/>
      <c r="B138" s="816"/>
      <c r="C138" s="817"/>
      <c r="D138" s="817"/>
    </row>
    <row r="139" ht="15.75" customHeight="1">
      <c r="A139" s="782"/>
      <c r="B139" s="816"/>
      <c r="C139" s="817"/>
      <c r="D139" s="817"/>
    </row>
    <row r="140" ht="15.75" customHeight="1">
      <c r="A140" s="782"/>
      <c r="B140" s="816"/>
      <c r="C140" s="817"/>
      <c r="D140" s="817"/>
    </row>
    <row r="141" ht="15.75" customHeight="1">
      <c r="A141" s="782"/>
      <c r="B141" s="816"/>
      <c r="C141" s="817"/>
      <c r="D141" s="817"/>
    </row>
    <row r="142" ht="15.75" customHeight="1">
      <c r="A142" s="782"/>
      <c r="B142" s="816"/>
      <c r="C142" s="817"/>
      <c r="D142" s="817"/>
    </row>
    <row r="143" ht="15.75" customHeight="1">
      <c r="A143" s="782"/>
      <c r="B143" s="816"/>
      <c r="C143" s="817"/>
      <c r="D143" s="817"/>
    </row>
    <row r="144" ht="15.75" customHeight="1">
      <c r="A144" s="782"/>
      <c r="B144" s="816"/>
      <c r="C144" s="817"/>
      <c r="D144" s="817"/>
    </row>
    <row r="145" ht="15.75" customHeight="1">
      <c r="A145" s="782"/>
      <c r="B145" s="816"/>
      <c r="C145" s="817"/>
      <c r="D145" s="817"/>
    </row>
    <row r="146" ht="15.75" customHeight="1">
      <c r="A146" s="782"/>
      <c r="B146" s="816"/>
      <c r="C146" s="817"/>
      <c r="D146" s="817"/>
    </row>
    <row r="147" ht="15.75" customHeight="1">
      <c r="A147" s="782"/>
      <c r="B147" s="816"/>
      <c r="C147" s="817"/>
      <c r="D147" s="817"/>
    </row>
    <row r="148" ht="15.75" customHeight="1">
      <c r="A148" s="782"/>
      <c r="B148" s="816"/>
      <c r="C148" s="817"/>
      <c r="D148" s="817"/>
    </row>
    <row r="149" ht="15.75" customHeight="1">
      <c r="A149" s="782"/>
      <c r="B149" s="816"/>
      <c r="C149" s="817"/>
      <c r="D149" s="817"/>
    </row>
    <row r="150" ht="15.75" customHeight="1">
      <c r="A150" s="782"/>
      <c r="B150" s="816"/>
      <c r="C150" s="817"/>
      <c r="D150" s="817"/>
    </row>
    <row r="151" ht="15.75" customHeight="1">
      <c r="A151" s="782"/>
      <c r="B151" s="816"/>
      <c r="C151" s="817"/>
      <c r="D151" s="817"/>
    </row>
    <row r="152" ht="15.75" customHeight="1">
      <c r="A152" s="782"/>
      <c r="B152" s="816"/>
      <c r="C152" s="817"/>
      <c r="D152" s="817"/>
    </row>
    <row r="153" ht="15.75" customHeight="1">
      <c r="A153" s="782"/>
      <c r="B153" s="816"/>
      <c r="C153" s="817"/>
      <c r="D153" s="817"/>
    </row>
    <row r="154" ht="15.75" customHeight="1">
      <c r="A154" s="782"/>
      <c r="B154" s="816"/>
      <c r="C154" s="817"/>
      <c r="D154" s="817"/>
    </row>
    <row r="155" ht="15.75" customHeight="1">
      <c r="A155" s="782"/>
      <c r="B155" s="816"/>
      <c r="C155" s="817"/>
      <c r="D155" s="817"/>
    </row>
    <row r="156" ht="15.75" customHeight="1">
      <c r="A156" s="782"/>
      <c r="B156" s="816"/>
      <c r="C156" s="817"/>
      <c r="D156" s="817"/>
    </row>
    <row r="157" ht="15.75" customHeight="1">
      <c r="A157" s="782"/>
      <c r="B157" s="816"/>
      <c r="C157" s="817"/>
      <c r="D157" s="817"/>
    </row>
    <row r="158" ht="15.75" customHeight="1">
      <c r="A158" s="782"/>
      <c r="B158" s="816"/>
      <c r="C158" s="817"/>
      <c r="D158" s="817"/>
    </row>
    <row r="159" ht="15.75" customHeight="1">
      <c r="A159" s="782"/>
      <c r="B159" s="816"/>
      <c r="C159" s="817"/>
      <c r="D159" s="817"/>
    </row>
    <row r="160" ht="15.75" customHeight="1">
      <c r="A160" s="782"/>
      <c r="B160" s="816"/>
      <c r="C160" s="817"/>
      <c r="D160" s="817"/>
    </row>
    <row r="161" ht="15.75" customHeight="1">
      <c r="A161" s="782"/>
      <c r="B161" s="816"/>
      <c r="C161" s="817"/>
      <c r="D161" s="817"/>
    </row>
    <row r="162" ht="15.75" customHeight="1">
      <c r="A162" s="782"/>
      <c r="B162" s="816"/>
      <c r="C162" s="817"/>
      <c r="D162" s="817"/>
    </row>
    <row r="163" ht="15.75" customHeight="1">
      <c r="A163" s="782"/>
      <c r="B163" s="816"/>
      <c r="C163" s="817"/>
      <c r="D163" s="817"/>
    </row>
    <row r="164" ht="15.75" customHeight="1">
      <c r="A164" s="782"/>
      <c r="B164" s="816"/>
      <c r="C164" s="817"/>
      <c r="D164" s="817"/>
    </row>
    <row r="165" ht="15.75" customHeight="1">
      <c r="A165" s="782"/>
      <c r="B165" s="816"/>
      <c r="C165" s="817"/>
      <c r="D165" s="817"/>
    </row>
    <row r="166" ht="15.75" customHeight="1">
      <c r="A166" s="782"/>
      <c r="B166" s="816"/>
      <c r="C166" s="817"/>
      <c r="D166" s="817"/>
    </row>
    <row r="167" ht="15.75" customHeight="1">
      <c r="A167" s="782"/>
      <c r="B167" s="816"/>
      <c r="C167" s="817"/>
      <c r="D167" s="817"/>
    </row>
    <row r="168" ht="15.75" customHeight="1">
      <c r="A168" s="782"/>
      <c r="B168" s="816"/>
      <c r="C168" s="817"/>
      <c r="D168" s="817"/>
    </row>
    <row r="169" ht="15.75" customHeight="1">
      <c r="A169" s="782"/>
      <c r="B169" s="816"/>
      <c r="C169" s="817"/>
      <c r="D169" s="817"/>
    </row>
    <row r="170" ht="15.75" customHeight="1">
      <c r="A170" s="782"/>
      <c r="B170" s="816"/>
      <c r="C170" s="817"/>
      <c r="D170" s="817"/>
    </row>
    <row r="171" ht="15.75" customHeight="1">
      <c r="A171" s="782"/>
      <c r="B171" s="816"/>
      <c r="C171" s="817"/>
      <c r="D171" s="817"/>
    </row>
    <row r="172" ht="15.75" customHeight="1">
      <c r="A172" s="782"/>
      <c r="B172" s="816"/>
      <c r="C172" s="817"/>
      <c r="D172" s="817"/>
    </row>
    <row r="173" ht="15.75" customHeight="1">
      <c r="A173" s="782"/>
      <c r="B173" s="816"/>
      <c r="C173" s="817"/>
      <c r="D173" s="817"/>
    </row>
    <row r="174" ht="15.75" customHeight="1">
      <c r="A174" s="782"/>
      <c r="B174" s="816"/>
      <c r="C174" s="817"/>
      <c r="D174" s="817"/>
    </row>
    <row r="175" ht="15.75" customHeight="1">
      <c r="A175" s="782"/>
      <c r="B175" s="816"/>
      <c r="C175" s="817"/>
      <c r="D175" s="817"/>
    </row>
    <row r="176" ht="15.75" customHeight="1">
      <c r="A176" s="782"/>
      <c r="B176" s="816"/>
      <c r="C176" s="817"/>
      <c r="D176" s="817"/>
    </row>
    <row r="177" ht="15.75" customHeight="1">
      <c r="A177" s="782"/>
      <c r="B177" s="816"/>
      <c r="C177" s="817"/>
      <c r="D177" s="817"/>
    </row>
    <row r="178" ht="15.75" customHeight="1">
      <c r="A178" s="782"/>
      <c r="B178" s="816"/>
      <c r="C178" s="817"/>
      <c r="D178" s="817"/>
    </row>
    <row r="179" ht="15.75" customHeight="1">
      <c r="A179" s="782"/>
      <c r="B179" s="816"/>
      <c r="C179" s="817"/>
      <c r="D179" s="817"/>
    </row>
    <row r="180" ht="15.75" customHeight="1">
      <c r="A180" s="782"/>
      <c r="B180" s="816"/>
      <c r="C180" s="817"/>
      <c r="D180" s="817"/>
    </row>
    <row r="181" ht="15.75" customHeight="1">
      <c r="A181" s="782"/>
      <c r="B181" s="816"/>
      <c r="C181" s="817"/>
      <c r="D181" s="817"/>
    </row>
    <row r="182" ht="15.75" customHeight="1">
      <c r="A182" s="782"/>
      <c r="B182" s="816"/>
      <c r="C182" s="817"/>
      <c r="D182" s="817"/>
    </row>
    <row r="183" ht="15.75" customHeight="1">
      <c r="A183" s="782"/>
      <c r="B183" s="816"/>
      <c r="C183" s="817"/>
      <c r="D183" s="817"/>
    </row>
    <row r="184" ht="15.75" customHeight="1">
      <c r="A184" s="782"/>
      <c r="B184" s="816"/>
      <c r="C184" s="817"/>
      <c r="D184" s="817"/>
    </row>
    <row r="185" ht="15.75" customHeight="1">
      <c r="A185" s="782"/>
      <c r="B185" s="816"/>
      <c r="C185" s="817"/>
      <c r="D185" s="817"/>
    </row>
    <row r="186" ht="15.75" customHeight="1">
      <c r="A186" s="782"/>
      <c r="B186" s="816"/>
      <c r="C186" s="817"/>
      <c r="D186" s="817"/>
    </row>
    <row r="187" ht="15.75" customHeight="1">
      <c r="A187" s="782"/>
      <c r="B187" s="816"/>
      <c r="C187" s="817"/>
      <c r="D187" s="817"/>
    </row>
    <row r="188" ht="15.75" customHeight="1">
      <c r="A188" s="782"/>
      <c r="B188" s="816"/>
      <c r="C188" s="817"/>
      <c r="D188" s="817"/>
    </row>
    <row r="189" ht="15.75" customHeight="1">
      <c r="A189" s="782"/>
      <c r="B189" s="816"/>
      <c r="C189" s="817"/>
      <c r="D189" s="817"/>
    </row>
    <row r="190" ht="15.75" customHeight="1">
      <c r="A190" s="782"/>
      <c r="B190" s="816"/>
      <c r="C190" s="817"/>
      <c r="D190" s="817"/>
    </row>
    <row r="191" ht="15.75" customHeight="1">
      <c r="A191" s="782"/>
      <c r="B191" s="816"/>
      <c r="C191" s="817"/>
      <c r="D191" s="817"/>
    </row>
    <row r="192" ht="15.75" customHeight="1">
      <c r="A192" s="782"/>
      <c r="B192" s="816"/>
      <c r="C192" s="817"/>
      <c r="D192" s="817"/>
    </row>
    <row r="193" ht="15.75" customHeight="1">
      <c r="A193" s="782"/>
      <c r="B193" s="816"/>
      <c r="C193" s="817"/>
      <c r="D193" s="817"/>
    </row>
    <row r="194" ht="15.75" customHeight="1">
      <c r="A194" s="782"/>
      <c r="B194" s="816"/>
      <c r="C194" s="817"/>
      <c r="D194" s="817"/>
    </row>
    <row r="195" ht="15.75" customHeight="1">
      <c r="A195" s="782"/>
      <c r="B195" s="816"/>
      <c r="C195" s="817"/>
      <c r="D195" s="817"/>
    </row>
    <row r="196" ht="15.75" customHeight="1">
      <c r="A196" s="782"/>
      <c r="B196" s="816"/>
      <c r="C196" s="817"/>
      <c r="D196" s="817"/>
    </row>
    <row r="197" ht="15.75" customHeight="1">
      <c r="A197" s="782"/>
      <c r="B197" s="816"/>
      <c r="C197" s="817"/>
      <c r="D197" s="817"/>
    </row>
    <row r="198" ht="15.75" customHeight="1">
      <c r="A198" s="782"/>
      <c r="B198" s="816"/>
      <c r="C198" s="817"/>
      <c r="D198" s="817"/>
    </row>
    <row r="199" ht="15.75" customHeight="1">
      <c r="A199" s="782"/>
      <c r="B199" s="816"/>
      <c r="C199" s="817"/>
      <c r="D199" s="817"/>
    </row>
    <row r="200" ht="15.75" customHeight="1">
      <c r="A200" s="782"/>
      <c r="B200" s="816"/>
      <c r="C200" s="817"/>
      <c r="D200" s="817"/>
    </row>
    <row r="201" ht="15.75" customHeight="1">
      <c r="A201" s="782"/>
      <c r="B201" s="816"/>
      <c r="C201" s="817"/>
      <c r="D201" s="817"/>
    </row>
    <row r="202" ht="15.75" customHeight="1">
      <c r="A202" s="782"/>
      <c r="B202" s="816"/>
      <c r="C202" s="817"/>
      <c r="D202" s="817"/>
    </row>
    <row r="203" ht="15.75" customHeight="1">
      <c r="A203" s="782"/>
      <c r="B203" s="816"/>
      <c r="C203" s="817"/>
      <c r="D203" s="817"/>
    </row>
    <row r="204" ht="15.75" customHeight="1">
      <c r="A204" s="782"/>
      <c r="B204" s="816"/>
      <c r="C204" s="817"/>
      <c r="D204" s="817"/>
    </row>
    <row r="205" ht="15.75" customHeight="1">
      <c r="A205" s="782"/>
      <c r="B205" s="816"/>
      <c r="C205" s="817"/>
      <c r="D205" s="817"/>
    </row>
    <row r="206" ht="15.75" customHeight="1">
      <c r="A206" s="782"/>
      <c r="B206" s="816"/>
      <c r="C206" s="817"/>
      <c r="D206" s="817"/>
    </row>
    <row r="207" ht="15.75" customHeight="1">
      <c r="A207" s="782"/>
      <c r="B207" s="816"/>
      <c r="C207" s="817"/>
      <c r="D207" s="817"/>
    </row>
    <row r="208" ht="15.75" customHeight="1">
      <c r="A208" s="782"/>
      <c r="B208" s="816"/>
      <c r="C208" s="817"/>
      <c r="D208" s="817"/>
    </row>
    <row r="209" ht="15.75" customHeight="1">
      <c r="A209" s="782"/>
      <c r="B209" s="816"/>
      <c r="C209" s="817"/>
      <c r="D209" s="817"/>
    </row>
    <row r="210" ht="15.75" customHeight="1">
      <c r="A210" s="782"/>
      <c r="B210" s="816"/>
      <c r="C210" s="817"/>
      <c r="D210" s="817"/>
    </row>
    <row r="211" ht="15.75" customHeight="1">
      <c r="A211" s="782"/>
      <c r="B211" s="816"/>
      <c r="C211" s="817"/>
      <c r="D211" s="817"/>
    </row>
    <row r="212" ht="15.75" customHeight="1">
      <c r="A212" s="782"/>
      <c r="B212" s="816"/>
      <c r="C212" s="817"/>
      <c r="D212" s="817"/>
    </row>
    <row r="213" ht="15.75" customHeight="1">
      <c r="A213" s="782"/>
      <c r="B213" s="816"/>
      <c r="C213" s="817"/>
      <c r="D213" s="817"/>
    </row>
    <row r="214" ht="15.75" customHeight="1">
      <c r="A214" s="782"/>
      <c r="B214" s="816"/>
      <c r="C214" s="817"/>
      <c r="D214" s="817"/>
    </row>
    <row r="215" ht="15.75" customHeight="1">
      <c r="A215" s="782"/>
      <c r="B215" s="816"/>
      <c r="C215" s="817"/>
      <c r="D215" s="817"/>
    </row>
    <row r="216" ht="15.75" customHeight="1">
      <c r="A216" s="782"/>
      <c r="B216" s="816"/>
      <c r="C216" s="817"/>
      <c r="D216" s="817"/>
    </row>
    <row r="217" ht="15.75" customHeight="1">
      <c r="A217" s="782"/>
      <c r="B217" s="816"/>
      <c r="C217" s="817"/>
      <c r="D217" s="817"/>
    </row>
    <row r="218" ht="15.75" customHeight="1">
      <c r="A218" s="782"/>
      <c r="B218" s="816"/>
      <c r="C218" s="817"/>
      <c r="D218" s="817"/>
    </row>
    <row r="219" ht="15.75" customHeight="1">
      <c r="A219" s="782"/>
      <c r="B219" s="816"/>
      <c r="C219" s="817"/>
      <c r="D219" s="817"/>
    </row>
    <row r="220" ht="15.75" customHeight="1">
      <c r="A220" s="782"/>
      <c r="B220" s="816"/>
      <c r="C220" s="817"/>
      <c r="D220" s="817"/>
    </row>
    <row r="221" ht="15.75" customHeight="1">
      <c r="A221" s="782"/>
      <c r="B221" s="816"/>
      <c r="C221" s="817"/>
      <c r="D221" s="817"/>
    </row>
    <row r="222" ht="15.75" customHeight="1">
      <c r="A222" s="782"/>
      <c r="B222" s="816"/>
      <c r="C222" s="817"/>
      <c r="D222" s="817"/>
    </row>
    <row r="223" ht="15.75" customHeight="1">
      <c r="A223" s="782"/>
      <c r="B223" s="816"/>
      <c r="C223" s="817"/>
      <c r="D223" s="817"/>
    </row>
    <row r="224" ht="15.75" customHeight="1">
      <c r="A224" s="782"/>
      <c r="B224" s="816"/>
      <c r="C224" s="817"/>
      <c r="D224" s="817"/>
    </row>
    <row r="225" ht="15.75" customHeight="1">
      <c r="A225" s="782"/>
      <c r="B225" s="816"/>
      <c r="C225" s="817"/>
      <c r="D225" s="817"/>
    </row>
    <row r="226" ht="15.75" customHeight="1">
      <c r="A226" s="782"/>
      <c r="B226" s="816"/>
      <c r="C226" s="817"/>
      <c r="D226" s="817"/>
    </row>
    <row r="227" ht="15.75" customHeight="1">
      <c r="A227" s="782"/>
      <c r="B227" s="816"/>
      <c r="C227" s="817"/>
      <c r="D227" s="817"/>
    </row>
    <row r="228" ht="15.75" customHeight="1">
      <c r="A228" s="782"/>
      <c r="B228" s="816"/>
      <c r="C228" s="817"/>
      <c r="D228" s="817"/>
    </row>
    <row r="229" ht="15.75" customHeight="1">
      <c r="A229" s="782"/>
      <c r="B229" s="816"/>
      <c r="C229" s="817"/>
      <c r="D229" s="817"/>
    </row>
    <row r="230" ht="15.75" customHeight="1">
      <c r="A230" s="782"/>
      <c r="B230" s="816"/>
      <c r="C230" s="817"/>
      <c r="D230" s="817"/>
    </row>
    <row r="231" ht="15.75" customHeight="1">
      <c r="A231" s="782"/>
      <c r="B231" s="816"/>
      <c r="C231" s="817"/>
      <c r="D231" s="817"/>
    </row>
    <row r="232" ht="15.75" customHeight="1">
      <c r="A232" s="782"/>
      <c r="B232" s="816"/>
      <c r="C232" s="817"/>
      <c r="D232" s="817"/>
    </row>
    <row r="233" ht="15.75" customHeight="1">
      <c r="A233" s="782"/>
      <c r="B233" s="816"/>
      <c r="C233" s="817"/>
      <c r="D233" s="817"/>
    </row>
    <row r="234" ht="15.75" customHeight="1">
      <c r="A234" s="782"/>
      <c r="B234" s="816"/>
      <c r="C234" s="817"/>
      <c r="D234" s="817"/>
    </row>
    <row r="235" ht="15.75" customHeight="1">
      <c r="A235" s="782"/>
      <c r="B235" s="816"/>
      <c r="C235" s="817"/>
      <c r="D235" s="817"/>
    </row>
    <row r="236" ht="15.75" customHeight="1">
      <c r="A236" s="782"/>
      <c r="B236" s="816"/>
      <c r="C236" s="817"/>
      <c r="D236" s="817"/>
    </row>
    <row r="237" ht="15.75" customHeight="1">
      <c r="A237" s="782"/>
      <c r="B237" s="816"/>
      <c r="C237" s="817"/>
      <c r="D237" s="817"/>
    </row>
    <row r="238" ht="15.75" customHeight="1">
      <c r="A238" s="782"/>
      <c r="B238" s="816"/>
      <c r="C238" s="817"/>
      <c r="D238" s="817"/>
    </row>
    <row r="239" ht="15.75" customHeight="1">
      <c r="A239" s="782"/>
      <c r="B239" s="816"/>
      <c r="C239" s="817"/>
      <c r="D239" s="817"/>
    </row>
    <row r="240" ht="15.75" customHeight="1">
      <c r="A240" s="782"/>
      <c r="B240" s="816"/>
      <c r="C240" s="817"/>
      <c r="D240" s="817"/>
    </row>
    <row r="241" ht="15.75" customHeight="1">
      <c r="A241" s="782"/>
      <c r="B241" s="816"/>
      <c r="C241" s="817"/>
      <c r="D241" s="817"/>
    </row>
    <row r="242" ht="15.75" customHeight="1">
      <c r="A242" s="782"/>
      <c r="B242" s="816"/>
      <c r="C242" s="817"/>
      <c r="D242" s="817"/>
    </row>
    <row r="243" ht="15.75" customHeight="1">
      <c r="A243" s="782"/>
      <c r="B243" s="816"/>
      <c r="C243" s="817"/>
      <c r="D243" s="817"/>
    </row>
    <row r="244" ht="15.75" customHeight="1">
      <c r="A244" s="782"/>
      <c r="B244" s="816"/>
      <c r="C244" s="817"/>
      <c r="D244" s="817"/>
    </row>
    <row r="245" ht="15.75" customHeight="1">
      <c r="A245" s="782"/>
      <c r="B245" s="816"/>
      <c r="C245" s="817"/>
      <c r="D245" s="817"/>
    </row>
    <row r="246" ht="15.75" customHeight="1">
      <c r="A246" s="782"/>
      <c r="B246" s="816"/>
      <c r="C246" s="817"/>
      <c r="D246" s="817"/>
    </row>
    <row r="247" ht="15.75" customHeight="1">
      <c r="A247" s="782"/>
      <c r="B247" s="816"/>
      <c r="C247" s="817"/>
      <c r="D247" s="817"/>
    </row>
    <row r="248" ht="15.75" customHeight="1">
      <c r="A248" s="782"/>
      <c r="B248" s="816"/>
      <c r="C248" s="817"/>
      <c r="D248" s="817"/>
    </row>
    <row r="249" ht="15.75" customHeight="1">
      <c r="A249" s="782"/>
      <c r="B249" s="816"/>
      <c r="C249" s="817"/>
      <c r="D249" s="817"/>
    </row>
    <row r="250" ht="15.75" customHeight="1">
      <c r="A250" s="782"/>
      <c r="B250" s="816"/>
      <c r="C250" s="817"/>
      <c r="D250" s="817"/>
    </row>
    <row r="251" ht="15.75" customHeight="1">
      <c r="A251" s="782"/>
      <c r="B251" s="816"/>
      <c r="C251" s="817"/>
      <c r="D251" s="817"/>
    </row>
    <row r="252" ht="15.75" customHeight="1">
      <c r="A252" s="782"/>
      <c r="B252" s="816"/>
      <c r="C252" s="817"/>
      <c r="D252" s="817"/>
    </row>
    <row r="253" ht="15.75" customHeight="1">
      <c r="A253" s="782"/>
      <c r="B253" s="816"/>
      <c r="C253" s="817"/>
      <c r="D253" s="817"/>
    </row>
    <row r="254" ht="15.75" customHeight="1">
      <c r="A254" s="782"/>
      <c r="B254" s="816"/>
      <c r="C254" s="817"/>
      <c r="D254" s="817"/>
    </row>
    <row r="255" ht="15.75" customHeight="1">
      <c r="A255" s="782"/>
      <c r="B255" s="816"/>
      <c r="C255" s="817"/>
      <c r="D255" s="817"/>
    </row>
    <row r="256" ht="15.75" customHeight="1">
      <c r="A256" s="782"/>
      <c r="B256" s="816"/>
      <c r="C256" s="817"/>
      <c r="D256" s="817"/>
    </row>
    <row r="257" ht="15.75" customHeight="1">
      <c r="A257" s="782"/>
      <c r="B257" s="816"/>
      <c r="C257" s="817"/>
      <c r="D257" s="817"/>
    </row>
    <row r="258" ht="15.75" customHeight="1">
      <c r="A258" s="782"/>
      <c r="B258" s="816"/>
      <c r="C258" s="817"/>
      <c r="D258" s="817"/>
    </row>
    <row r="259" ht="15.75" customHeight="1">
      <c r="A259" s="782"/>
      <c r="B259" s="816"/>
      <c r="C259" s="817"/>
      <c r="D259" s="817"/>
    </row>
    <row r="260" ht="15.75" customHeight="1">
      <c r="A260" s="782"/>
      <c r="B260" s="816"/>
      <c r="C260" s="817"/>
      <c r="D260" s="817"/>
    </row>
    <row r="261" ht="15.75" customHeight="1">
      <c r="A261" s="782"/>
      <c r="B261" s="816"/>
      <c r="C261" s="817"/>
      <c r="D261" s="817"/>
    </row>
    <row r="262" ht="15.75" customHeight="1">
      <c r="A262" s="782"/>
      <c r="B262" s="816"/>
      <c r="C262" s="817"/>
      <c r="D262" s="817"/>
    </row>
    <row r="263" ht="15.75" customHeight="1">
      <c r="A263" s="782"/>
      <c r="B263" s="816"/>
      <c r="C263" s="817"/>
      <c r="D263" s="817"/>
    </row>
    <row r="264" ht="15.75" customHeight="1">
      <c r="A264" s="782"/>
      <c r="B264" s="816"/>
      <c r="C264" s="817"/>
      <c r="D264" s="817"/>
    </row>
    <row r="265" ht="15.75" customHeight="1">
      <c r="A265" s="782"/>
      <c r="B265" s="816"/>
      <c r="C265" s="817"/>
      <c r="D265" s="817"/>
    </row>
    <row r="266" ht="15.75" customHeight="1">
      <c r="A266" s="782"/>
      <c r="B266" s="816"/>
      <c r="C266" s="817"/>
      <c r="D266" s="817"/>
    </row>
    <row r="267" ht="15.75" customHeight="1">
      <c r="A267" s="782"/>
      <c r="B267" s="816"/>
      <c r="C267" s="817"/>
      <c r="D267" s="817"/>
    </row>
    <row r="268" ht="15.75" customHeight="1">
      <c r="A268" s="782"/>
      <c r="B268" s="816"/>
      <c r="C268" s="817"/>
      <c r="D268" s="817"/>
    </row>
    <row r="269" ht="15.75" customHeight="1">
      <c r="A269" s="782"/>
      <c r="B269" s="816"/>
      <c r="C269" s="817"/>
      <c r="D269" s="817"/>
    </row>
    <row r="270" ht="15.75" customHeight="1">
      <c r="A270" s="782"/>
      <c r="B270" s="816"/>
      <c r="C270" s="817"/>
      <c r="D270" s="817"/>
    </row>
    <row r="271" ht="15.75" customHeight="1">
      <c r="A271" s="782"/>
      <c r="B271" s="816"/>
      <c r="C271" s="817"/>
      <c r="D271" s="817"/>
    </row>
    <row r="272" ht="15.75" customHeight="1">
      <c r="A272" s="782"/>
      <c r="B272" s="816"/>
      <c r="C272" s="817"/>
      <c r="D272" s="817"/>
    </row>
    <row r="273" ht="15.75" customHeight="1">
      <c r="A273" s="782"/>
      <c r="B273" s="816"/>
      <c r="C273" s="817"/>
      <c r="D273" s="817"/>
    </row>
    <row r="274" ht="15.75" customHeight="1">
      <c r="A274" s="782"/>
      <c r="B274" s="816"/>
      <c r="C274" s="817"/>
      <c r="D274" s="817"/>
    </row>
    <row r="275" ht="15.75" customHeight="1">
      <c r="A275" s="782"/>
      <c r="B275" s="816"/>
      <c r="C275" s="817"/>
      <c r="D275" s="817"/>
    </row>
    <row r="276" ht="15.75" customHeight="1">
      <c r="A276" s="782"/>
      <c r="B276" s="816"/>
      <c r="C276" s="817"/>
      <c r="D276" s="817"/>
    </row>
    <row r="277" ht="15.75" customHeight="1">
      <c r="A277" s="782"/>
      <c r="B277" s="816"/>
      <c r="C277" s="817"/>
      <c r="D277" s="817"/>
    </row>
    <row r="278" ht="15.75" customHeight="1">
      <c r="A278" s="782"/>
      <c r="B278" s="816"/>
      <c r="C278" s="817"/>
      <c r="D278" s="817"/>
    </row>
    <row r="279" ht="15.75" customHeight="1">
      <c r="A279" s="782"/>
      <c r="B279" s="816"/>
      <c r="C279" s="817"/>
      <c r="D279" s="817"/>
    </row>
    <row r="280" ht="15.75" customHeight="1">
      <c r="A280" s="782"/>
      <c r="B280" s="816"/>
      <c r="C280" s="817"/>
      <c r="D280" s="817"/>
    </row>
    <row r="281" ht="15.75" customHeight="1">
      <c r="A281" s="782"/>
      <c r="B281" s="816"/>
      <c r="C281" s="817"/>
      <c r="D281" s="817"/>
    </row>
    <row r="282" ht="15.75" customHeight="1">
      <c r="A282" s="782"/>
      <c r="B282" s="816"/>
      <c r="C282" s="817"/>
      <c r="D282" s="817"/>
    </row>
    <row r="283" ht="15.75" customHeight="1">
      <c r="A283" s="782"/>
      <c r="B283" s="816"/>
      <c r="C283" s="817"/>
      <c r="D283" s="817"/>
    </row>
    <row r="284" ht="15.75" customHeight="1">
      <c r="A284" s="782"/>
      <c r="B284" s="816"/>
      <c r="C284" s="817"/>
      <c r="D284" s="817"/>
    </row>
    <row r="285" ht="15.75" customHeight="1">
      <c r="A285" s="782"/>
      <c r="B285" s="816"/>
      <c r="C285" s="817"/>
      <c r="D285" s="817"/>
    </row>
    <row r="286" ht="15.75" customHeight="1">
      <c r="A286" s="782"/>
      <c r="B286" s="816"/>
      <c r="C286" s="817"/>
      <c r="D286" s="817"/>
    </row>
    <row r="287" ht="15.75" customHeight="1">
      <c r="A287" s="782"/>
      <c r="B287" s="816"/>
      <c r="C287" s="817"/>
      <c r="D287" s="817"/>
    </row>
    <row r="288" ht="15.75" customHeight="1">
      <c r="A288" s="782"/>
      <c r="B288" s="816"/>
      <c r="C288" s="817"/>
      <c r="D288" s="817"/>
    </row>
    <row r="289" ht="15.75" customHeight="1">
      <c r="A289" s="782"/>
      <c r="B289" s="816"/>
      <c r="C289" s="817"/>
      <c r="D289" s="817"/>
    </row>
    <row r="290" ht="15.75" customHeight="1">
      <c r="A290" s="782"/>
      <c r="B290" s="816"/>
      <c r="C290" s="817"/>
      <c r="D290" s="817"/>
    </row>
    <row r="291" ht="15.75" customHeight="1">
      <c r="A291" s="782"/>
      <c r="B291" s="816"/>
      <c r="C291" s="817"/>
      <c r="D291" s="817"/>
    </row>
    <row r="292" ht="15.75" customHeight="1">
      <c r="A292" s="782"/>
      <c r="B292" s="816"/>
      <c r="C292" s="817"/>
      <c r="D292" s="817"/>
    </row>
    <row r="293" ht="15.75" customHeight="1">
      <c r="A293" s="782"/>
      <c r="B293" s="816"/>
      <c r="C293" s="817"/>
      <c r="D293" s="817"/>
    </row>
    <row r="294" ht="15.75" customHeight="1">
      <c r="A294" s="782"/>
      <c r="B294" s="816"/>
      <c r="C294" s="817"/>
      <c r="D294" s="817"/>
    </row>
    <row r="295" ht="15.75" customHeight="1">
      <c r="A295" s="782"/>
      <c r="B295" s="816"/>
      <c r="C295" s="817"/>
      <c r="D295" s="817"/>
    </row>
    <row r="296" ht="15.75" customHeight="1">
      <c r="A296" s="782"/>
      <c r="B296" s="816"/>
      <c r="C296" s="817"/>
      <c r="D296" s="817"/>
    </row>
    <row r="297" ht="15.75" customHeight="1">
      <c r="A297" s="782"/>
      <c r="B297" s="816"/>
      <c r="C297" s="817"/>
      <c r="D297" s="817"/>
    </row>
    <row r="298" ht="15.75" customHeight="1">
      <c r="A298" s="782"/>
      <c r="B298" s="816"/>
      <c r="C298" s="817"/>
      <c r="D298" s="817"/>
    </row>
    <row r="299" ht="15.75" customHeight="1">
      <c r="A299" s="782"/>
      <c r="B299" s="816"/>
      <c r="C299" s="817"/>
      <c r="D299" s="817"/>
    </row>
    <row r="300" ht="15.75" customHeight="1">
      <c r="A300" s="782"/>
      <c r="B300" s="816"/>
      <c r="C300" s="817"/>
      <c r="D300" s="817"/>
    </row>
    <row r="301" ht="15.75" customHeight="1">
      <c r="A301" s="782"/>
      <c r="B301" s="816"/>
      <c r="C301" s="817"/>
      <c r="D301" s="817"/>
    </row>
    <row r="302" ht="15.75" customHeight="1">
      <c r="A302" s="782"/>
      <c r="B302" s="816"/>
      <c r="C302" s="817"/>
      <c r="D302" s="817"/>
    </row>
    <row r="303" ht="15.75" customHeight="1">
      <c r="A303" s="782"/>
      <c r="B303" s="816"/>
      <c r="C303" s="817"/>
      <c r="D303" s="817"/>
    </row>
    <row r="304" ht="15.75" customHeight="1">
      <c r="A304" s="782"/>
      <c r="B304" s="816"/>
      <c r="C304" s="817"/>
      <c r="D304" s="817"/>
    </row>
    <row r="305" ht="15.75" customHeight="1">
      <c r="A305" s="782"/>
      <c r="B305" s="816"/>
      <c r="C305" s="817"/>
      <c r="D305" s="817"/>
    </row>
    <row r="306" ht="15.75" customHeight="1">
      <c r="A306" s="782"/>
      <c r="B306" s="816"/>
      <c r="C306" s="817"/>
      <c r="D306" s="817"/>
    </row>
    <row r="307" ht="15.75" customHeight="1">
      <c r="A307" s="782"/>
      <c r="B307" s="816"/>
      <c r="C307" s="817"/>
      <c r="D307" s="817"/>
    </row>
    <row r="308" ht="15.75" customHeight="1">
      <c r="A308" s="782"/>
      <c r="B308" s="816"/>
      <c r="C308" s="817"/>
      <c r="D308" s="817"/>
    </row>
    <row r="309" ht="15.75" customHeight="1">
      <c r="A309" s="782"/>
      <c r="B309" s="816"/>
      <c r="C309" s="817"/>
      <c r="D309" s="817"/>
    </row>
    <row r="310" ht="15.75" customHeight="1">
      <c r="A310" s="782"/>
      <c r="B310" s="816"/>
      <c r="C310" s="817"/>
      <c r="D310" s="817"/>
    </row>
    <row r="311" ht="15.75" customHeight="1">
      <c r="A311" s="782"/>
      <c r="B311" s="816"/>
      <c r="C311" s="817"/>
      <c r="D311" s="817"/>
    </row>
    <row r="312" ht="15.75" customHeight="1">
      <c r="A312" s="782"/>
      <c r="B312" s="816"/>
      <c r="C312" s="817"/>
      <c r="D312" s="817"/>
    </row>
    <row r="313" ht="15.75" customHeight="1">
      <c r="A313" s="782"/>
      <c r="B313" s="816"/>
      <c r="C313" s="817"/>
      <c r="D313" s="817"/>
    </row>
    <row r="314" ht="15.75" customHeight="1">
      <c r="A314" s="782"/>
      <c r="B314" s="816"/>
      <c r="C314" s="817"/>
      <c r="D314" s="817"/>
    </row>
    <row r="315" ht="15.75" customHeight="1">
      <c r="A315" s="782"/>
      <c r="B315" s="816"/>
      <c r="C315" s="817"/>
      <c r="D315" s="817"/>
    </row>
    <row r="316" ht="15.75" customHeight="1">
      <c r="A316" s="782"/>
      <c r="B316" s="816"/>
      <c r="C316" s="817"/>
      <c r="D316" s="817"/>
    </row>
    <row r="317" ht="15.75" customHeight="1">
      <c r="A317" s="782"/>
      <c r="B317" s="816"/>
      <c r="C317" s="817"/>
      <c r="D317" s="817"/>
    </row>
    <row r="318" ht="15.75" customHeight="1">
      <c r="A318" s="782"/>
      <c r="B318" s="816"/>
      <c r="C318" s="817"/>
      <c r="D318" s="817"/>
    </row>
    <row r="319" ht="15.75" customHeight="1">
      <c r="A319" s="782"/>
      <c r="B319" s="816"/>
      <c r="C319" s="817"/>
      <c r="D319" s="817"/>
    </row>
    <row r="320" ht="15.75" customHeight="1">
      <c r="A320" s="782"/>
      <c r="B320" s="816"/>
      <c r="C320" s="817"/>
      <c r="D320" s="817"/>
    </row>
    <row r="321" ht="15.75" customHeight="1">
      <c r="A321" s="782"/>
      <c r="B321" s="816"/>
      <c r="C321" s="817"/>
      <c r="D321" s="817"/>
    </row>
    <row r="322" ht="15.75" customHeight="1">
      <c r="A322" s="782"/>
      <c r="B322" s="816"/>
      <c r="C322" s="817"/>
      <c r="D322" s="817"/>
    </row>
    <row r="323" ht="15.75" customHeight="1">
      <c r="A323" s="782"/>
      <c r="B323" s="816"/>
      <c r="C323" s="817"/>
      <c r="D323" s="817"/>
    </row>
    <row r="324" ht="15.75" customHeight="1">
      <c r="A324" s="782"/>
      <c r="B324" s="816"/>
      <c r="C324" s="817"/>
      <c r="D324" s="817"/>
    </row>
    <row r="325" ht="15.75" customHeight="1">
      <c r="A325" s="782"/>
      <c r="B325" s="816"/>
      <c r="C325" s="817"/>
      <c r="D325" s="817"/>
    </row>
    <row r="326" ht="15.75" customHeight="1">
      <c r="A326" s="782"/>
      <c r="B326" s="816"/>
      <c r="C326" s="817"/>
      <c r="D326" s="817"/>
    </row>
    <row r="327" ht="15.75" customHeight="1">
      <c r="A327" s="782"/>
      <c r="B327" s="816"/>
      <c r="C327" s="817"/>
      <c r="D327" s="817"/>
    </row>
    <row r="328" ht="15.75" customHeight="1">
      <c r="A328" s="782"/>
      <c r="B328" s="816"/>
      <c r="C328" s="817"/>
      <c r="D328" s="817"/>
    </row>
    <row r="329" ht="15.75" customHeight="1">
      <c r="A329" s="782"/>
      <c r="B329" s="816"/>
      <c r="C329" s="817"/>
      <c r="D329" s="817"/>
    </row>
    <row r="330" ht="15.75" customHeight="1">
      <c r="A330" s="782"/>
      <c r="B330" s="816"/>
      <c r="C330" s="817"/>
      <c r="D330" s="817"/>
    </row>
    <row r="331" ht="15.75" customHeight="1">
      <c r="A331" s="782"/>
      <c r="B331" s="816"/>
      <c r="C331" s="817"/>
      <c r="D331" s="817"/>
    </row>
    <row r="332" ht="15.75" customHeight="1">
      <c r="A332" s="782"/>
      <c r="B332" s="816"/>
      <c r="C332" s="817"/>
      <c r="D332" s="817"/>
    </row>
    <row r="333" ht="15.75" customHeight="1">
      <c r="A333" s="782"/>
      <c r="B333" s="816"/>
      <c r="C333" s="817"/>
      <c r="D333" s="817"/>
    </row>
    <row r="334" ht="15.75" customHeight="1">
      <c r="A334" s="782"/>
      <c r="B334" s="816"/>
      <c r="C334" s="817"/>
      <c r="D334" s="817"/>
    </row>
    <row r="335" ht="15.75" customHeight="1">
      <c r="A335" s="782"/>
      <c r="B335" s="816"/>
      <c r="C335" s="817"/>
      <c r="D335" s="817"/>
    </row>
    <row r="336" ht="15.75" customHeight="1">
      <c r="A336" s="782"/>
      <c r="B336" s="816"/>
      <c r="C336" s="817"/>
      <c r="D336" s="817"/>
    </row>
    <row r="337" ht="15.75" customHeight="1">
      <c r="A337" s="782"/>
      <c r="B337" s="816"/>
      <c r="C337" s="817"/>
      <c r="D337" s="817"/>
    </row>
    <row r="338" ht="15.75" customHeight="1">
      <c r="A338" s="782"/>
      <c r="B338" s="816"/>
      <c r="C338" s="817"/>
      <c r="D338" s="817"/>
    </row>
    <row r="339" ht="15.75" customHeight="1">
      <c r="A339" s="782"/>
      <c r="B339" s="816"/>
      <c r="C339" s="817"/>
      <c r="D339" s="817"/>
    </row>
    <row r="340" ht="15.75" customHeight="1">
      <c r="A340" s="782"/>
      <c r="B340" s="816"/>
      <c r="C340" s="817"/>
      <c r="D340" s="817"/>
    </row>
    <row r="341" ht="15.75" customHeight="1">
      <c r="A341" s="782"/>
      <c r="B341" s="816"/>
      <c r="C341" s="817"/>
      <c r="D341" s="817"/>
    </row>
    <row r="342" ht="15.75" customHeight="1">
      <c r="A342" s="782"/>
      <c r="B342" s="816"/>
      <c r="C342" s="817"/>
      <c r="D342" s="817"/>
    </row>
    <row r="343" ht="15.75" customHeight="1">
      <c r="A343" s="782"/>
      <c r="B343" s="816"/>
      <c r="C343" s="817"/>
      <c r="D343" s="817"/>
    </row>
    <row r="344" ht="15.75" customHeight="1">
      <c r="A344" s="782"/>
      <c r="B344" s="816"/>
      <c r="C344" s="817"/>
      <c r="D344" s="817"/>
    </row>
    <row r="345" ht="15.75" customHeight="1">
      <c r="A345" s="782"/>
      <c r="B345" s="816"/>
      <c r="C345" s="817"/>
      <c r="D345" s="817"/>
    </row>
    <row r="346" ht="15.75" customHeight="1">
      <c r="A346" s="782"/>
      <c r="B346" s="816"/>
      <c r="C346" s="817"/>
      <c r="D346" s="817"/>
    </row>
    <row r="347" ht="15.75" customHeight="1">
      <c r="A347" s="782"/>
      <c r="B347" s="816"/>
      <c r="C347" s="817"/>
      <c r="D347" s="817"/>
    </row>
    <row r="348" ht="15.75" customHeight="1">
      <c r="A348" s="782"/>
      <c r="B348" s="816"/>
      <c r="C348" s="817"/>
      <c r="D348" s="817"/>
    </row>
    <row r="349" ht="15.75" customHeight="1">
      <c r="A349" s="782"/>
      <c r="B349" s="816"/>
      <c r="C349" s="817"/>
      <c r="D349" s="817"/>
    </row>
    <row r="350" ht="15.75" customHeight="1">
      <c r="A350" s="782"/>
      <c r="B350" s="816"/>
      <c r="C350" s="817"/>
      <c r="D350" s="817"/>
    </row>
    <row r="351" ht="15.75" customHeight="1">
      <c r="A351" s="782"/>
      <c r="B351" s="816"/>
      <c r="C351" s="817"/>
      <c r="D351" s="817"/>
    </row>
    <row r="352" ht="15.75" customHeight="1">
      <c r="A352" s="782"/>
      <c r="B352" s="816"/>
      <c r="C352" s="817"/>
      <c r="D352" s="817"/>
    </row>
    <row r="353" ht="15.75" customHeight="1">
      <c r="A353" s="782"/>
      <c r="B353" s="816"/>
      <c r="C353" s="817"/>
      <c r="D353" s="817"/>
    </row>
    <row r="354" ht="15.75" customHeight="1">
      <c r="A354" s="782"/>
      <c r="B354" s="816"/>
      <c r="C354" s="817"/>
      <c r="D354" s="817"/>
    </row>
    <row r="355" ht="15.75" customHeight="1">
      <c r="A355" s="782"/>
      <c r="B355" s="816"/>
      <c r="C355" s="817"/>
      <c r="D355" s="817"/>
    </row>
    <row r="356" ht="15.75" customHeight="1">
      <c r="A356" s="782"/>
      <c r="B356" s="816"/>
      <c r="C356" s="817"/>
      <c r="D356" s="817"/>
    </row>
    <row r="357" ht="15.75" customHeight="1">
      <c r="A357" s="782"/>
      <c r="B357" s="816"/>
      <c r="C357" s="817"/>
      <c r="D357" s="817"/>
    </row>
    <row r="358" ht="15.75" customHeight="1">
      <c r="A358" s="782"/>
      <c r="B358" s="816"/>
      <c r="C358" s="817"/>
      <c r="D358" s="817"/>
    </row>
    <row r="359" ht="15.75" customHeight="1">
      <c r="A359" s="782"/>
      <c r="B359" s="816"/>
      <c r="C359" s="817"/>
      <c r="D359" s="817"/>
    </row>
    <row r="360" ht="15.75" customHeight="1">
      <c r="A360" s="782"/>
      <c r="B360" s="816"/>
      <c r="C360" s="817"/>
      <c r="D360" s="817"/>
    </row>
    <row r="361" ht="15.75" customHeight="1">
      <c r="A361" s="782"/>
      <c r="B361" s="816"/>
      <c r="C361" s="817"/>
      <c r="D361" s="817"/>
    </row>
    <row r="362" ht="15.75" customHeight="1">
      <c r="A362" s="782"/>
      <c r="B362" s="816"/>
      <c r="C362" s="817"/>
      <c r="D362" s="817"/>
    </row>
    <row r="363" ht="15.75" customHeight="1">
      <c r="A363" s="782"/>
      <c r="B363" s="816"/>
      <c r="C363" s="817"/>
      <c r="D363" s="817"/>
    </row>
    <row r="364" ht="15.75" customHeight="1">
      <c r="A364" s="782"/>
      <c r="B364" s="816"/>
      <c r="C364" s="817"/>
      <c r="D364" s="817"/>
    </row>
    <row r="365" ht="15.75" customHeight="1">
      <c r="A365" s="782"/>
      <c r="B365" s="816"/>
      <c r="C365" s="817"/>
      <c r="D365" s="817"/>
    </row>
    <row r="366" ht="15.75" customHeight="1">
      <c r="A366" s="782"/>
      <c r="B366" s="816"/>
      <c r="C366" s="817"/>
      <c r="D366" s="817"/>
    </row>
    <row r="367" ht="15.75" customHeight="1">
      <c r="A367" s="782"/>
      <c r="B367" s="816"/>
      <c r="C367" s="817"/>
      <c r="D367" s="817"/>
    </row>
    <row r="368" ht="15.75" customHeight="1">
      <c r="A368" s="782"/>
      <c r="B368" s="816"/>
      <c r="C368" s="817"/>
      <c r="D368" s="817"/>
    </row>
    <row r="369" ht="15.75" customHeight="1">
      <c r="A369" s="782"/>
      <c r="B369" s="816"/>
      <c r="C369" s="817"/>
      <c r="D369" s="817"/>
    </row>
    <row r="370" ht="15.75" customHeight="1">
      <c r="A370" s="782"/>
      <c r="B370" s="816"/>
      <c r="C370" s="817"/>
      <c r="D370" s="817"/>
    </row>
    <row r="371" ht="15.75" customHeight="1">
      <c r="A371" s="782"/>
      <c r="B371" s="816"/>
      <c r="C371" s="817"/>
      <c r="D371" s="817"/>
    </row>
    <row r="372" ht="15.75" customHeight="1">
      <c r="A372" s="782"/>
      <c r="B372" s="816"/>
      <c r="C372" s="817"/>
      <c r="D372" s="817"/>
    </row>
    <row r="373" ht="15.75" customHeight="1">
      <c r="A373" s="782"/>
      <c r="B373" s="816"/>
      <c r="C373" s="817"/>
      <c r="D373" s="817"/>
    </row>
    <row r="374" ht="15.75" customHeight="1">
      <c r="A374" s="782"/>
      <c r="B374" s="816"/>
      <c r="C374" s="817"/>
      <c r="D374" s="817"/>
    </row>
    <row r="375" ht="15.75" customHeight="1">
      <c r="A375" s="782"/>
      <c r="B375" s="816"/>
      <c r="C375" s="817"/>
      <c r="D375" s="817"/>
    </row>
    <row r="376" ht="15.75" customHeight="1">
      <c r="A376" s="782"/>
      <c r="B376" s="816"/>
      <c r="C376" s="817"/>
      <c r="D376" s="817"/>
    </row>
    <row r="377" ht="15.75" customHeight="1">
      <c r="A377" s="782"/>
      <c r="B377" s="816"/>
      <c r="C377" s="817"/>
      <c r="D377" s="817"/>
    </row>
    <row r="378" ht="15.75" customHeight="1">
      <c r="A378" s="782"/>
      <c r="B378" s="816"/>
      <c r="C378" s="817"/>
      <c r="D378" s="817"/>
    </row>
    <row r="379" ht="15.75" customHeight="1">
      <c r="A379" s="782"/>
      <c r="B379" s="816"/>
      <c r="C379" s="817"/>
      <c r="D379" s="817"/>
    </row>
    <row r="380" ht="15.75" customHeight="1">
      <c r="A380" s="782"/>
      <c r="B380" s="816"/>
      <c r="C380" s="817"/>
      <c r="D380" s="817"/>
    </row>
    <row r="381" ht="15.75" customHeight="1">
      <c r="A381" s="782"/>
      <c r="B381" s="816"/>
      <c r="C381" s="817"/>
      <c r="D381" s="817"/>
    </row>
    <row r="382" ht="15.75" customHeight="1">
      <c r="A382" s="782"/>
      <c r="B382" s="816"/>
      <c r="C382" s="817"/>
      <c r="D382" s="817"/>
    </row>
    <row r="383" ht="15.75" customHeight="1">
      <c r="A383" s="782"/>
      <c r="B383" s="816"/>
      <c r="C383" s="817"/>
      <c r="D383" s="817"/>
    </row>
    <row r="384" ht="15.75" customHeight="1">
      <c r="A384" s="782"/>
      <c r="B384" s="816"/>
      <c r="C384" s="817"/>
      <c r="D384" s="817"/>
    </row>
    <row r="385" ht="15.75" customHeight="1">
      <c r="A385" s="782"/>
      <c r="B385" s="816"/>
      <c r="C385" s="817"/>
      <c r="D385" s="817"/>
    </row>
    <row r="386" ht="15.75" customHeight="1">
      <c r="A386" s="782"/>
      <c r="B386" s="816"/>
      <c r="C386" s="817"/>
      <c r="D386" s="817"/>
    </row>
    <row r="387" ht="15.75" customHeight="1">
      <c r="A387" s="782"/>
      <c r="B387" s="816"/>
      <c r="C387" s="817"/>
      <c r="D387" s="817"/>
    </row>
    <row r="388" ht="15.75" customHeight="1">
      <c r="A388" s="782"/>
      <c r="B388" s="816"/>
      <c r="C388" s="817"/>
      <c r="D388" s="817"/>
    </row>
    <row r="389" ht="15.75" customHeight="1">
      <c r="A389" s="782"/>
      <c r="B389" s="816"/>
      <c r="C389" s="817"/>
      <c r="D389" s="817"/>
    </row>
    <row r="390" ht="15.75" customHeight="1">
      <c r="A390" s="782"/>
      <c r="B390" s="816"/>
      <c r="C390" s="817"/>
      <c r="D390" s="817"/>
    </row>
    <row r="391" ht="15.75" customHeight="1">
      <c r="A391" s="782"/>
      <c r="B391" s="816"/>
      <c r="C391" s="817"/>
      <c r="D391" s="817"/>
    </row>
    <row r="392" ht="15.75" customHeight="1">
      <c r="A392" s="782"/>
      <c r="B392" s="816"/>
      <c r="C392" s="817"/>
      <c r="D392" s="817"/>
    </row>
    <row r="393" ht="15.75" customHeight="1">
      <c r="A393" s="782"/>
      <c r="B393" s="816"/>
      <c r="C393" s="817"/>
      <c r="D393" s="817"/>
    </row>
    <row r="394" ht="15.75" customHeight="1">
      <c r="A394" s="782"/>
      <c r="B394" s="816"/>
      <c r="C394" s="817"/>
      <c r="D394" s="817"/>
    </row>
    <row r="395" ht="15.75" customHeight="1">
      <c r="A395" s="782"/>
      <c r="B395" s="816"/>
      <c r="C395" s="817"/>
      <c r="D395" s="817"/>
    </row>
    <row r="396" ht="15.75" customHeight="1">
      <c r="A396" s="782"/>
      <c r="B396" s="816"/>
      <c r="C396" s="817"/>
      <c r="D396" s="817"/>
    </row>
    <row r="397" ht="15.75" customHeight="1">
      <c r="A397" s="782"/>
      <c r="B397" s="816"/>
      <c r="C397" s="817"/>
      <c r="D397" s="817"/>
    </row>
    <row r="398" ht="15.75" customHeight="1">
      <c r="A398" s="782"/>
      <c r="B398" s="816"/>
      <c r="C398" s="817"/>
      <c r="D398" s="817"/>
    </row>
    <row r="399" ht="15.75" customHeight="1">
      <c r="A399" s="782"/>
      <c r="B399" s="816"/>
      <c r="C399" s="817"/>
      <c r="D399" s="817"/>
    </row>
    <row r="400" ht="15.75" customHeight="1">
      <c r="A400" s="782"/>
      <c r="B400" s="816"/>
      <c r="C400" s="817"/>
      <c r="D400" s="817"/>
    </row>
    <row r="401" ht="15.75" customHeight="1">
      <c r="A401" s="782"/>
      <c r="B401" s="816"/>
      <c r="C401" s="817"/>
      <c r="D401" s="817"/>
    </row>
    <row r="402" ht="15.75" customHeight="1">
      <c r="A402" s="782"/>
      <c r="B402" s="816"/>
      <c r="C402" s="817"/>
      <c r="D402" s="817"/>
    </row>
    <row r="403" ht="15.75" customHeight="1">
      <c r="A403" s="782"/>
      <c r="B403" s="816"/>
      <c r="C403" s="817"/>
      <c r="D403" s="817"/>
    </row>
    <row r="404" ht="15.75" customHeight="1">
      <c r="A404" s="782"/>
      <c r="B404" s="816"/>
      <c r="C404" s="817"/>
      <c r="D404" s="817"/>
    </row>
    <row r="405" ht="15.75" customHeight="1">
      <c r="A405" s="782"/>
      <c r="B405" s="816"/>
      <c r="C405" s="817"/>
      <c r="D405" s="817"/>
    </row>
    <row r="406" ht="15.75" customHeight="1">
      <c r="A406" s="782"/>
      <c r="B406" s="816"/>
      <c r="C406" s="817"/>
      <c r="D406" s="817"/>
    </row>
    <row r="407" ht="15.75" customHeight="1">
      <c r="A407" s="782"/>
      <c r="B407" s="816"/>
      <c r="C407" s="817"/>
      <c r="D407" s="817"/>
    </row>
    <row r="408" ht="15.75" customHeight="1">
      <c r="A408" s="782"/>
      <c r="B408" s="816"/>
      <c r="C408" s="817"/>
      <c r="D408" s="817"/>
    </row>
    <row r="409" ht="15.75" customHeight="1">
      <c r="A409" s="782"/>
      <c r="B409" s="816"/>
      <c r="C409" s="817"/>
      <c r="D409" s="817"/>
    </row>
    <row r="410" ht="15.75" customHeight="1">
      <c r="A410" s="782"/>
      <c r="B410" s="816"/>
      <c r="C410" s="817"/>
      <c r="D410" s="817"/>
    </row>
    <row r="411" ht="15.75" customHeight="1">
      <c r="A411" s="782"/>
      <c r="B411" s="816"/>
      <c r="C411" s="817"/>
      <c r="D411" s="817"/>
    </row>
    <row r="412" ht="15.75" customHeight="1">
      <c r="A412" s="782"/>
      <c r="B412" s="816"/>
      <c r="C412" s="817"/>
      <c r="D412" s="817"/>
    </row>
    <row r="413" ht="15.75" customHeight="1">
      <c r="A413" s="782"/>
      <c r="B413" s="816"/>
      <c r="C413" s="817"/>
      <c r="D413" s="817"/>
    </row>
    <row r="414" ht="15.75" customHeight="1">
      <c r="A414" s="782"/>
      <c r="B414" s="816"/>
      <c r="C414" s="817"/>
      <c r="D414" s="817"/>
    </row>
    <row r="415" ht="15.75" customHeight="1">
      <c r="A415" s="782"/>
      <c r="B415" s="816"/>
      <c r="C415" s="817"/>
      <c r="D415" s="817"/>
    </row>
    <row r="416" ht="15.75" customHeight="1">
      <c r="A416" s="782"/>
      <c r="B416" s="816"/>
      <c r="C416" s="817"/>
      <c r="D416" s="817"/>
    </row>
    <row r="417" ht="15.75" customHeight="1">
      <c r="A417" s="782"/>
      <c r="B417" s="816"/>
      <c r="C417" s="817"/>
      <c r="D417" s="817"/>
    </row>
    <row r="418" ht="15.75" customHeight="1">
      <c r="A418" s="782"/>
      <c r="B418" s="816"/>
      <c r="C418" s="817"/>
      <c r="D418" s="817"/>
    </row>
    <row r="419" ht="15.75" customHeight="1">
      <c r="A419" s="782"/>
      <c r="B419" s="816"/>
      <c r="C419" s="817"/>
      <c r="D419" s="817"/>
    </row>
    <row r="420" ht="15.75" customHeight="1">
      <c r="A420" s="782"/>
      <c r="B420" s="816"/>
      <c r="C420" s="817"/>
      <c r="D420" s="817"/>
    </row>
    <row r="421" ht="15.75" customHeight="1">
      <c r="A421" s="782"/>
      <c r="B421" s="816"/>
      <c r="C421" s="817"/>
      <c r="D421" s="817"/>
    </row>
    <row r="422" ht="15.75" customHeight="1">
      <c r="A422" s="782"/>
      <c r="B422" s="816"/>
      <c r="C422" s="817"/>
      <c r="D422" s="817"/>
    </row>
    <row r="423" ht="15.75" customHeight="1">
      <c r="A423" s="782"/>
      <c r="B423" s="816"/>
      <c r="C423" s="817"/>
      <c r="D423" s="817"/>
    </row>
    <row r="424" ht="15.75" customHeight="1">
      <c r="A424" s="782"/>
      <c r="B424" s="816"/>
      <c r="C424" s="817"/>
      <c r="D424" s="817"/>
    </row>
    <row r="425" ht="15.75" customHeight="1">
      <c r="A425" s="782"/>
      <c r="B425" s="816"/>
      <c r="C425" s="817"/>
      <c r="D425" s="817"/>
    </row>
    <row r="426" ht="15.75" customHeight="1">
      <c r="A426" s="782"/>
      <c r="B426" s="816"/>
      <c r="C426" s="817"/>
      <c r="D426" s="817"/>
    </row>
    <row r="427" ht="15.75" customHeight="1">
      <c r="A427" s="782"/>
      <c r="B427" s="816"/>
      <c r="C427" s="817"/>
      <c r="D427" s="817"/>
    </row>
    <row r="428" ht="15.75" customHeight="1">
      <c r="A428" s="782"/>
      <c r="B428" s="816"/>
      <c r="C428" s="817"/>
      <c r="D428" s="817"/>
    </row>
    <row r="429" ht="15.75" customHeight="1">
      <c r="A429" s="782"/>
      <c r="B429" s="816"/>
      <c r="C429" s="817"/>
      <c r="D429" s="817"/>
    </row>
    <row r="430" ht="15.75" customHeight="1">
      <c r="A430" s="782"/>
      <c r="B430" s="816"/>
      <c r="C430" s="817"/>
      <c r="D430" s="817"/>
    </row>
    <row r="431" ht="15.75" customHeight="1">
      <c r="A431" s="782"/>
      <c r="B431" s="816"/>
      <c r="C431" s="817"/>
      <c r="D431" s="817"/>
    </row>
    <row r="432" ht="15.75" customHeight="1">
      <c r="A432" s="782"/>
      <c r="B432" s="816"/>
      <c r="C432" s="817"/>
      <c r="D432" s="817"/>
    </row>
    <row r="433" ht="15.75" customHeight="1">
      <c r="A433" s="782"/>
      <c r="B433" s="816"/>
      <c r="C433" s="817"/>
      <c r="D433" s="817"/>
    </row>
    <row r="434" ht="15.75" customHeight="1">
      <c r="A434" s="782"/>
      <c r="B434" s="816"/>
      <c r="C434" s="817"/>
      <c r="D434" s="817"/>
    </row>
    <row r="435" ht="15.75" customHeight="1">
      <c r="A435" s="782"/>
      <c r="B435" s="816"/>
      <c r="C435" s="817"/>
      <c r="D435" s="817"/>
    </row>
    <row r="436" ht="15.75" customHeight="1">
      <c r="A436" s="782"/>
      <c r="B436" s="816"/>
      <c r="C436" s="817"/>
      <c r="D436" s="817"/>
    </row>
    <row r="437" ht="15.75" customHeight="1">
      <c r="A437" s="782"/>
      <c r="B437" s="816"/>
      <c r="C437" s="817"/>
      <c r="D437" s="817"/>
    </row>
    <row r="438" ht="15.75" customHeight="1">
      <c r="A438" s="782"/>
      <c r="B438" s="816"/>
      <c r="C438" s="817"/>
      <c r="D438" s="817"/>
    </row>
    <row r="439" ht="15.75" customHeight="1">
      <c r="A439" s="782"/>
      <c r="B439" s="816"/>
      <c r="C439" s="817"/>
      <c r="D439" s="817"/>
    </row>
    <row r="440" ht="15.75" customHeight="1">
      <c r="A440" s="782"/>
      <c r="B440" s="816"/>
      <c r="C440" s="817"/>
      <c r="D440" s="817"/>
    </row>
    <row r="441" ht="15.75" customHeight="1">
      <c r="A441" s="782"/>
      <c r="B441" s="816"/>
      <c r="C441" s="817"/>
      <c r="D441" s="817"/>
    </row>
    <row r="442" ht="15.75" customHeight="1">
      <c r="A442" s="782"/>
      <c r="B442" s="816"/>
      <c r="C442" s="817"/>
      <c r="D442" s="817"/>
    </row>
    <row r="443" ht="15.75" customHeight="1">
      <c r="A443" s="782"/>
      <c r="B443" s="816"/>
      <c r="C443" s="817"/>
      <c r="D443" s="817"/>
    </row>
    <row r="444" ht="15.75" customHeight="1">
      <c r="A444" s="782"/>
      <c r="B444" s="816"/>
      <c r="C444" s="817"/>
      <c r="D444" s="817"/>
    </row>
    <row r="445" ht="15.75" customHeight="1">
      <c r="A445" s="782"/>
      <c r="B445" s="816"/>
      <c r="C445" s="817"/>
      <c r="D445" s="817"/>
    </row>
    <row r="446" ht="15.75" customHeight="1">
      <c r="A446" s="782"/>
      <c r="B446" s="816"/>
      <c r="C446" s="817"/>
      <c r="D446" s="817"/>
    </row>
    <row r="447" ht="15.75" customHeight="1">
      <c r="A447" s="782"/>
      <c r="B447" s="816"/>
      <c r="C447" s="817"/>
      <c r="D447" s="817"/>
    </row>
    <row r="448" ht="15.75" customHeight="1">
      <c r="A448" s="782"/>
      <c r="B448" s="816"/>
      <c r="C448" s="817"/>
      <c r="D448" s="817"/>
    </row>
    <row r="449" ht="15.75" customHeight="1">
      <c r="A449" s="782"/>
      <c r="B449" s="816"/>
      <c r="C449" s="817"/>
      <c r="D449" s="817"/>
    </row>
    <row r="450" ht="15.75" customHeight="1">
      <c r="A450" s="782"/>
      <c r="B450" s="816"/>
      <c r="C450" s="817"/>
      <c r="D450" s="817"/>
    </row>
    <row r="451" ht="15.75" customHeight="1">
      <c r="A451" s="782"/>
      <c r="B451" s="816"/>
      <c r="C451" s="817"/>
      <c r="D451" s="817"/>
    </row>
    <row r="452" ht="15.75" customHeight="1">
      <c r="A452" s="782"/>
      <c r="B452" s="816"/>
      <c r="C452" s="817"/>
      <c r="D452" s="817"/>
    </row>
    <row r="453" ht="15.75" customHeight="1">
      <c r="A453" s="782"/>
      <c r="B453" s="816"/>
      <c r="C453" s="817"/>
      <c r="D453" s="817"/>
    </row>
    <row r="454" ht="15.75" customHeight="1">
      <c r="A454" s="782"/>
      <c r="B454" s="816"/>
      <c r="C454" s="817"/>
      <c r="D454" s="817"/>
    </row>
    <row r="455" ht="15.75" customHeight="1">
      <c r="A455" s="782"/>
      <c r="B455" s="816"/>
      <c r="C455" s="817"/>
      <c r="D455" s="817"/>
    </row>
    <row r="456" ht="15.75" customHeight="1">
      <c r="A456" s="782"/>
      <c r="B456" s="816"/>
      <c r="C456" s="817"/>
      <c r="D456" s="817"/>
    </row>
    <row r="457" ht="15.75" customHeight="1">
      <c r="A457" s="782"/>
      <c r="B457" s="816"/>
      <c r="C457" s="817"/>
      <c r="D457" s="817"/>
    </row>
    <row r="458" ht="15.75" customHeight="1">
      <c r="A458" s="782"/>
      <c r="B458" s="816"/>
      <c r="C458" s="817"/>
      <c r="D458" s="817"/>
    </row>
    <row r="459" ht="15.75" customHeight="1">
      <c r="A459" s="782"/>
      <c r="B459" s="816"/>
      <c r="C459" s="817"/>
      <c r="D459" s="817"/>
    </row>
    <row r="460" ht="15.75" customHeight="1">
      <c r="A460" s="782"/>
      <c r="B460" s="816"/>
      <c r="C460" s="817"/>
      <c r="D460" s="817"/>
    </row>
    <row r="461" ht="15.75" customHeight="1">
      <c r="A461" s="782"/>
      <c r="B461" s="816"/>
      <c r="C461" s="817"/>
      <c r="D461" s="817"/>
    </row>
    <row r="462" ht="15.75" customHeight="1">
      <c r="A462" s="782"/>
      <c r="B462" s="816"/>
      <c r="C462" s="817"/>
      <c r="D462" s="817"/>
    </row>
    <row r="463" ht="15.75" customHeight="1">
      <c r="A463" s="782"/>
      <c r="B463" s="816"/>
      <c r="C463" s="817"/>
      <c r="D463" s="817"/>
    </row>
    <row r="464" ht="15.75" customHeight="1">
      <c r="A464" s="782"/>
      <c r="B464" s="816"/>
      <c r="C464" s="817"/>
      <c r="D464" s="817"/>
    </row>
    <row r="465" ht="15.75" customHeight="1">
      <c r="A465" s="782"/>
      <c r="B465" s="816"/>
      <c r="C465" s="817"/>
      <c r="D465" s="817"/>
    </row>
    <row r="466" ht="15.75" customHeight="1">
      <c r="A466" s="782"/>
      <c r="B466" s="816"/>
      <c r="C466" s="817"/>
      <c r="D466" s="817"/>
    </row>
    <row r="467" ht="15.75" customHeight="1">
      <c r="A467" s="782"/>
      <c r="B467" s="816"/>
      <c r="C467" s="817"/>
      <c r="D467" s="817"/>
    </row>
    <row r="468" ht="15.75" customHeight="1">
      <c r="A468" s="782"/>
      <c r="B468" s="816"/>
      <c r="C468" s="817"/>
      <c r="D468" s="817"/>
    </row>
    <row r="469" ht="15.75" customHeight="1">
      <c r="A469" s="782"/>
      <c r="B469" s="816"/>
      <c r="C469" s="817"/>
      <c r="D469" s="817"/>
    </row>
    <row r="470" ht="15.75" customHeight="1">
      <c r="A470" s="782"/>
      <c r="B470" s="816"/>
      <c r="C470" s="817"/>
      <c r="D470" s="817"/>
    </row>
    <row r="471" ht="15.75" customHeight="1">
      <c r="A471" s="782"/>
      <c r="B471" s="816"/>
      <c r="C471" s="817"/>
      <c r="D471" s="817"/>
    </row>
    <row r="472" ht="15.75" customHeight="1">
      <c r="A472" s="782"/>
      <c r="B472" s="816"/>
      <c r="C472" s="817"/>
      <c r="D472" s="817"/>
    </row>
    <row r="473" ht="15.75" customHeight="1">
      <c r="A473" s="782"/>
      <c r="B473" s="816"/>
      <c r="C473" s="817"/>
      <c r="D473" s="817"/>
    </row>
    <row r="474" ht="15.75" customHeight="1">
      <c r="A474" s="782"/>
      <c r="B474" s="816"/>
      <c r="C474" s="817"/>
      <c r="D474" s="817"/>
    </row>
    <row r="475" ht="15.75" customHeight="1">
      <c r="A475" s="782"/>
      <c r="B475" s="816"/>
      <c r="C475" s="817"/>
      <c r="D475" s="817"/>
    </row>
    <row r="476" ht="15.75" customHeight="1">
      <c r="A476" s="782"/>
      <c r="B476" s="816"/>
      <c r="C476" s="817"/>
      <c r="D476" s="817"/>
    </row>
    <row r="477" ht="15.75" customHeight="1">
      <c r="A477" s="782"/>
      <c r="B477" s="816"/>
      <c r="C477" s="817"/>
      <c r="D477" s="817"/>
    </row>
    <row r="478" ht="15.75" customHeight="1">
      <c r="A478" s="782"/>
      <c r="B478" s="816"/>
      <c r="C478" s="817"/>
      <c r="D478" s="817"/>
    </row>
    <row r="479" ht="15.75" customHeight="1">
      <c r="A479" s="782"/>
      <c r="B479" s="816"/>
      <c r="C479" s="817"/>
      <c r="D479" s="817"/>
    </row>
    <row r="480" ht="15.75" customHeight="1">
      <c r="A480" s="782"/>
      <c r="B480" s="816"/>
      <c r="C480" s="817"/>
      <c r="D480" s="817"/>
    </row>
    <row r="481" ht="15.75" customHeight="1">
      <c r="A481" s="782"/>
      <c r="B481" s="816"/>
      <c r="C481" s="817"/>
      <c r="D481" s="817"/>
    </row>
    <row r="482" ht="15.75" customHeight="1">
      <c r="A482" s="782"/>
      <c r="B482" s="816"/>
      <c r="C482" s="817"/>
      <c r="D482" s="817"/>
    </row>
    <row r="483" ht="15.75" customHeight="1">
      <c r="A483" s="782"/>
      <c r="B483" s="816"/>
      <c r="C483" s="817"/>
      <c r="D483" s="817"/>
    </row>
    <row r="484" ht="15.75" customHeight="1">
      <c r="A484" s="782"/>
      <c r="B484" s="816"/>
      <c r="C484" s="817"/>
      <c r="D484" s="817"/>
    </row>
    <row r="485" ht="15.75" customHeight="1">
      <c r="A485" s="782"/>
      <c r="B485" s="816"/>
      <c r="C485" s="817"/>
      <c r="D485" s="817"/>
    </row>
    <row r="486" ht="15.75" customHeight="1">
      <c r="A486" s="782"/>
      <c r="B486" s="816"/>
      <c r="C486" s="817"/>
      <c r="D486" s="817"/>
    </row>
    <row r="487" ht="15.75" customHeight="1">
      <c r="A487" s="782"/>
      <c r="B487" s="816"/>
      <c r="C487" s="817"/>
      <c r="D487" s="817"/>
    </row>
    <row r="488" ht="15.75" customHeight="1">
      <c r="A488" s="782"/>
      <c r="B488" s="816"/>
      <c r="C488" s="817"/>
      <c r="D488" s="817"/>
    </row>
    <row r="489" ht="15.75" customHeight="1">
      <c r="A489" s="782"/>
      <c r="B489" s="816"/>
      <c r="C489" s="817"/>
      <c r="D489" s="817"/>
    </row>
    <row r="490" ht="15.75" customHeight="1">
      <c r="A490" s="782"/>
      <c r="B490" s="816"/>
      <c r="C490" s="817"/>
      <c r="D490" s="817"/>
    </row>
    <row r="491" ht="15.75" customHeight="1">
      <c r="A491" s="782"/>
      <c r="B491" s="816"/>
      <c r="C491" s="817"/>
      <c r="D491" s="817"/>
    </row>
    <row r="492" ht="15.75" customHeight="1">
      <c r="A492" s="782"/>
      <c r="B492" s="816"/>
      <c r="C492" s="817"/>
      <c r="D492" s="817"/>
    </row>
    <row r="493" ht="15.75" customHeight="1">
      <c r="A493" s="782"/>
      <c r="B493" s="816"/>
      <c r="C493" s="817"/>
      <c r="D493" s="817"/>
    </row>
    <row r="494" ht="15.75" customHeight="1">
      <c r="A494" s="782"/>
      <c r="B494" s="816"/>
      <c r="C494" s="817"/>
      <c r="D494" s="817"/>
    </row>
    <row r="495" ht="15.75" customHeight="1">
      <c r="A495" s="782"/>
      <c r="B495" s="816"/>
      <c r="C495" s="817"/>
      <c r="D495" s="817"/>
    </row>
    <row r="496" ht="15.75" customHeight="1">
      <c r="A496" s="782"/>
      <c r="B496" s="816"/>
      <c r="C496" s="817"/>
      <c r="D496" s="817"/>
    </row>
    <row r="497" ht="15.75" customHeight="1">
      <c r="A497" s="782"/>
      <c r="B497" s="816"/>
      <c r="C497" s="817"/>
      <c r="D497" s="817"/>
    </row>
    <row r="498" ht="15.75" customHeight="1">
      <c r="A498" s="782"/>
      <c r="B498" s="816"/>
      <c r="C498" s="817"/>
      <c r="D498" s="817"/>
    </row>
    <row r="499" ht="15.75" customHeight="1">
      <c r="A499" s="782"/>
      <c r="B499" s="816"/>
      <c r="C499" s="817"/>
      <c r="D499" s="817"/>
    </row>
    <row r="500" ht="15.75" customHeight="1">
      <c r="A500" s="782"/>
      <c r="B500" s="816"/>
      <c r="C500" s="817"/>
      <c r="D500" s="817"/>
    </row>
    <row r="501" ht="15.75" customHeight="1">
      <c r="A501" s="782"/>
      <c r="B501" s="816"/>
      <c r="C501" s="817"/>
      <c r="D501" s="817"/>
    </row>
    <row r="502" ht="15.75" customHeight="1">
      <c r="A502" s="782"/>
      <c r="B502" s="816"/>
      <c r="C502" s="817"/>
      <c r="D502" s="817"/>
    </row>
    <row r="503" ht="15.75" customHeight="1">
      <c r="A503" s="782"/>
      <c r="B503" s="816"/>
      <c r="C503" s="817"/>
      <c r="D503" s="817"/>
    </row>
    <row r="504" ht="15.75" customHeight="1">
      <c r="A504" s="782"/>
      <c r="B504" s="816"/>
      <c r="C504" s="817"/>
      <c r="D504" s="817"/>
    </row>
    <row r="505" ht="15.75" customHeight="1">
      <c r="A505" s="782"/>
      <c r="B505" s="816"/>
      <c r="C505" s="817"/>
      <c r="D505" s="817"/>
    </row>
    <row r="506" ht="15.75" customHeight="1">
      <c r="A506" s="782"/>
      <c r="B506" s="816"/>
      <c r="C506" s="817"/>
      <c r="D506" s="817"/>
    </row>
    <row r="507" ht="15.75" customHeight="1">
      <c r="A507" s="782"/>
      <c r="B507" s="816"/>
      <c r="C507" s="817"/>
      <c r="D507" s="817"/>
    </row>
    <row r="508" ht="15.75" customHeight="1">
      <c r="A508" s="782"/>
      <c r="B508" s="816"/>
      <c r="C508" s="817"/>
      <c r="D508" s="817"/>
    </row>
    <row r="509" ht="15.75" customHeight="1">
      <c r="A509" s="782"/>
      <c r="B509" s="816"/>
      <c r="C509" s="817"/>
      <c r="D509" s="817"/>
    </row>
    <row r="510" ht="15.75" customHeight="1">
      <c r="A510" s="782"/>
      <c r="B510" s="816"/>
      <c r="C510" s="817"/>
      <c r="D510" s="817"/>
    </row>
    <row r="511" ht="15.75" customHeight="1">
      <c r="A511" s="782"/>
      <c r="B511" s="816"/>
      <c r="C511" s="817"/>
      <c r="D511" s="817"/>
    </row>
    <row r="512" ht="15.75" customHeight="1">
      <c r="A512" s="782"/>
      <c r="B512" s="816"/>
      <c r="C512" s="817"/>
      <c r="D512" s="817"/>
    </row>
    <row r="513" ht="15.75" customHeight="1">
      <c r="A513" s="782"/>
      <c r="B513" s="816"/>
      <c r="C513" s="817"/>
      <c r="D513" s="817"/>
    </row>
    <row r="514" ht="15.75" customHeight="1">
      <c r="A514" s="782"/>
      <c r="B514" s="816"/>
      <c r="C514" s="817"/>
      <c r="D514" s="817"/>
    </row>
    <row r="515" ht="15.75" customHeight="1">
      <c r="A515" s="782"/>
      <c r="B515" s="816"/>
      <c r="C515" s="817"/>
      <c r="D515" s="817"/>
    </row>
    <row r="516" ht="15.75" customHeight="1">
      <c r="A516" s="782"/>
      <c r="B516" s="816"/>
      <c r="C516" s="817"/>
      <c r="D516" s="817"/>
    </row>
    <row r="517" ht="15.75" customHeight="1">
      <c r="A517" s="782"/>
      <c r="B517" s="816"/>
      <c r="C517" s="817"/>
      <c r="D517" s="817"/>
    </row>
    <row r="518" ht="15.75" customHeight="1">
      <c r="A518" s="782"/>
      <c r="B518" s="816"/>
      <c r="C518" s="817"/>
      <c r="D518" s="817"/>
    </row>
    <row r="519" ht="15.75" customHeight="1">
      <c r="A519" s="782"/>
      <c r="B519" s="816"/>
      <c r="C519" s="817"/>
      <c r="D519" s="817"/>
    </row>
    <row r="520" ht="15.75" customHeight="1">
      <c r="A520" s="782"/>
      <c r="B520" s="816"/>
      <c r="C520" s="817"/>
      <c r="D520" s="817"/>
    </row>
    <row r="521" ht="15.75" customHeight="1">
      <c r="A521" s="782"/>
      <c r="B521" s="816"/>
      <c r="C521" s="817"/>
      <c r="D521" s="817"/>
    </row>
    <row r="522" ht="15.75" customHeight="1">
      <c r="A522" s="782"/>
      <c r="B522" s="816"/>
      <c r="C522" s="817"/>
      <c r="D522" s="817"/>
    </row>
    <row r="523" ht="15.75" customHeight="1">
      <c r="A523" s="782"/>
      <c r="B523" s="816"/>
      <c r="C523" s="817"/>
      <c r="D523" s="817"/>
    </row>
    <row r="524" ht="15.75" customHeight="1">
      <c r="A524" s="782"/>
      <c r="B524" s="816"/>
      <c r="C524" s="817"/>
      <c r="D524" s="817"/>
    </row>
    <row r="525" ht="15.75" customHeight="1">
      <c r="A525" s="782"/>
      <c r="B525" s="816"/>
      <c r="C525" s="817"/>
      <c r="D525" s="817"/>
    </row>
    <row r="526" ht="15.75" customHeight="1">
      <c r="A526" s="782"/>
      <c r="B526" s="816"/>
      <c r="C526" s="817"/>
      <c r="D526" s="817"/>
    </row>
    <row r="527" ht="15.75" customHeight="1">
      <c r="A527" s="782"/>
      <c r="B527" s="816"/>
      <c r="C527" s="817"/>
      <c r="D527" s="817"/>
    </row>
    <row r="528" ht="15.75" customHeight="1">
      <c r="A528" s="782"/>
      <c r="B528" s="816"/>
      <c r="C528" s="817"/>
      <c r="D528" s="817"/>
    </row>
    <row r="529" ht="15.75" customHeight="1">
      <c r="A529" s="782"/>
      <c r="B529" s="816"/>
      <c r="C529" s="817"/>
      <c r="D529" s="817"/>
    </row>
    <row r="530" ht="15.75" customHeight="1">
      <c r="A530" s="782"/>
      <c r="B530" s="816"/>
      <c r="C530" s="817"/>
      <c r="D530" s="817"/>
    </row>
    <row r="531" ht="15.75" customHeight="1">
      <c r="A531" s="782"/>
      <c r="B531" s="816"/>
      <c r="C531" s="817"/>
      <c r="D531" s="817"/>
    </row>
    <row r="532" ht="15.75" customHeight="1">
      <c r="A532" s="782"/>
      <c r="B532" s="816"/>
      <c r="C532" s="817"/>
      <c r="D532" s="817"/>
    </row>
    <row r="533" ht="15.75" customHeight="1">
      <c r="A533" s="782"/>
      <c r="B533" s="816"/>
      <c r="C533" s="817"/>
      <c r="D533" s="817"/>
    </row>
    <row r="534" ht="15.75" customHeight="1">
      <c r="A534" s="782"/>
      <c r="B534" s="816"/>
      <c r="C534" s="817"/>
      <c r="D534" s="817"/>
    </row>
    <row r="535" ht="15.75" customHeight="1">
      <c r="A535" s="782"/>
      <c r="B535" s="816"/>
      <c r="C535" s="817"/>
      <c r="D535" s="817"/>
    </row>
    <row r="536" ht="15.75" customHeight="1">
      <c r="A536" s="782"/>
      <c r="B536" s="816"/>
      <c r="C536" s="817"/>
      <c r="D536" s="817"/>
    </row>
    <row r="537" ht="15.75" customHeight="1">
      <c r="A537" s="782"/>
      <c r="B537" s="816"/>
      <c r="C537" s="817"/>
      <c r="D537" s="817"/>
    </row>
    <row r="538" ht="15.75" customHeight="1">
      <c r="A538" s="782"/>
      <c r="B538" s="816"/>
      <c r="C538" s="817"/>
      <c r="D538" s="817"/>
    </row>
    <row r="539" ht="15.75" customHeight="1">
      <c r="A539" s="782"/>
      <c r="B539" s="816"/>
      <c r="C539" s="817"/>
      <c r="D539" s="817"/>
    </row>
    <row r="540" ht="15.75" customHeight="1">
      <c r="A540" s="782"/>
      <c r="B540" s="816"/>
      <c r="C540" s="817"/>
      <c r="D540" s="817"/>
    </row>
    <row r="541" ht="15.75" customHeight="1">
      <c r="A541" s="782"/>
      <c r="B541" s="816"/>
      <c r="C541" s="817"/>
      <c r="D541" s="817"/>
    </row>
    <row r="542" ht="15.75" customHeight="1">
      <c r="A542" s="782"/>
      <c r="B542" s="816"/>
      <c r="C542" s="817"/>
      <c r="D542" s="817"/>
    </row>
    <row r="543" ht="15.75" customHeight="1">
      <c r="A543" s="782"/>
      <c r="B543" s="816"/>
      <c r="C543" s="817"/>
      <c r="D543" s="817"/>
    </row>
    <row r="544" ht="15.75" customHeight="1">
      <c r="A544" s="782"/>
      <c r="B544" s="816"/>
      <c r="C544" s="817"/>
      <c r="D544" s="817"/>
    </row>
    <row r="545" ht="15.75" customHeight="1">
      <c r="A545" s="782"/>
      <c r="B545" s="816"/>
      <c r="C545" s="817"/>
      <c r="D545" s="817"/>
    </row>
    <row r="546" ht="15.75" customHeight="1">
      <c r="A546" s="782"/>
      <c r="B546" s="816"/>
      <c r="C546" s="817"/>
      <c r="D546" s="817"/>
    </row>
    <row r="547" ht="15.75" customHeight="1">
      <c r="A547" s="782"/>
      <c r="B547" s="816"/>
      <c r="C547" s="817"/>
      <c r="D547" s="817"/>
    </row>
    <row r="548" ht="15.75" customHeight="1">
      <c r="A548" s="782"/>
      <c r="B548" s="816"/>
      <c r="C548" s="817"/>
      <c r="D548" s="817"/>
    </row>
    <row r="549" ht="15.75" customHeight="1">
      <c r="A549" s="782"/>
      <c r="B549" s="816"/>
      <c r="C549" s="817"/>
      <c r="D549" s="817"/>
    </row>
    <row r="550" ht="15.75" customHeight="1">
      <c r="A550" s="782"/>
      <c r="B550" s="816"/>
      <c r="C550" s="817"/>
      <c r="D550" s="817"/>
    </row>
    <row r="551" ht="15.75" customHeight="1">
      <c r="A551" s="782"/>
      <c r="B551" s="816"/>
      <c r="C551" s="817"/>
      <c r="D551" s="817"/>
    </row>
    <row r="552" ht="15.75" customHeight="1">
      <c r="A552" s="782"/>
      <c r="B552" s="816"/>
      <c r="C552" s="817"/>
      <c r="D552" s="817"/>
    </row>
    <row r="553" ht="15.75" customHeight="1">
      <c r="A553" s="782"/>
      <c r="B553" s="816"/>
      <c r="C553" s="817"/>
      <c r="D553" s="817"/>
    </row>
    <row r="554" ht="15.75" customHeight="1">
      <c r="A554" s="782"/>
      <c r="B554" s="816"/>
      <c r="C554" s="817"/>
      <c r="D554" s="817"/>
    </row>
    <row r="555" ht="15.75" customHeight="1">
      <c r="A555" s="782"/>
      <c r="B555" s="816"/>
      <c r="C555" s="817"/>
      <c r="D555" s="817"/>
    </row>
    <row r="556" ht="15.75" customHeight="1">
      <c r="A556" s="782"/>
      <c r="B556" s="816"/>
      <c r="C556" s="817"/>
      <c r="D556" s="817"/>
    </row>
    <row r="557" ht="15.75" customHeight="1">
      <c r="A557" s="782"/>
      <c r="B557" s="816"/>
      <c r="C557" s="817"/>
      <c r="D557" s="817"/>
    </row>
    <row r="558" ht="15.75" customHeight="1">
      <c r="A558" s="782"/>
      <c r="B558" s="816"/>
      <c r="C558" s="817"/>
      <c r="D558" s="817"/>
    </row>
    <row r="559" ht="15.75" customHeight="1">
      <c r="A559" s="782"/>
      <c r="B559" s="816"/>
      <c r="C559" s="817"/>
      <c r="D559" s="817"/>
    </row>
    <row r="560" ht="15.75" customHeight="1">
      <c r="A560" s="782"/>
      <c r="B560" s="816"/>
      <c r="C560" s="817"/>
      <c r="D560" s="817"/>
    </row>
    <row r="561" ht="15.75" customHeight="1">
      <c r="A561" s="782"/>
      <c r="B561" s="816"/>
      <c r="C561" s="817"/>
      <c r="D561" s="817"/>
    </row>
    <row r="562" ht="15.75" customHeight="1">
      <c r="A562" s="782"/>
      <c r="B562" s="816"/>
      <c r="C562" s="817"/>
      <c r="D562" s="817"/>
    </row>
    <row r="563" ht="15.75" customHeight="1">
      <c r="A563" s="782"/>
      <c r="B563" s="816"/>
      <c r="C563" s="817"/>
      <c r="D563" s="817"/>
    </row>
    <row r="564" ht="15.75" customHeight="1">
      <c r="A564" s="782"/>
      <c r="B564" s="816"/>
      <c r="C564" s="817"/>
      <c r="D564" s="817"/>
    </row>
    <row r="565" ht="15.75" customHeight="1">
      <c r="A565" s="782"/>
      <c r="B565" s="816"/>
      <c r="C565" s="817"/>
      <c r="D565" s="817"/>
    </row>
    <row r="566" ht="15.75" customHeight="1">
      <c r="A566" s="782"/>
      <c r="B566" s="816"/>
      <c r="C566" s="817"/>
      <c r="D566" s="817"/>
    </row>
    <row r="567" ht="15.75" customHeight="1">
      <c r="A567" s="782"/>
      <c r="B567" s="816"/>
      <c r="C567" s="817"/>
      <c r="D567" s="817"/>
    </row>
    <row r="568" ht="15.75" customHeight="1">
      <c r="A568" s="782"/>
      <c r="B568" s="816"/>
      <c r="C568" s="817"/>
      <c r="D568" s="817"/>
    </row>
    <row r="569" ht="15.75" customHeight="1">
      <c r="A569" s="782"/>
      <c r="B569" s="816"/>
      <c r="C569" s="817"/>
      <c r="D569" s="817"/>
    </row>
    <row r="570" ht="15.75" customHeight="1">
      <c r="A570" s="782"/>
      <c r="B570" s="816"/>
      <c r="C570" s="817"/>
      <c r="D570" s="817"/>
    </row>
    <row r="571" ht="15.75" customHeight="1">
      <c r="A571" s="782"/>
      <c r="B571" s="816"/>
      <c r="C571" s="817"/>
      <c r="D571" s="817"/>
    </row>
    <row r="572" ht="15.75" customHeight="1">
      <c r="A572" s="782"/>
      <c r="B572" s="816"/>
      <c r="C572" s="817"/>
      <c r="D572" s="817"/>
    </row>
    <row r="573" ht="15.75" customHeight="1">
      <c r="A573" s="782"/>
      <c r="B573" s="816"/>
      <c r="C573" s="817"/>
      <c r="D573" s="817"/>
    </row>
    <row r="574" ht="15.75" customHeight="1">
      <c r="A574" s="782"/>
      <c r="B574" s="816"/>
      <c r="C574" s="817"/>
      <c r="D574" s="817"/>
    </row>
    <row r="575" ht="15.75" customHeight="1">
      <c r="A575" s="782"/>
      <c r="B575" s="816"/>
      <c r="C575" s="817"/>
      <c r="D575" s="817"/>
    </row>
    <row r="576" ht="15.75" customHeight="1">
      <c r="A576" s="782"/>
      <c r="B576" s="816"/>
      <c r="C576" s="817"/>
      <c r="D576" s="817"/>
    </row>
    <row r="577" ht="15.75" customHeight="1">
      <c r="A577" s="782"/>
      <c r="B577" s="816"/>
      <c r="C577" s="817"/>
      <c r="D577" s="817"/>
    </row>
    <row r="578" ht="15.75" customHeight="1">
      <c r="A578" s="782"/>
      <c r="B578" s="816"/>
      <c r="C578" s="817"/>
      <c r="D578" s="817"/>
    </row>
    <row r="579" ht="15.75" customHeight="1">
      <c r="A579" s="782"/>
      <c r="B579" s="816"/>
      <c r="C579" s="817"/>
      <c r="D579" s="817"/>
    </row>
    <row r="580" ht="15.75" customHeight="1">
      <c r="A580" s="782"/>
      <c r="B580" s="816"/>
      <c r="C580" s="817"/>
      <c r="D580" s="817"/>
    </row>
    <row r="581" ht="15.75" customHeight="1">
      <c r="A581" s="782"/>
      <c r="B581" s="816"/>
      <c r="C581" s="817"/>
      <c r="D581" s="817"/>
    </row>
    <row r="582" ht="15.75" customHeight="1">
      <c r="A582" s="782"/>
      <c r="B582" s="816"/>
      <c r="C582" s="817"/>
      <c r="D582" s="817"/>
    </row>
    <row r="583" ht="15.75" customHeight="1">
      <c r="A583" s="782"/>
      <c r="B583" s="816"/>
      <c r="C583" s="817"/>
      <c r="D583" s="817"/>
    </row>
    <row r="584" ht="15.75" customHeight="1">
      <c r="A584" s="782"/>
      <c r="B584" s="816"/>
      <c r="C584" s="817"/>
      <c r="D584" s="817"/>
    </row>
    <row r="585" ht="15.75" customHeight="1">
      <c r="A585" s="782"/>
      <c r="B585" s="816"/>
      <c r="C585" s="817"/>
      <c r="D585" s="817"/>
    </row>
    <row r="586" ht="15.75" customHeight="1">
      <c r="A586" s="782"/>
      <c r="B586" s="816"/>
      <c r="C586" s="817"/>
      <c r="D586" s="817"/>
    </row>
    <row r="587" ht="15.75" customHeight="1">
      <c r="A587" s="782"/>
      <c r="B587" s="816"/>
      <c r="C587" s="817"/>
      <c r="D587" s="817"/>
    </row>
    <row r="588" ht="15.75" customHeight="1">
      <c r="A588" s="782"/>
      <c r="B588" s="816"/>
      <c r="C588" s="817"/>
      <c r="D588" s="817"/>
    </row>
    <row r="589" ht="15.75" customHeight="1">
      <c r="A589" s="782"/>
      <c r="B589" s="816"/>
      <c r="C589" s="817"/>
      <c r="D589" s="817"/>
    </row>
    <row r="590" ht="15.75" customHeight="1">
      <c r="A590" s="782"/>
      <c r="B590" s="816"/>
      <c r="C590" s="817"/>
      <c r="D590" s="817"/>
    </row>
    <row r="591" ht="15.75" customHeight="1">
      <c r="A591" s="782"/>
      <c r="B591" s="816"/>
      <c r="C591" s="817"/>
      <c r="D591" s="817"/>
    </row>
    <row r="592" ht="15.75" customHeight="1">
      <c r="A592" s="782"/>
      <c r="B592" s="816"/>
      <c r="C592" s="817"/>
      <c r="D592" s="817"/>
    </row>
    <row r="593" ht="15.75" customHeight="1">
      <c r="A593" s="782"/>
      <c r="B593" s="816"/>
      <c r="C593" s="817"/>
      <c r="D593" s="817"/>
    </row>
    <row r="594" ht="15.75" customHeight="1">
      <c r="A594" s="782"/>
      <c r="B594" s="816"/>
      <c r="C594" s="817"/>
      <c r="D594" s="817"/>
    </row>
    <row r="595" ht="15.75" customHeight="1">
      <c r="A595" s="782"/>
      <c r="B595" s="816"/>
      <c r="C595" s="817"/>
      <c r="D595" s="817"/>
    </row>
    <row r="596" ht="15.75" customHeight="1">
      <c r="A596" s="782"/>
      <c r="B596" s="816"/>
      <c r="C596" s="817"/>
      <c r="D596" s="817"/>
    </row>
    <row r="597" ht="15.75" customHeight="1">
      <c r="A597" s="782"/>
      <c r="B597" s="816"/>
      <c r="C597" s="817"/>
      <c r="D597" s="817"/>
    </row>
    <row r="598" ht="15.75" customHeight="1">
      <c r="A598" s="782"/>
      <c r="B598" s="816"/>
      <c r="C598" s="817"/>
      <c r="D598" s="817"/>
    </row>
    <row r="599" ht="15.75" customHeight="1">
      <c r="A599" s="782"/>
      <c r="B599" s="816"/>
      <c r="C599" s="817"/>
      <c r="D599" s="817"/>
    </row>
    <row r="600" ht="15.75" customHeight="1">
      <c r="A600" s="782"/>
      <c r="B600" s="816"/>
      <c r="C600" s="817"/>
      <c r="D600" s="817"/>
    </row>
    <row r="601" ht="15.75" customHeight="1">
      <c r="A601" s="782"/>
      <c r="B601" s="816"/>
      <c r="C601" s="817"/>
      <c r="D601" s="817"/>
    </row>
    <row r="602" ht="15.75" customHeight="1">
      <c r="A602" s="782"/>
      <c r="B602" s="816"/>
      <c r="C602" s="817"/>
      <c r="D602" s="817"/>
    </row>
    <row r="603" ht="15.75" customHeight="1">
      <c r="A603" s="782"/>
      <c r="B603" s="816"/>
      <c r="C603" s="817"/>
      <c r="D603" s="817"/>
    </row>
    <row r="604" ht="15.75" customHeight="1">
      <c r="A604" s="782"/>
      <c r="B604" s="816"/>
      <c r="C604" s="817"/>
      <c r="D604" s="817"/>
    </row>
    <row r="605" ht="15.75" customHeight="1">
      <c r="A605" s="782"/>
      <c r="B605" s="816"/>
      <c r="C605" s="817"/>
      <c r="D605" s="817"/>
    </row>
    <row r="606" ht="15.75" customHeight="1">
      <c r="A606" s="782"/>
      <c r="B606" s="816"/>
      <c r="C606" s="817"/>
      <c r="D606" s="817"/>
    </row>
    <row r="607" ht="15.75" customHeight="1">
      <c r="A607" s="782"/>
      <c r="B607" s="816"/>
      <c r="C607" s="817"/>
      <c r="D607" s="817"/>
    </row>
    <row r="608" ht="15.75" customHeight="1">
      <c r="A608" s="782"/>
      <c r="B608" s="816"/>
      <c r="C608" s="817"/>
      <c r="D608" s="817"/>
    </row>
    <row r="609" ht="15.75" customHeight="1">
      <c r="A609" s="782"/>
      <c r="B609" s="816"/>
      <c r="C609" s="817"/>
      <c r="D609" s="817"/>
    </row>
    <row r="610" ht="15.75" customHeight="1">
      <c r="A610" s="782"/>
      <c r="B610" s="816"/>
      <c r="C610" s="817"/>
      <c r="D610" s="817"/>
    </row>
    <row r="611" ht="15.75" customHeight="1">
      <c r="A611" s="782"/>
      <c r="B611" s="816"/>
      <c r="C611" s="817"/>
      <c r="D611" s="817"/>
    </row>
    <row r="612" ht="15.75" customHeight="1">
      <c r="A612" s="782"/>
      <c r="B612" s="816"/>
      <c r="C612" s="817"/>
      <c r="D612" s="817"/>
    </row>
    <row r="613" ht="15.75" customHeight="1">
      <c r="A613" s="782"/>
      <c r="B613" s="816"/>
      <c r="C613" s="817"/>
      <c r="D613" s="817"/>
    </row>
    <row r="614" ht="15.75" customHeight="1">
      <c r="A614" s="782"/>
      <c r="B614" s="816"/>
      <c r="C614" s="817"/>
      <c r="D614" s="817"/>
    </row>
    <row r="615" ht="15.75" customHeight="1">
      <c r="A615" s="782"/>
      <c r="B615" s="816"/>
      <c r="C615" s="817"/>
      <c r="D615" s="817"/>
    </row>
    <row r="616" ht="15.75" customHeight="1">
      <c r="A616" s="782"/>
      <c r="B616" s="816"/>
      <c r="C616" s="817"/>
      <c r="D616" s="817"/>
    </row>
    <row r="617" ht="15.75" customHeight="1">
      <c r="A617" s="782"/>
      <c r="B617" s="816"/>
      <c r="C617" s="817"/>
      <c r="D617" s="817"/>
    </row>
    <row r="618" ht="15.75" customHeight="1">
      <c r="A618" s="782"/>
      <c r="B618" s="816"/>
      <c r="C618" s="817"/>
      <c r="D618" s="817"/>
    </row>
    <row r="619" ht="15.75" customHeight="1">
      <c r="A619" s="782"/>
      <c r="B619" s="816"/>
      <c r="C619" s="817"/>
      <c r="D619" s="817"/>
    </row>
    <row r="620" ht="15.75" customHeight="1">
      <c r="A620" s="782"/>
      <c r="B620" s="816"/>
      <c r="C620" s="817"/>
      <c r="D620" s="817"/>
    </row>
    <row r="621" ht="15.75" customHeight="1">
      <c r="A621" s="782"/>
      <c r="B621" s="816"/>
      <c r="C621" s="817"/>
      <c r="D621" s="817"/>
    </row>
    <row r="622" ht="15.75" customHeight="1">
      <c r="A622" s="782"/>
      <c r="B622" s="816"/>
      <c r="C622" s="817"/>
      <c r="D622" s="817"/>
    </row>
    <row r="623" ht="15.75" customHeight="1">
      <c r="A623" s="782"/>
      <c r="B623" s="816"/>
      <c r="C623" s="817"/>
      <c r="D623" s="817"/>
    </row>
    <row r="624" ht="15.75" customHeight="1">
      <c r="A624" s="782"/>
      <c r="B624" s="816"/>
      <c r="C624" s="817"/>
      <c r="D624" s="817"/>
    </row>
    <row r="625" ht="15.75" customHeight="1">
      <c r="A625" s="782"/>
      <c r="B625" s="816"/>
      <c r="C625" s="817"/>
      <c r="D625" s="817"/>
    </row>
    <row r="626" ht="15.75" customHeight="1">
      <c r="A626" s="782"/>
      <c r="B626" s="816"/>
      <c r="C626" s="817"/>
      <c r="D626" s="817"/>
    </row>
    <row r="627" ht="15.75" customHeight="1">
      <c r="A627" s="782"/>
      <c r="B627" s="816"/>
      <c r="C627" s="817"/>
      <c r="D627" s="817"/>
    </row>
    <row r="628" ht="15.75" customHeight="1">
      <c r="A628" s="782"/>
      <c r="B628" s="816"/>
      <c r="C628" s="817"/>
      <c r="D628" s="817"/>
    </row>
    <row r="629" ht="15.75" customHeight="1">
      <c r="A629" s="782"/>
      <c r="B629" s="816"/>
      <c r="C629" s="817"/>
      <c r="D629" s="817"/>
    </row>
    <row r="630" ht="15.75" customHeight="1">
      <c r="A630" s="782"/>
      <c r="B630" s="816"/>
      <c r="C630" s="817"/>
      <c r="D630" s="817"/>
    </row>
    <row r="631" ht="15.75" customHeight="1">
      <c r="A631" s="782"/>
      <c r="B631" s="816"/>
      <c r="C631" s="817"/>
      <c r="D631" s="817"/>
    </row>
    <row r="632" ht="15.75" customHeight="1">
      <c r="A632" s="782"/>
      <c r="B632" s="816"/>
      <c r="C632" s="817"/>
      <c r="D632" s="817"/>
    </row>
    <row r="633" ht="15.75" customHeight="1">
      <c r="A633" s="782"/>
      <c r="B633" s="816"/>
      <c r="C633" s="817"/>
      <c r="D633" s="817"/>
    </row>
    <row r="634" ht="15.75" customHeight="1">
      <c r="A634" s="782"/>
      <c r="B634" s="816"/>
      <c r="C634" s="817"/>
      <c r="D634" s="817"/>
    </row>
    <row r="635" ht="15.75" customHeight="1">
      <c r="A635" s="782"/>
      <c r="B635" s="816"/>
      <c r="C635" s="817"/>
      <c r="D635" s="817"/>
    </row>
    <row r="636" ht="15.75" customHeight="1">
      <c r="A636" s="782"/>
      <c r="B636" s="816"/>
      <c r="C636" s="817"/>
      <c r="D636" s="817"/>
    </row>
    <row r="637" ht="15.75" customHeight="1">
      <c r="A637" s="782"/>
      <c r="B637" s="816"/>
      <c r="C637" s="817"/>
      <c r="D637" s="817"/>
    </row>
    <row r="638" ht="15.75" customHeight="1">
      <c r="A638" s="782"/>
      <c r="B638" s="816"/>
      <c r="C638" s="817"/>
      <c r="D638" s="817"/>
    </row>
    <row r="639" ht="15.75" customHeight="1">
      <c r="A639" s="782"/>
      <c r="B639" s="816"/>
      <c r="C639" s="817"/>
      <c r="D639" s="817"/>
    </row>
    <row r="640" ht="15.75" customHeight="1">
      <c r="A640" s="782"/>
      <c r="B640" s="816"/>
      <c r="C640" s="817"/>
      <c r="D640" s="817"/>
    </row>
    <row r="641" ht="15.75" customHeight="1">
      <c r="A641" s="782"/>
      <c r="B641" s="816"/>
      <c r="C641" s="817"/>
      <c r="D641" s="817"/>
    </row>
    <row r="642" ht="15.75" customHeight="1">
      <c r="A642" s="782"/>
      <c r="B642" s="816"/>
      <c r="C642" s="817"/>
      <c r="D642" s="817"/>
    </row>
    <row r="643" ht="15.75" customHeight="1">
      <c r="A643" s="782"/>
      <c r="B643" s="816"/>
      <c r="C643" s="817"/>
      <c r="D643" s="817"/>
    </row>
    <row r="644" ht="15.75" customHeight="1">
      <c r="A644" s="782"/>
      <c r="B644" s="816"/>
      <c r="C644" s="817"/>
      <c r="D644" s="817"/>
    </row>
    <row r="645" ht="15.75" customHeight="1">
      <c r="A645" s="782"/>
      <c r="B645" s="816"/>
      <c r="C645" s="817"/>
      <c r="D645" s="817"/>
    </row>
    <row r="646" ht="15.75" customHeight="1">
      <c r="A646" s="782"/>
      <c r="B646" s="816"/>
      <c r="C646" s="817"/>
      <c r="D646" s="817"/>
    </row>
    <row r="647" ht="15.75" customHeight="1">
      <c r="A647" s="782"/>
      <c r="B647" s="816"/>
      <c r="C647" s="817"/>
      <c r="D647" s="817"/>
    </row>
    <row r="648" ht="15.75" customHeight="1">
      <c r="A648" s="782"/>
      <c r="B648" s="816"/>
      <c r="C648" s="817"/>
      <c r="D648" s="817"/>
    </row>
    <row r="649" ht="15.75" customHeight="1">
      <c r="A649" s="782"/>
      <c r="B649" s="816"/>
      <c r="C649" s="817"/>
      <c r="D649" s="817"/>
    </row>
    <row r="650" ht="15.75" customHeight="1">
      <c r="A650" s="782"/>
      <c r="B650" s="816"/>
      <c r="C650" s="817"/>
      <c r="D650" s="817"/>
    </row>
    <row r="651" ht="15.75" customHeight="1">
      <c r="A651" s="782"/>
      <c r="B651" s="816"/>
      <c r="C651" s="817"/>
      <c r="D651" s="817"/>
    </row>
    <row r="652" ht="15.75" customHeight="1">
      <c r="A652" s="782"/>
      <c r="B652" s="816"/>
      <c r="C652" s="817"/>
      <c r="D652" s="817"/>
    </row>
    <row r="653" ht="15.75" customHeight="1">
      <c r="A653" s="782"/>
      <c r="B653" s="816"/>
      <c r="C653" s="817"/>
      <c r="D653" s="817"/>
    </row>
    <row r="654" ht="15.75" customHeight="1">
      <c r="A654" s="782"/>
      <c r="B654" s="816"/>
      <c r="C654" s="817"/>
      <c r="D654" s="817"/>
    </row>
    <row r="655" ht="15.75" customHeight="1">
      <c r="A655" s="782"/>
      <c r="B655" s="816"/>
      <c r="C655" s="817"/>
      <c r="D655" s="817"/>
    </row>
    <row r="656" ht="15.75" customHeight="1">
      <c r="A656" s="782"/>
      <c r="B656" s="816"/>
      <c r="C656" s="817"/>
      <c r="D656" s="817"/>
    </row>
    <row r="657" ht="15.75" customHeight="1">
      <c r="A657" s="782"/>
      <c r="B657" s="816"/>
      <c r="C657" s="817"/>
      <c r="D657" s="817"/>
    </row>
    <row r="658" ht="15.75" customHeight="1">
      <c r="A658" s="782"/>
      <c r="B658" s="816"/>
      <c r="C658" s="817"/>
      <c r="D658" s="817"/>
    </row>
    <row r="659" ht="15.75" customHeight="1">
      <c r="A659" s="782"/>
      <c r="B659" s="816"/>
      <c r="C659" s="817"/>
      <c r="D659" s="817"/>
    </row>
    <row r="660" ht="15.75" customHeight="1">
      <c r="A660" s="782"/>
      <c r="B660" s="816"/>
      <c r="C660" s="817"/>
      <c r="D660" s="817"/>
    </row>
    <row r="661" ht="15.75" customHeight="1">
      <c r="A661" s="782"/>
      <c r="B661" s="816"/>
      <c r="C661" s="817"/>
      <c r="D661" s="817"/>
    </row>
    <row r="662" ht="15.75" customHeight="1">
      <c r="A662" s="782"/>
      <c r="B662" s="816"/>
      <c r="C662" s="817"/>
      <c r="D662" s="817"/>
    </row>
    <row r="663" ht="15.75" customHeight="1">
      <c r="A663" s="782"/>
      <c r="B663" s="816"/>
      <c r="C663" s="817"/>
      <c r="D663" s="817"/>
    </row>
    <row r="664" ht="15.75" customHeight="1">
      <c r="A664" s="782"/>
      <c r="B664" s="816"/>
      <c r="C664" s="817"/>
      <c r="D664" s="817"/>
    </row>
    <row r="665" ht="15.75" customHeight="1">
      <c r="A665" s="782"/>
      <c r="B665" s="816"/>
      <c r="C665" s="817"/>
      <c r="D665" s="817"/>
    </row>
    <row r="666" ht="15.75" customHeight="1">
      <c r="A666" s="782"/>
      <c r="B666" s="816"/>
      <c r="C666" s="817"/>
      <c r="D666" s="817"/>
    </row>
    <row r="667" ht="15.75" customHeight="1">
      <c r="A667" s="782"/>
      <c r="B667" s="816"/>
      <c r="C667" s="817"/>
      <c r="D667" s="817"/>
    </row>
    <row r="668" ht="15.75" customHeight="1">
      <c r="A668" s="782"/>
      <c r="B668" s="816"/>
      <c r="C668" s="817"/>
      <c r="D668" s="817"/>
    </row>
    <row r="669" ht="15.75" customHeight="1">
      <c r="A669" s="782"/>
      <c r="B669" s="816"/>
      <c r="C669" s="817"/>
      <c r="D669" s="817"/>
    </row>
    <row r="670" ht="15.75" customHeight="1">
      <c r="A670" s="782"/>
      <c r="B670" s="816"/>
      <c r="C670" s="817"/>
      <c r="D670" s="817"/>
    </row>
    <row r="671" ht="15.75" customHeight="1">
      <c r="A671" s="782"/>
      <c r="B671" s="816"/>
      <c r="C671" s="817"/>
      <c r="D671" s="817"/>
    </row>
    <row r="672" ht="15.75" customHeight="1">
      <c r="A672" s="782"/>
      <c r="B672" s="816"/>
      <c r="C672" s="817"/>
      <c r="D672" s="817"/>
    </row>
    <row r="673" ht="15.75" customHeight="1">
      <c r="A673" s="782"/>
      <c r="B673" s="816"/>
      <c r="C673" s="817"/>
      <c r="D673" s="817"/>
    </row>
    <row r="674" ht="15.75" customHeight="1">
      <c r="A674" s="782"/>
      <c r="B674" s="816"/>
      <c r="C674" s="817"/>
      <c r="D674" s="817"/>
    </row>
    <row r="675" ht="15.75" customHeight="1">
      <c r="A675" s="782"/>
      <c r="B675" s="816"/>
      <c r="C675" s="817"/>
      <c r="D675" s="817"/>
    </row>
    <row r="676" ht="15.75" customHeight="1">
      <c r="A676" s="782"/>
      <c r="B676" s="816"/>
      <c r="C676" s="817"/>
      <c r="D676" s="817"/>
    </row>
    <row r="677" ht="15.75" customHeight="1">
      <c r="A677" s="782"/>
      <c r="B677" s="816"/>
      <c r="C677" s="817"/>
      <c r="D677" s="817"/>
    </row>
    <row r="678" ht="15.75" customHeight="1">
      <c r="A678" s="782"/>
      <c r="B678" s="816"/>
      <c r="C678" s="817"/>
      <c r="D678" s="817"/>
    </row>
    <row r="679" ht="15.75" customHeight="1">
      <c r="A679" s="782"/>
      <c r="B679" s="816"/>
      <c r="C679" s="817"/>
      <c r="D679" s="817"/>
    </row>
    <row r="680" ht="15.75" customHeight="1">
      <c r="A680" s="782"/>
      <c r="B680" s="816"/>
      <c r="C680" s="817"/>
      <c r="D680" s="817"/>
    </row>
    <row r="681" ht="15.75" customHeight="1">
      <c r="A681" s="782"/>
      <c r="B681" s="816"/>
      <c r="C681" s="817"/>
      <c r="D681" s="817"/>
    </row>
    <row r="682" ht="15.75" customHeight="1">
      <c r="A682" s="782"/>
      <c r="B682" s="816"/>
      <c r="C682" s="817"/>
      <c r="D682" s="817"/>
    </row>
    <row r="683" ht="15.75" customHeight="1">
      <c r="A683" s="782"/>
      <c r="B683" s="816"/>
      <c r="C683" s="817"/>
      <c r="D683" s="817"/>
    </row>
    <row r="684" ht="15.75" customHeight="1">
      <c r="A684" s="782"/>
      <c r="B684" s="816"/>
      <c r="C684" s="817"/>
      <c r="D684" s="817"/>
    </row>
    <row r="685" ht="15.75" customHeight="1">
      <c r="A685" s="782"/>
      <c r="B685" s="816"/>
      <c r="C685" s="817"/>
      <c r="D685" s="817"/>
    </row>
    <row r="686" ht="15.75" customHeight="1">
      <c r="A686" s="782"/>
      <c r="B686" s="816"/>
      <c r="C686" s="817"/>
      <c r="D686" s="817"/>
    </row>
    <row r="687" ht="15.75" customHeight="1">
      <c r="A687" s="782"/>
      <c r="B687" s="816"/>
      <c r="C687" s="817"/>
      <c r="D687" s="817"/>
    </row>
    <row r="688" ht="15.75" customHeight="1">
      <c r="A688" s="782"/>
      <c r="B688" s="816"/>
      <c r="C688" s="817"/>
      <c r="D688" s="817"/>
    </row>
    <row r="689" ht="15.75" customHeight="1">
      <c r="A689" s="782"/>
      <c r="B689" s="816"/>
      <c r="C689" s="817"/>
      <c r="D689" s="817"/>
    </row>
    <row r="690" ht="15.75" customHeight="1">
      <c r="A690" s="782"/>
      <c r="B690" s="816"/>
      <c r="C690" s="817"/>
      <c r="D690" s="817"/>
    </row>
    <row r="691" ht="15.75" customHeight="1">
      <c r="A691" s="782"/>
      <c r="B691" s="816"/>
      <c r="C691" s="817"/>
      <c r="D691" s="817"/>
    </row>
    <row r="692" ht="15.75" customHeight="1">
      <c r="A692" s="782"/>
      <c r="B692" s="816"/>
      <c r="C692" s="817"/>
      <c r="D692" s="817"/>
    </row>
    <row r="693" ht="15.75" customHeight="1">
      <c r="A693" s="782"/>
      <c r="B693" s="816"/>
      <c r="C693" s="817"/>
      <c r="D693" s="817"/>
    </row>
    <row r="694" ht="15.75" customHeight="1">
      <c r="A694" s="782"/>
      <c r="B694" s="816"/>
      <c r="C694" s="817"/>
      <c r="D694" s="817"/>
    </row>
    <row r="695" ht="15.75" customHeight="1">
      <c r="A695" s="782"/>
      <c r="B695" s="816"/>
      <c r="C695" s="817"/>
      <c r="D695" s="817"/>
    </row>
    <row r="696" ht="15.75" customHeight="1">
      <c r="A696" s="782"/>
      <c r="B696" s="816"/>
      <c r="C696" s="817"/>
      <c r="D696" s="817"/>
    </row>
    <row r="697" ht="15.75" customHeight="1">
      <c r="A697" s="782"/>
      <c r="B697" s="816"/>
      <c r="C697" s="817"/>
      <c r="D697" s="817"/>
    </row>
    <row r="698" ht="15.75" customHeight="1">
      <c r="A698" s="782"/>
      <c r="B698" s="816"/>
      <c r="C698" s="817"/>
      <c r="D698" s="817"/>
    </row>
    <row r="699" ht="15.75" customHeight="1">
      <c r="A699" s="782"/>
      <c r="B699" s="816"/>
      <c r="C699" s="817"/>
      <c r="D699" s="817"/>
    </row>
    <row r="700" ht="15.75" customHeight="1">
      <c r="A700" s="782"/>
      <c r="B700" s="816"/>
      <c r="C700" s="817"/>
      <c r="D700" s="817"/>
    </row>
    <row r="701" ht="15.75" customHeight="1">
      <c r="A701" s="782"/>
      <c r="B701" s="816"/>
      <c r="C701" s="817"/>
      <c r="D701" s="817"/>
    </row>
    <row r="702" ht="15.75" customHeight="1">
      <c r="A702" s="782"/>
      <c r="B702" s="816"/>
      <c r="C702" s="817"/>
      <c r="D702" s="817"/>
    </row>
    <row r="703" ht="15.75" customHeight="1">
      <c r="A703" s="782"/>
      <c r="B703" s="816"/>
      <c r="C703" s="817"/>
      <c r="D703" s="817"/>
    </row>
    <row r="704" ht="15.75" customHeight="1">
      <c r="A704" s="782"/>
      <c r="B704" s="816"/>
      <c r="C704" s="817"/>
      <c r="D704" s="817"/>
    </row>
    <row r="705" ht="15.75" customHeight="1">
      <c r="A705" s="782"/>
      <c r="B705" s="816"/>
      <c r="C705" s="817"/>
      <c r="D705" s="817"/>
    </row>
    <row r="706" ht="15.75" customHeight="1">
      <c r="A706" s="782"/>
      <c r="B706" s="816"/>
      <c r="C706" s="817"/>
      <c r="D706" s="817"/>
    </row>
    <row r="707" ht="15.75" customHeight="1">
      <c r="A707" s="782"/>
      <c r="B707" s="816"/>
      <c r="C707" s="817"/>
      <c r="D707" s="817"/>
    </row>
    <row r="708" ht="15.75" customHeight="1">
      <c r="A708" s="782"/>
      <c r="B708" s="816"/>
      <c r="C708" s="817"/>
      <c r="D708" s="817"/>
    </row>
    <row r="709" ht="15.75" customHeight="1">
      <c r="A709" s="782"/>
      <c r="B709" s="816"/>
      <c r="C709" s="817"/>
      <c r="D709" s="817"/>
    </row>
    <row r="710" ht="15.75" customHeight="1">
      <c r="A710" s="782"/>
      <c r="B710" s="816"/>
      <c r="C710" s="817"/>
      <c r="D710" s="817"/>
    </row>
    <row r="711" ht="15.75" customHeight="1">
      <c r="A711" s="782"/>
      <c r="B711" s="816"/>
      <c r="C711" s="817"/>
      <c r="D711" s="817"/>
    </row>
    <row r="712" ht="15.75" customHeight="1">
      <c r="A712" s="782"/>
      <c r="B712" s="816"/>
      <c r="C712" s="817"/>
      <c r="D712" s="817"/>
    </row>
    <row r="713" ht="15.75" customHeight="1">
      <c r="A713" s="782"/>
      <c r="B713" s="816"/>
      <c r="C713" s="817"/>
      <c r="D713" s="817"/>
    </row>
    <row r="714" ht="15.75" customHeight="1">
      <c r="A714" s="782"/>
      <c r="B714" s="816"/>
      <c r="C714" s="817"/>
      <c r="D714" s="817"/>
    </row>
    <row r="715" ht="15.75" customHeight="1">
      <c r="A715" s="782"/>
      <c r="B715" s="816"/>
      <c r="C715" s="817"/>
      <c r="D715" s="817"/>
    </row>
    <row r="716" ht="15.75" customHeight="1">
      <c r="A716" s="782"/>
      <c r="B716" s="816"/>
      <c r="C716" s="817"/>
      <c r="D716" s="817"/>
    </row>
    <row r="717" ht="15.75" customHeight="1">
      <c r="A717" s="782"/>
      <c r="B717" s="816"/>
      <c r="C717" s="817"/>
      <c r="D717" s="817"/>
    </row>
    <row r="718" ht="15.75" customHeight="1">
      <c r="A718" s="782"/>
      <c r="B718" s="816"/>
      <c r="C718" s="817"/>
      <c r="D718" s="817"/>
    </row>
    <row r="719" ht="15.75" customHeight="1">
      <c r="A719" s="782"/>
      <c r="B719" s="816"/>
      <c r="C719" s="817"/>
      <c r="D719" s="817"/>
    </row>
    <row r="720" ht="15.75" customHeight="1">
      <c r="A720" s="782"/>
      <c r="B720" s="816"/>
      <c r="C720" s="817"/>
      <c r="D720" s="817"/>
    </row>
    <row r="721" ht="15.75" customHeight="1">
      <c r="A721" s="782"/>
      <c r="B721" s="816"/>
      <c r="C721" s="817"/>
      <c r="D721" s="817"/>
    </row>
    <row r="722" ht="15.75" customHeight="1">
      <c r="A722" s="782"/>
      <c r="B722" s="816"/>
      <c r="C722" s="817"/>
      <c r="D722" s="817"/>
    </row>
    <row r="723" ht="15.75" customHeight="1">
      <c r="A723" s="782"/>
      <c r="B723" s="816"/>
      <c r="C723" s="817"/>
      <c r="D723" s="817"/>
    </row>
    <row r="724" ht="15.75" customHeight="1">
      <c r="A724" s="782"/>
      <c r="B724" s="816"/>
      <c r="C724" s="817"/>
      <c r="D724" s="817"/>
    </row>
    <row r="725" ht="15.75" customHeight="1">
      <c r="A725" s="782"/>
      <c r="B725" s="816"/>
      <c r="C725" s="817"/>
      <c r="D725" s="817"/>
    </row>
    <row r="726" ht="15.75" customHeight="1">
      <c r="A726" s="782"/>
      <c r="B726" s="816"/>
      <c r="C726" s="817"/>
      <c r="D726" s="817"/>
    </row>
    <row r="727" ht="15.75" customHeight="1">
      <c r="A727" s="782"/>
      <c r="B727" s="816"/>
      <c r="C727" s="817"/>
      <c r="D727" s="817"/>
    </row>
    <row r="728" ht="15.75" customHeight="1">
      <c r="A728" s="782"/>
      <c r="B728" s="816"/>
      <c r="C728" s="817"/>
      <c r="D728" s="817"/>
    </row>
    <row r="729" ht="15.75" customHeight="1">
      <c r="A729" s="782"/>
      <c r="B729" s="816"/>
      <c r="C729" s="817"/>
      <c r="D729" s="817"/>
    </row>
    <row r="730" ht="15.75" customHeight="1">
      <c r="A730" s="782"/>
      <c r="B730" s="816"/>
      <c r="C730" s="817"/>
      <c r="D730" s="817"/>
    </row>
    <row r="731" ht="15.75" customHeight="1">
      <c r="A731" s="782"/>
      <c r="B731" s="816"/>
      <c r="C731" s="817"/>
      <c r="D731" s="817"/>
    </row>
    <row r="732" ht="15.75" customHeight="1">
      <c r="A732" s="782"/>
      <c r="B732" s="816"/>
      <c r="C732" s="817"/>
      <c r="D732" s="817"/>
    </row>
    <row r="733" ht="15.75" customHeight="1">
      <c r="A733" s="782"/>
      <c r="B733" s="816"/>
      <c r="C733" s="817"/>
      <c r="D733" s="817"/>
    </row>
    <row r="734" ht="15.75" customHeight="1">
      <c r="A734" s="782"/>
      <c r="B734" s="816"/>
      <c r="C734" s="817"/>
      <c r="D734" s="817"/>
    </row>
    <row r="735" ht="15.75" customHeight="1">
      <c r="A735" s="782"/>
      <c r="B735" s="816"/>
      <c r="C735" s="817"/>
      <c r="D735" s="817"/>
    </row>
    <row r="736" ht="15.75" customHeight="1">
      <c r="A736" s="782"/>
      <c r="B736" s="816"/>
      <c r="C736" s="817"/>
      <c r="D736" s="817"/>
    </row>
    <row r="737" ht="15.75" customHeight="1">
      <c r="A737" s="782"/>
      <c r="B737" s="816"/>
      <c r="C737" s="817"/>
      <c r="D737" s="817"/>
    </row>
    <row r="738" ht="15.75" customHeight="1">
      <c r="A738" s="782"/>
      <c r="B738" s="816"/>
      <c r="C738" s="817"/>
      <c r="D738" s="817"/>
    </row>
    <row r="739" ht="15.75" customHeight="1">
      <c r="A739" s="782"/>
      <c r="B739" s="816"/>
      <c r="C739" s="817"/>
      <c r="D739" s="817"/>
    </row>
    <row r="740" ht="15.75" customHeight="1">
      <c r="A740" s="782"/>
      <c r="B740" s="816"/>
      <c r="C740" s="817"/>
      <c r="D740" s="817"/>
    </row>
    <row r="741" ht="15.75" customHeight="1">
      <c r="A741" s="782"/>
      <c r="B741" s="816"/>
      <c r="C741" s="817"/>
      <c r="D741" s="817"/>
    </row>
    <row r="742" ht="15.75" customHeight="1">
      <c r="A742" s="782"/>
      <c r="B742" s="816"/>
      <c r="C742" s="817"/>
      <c r="D742" s="817"/>
    </row>
    <row r="743" ht="15.75" customHeight="1">
      <c r="A743" s="782"/>
      <c r="B743" s="816"/>
      <c r="C743" s="817"/>
      <c r="D743" s="817"/>
    </row>
    <row r="744" ht="15.75" customHeight="1">
      <c r="A744" s="782"/>
      <c r="B744" s="816"/>
      <c r="C744" s="817"/>
      <c r="D744" s="817"/>
    </row>
    <row r="745" ht="15.75" customHeight="1">
      <c r="A745" s="782"/>
      <c r="B745" s="816"/>
      <c r="C745" s="817"/>
      <c r="D745" s="817"/>
    </row>
    <row r="746" ht="15.75" customHeight="1">
      <c r="A746" s="782"/>
      <c r="B746" s="816"/>
      <c r="C746" s="817"/>
      <c r="D746" s="817"/>
    </row>
    <row r="747" ht="15.75" customHeight="1">
      <c r="A747" s="782"/>
      <c r="B747" s="816"/>
      <c r="C747" s="817"/>
      <c r="D747" s="817"/>
    </row>
    <row r="748" ht="15.75" customHeight="1">
      <c r="A748" s="782"/>
      <c r="B748" s="816"/>
      <c r="C748" s="817"/>
      <c r="D748" s="817"/>
    </row>
    <row r="749" ht="15.75" customHeight="1">
      <c r="A749" s="782"/>
      <c r="B749" s="816"/>
      <c r="C749" s="817"/>
      <c r="D749" s="817"/>
    </row>
    <row r="750" ht="15.75" customHeight="1">
      <c r="A750" s="782"/>
      <c r="B750" s="816"/>
      <c r="C750" s="817"/>
      <c r="D750" s="817"/>
    </row>
    <row r="751" ht="15.75" customHeight="1">
      <c r="A751" s="782"/>
      <c r="B751" s="816"/>
      <c r="C751" s="817"/>
      <c r="D751" s="817"/>
    </row>
    <row r="752" ht="15.75" customHeight="1">
      <c r="A752" s="782"/>
      <c r="B752" s="816"/>
      <c r="C752" s="817"/>
      <c r="D752" s="817"/>
    </row>
    <row r="753" ht="15.75" customHeight="1">
      <c r="A753" s="782"/>
      <c r="B753" s="816"/>
      <c r="C753" s="817"/>
      <c r="D753" s="817"/>
    </row>
    <row r="754" ht="15.75" customHeight="1">
      <c r="A754" s="782"/>
      <c r="B754" s="816"/>
      <c r="C754" s="817"/>
      <c r="D754" s="817"/>
    </row>
    <row r="755" ht="15.75" customHeight="1">
      <c r="A755" s="782"/>
      <c r="B755" s="816"/>
      <c r="C755" s="817"/>
      <c r="D755" s="817"/>
    </row>
    <row r="756" ht="15.75" customHeight="1">
      <c r="A756" s="782"/>
      <c r="B756" s="816"/>
      <c r="C756" s="817"/>
      <c r="D756" s="817"/>
    </row>
    <row r="757" ht="15.75" customHeight="1">
      <c r="A757" s="782"/>
      <c r="B757" s="816"/>
      <c r="C757" s="817"/>
      <c r="D757" s="817"/>
    </row>
    <row r="758" ht="15.75" customHeight="1">
      <c r="A758" s="782"/>
      <c r="B758" s="816"/>
      <c r="C758" s="817"/>
      <c r="D758" s="817"/>
    </row>
    <row r="759" ht="15.75" customHeight="1">
      <c r="A759" s="782"/>
      <c r="B759" s="816"/>
      <c r="C759" s="817"/>
      <c r="D759" s="817"/>
    </row>
    <row r="760" ht="15.75" customHeight="1">
      <c r="A760" s="782"/>
      <c r="B760" s="816"/>
      <c r="C760" s="817"/>
      <c r="D760" s="817"/>
    </row>
    <row r="761" ht="15.75" customHeight="1">
      <c r="A761" s="782"/>
      <c r="B761" s="816"/>
      <c r="C761" s="817"/>
      <c r="D761" s="817"/>
    </row>
    <row r="762" ht="15.75" customHeight="1">
      <c r="A762" s="782"/>
      <c r="B762" s="816"/>
      <c r="C762" s="817"/>
      <c r="D762" s="817"/>
    </row>
    <row r="763" ht="15.75" customHeight="1">
      <c r="A763" s="782"/>
      <c r="B763" s="816"/>
      <c r="C763" s="817"/>
      <c r="D763" s="817"/>
    </row>
    <row r="764" ht="15.75" customHeight="1">
      <c r="A764" s="782"/>
      <c r="B764" s="816"/>
      <c r="C764" s="817"/>
      <c r="D764" s="817"/>
    </row>
    <row r="765" ht="15.75" customHeight="1">
      <c r="A765" s="782"/>
      <c r="B765" s="816"/>
      <c r="C765" s="817"/>
      <c r="D765" s="817"/>
    </row>
    <row r="766" ht="15.75" customHeight="1">
      <c r="A766" s="782"/>
      <c r="B766" s="816"/>
      <c r="C766" s="817"/>
      <c r="D766" s="817"/>
    </row>
    <row r="767" ht="15.75" customHeight="1">
      <c r="A767" s="782"/>
      <c r="B767" s="816"/>
      <c r="C767" s="817"/>
      <c r="D767" s="817"/>
    </row>
    <row r="768" ht="15.75" customHeight="1">
      <c r="A768" s="782"/>
      <c r="B768" s="816"/>
      <c r="C768" s="817"/>
      <c r="D768" s="817"/>
    </row>
    <row r="769" ht="15.75" customHeight="1">
      <c r="A769" s="782"/>
      <c r="B769" s="816"/>
      <c r="C769" s="817"/>
      <c r="D769" s="817"/>
    </row>
    <row r="770" ht="15.75" customHeight="1">
      <c r="A770" s="782"/>
      <c r="B770" s="816"/>
      <c r="C770" s="817"/>
      <c r="D770" s="817"/>
    </row>
    <row r="771" ht="15.75" customHeight="1">
      <c r="A771" s="782"/>
      <c r="B771" s="816"/>
      <c r="C771" s="817"/>
      <c r="D771" s="817"/>
    </row>
    <row r="772" ht="15.75" customHeight="1">
      <c r="A772" s="782"/>
      <c r="B772" s="816"/>
      <c r="C772" s="817"/>
      <c r="D772" s="817"/>
    </row>
    <row r="773" ht="15.75" customHeight="1">
      <c r="A773" s="782"/>
      <c r="B773" s="816"/>
      <c r="C773" s="817"/>
      <c r="D773" s="817"/>
    </row>
    <row r="774" ht="15.75" customHeight="1">
      <c r="A774" s="782"/>
      <c r="B774" s="816"/>
      <c r="C774" s="817"/>
      <c r="D774" s="817"/>
    </row>
    <row r="775" ht="15.75" customHeight="1">
      <c r="A775" s="782"/>
      <c r="B775" s="816"/>
      <c r="C775" s="817"/>
      <c r="D775" s="817"/>
    </row>
    <row r="776" ht="15.75" customHeight="1">
      <c r="A776" s="782"/>
      <c r="B776" s="816"/>
      <c r="C776" s="817"/>
      <c r="D776" s="817"/>
    </row>
    <row r="777" ht="15.75" customHeight="1">
      <c r="A777" s="782"/>
      <c r="B777" s="816"/>
      <c r="C777" s="817"/>
      <c r="D777" s="817"/>
    </row>
    <row r="778" ht="15.75" customHeight="1">
      <c r="A778" s="782"/>
      <c r="B778" s="816"/>
      <c r="C778" s="817"/>
      <c r="D778" s="817"/>
    </row>
    <row r="779" ht="15.75" customHeight="1">
      <c r="A779" s="782"/>
      <c r="B779" s="816"/>
      <c r="C779" s="817"/>
      <c r="D779" s="817"/>
    </row>
    <row r="780" ht="15.75" customHeight="1">
      <c r="A780" s="782"/>
      <c r="B780" s="816"/>
      <c r="C780" s="817"/>
      <c r="D780" s="817"/>
    </row>
    <row r="781" ht="15.75" customHeight="1">
      <c r="A781" s="782"/>
      <c r="B781" s="816"/>
      <c r="C781" s="817"/>
      <c r="D781" s="817"/>
    </row>
    <row r="782" ht="15.75" customHeight="1">
      <c r="A782" s="782"/>
      <c r="B782" s="816"/>
      <c r="C782" s="817"/>
      <c r="D782" s="817"/>
    </row>
    <row r="783" ht="15.75" customHeight="1">
      <c r="A783" s="782"/>
      <c r="B783" s="816"/>
      <c r="C783" s="817"/>
      <c r="D783" s="817"/>
    </row>
    <row r="784" ht="15.75" customHeight="1">
      <c r="A784" s="782"/>
      <c r="B784" s="816"/>
      <c r="C784" s="817"/>
      <c r="D784" s="817"/>
    </row>
    <row r="785" ht="15.75" customHeight="1">
      <c r="A785" s="782"/>
      <c r="B785" s="816"/>
      <c r="C785" s="817"/>
      <c r="D785" s="817"/>
    </row>
    <row r="786" ht="15.75" customHeight="1">
      <c r="A786" s="782"/>
      <c r="B786" s="816"/>
      <c r="C786" s="817"/>
      <c r="D786" s="817"/>
    </row>
    <row r="787" ht="15.75" customHeight="1">
      <c r="A787" s="782"/>
      <c r="B787" s="816"/>
      <c r="C787" s="817"/>
      <c r="D787" s="817"/>
    </row>
    <row r="788" ht="15.75" customHeight="1">
      <c r="A788" s="782"/>
      <c r="B788" s="816"/>
      <c r="C788" s="817"/>
      <c r="D788" s="817"/>
    </row>
    <row r="789" ht="15.75" customHeight="1">
      <c r="A789" s="782"/>
      <c r="B789" s="816"/>
      <c r="C789" s="817"/>
      <c r="D789" s="817"/>
    </row>
    <row r="790" ht="15.75" customHeight="1">
      <c r="A790" s="782"/>
      <c r="B790" s="816"/>
      <c r="C790" s="817"/>
      <c r="D790" s="817"/>
    </row>
    <row r="791" ht="15.75" customHeight="1">
      <c r="A791" s="782"/>
      <c r="B791" s="816"/>
      <c r="C791" s="817"/>
      <c r="D791" s="817"/>
    </row>
    <row r="792" ht="15.75" customHeight="1">
      <c r="A792" s="782"/>
      <c r="B792" s="816"/>
      <c r="C792" s="817"/>
      <c r="D792" s="817"/>
    </row>
    <row r="793" ht="15.75" customHeight="1">
      <c r="A793" s="782"/>
      <c r="B793" s="816"/>
      <c r="C793" s="817"/>
      <c r="D793" s="817"/>
    </row>
    <row r="794" ht="15.75" customHeight="1">
      <c r="A794" s="782"/>
      <c r="B794" s="816"/>
      <c r="C794" s="817"/>
      <c r="D794" s="817"/>
    </row>
    <row r="795" ht="15.75" customHeight="1">
      <c r="A795" s="782"/>
      <c r="B795" s="816"/>
      <c r="C795" s="817"/>
      <c r="D795" s="817"/>
    </row>
    <row r="796" ht="15.75" customHeight="1">
      <c r="A796" s="782"/>
      <c r="B796" s="816"/>
      <c r="C796" s="817"/>
      <c r="D796" s="817"/>
    </row>
    <row r="797" ht="15.75" customHeight="1">
      <c r="A797" s="782"/>
      <c r="B797" s="816"/>
      <c r="C797" s="817"/>
      <c r="D797" s="817"/>
    </row>
    <row r="798" ht="15.75" customHeight="1">
      <c r="A798" s="782"/>
      <c r="B798" s="816"/>
      <c r="C798" s="817"/>
      <c r="D798" s="817"/>
    </row>
    <row r="799" ht="15.75" customHeight="1">
      <c r="A799" s="782"/>
      <c r="B799" s="816"/>
      <c r="C799" s="817"/>
      <c r="D799" s="817"/>
    </row>
    <row r="800" ht="15.75" customHeight="1">
      <c r="A800" s="782"/>
      <c r="B800" s="816"/>
      <c r="C800" s="817"/>
      <c r="D800" s="817"/>
    </row>
    <row r="801" ht="15.75" customHeight="1">
      <c r="A801" s="782"/>
      <c r="B801" s="816"/>
      <c r="C801" s="817"/>
      <c r="D801" s="817"/>
    </row>
    <row r="802" ht="15.75" customHeight="1">
      <c r="A802" s="782"/>
      <c r="B802" s="816"/>
      <c r="C802" s="817"/>
      <c r="D802" s="817"/>
    </row>
    <row r="803" ht="15.75" customHeight="1">
      <c r="A803" s="782"/>
      <c r="B803" s="816"/>
      <c r="C803" s="817"/>
      <c r="D803" s="817"/>
    </row>
    <row r="804" ht="15.75" customHeight="1">
      <c r="A804" s="782"/>
      <c r="B804" s="816"/>
      <c r="C804" s="817"/>
      <c r="D804" s="817"/>
    </row>
    <row r="805" ht="15.75" customHeight="1">
      <c r="A805" s="782"/>
      <c r="B805" s="816"/>
      <c r="C805" s="817"/>
      <c r="D805" s="817"/>
    </row>
    <row r="806" ht="15.75" customHeight="1">
      <c r="A806" s="782"/>
      <c r="B806" s="816"/>
      <c r="C806" s="817"/>
      <c r="D806" s="817"/>
    </row>
    <row r="807" ht="15.75" customHeight="1">
      <c r="A807" s="782"/>
      <c r="B807" s="816"/>
      <c r="C807" s="817"/>
      <c r="D807" s="817"/>
    </row>
    <row r="808" ht="15.75" customHeight="1">
      <c r="A808" s="782"/>
      <c r="B808" s="816"/>
      <c r="C808" s="817"/>
      <c r="D808" s="817"/>
    </row>
    <row r="809" ht="15.75" customHeight="1">
      <c r="A809" s="782"/>
      <c r="B809" s="816"/>
      <c r="C809" s="817"/>
      <c r="D809" s="817"/>
    </row>
    <row r="810" ht="15.75" customHeight="1">
      <c r="A810" s="782"/>
      <c r="B810" s="816"/>
      <c r="C810" s="817"/>
      <c r="D810" s="817"/>
    </row>
    <row r="811" ht="15.75" customHeight="1">
      <c r="A811" s="782"/>
      <c r="B811" s="816"/>
      <c r="C811" s="817"/>
      <c r="D811" s="817"/>
    </row>
    <row r="812" ht="15.75" customHeight="1">
      <c r="A812" s="782"/>
      <c r="B812" s="816"/>
      <c r="C812" s="817"/>
      <c r="D812" s="817"/>
    </row>
    <row r="813" ht="15.75" customHeight="1">
      <c r="A813" s="782"/>
      <c r="B813" s="816"/>
      <c r="C813" s="817"/>
      <c r="D813" s="817"/>
    </row>
    <row r="814" ht="15.75" customHeight="1">
      <c r="A814" s="782"/>
      <c r="B814" s="816"/>
      <c r="C814" s="817"/>
      <c r="D814" s="817"/>
    </row>
    <row r="815" ht="15.75" customHeight="1">
      <c r="A815" s="782"/>
      <c r="B815" s="816"/>
      <c r="C815" s="817"/>
      <c r="D815" s="817"/>
    </row>
    <row r="816" ht="15.75" customHeight="1">
      <c r="A816" s="782"/>
      <c r="B816" s="816"/>
      <c r="C816" s="817"/>
      <c r="D816" s="817"/>
    </row>
    <row r="817" ht="15.75" customHeight="1">
      <c r="A817" s="782"/>
      <c r="B817" s="816"/>
      <c r="C817" s="817"/>
      <c r="D817" s="817"/>
    </row>
    <row r="818" ht="15.75" customHeight="1">
      <c r="A818" s="782"/>
      <c r="B818" s="816"/>
      <c r="C818" s="817"/>
      <c r="D818" s="817"/>
    </row>
    <row r="819" ht="15.75" customHeight="1">
      <c r="A819" s="782"/>
      <c r="B819" s="816"/>
      <c r="C819" s="817"/>
      <c r="D819" s="817"/>
    </row>
    <row r="820" ht="15.75" customHeight="1">
      <c r="A820" s="782"/>
      <c r="B820" s="816"/>
      <c r="C820" s="817"/>
      <c r="D820" s="817"/>
    </row>
    <row r="821" ht="15.75" customHeight="1">
      <c r="A821" s="782"/>
      <c r="B821" s="816"/>
      <c r="C821" s="817"/>
      <c r="D821" s="817"/>
    </row>
    <row r="822" ht="15.75" customHeight="1">
      <c r="A822" s="782"/>
      <c r="B822" s="816"/>
      <c r="C822" s="817"/>
      <c r="D822" s="817"/>
    </row>
    <row r="823" ht="15.75" customHeight="1">
      <c r="A823" s="782"/>
      <c r="B823" s="816"/>
      <c r="C823" s="817"/>
      <c r="D823" s="817"/>
    </row>
    <row r="824" ht="15.75" customHeight="1">
      <c r="A824" s="782"/>
      <c r="B824" s="816"/>
      <c r="C824" s="817"/>
      <c r="D824" s="817"/>
    </row>
    <row r="825" ht="15.75" customHeight="1">
      <c r="A825" s="782"/>
      <c r="B825" s="816"/>
      <c r="C825" s="817"/>
      <c r="D825" s="817"/>
    </row>
    <row r="826" ht="15.75" customHeight="1">
      <c r="A826" s="782"/>
      <c r="B826" s="816"/>
      <c r="C826" s="817"/>
      <c r="D826" s="817"/>
    </row>
    <row r="827" ht="15.75" customHeight="1">
      <c r="A827" s="782"/>
      <c r="B827" s="816"/>
      <c r="C827" s="817"/>
      <c r="D827" s="817"/>
    </row>
    <row r="828" ht="15.75" customHeight="1">
      <c r="A828" s="782"/>
      <c r="B828" s="816"/>
      <c r="C828" s="817"/>
      <c r="D828" s="817"/>
    </row>
    <row r="829" ht="15.75" customHeight="1">
      <c r="A829" s="782"/>
      <c r="B829" s="816"/>
      <c r="C829" s="817"/>
      <c r="D829" s="817"/>
    </row>
    <row r="830" ht="15.75" customHeight="1">
      <c r="A830" s="782"/>
      <c r="B830" s="816"/>
      <c r="C830" s="817"/>
      <c r="D830" s="817"/>
    </row>
    <row r="831" ht="15.75" customHeight="1">
      <c r="A831" s="782"/>
      <c r="B831" s="816"/>
      <c r="C831" s="817"/>
      <c r="D831" s="817"/>
    </row>
    <row r="832" ht="15.75" customHeight="1">
      <c r="A832" s="782"/>
      <c r="B832" s="816"/>
      <c r="C832" s="817"/>
      <c r="D832" s="817"/>
    </row>
    <row r="833" ht="15.75" customHeight="1">
      <c r="A833" s="782"/>
      <c r="B833" s="816"/>
      <c r="C833" s="817"/>
      <c r="D833" s="817"/>
    </row>
    <row r="834" ht="15.75" customHeight="1">
      <c r="A834" s="782"/>
      <c r="B834" s="816"/>
      <c r="C834" s="817"/>
      <c r="D834" s="817"/>
    </row>
    <row r="835" ht="15.75" customHeight="1">
      <c r="A835" s="782"/>
      <c r="B835" s="816"/>
      <c r="C835" s="817"/>
      <c r="D835" s="817"/>
    </row>
    <row r="836" ht="15.75" customHeight="1">
      <c r="A836" s="782"/>
      <c r="B836" s="816"/>
      <c r="C836" s="817"/>
      <c r="D836" s="817"/>
    </row>
    <row r="837" ht="15.75" customHeight="1">
      <c r="A837" s="782"/>
      <c r="B837" s="816"/>
      <c r="C837" s="817"/>
      <c r="D837" s="817"/>
    </row>
    <row r="838" ht="15.75" customHeight="1">
      <c r="A838" s="782"/>
      <c r="B838" s="816"/>
      <c r="C838" s="817"/>
      <c r="D838" s="817"/>
    </row>
    <row r="839" ht="15.75" customHeight="1">
      <c r="A839" s="782"/>
      <c r="B839" s="816"/>
      <c r="C839" s="817"/>
      <c r="D839" s="817"/>
    </row>
    <row r="840" ht="15.75" customHeight="1">
      <c r="A840" s="782"/>
      <c r="B840" s="816"/>
      <c r="C840" s="817"/>
      <c r="D840" s="817"/>
    </row>
    <row r="841" ht="15.75" customHeight="1">
      <c r="A841" s="782"/>
      <c r="B841" s="816"/>
      <c r="C841" s="817"/>
      <c r="D841" s="817"/>
    </row>
    <row r="842" ht="15.75" customHeight="1">
      <c r="A842" s="782"/>
      <c r="B842" s="816"/>
      <c r="C842" s="817"/>
      <c r="D842" s="817"/>
    </row>
    <row r="843" ht="15.75" customHeight="1">
      <c r="A843" s="782"/>
      <c r="B843" s="816"/>
      <c r="C843" s="817"/>
      <c r="D843" s="817"/>
    </row>
    <row r="844" ht="15.75" customHeight="1">
      <c r="A844" s="782"/>
      <c r="B844" s="816"/>
      <c r="C844" s="817"/>
      <c r="D844" s="817"/>
    </row>
    <row r="845" ht="15.75" customHeight="1">
      <c r="A845" s="782"/>
      <c r="B845" s="816"/>
      <c r="C845" s="817"/>
      <c r="D845" s="817"/>
    </row>
    <row r="846" ht="15.75" customHeight="1">
      <c r="A846" s="782"/>
      <c r="B846" s="816"/>
      <c r="C846" s="817"/>
      <c r="D846" s="817"/>
    </row>
    <row r="847" ht="15.75" customHeight="1">
      <c r="A847" s="782"/>
      <c r="B847" s="816"/>
      <c r="C847" s="817"/>
      <c r="D847" s="817"/>
    </row>
    <row r="848" ht="15.75" customHeight="1">
      <c r="A848" s="782"/>
      <c r="B848" s="816"/>
      <c r="C848" s="817"/>
      <c r="D848" s="817"/>
    </row>
    <row r="849" ht="15.75" customHeight="1">
      <c r="A849" s="782"/>
      <c r="B849" s="816"/>
      <c r="C849" s="817"/>
      <c r="D849" s="817"/>
    </row>
    <row r="850" ht="15.75" customHeight="1">
      <c r="A850" s="782"/>
      <c r="B850" s="816"/>
      <c r="C850" s="817"/>
      <c r="D850" s="817"/>
    </row>
    <row r="851" ht="15.75" customHeight="1">
      <c r="A851" s="782"/>
      <c r="B851" s="816"/>
      <c r="C851" s="817"/>
      <c r="D851" s="817"/>
    </row>
    <row r="852" ht="15.75" customHeight="1">
      <c r="A852" s="782"/>
      <c r="B852" s="816"/>
      <c r="C852" s="817"/>
      <c r="D852" s="817"/>
    </row>
    <row r="853" ht="15.75" customHeight="1">
      <c r="A853" s="782"/>
      <c r="B853" s="816"/>
      <c r="C853" s="817"/>
      <c r="D853" s="817"/>
    </row>
    <row r="854" ht="15.75" customHeight="1">
      <c r="A854" s="782"/>
      <c r="B854" s="816"/>
      <c r="C854" s="817"/>
      <c r="D854" s="817"/>
    </row>
    <row r="855" ht="15.75" customHeight="1">
      <c r="A855" s="782"/>
      <c r="B855" s="816"/>
      <c r="C855" s="817"/>
      <c r="D855" s="817"/>
    </row>
    <row r="856" ht="15.75" customHeight="1">
      <c r="A856" s="782"/>
      <c r="B856" s="816"/>
      <c r="C856" s="817"/>
      <c r="D856" s="817"/>
    </row>
    <row r="857" ht="15.75" customHeight="1">
      <c r="A857" s="782"/>
      <c r="B857" s="816"/>
      <c r="C857" s="817"/>
      <c r="D857" s="817"/>
    </row>
    <row r="858" ht="15.75" customHeight="1">
      <c r="A858" s="782"/>
      <c r="B858" s="816"/>
      <c r="C858" s="817"/>
      <c r="D858" s="817"/>
    </row>
    <row r="859" ht="15.75" customHeight="1">
      <c r="A859" s="782"/>
      <c r="B859" s="816"/>
      <c r="C859" s="817"/>
      <c r="D859" s="817"/>
    </row>
    <row r="860" ht="15.75" customHeight="1">
      <c r="A860" s="782"/>
      <c r="B860" s="816"/>
      <c r="C860" s="817"/>
      <c r="D860" s="817"/>
    </row>
    <row r="861" ht="15.75" customHeight="1">
      <c r="A861" s="782"/>
      <c r="B861" s="816"/>
      <c r="C861" s="817"/>
      <c r="D861" s="817"/>
    </row>
    <row r="862" ht="15.75" customHeight="1">
      <c r="A862" s="782"/>
      <c r="B862" s="816"/>
      <c r="C862" s="817"/>
      <c r="D862" s="817"/>
    </row>
    <row r="863" ht="15.75" customHeight="1">
      <c r="A863" s="782"/>
      <c r="B863" s="816"/>
      <c r="C863" s="817"/>
      <c r="D863" s="817"/>
    </row>
    <row r="864" ht="15.75" customHeight="1">
      <c r="A864" s="782"/>
      <c r="B864" s="816"/>
      <c r="C864" s="817"/>
      <c r="D864" s="817"/>
    </row>
    <row r="865" ht="15.75" customHeight="1">
      <c r="A865" s="782"/>
      <c r="B865" s="816"/>
      <c r="C865" s="817"/>
      <c r="D865" s="817"/>
    </row>
    <row r="866" ht="15.75" customHeight="1">
      <c r="A866" s="782"/>
      <c r="B866" s="816"/>
      <c r="C866" s="817"/>
      <c r="D866" s="817"/>
    </row>
    <row r="867" ht="15.75" customHeight="1">
      <c r="A867" s="782"/>
      <c r="B867" s="816"/>
      <c r="C867" s="817"/>
      <c r="D867" s="817"/>
    </row>
    <row r="868" ht="15.75" customHeight="1">
      <c r="A868" s="782"/>
      <c r="B868" s="816"/>
      <c r="C868" s="817"/>
      <c r="D868" s="817"/>
    </row>
    <row r="869" ht="15.75" customHeight="1">
      <c r="A869" s="782"/>
      <c r="B869" s="816"/>
      <c r="C869" s="817"/>
      <c r="D869" s="817"/>
    </row>
    <row r="870" ht="15.75" customHeight="1">
      <c r="A870" s="782"/>
      <c r="B870" s="816"/>
      <c r="C870" s="817"/>
      <c r="D870" s="817"/>
    </row>
    <row r="871" ht="15.75" customHeight="1">
      <c r="A871" s="782"/>
      <c r="B871" s="816"/>
      <c r="C871" s="817"/>
      <c r="D871" s="817"/>
    </row>
    <row r="872" ht="15.75" customHeight="1">
      <c r="A872" s="782"/>
      <c r="B872" s="816"/>
      <c r="C872" s="817"/>
      <c r="D872" s="817"/>
    </row>
    <row r="873" ht="15.75" customHeight="1">
      <c r="A873" s="782"/>
      <c r="B873" s="816"/>
      <c r="C873" s="817"/>
      <c r="D873" s="817"/>
    </row>
    <row r="874" ht="15.75" customHeight="1">
      <c r="A874" s="782"/>
      <c r="B874" s="816"/>
      <c r="C874" s="817"/>
      <c r="D874" s="817"/>
    </row>
    <row r="875" ht="15.75" customHeight="1">
      <c r="A875" s="782"/>
      <c r="B875" s="816"/>
      <c r="C875" s="817"/>
      <c r="D875" s="817"/>
    </row>
    <row r="876" ht="15.75" customHeight="1">
      <c r="A876" s="782"/>
      <c r="B876" s="816"/>
      <c r="C876" s="817"/>
      <c r="D876" s="817"/>
    </row>
    <row r="877" ht="15.75" customHeight="1">
      <c r="A877" s="782"/>
      <c r="B877" s="816"/>
      <c r="C877" s="817"/>
      <c r="D877" s="817"/>
    </row>
    <row r="878" ht="15.75" customHeight="1">
      <c r="A878" s="782"/>
      <c r="B878" s="816"/>
      <c r="C878" s="817"/>
      <c r="D878" s="817"/>
    </row>
    <row r="879" ht="15.75" customHeight="1">
      <c r="A879" s="782"/>
      <c r="B879" s="816"/>
      <c r="C879" s="817"/>
      <c r="D879" s="817"/>
    </row>
    <row r="880" ht="15.75" customHeight="1">
      <c r="A880" s="782"/>
      <c r="B880" s="816"/>
      <c r="C880" s="817"/>
      <c r="D880" s="817"/>
    </row>
    <row r="881" ht="15.75" customHeight="1">
      <c r="A881" s="782"/>
      <c r="B881" s="816"/>
      <c r="C881" s="817"/>
      <c r="D881" s="817"/>
    </row>
    <row r="882" ht="15.75" customHeight="1">
      <c r="A882" s="782"/>
      <c r="B882" s="816"/>
      <c r="C882" s="817"/>
      <c r="D882" s="817"/>
    </row>
    <row r="883" ht="15.75" customHeight="1">
      <c r="A883" s="782"/>
      <c r="B883" s="816"/>
      <c r="C883" s="817"/>
      <c r="D883" s="817"/>
    </row>
    <row r="884" ht="15.75" customHeight="1">
      <c r="A884" s="782"/>
      <c r="B884" s="816"/>
      <c r="C884" s="817"/>
      <c r="D884" s="817"/>
    </row>
    <row r="885" ht="15.75" customHeight="1">
      <c r="A885" s="782"/>
      <c r="B885" s="816"/>
      <c r="C885" s="817"/>
      <c r="D885" s="817"/>
    </row>
    <row r="886" ht="15.75" customHeight="1">
      <c r="A886" s="782"/>
      <c r="B886" s="816"/>
      <c r="C886" s="817"/>
      <c r="D886" s="817"/>
    </row>
    <row r="887" ht="15.75" customHeight="1">
      <c r="A887" s="782"/>
      <c r="B887" s="816"/>
      <c r="C887" s="817"/>
      <c r="D887" s="817"/>
    </row>
    <row r="888" ht="15.75" customHeight="1">
      <c r="A888" s="782"/>
      <c r="B888" s="816"/>
      <c r="C888" s="817"/>
      <c r="D888" s="817"/>
    </row>
    <row r="889" ht="15.75" customHeight="1">
      <c r="A889" s="782"/>
      <c r="B889" s="816"/>
      <c r="C889" s="817"/>
      <c r="D889" s="817"/>
    </row>
    <row r="890" ht="15.75" customHeight="1">
      <c r="A890" s="782"/>
      <c r="B890" s="816"/>
      <c r="C890" s="817"/>
      <c r="D890" s="817"/>
    </row>
    <row r="891" ht="15.75" customHeight="1">
      <c r="A891" s="782"/>
      <c r="B891" s="816"/>
      <c r="C891" s="817"/>
      <c r="D891" s="817"/>
    </row>
    <row r="892" ht="15.75" customHeight="1">
      <c r="A892" s="782"/>
      <c r="B892" s="816"/>
      <c r="C892" s="817"/>
      <c r="D892" s="817"/>
    </row>
    <row r="893" ht="15.75" customHeight="1">
      <c r="A893" s="782"/>
      <c r="B893" s="816"/>
      <c r="C893" s="817"/>
      <c r="D893" s="817"/>
    </row>
    <row r="894" ht="15.75" customHeight="1">
      <c r="A894" s="782"/>
      <c r="B894" s="816"/>
      <c r="C894" s="817"/>
      <c r="D894" s="817"/>
    </row>
    <row r="895" ht="15.75" customHeight="1">
      <c r="A895" s="782"/>
      <c r="B895" s="816"/>
      <c r="C895" s="817"/>
      <c r="D895" s="817"/>
    </row>
    <row r="896" ht="15.75" customHeight="1">
      <c r="A896" s="782"/>
      <c r="B896" s="816"/>
      <c r="C896" s="817"/>
      <c r="D896" s="817"/>
    </row>
    <row r="897" ht="15.75" customHeight="1">
      <c r="A897" s="782"/>
      <c r="B897" s="816"/>
      <c r="C897" s="817"/>
      <c r="D897" s="817"/>
    </row>
    <row r="898" ht="15.75" customHeight="1">
      <c r="A898" s="782"/>
      <c r="B898" s="816"/>
      <c r="C898" s="817"/>
      <c r="D898" s="817"/>
    </row>
    <row r="899" ht="15.75" customHeight="1">
      <c r="A899" s="782"/>
      <c r="B899" s="816"/>
      <c r="C899" s="817"/>
      <c r="D899" s="817"/>
    </row>
    <row r="900" ht="15.75" customHeight="1">
      <c r="A900" s="782"/>
      <c r="B900" s="816"/>
      <c r="C900" s="817"/>
      <c r="D900" s="817"/>
    </row>
    <row r="901" ht="15.75" customHeight="1">
      <c r="A901" s="782"/>
      <c r="B901" s="816"/>
      <c r="C901" s="817"/>
      <c r="D901" s="817"/>
    </row>
    <row r="902" ht="15.75" customHeight="1">
      <c r="A902" s="782"/>
      <c r="B902" s="816"/>
      <c r="C902" s="817"/>
      <c r="D902" s="817"/>
    </row>
    <row r="903" ht="15.75" customHeight="1">
      <c r="A903" s="782"/>
      <c r="B903" s="816"/>
      <c r="C903" s="817"/>
      <c r="D903" s="817"/>
    </row>
    <row r="904" ht="15.75" customHeight="1">
      <c r="A904" s="782"/>
      <c r="B904" s="816"/>
      <c r="C904" s="817"/>
      <c r="D904" s="817"/>
    </row>
    <row r="905" ht="15.75" customHeight="1">
      <c r="A905" s="782"/>
      <c r="B905" s="816"/>
      <c r="C905" s="817"/>
      <c r="D905" s="817"/>
    </row>
    <row r="906" ht="15.75" customHeight="1">
      <c r="A906" s="782"/>
      <c r="B906" s="816"/>
      <c r="C906" s="817"/>
      <c r="D906" s="817"/>
    </row>
    <row r="907" ht="15.75" customHeight="1">
      <c r="A907" s="782"/>
      <c r="B907" s="816"/>
      <c r="C907" s="817"/>
      <c r="D907" s="817"/>
    </row>
    <row r="908" ht="15.75" customHeight="1">
      <c r="A908" s="782"/>
      <c r="B908" s="816"/>
      <c r="C908" s="817"/>
      <c r="D908" s="817"/>
    </row>
    <row r="909" ht="15.75" customHeight="1">
      <c r="A909" s="782"/>
      <c r="B909" s="816"/>
      <c r="C909" s="817"/>
      <c r="D909" s="817"/>
    </row>
    <row r="910" ht="15.75" customHeight="1">
      <c r="A910" s="782"/>
      <c r="B910" s="816"/>
      <c r="C910" s="817"/>
      <c r="D910" s="817"/>
    </row>
    <row r="911" ht="15.75" customHeight="1">
      <c r="A911" s="782"/>
      <c r="B911" s="816"/>
      <c r="C911" s="817"/>
      <c r="D911" s="817"/>
    </row>
    <row r="912" ht="15.75" customHeight="1">
      <c r="A912" s="782"/>
      <c r="B912" s="816"/>
      <c r="C912" s="817"/>
      <c r="D912" s="817"/>
    </row>
    <row r="913" ht="15.75" customHeight="1">
      <c r="A913" s="782"/>
      <c r="B913" s="816"/>
      <c r="C913" s="817"/>
      <c r="D913" s="817"/>
    </row>
    <row r="914" ht="15.75" customHeight="1">
      <c r="A914" s="782"/>
      <c r="B914" s="816"/>
      <c r="C914" s="817"/>
      <c r="D914" s="817"/>
    </row>
    <row r="915" ht="15.75" customHeight="1">
      <c r="A915" s="782"/>
      <c r="B915" s="816"/>
      <c r="C915" s="817"/>
      <c r="D915" s="817"/>
    </row>
    <row r="916" ht="15.75" customHeight="1">
      <c r="A916" s="782"/>
      <c r="B916" s="816"/>
      <c r="C916" s="817"/>
      <c r="D916" s="817"/>
    </row>
    <row r="917" ht="15.75" customHeight="1">
      <c r="A917" s="782"/>
      <c r="B917" s="816"/>
      <c r="C917" s="817"/>
      <c r="D917" s="817"/>
    </row>
    <row r="918" ht="15.75" customHeight="1">
      <c r="A918" s="782"/>
      <c r="B918" s="816"/>
      <c r="C918" s="817"/>
      <c r="D918" s="817"/>
    </row>
    <row r="919" ht="15.75" customHeight="1">
      <c r="A919" s="782"/>
      <c r="B919" s="816"/>
      <c r="C919" s="817"/>
      <c r="D919" s="817"/>
    </row>
    <row r="920" ht="15.75" customHeight="1">
      <c r="A920" s="782"/>
      <c r="B920" s="816"/>
      <c r="C920" s="817"/>
      <c r="D920" s="817"/>
    </row>
    <row r="921" ht="15.75" customHeight="1">
      <c r="A921" s="782"/>
      <c r="B921" s="816"/>
      <c r="C921" s="817"/>
      <c r="D921" s="817"/>
    </row>
    <row r="922" ht="15.75" customHeight="1">
      <c r="A922" s="782"/>
      <c r="B922" s="816"/>
      <c r="C922" s="817"/>
      <c r="D922" s="817"/>
    </row>
    <row r="923" ht="15.75" customHeight="1">
      <c r="A923" s="782"/>
      <c r="B923" s="816"/>
      <c r="C923" s="817"/>
      <c r="D923" s="817"/>
    </row>
    <row r="924" ht="15.75" customHeight="1">
      <c r="A924" s="782"/>
      <c r="B924" s="816"/>
      <c r="C924" s="817"/>
      <c r="D924" s="817"/>
    </row>
    <row r="925" ht="15.75" customHeight="1">
      <c r="A925" s="782"/>
      <c r="B925" s="816"/>
      <c r="C925" s="817"/>
      <c r="D925" s="817"/>
    </row>
    <row r="926" ht="15.75" customHeight="1">
      <c r="A926" s="782"/>
      <c r="B926" s="816"/>
      <c r="C926" s="817"/>
      <c r="D926" s="817"/>
    </row>
    <row r="927" ht="15.75" customHeight="1">
      <c r="A927" s="782"/>
      <c r="B927" s="816"/>
      <c r="C927" s="817"/>
      <c r="D927" s="817"/>
    </row>
    <row r="928" ht="15.75" customHeight="1">
      <c r="A928" s="782"/>
      <c r="B928" s="816"/>
      <c r="C928" s="817"/>
      <c r="D928" s="817"/>
    </row>
    <row r="929" ht="15.75" customHeight="1">
      <c r="A929" s="782"/>
      <c r="B929" s="816"/>
      <c r="C929" s="817"/>
      <c r="D929" s="817"/>
    </row>
    <row r="930" ht="15.75" customHeight="1">
      <c r="A930" s="782"/>
      <c r="B930" s="816"/>
      <c r="C930" s="817"/>
      <c r="D930" s="817"/>
    </row>
    <row r="931" ht="15.75" customHeight="1">
      <c r="A931" s="782"/>
      <c r="B931" s="816"/>
      <c r="C931" s="817"/>
      <c r="D931" s="817"/>
    </row>
    <row r="932" ht="15.75" customHeight="1">
      <c r="A932" s="782"/>
      <c r="B932" s="816"/>
      <c r="C932" s="817"/>
      <c r="D932" s="817"/>
    </row>
    <row r="933" ht="15.75" customHeight="1">
      <c r="A933" s="782"/>
      <c r="B933" s="816"/>
      <c r="C933" s="817"/>
      <c r="D933" s="817"/>
    </row>
    <row r="934" ht="15.75" customHeight="1">
      <c r="A934" s="782"/>
      <c r="B934" s="816"/>
      <c r="C934" s="817"/>
      <c r="D934" s="817"/>
    </row>
    <row r="935" ht="15.75" customHeight="1">
      <c r="A935" s="782"/>
      <c r="B935" s="816"/>
      <c r="C935" s="817"/>
      <c r="D935" s="817"/>
    </row>
    <row r="936" ht="15.75" customHeight="1">
      <c r="A936" s="782"/>
      <c r="B936" s="816"/>
      <c r="C936" s="817"/>
      <c r="D936" s="817"/>
    </row>
    <row r="937" ht="15.75" customHeight="1">
      <c r="A937" s="782"/>
      <c r="B937" s="816"/>
      <c r="C937" s="817"/>
      <c r="D937" s="817"/>
    </row>
    <row r="938" ht="15.75" customHeight="1">
      <c r="A938" s="782"/>
      <c r="B938" s="816"/>
      <c r="C938" s="817"/>
      <c r="D938" s="817"/>
    </row>
    <row r="939" ht="15.75" customHeight="1">
      <c r="A939" s="782"/>
      <c r="B939" s="816"/>
      <c r="C939" s="817"/>
      <c r="D939" s="817"/>
    </row>
    <row r="940" ht="15.75" customHeight="1">
      <c r="A940" s="782"/>
      <c r="B940" s="816"/>
      <c r="C940" s="817"/>
      <c r="D940" s="817"/>
    </row>
    <row r="941" ht="15.75" customHeight="1">
      <c r="A941" s="782"/>
      <c r="B941" s="816"/>
      <c r="C941" s="817"/>
      <c r="D941" s="817"/>
    </row>
    <row r="942" ht="15.75" customHeight="1">
      <c r="A942" s="782"/>
      <c r="B942" s="816"/>
      <c r="C942" s="817"/>
      <c r="D942" s="817"/>
    </row>
    <row r="943" ht="15.75" customHeight="1">
      <c r="A943" s="782"/>
      <c r="B943" s="816"/>
      <c r="C943" s="817"/>
      <c r="D943" s="817"/>
    </row>
    <row r="944" ht="15.75" customHeight="1">
      <c r="A944" s="782"/>
      <c r="B944" s="816"/>
      <c r="C944" s="817"/>
      <c r="D944" s="817"/>
    </row>
    <row r="945" ht="15.75" customHeight="1">
      <c r="A945" s="782"/>
      <c r="B945" s="816"/>
      <c r="C945" s="817"/>
      <c r="D945" s="817"/>
    </row>
    <row r="946" ht="15.75" customHeight="1">
      <c r="A946" s="782"/>
      <c r="B946" s="816"/>
      <c r="C946" s="817"/>
      <c r="D946" s="817"/>
    </row>
    <row r="947" ht="15.75" customHeight="1">
      <c r="A947" s="782"/>
      <c r="B947" s="816"/>
      <c r="C947" s="817"/>
      <c r="D947" s="817"/>
    </row>
    <row r="948" ht="15.75" customHeight="1">
      <c r="A948" s="782"/>
      <c r="B948" s="816"/>
      <c r="C948" s="817"/>
      <c r="D948" s="817"/>
    </row>
    <row r="949" ht="15.75" customHeight="1">
      <c r="A949" s="782"/>
      <c r="B949" s="816"/>
      <c r="C949" s="817"/>
      <c r="D949" s="817"/>
    </row>
    <row r="950" ht="15.75" customHeight="1">
      <c r="A950" s="782"/>
      <c r="B950" s="816"/>
      <c r="C950" s="817"/>
      <c r="D950" s="817"/>
    </row>
    <row r="951" ht="15.75" customHeight="1">
      <c r="A951" s="782"/>
      <c r="B951" s="816"/>
      <c r="C951" s="817"/>
      <c r="D951" s="817"/>
    </row>
    <row r="952" ht="15.75" customHeight="1">
      <c r="A952" s="782"/>
      <c r="B952" s="816"/>
      <c r="C952" s="817"/>
      <c r="D952" s="817"/>
    </row>
    <row r="953" ht="15.75" customHeight="1">
      <c r="A953" s="782"/>
      <c r="B953" s="816"/>
      <c r="C953" s="817"/>
      <c r="D953" s="817"/>
    </row>
    <row r="954" ht="15.75" customHeight="1">
      <c r="A954" s="782"/>
      <c r="B954" s="816"/>
      <c r="C954" s="817"/>
      <c r="D954" s="817"/>
    </row>
    <row r="955" ht="15.75" customHeight="1">
      <c r="A955" s="782"/>
      <c r="B955" s="816"/>
      <c r="C955" s="817"/>
      <c r="D955" s="817"/>
    </row>
    <row r="956" ht="15.75" customHeight="1">
      <c r="A956" s="782"/>
      <c r="B956" s="816"/>
      <c r="C956" s="817"/>
      <c r="D956" s="817"/>
    </row>
    <row r="957" ht="15.75" customHeight="1">
      <c r="A957" s="782"/>
      <c r="B957" s="816"/>
      <c r="C957" s="817"/>
      <c r="D957" s="817"/>
    </row>
    <row r="958" ht="15.75" customHeight="1">
      <c r="A958" s="782"/>
      <c r="B958" s="816"/>
      <c r="C958" s="817"/>
      <c r="D958" s="817"/>
    </row>
    <row r="959" ht="15.75" customHeight="1">
      <c r="A959" s="782"/>
      <c r="B959" s="816"/>
      <c r="C959" s="817"/>
      <c r="D959" s="817"/>
    </row>
    <row r="960" ht="15.75" customHeight="1">
      <c r="A960" s="782"/>
      <c r="B960" s="816"/>
      <c r="C960" s="817"/>
      <c r="D960" s="817"/>
    </row>
    <row r="961" ht="15.75" customHeight="1">
      <c r="A961" s="782"/>
      <c r="B961" s="816"/>
      <c r="C961" s="817"/>
      <c r="D961" s="817"/>
    </row>
    <row r="962" ht="15.75" customHeight="1">
      <c r="A962" s="782"/>
      <c r="B962" s="816"/>
      <c r="C962" s="817"/>
      <c r="D962" s="817"/>
    </row>
    <row r="963" ht="15.75" customHeight="1">
      <c r="A963" s="782"/>
      <c r="B963" s="816"/>
      <c r="C963" s="817"/>
      <c r="D963" s="817"/>
    </row>
    <row r="964" ht="15.75" customHeight="1">
      <c r="A964" s="782"/>
      <c r="B964" s="816"/>
      <c r="C964" s="817"/>
      <c r="D964" s="817"/>
    </row>
    <row r="965" ht="15.75" customHeight="1">
      <c r="A965" s="782"/>
      <c r="B965" s="816"/>
      <c r="C965" s="817"/>
      <c r="D965" s="817"/>
    </row>
    <row r="966" ht="15.75" customHeight="1">
      <c r="A966" s="782"/>
      <c r="B966" s="816"/>
      <c r="C966" s="817"/>
      <c r="D966" s="817"/>
    </row>
    <row r="967" ht="15.75" customHeight="1">
      <c r="A967" s="782"/>
      <c r="B967" s="816"/>
      <c r="C967" s="817"/>
      <c r="D967" s="817"/>
    </row>
    <row r="968" ht="15.75" customHeight="1">
      <c r="A968" s="782"/>
      <c r="B968" s="816"/>
      <c r="C968" s="817"/>
      <c r="D968" s="817"/>
    </row>
    <row r="969" ht="15.75" customHeight="1">
      <c r="A969" s="782"/>
      <c r="B969" s="816"/>
      <c r="C969" s="817"/>
      <c r="D969" s="817"/>
    </row>
    <row r="970" ht="15.75" customHeight="1">
      <c r="A970" s="782"/>
      <c r="B970" s="816"/>
      <c r="C970" s="817"/>
      <c r="D970" s="817"/>
    </row>
    <row r="971" ht="15.75" customHeight="1">
      <c r="A971" s="782"/>
      <c r="B971" s="816"/>
      <c r="C971" s="817"/>
      <c r="D971" s="817"/>
    </row>
    <row r="972" ht="15.75" customHeight="1">
      <c r="A972" s="782"/>
      <c r="B972" s="816"/>
      <c r="C972" s="817"/>
      <c r="D972" s="817"/>
    </row>
    <row r="973" ht="15.75" customHeight="1">
      <c r="A973" s="782"/>
      <c r="B973" s="816"/>
      <c r="C973" s="817"/>
      <c r="D973" s="817"/>
    </row>
    <row r="974" ht="15.75" customHeight="1">
      <c r="A974" s="782"/>
      <c r="B974" s="816"/>
      <c r="C974" s="817"/>
      <c r="D974" s="817"/>
    </row>
    <row r="975" ht="15.75" customHeight="1">
      <c r="A975" s="782"/>
      <c r="B975" s="816"/>
      <c r="C975" s="817"/>
      <c r="D975" s="817"/>
    </row>
    <row r="976" ht="15.75" customHeight="1">
      <c r="A976" s="782"/>
      <c r="B976" s="816"/>
      <c r="C976" s="817"/>
      <c r="D976" s="817"/>
    </row>
    <row r="977" ht="15.75" customHeight="1">
      <c r="A977" s="782"/>
      <c r="B977" s="816"/>
      <c r="C977" s="817"/>
      <c r="D977" s="817"/>
    </row>
    <row r="978" ht="15.75" customHeight="1">
      <c r="A978" s="782"/>
      <c r="B978" s="816"/>
      <c r="C978" s="817"/>
      <c r="D978" s="817"/>
    </row>
    <row r="979" ht="15.75" customHeight="1">
      <c r="A979" s="782"/>
      <c r="B979" s="816"/>
      <c r="C979" s="817"/>
      <c r="D979" s="817"/>
    </row>
    <row r="980" ht="15.75" customHeight="1">
      <c r="A980" s="782"/>
      <c r="B980" s="816"/>
      <c r="C980" s="817"/>
      <c r="D980" s="817"/>
    </row>
    <row r="981" ht="15.75" customHeight="1">
      <c r="A981" s="782"/>
      <c r="B981" s="816"/>
      <c r="C981" s="817"/>
      <c r="D981" s="817"/>
    </row>
    <row r="982" ht="15.75" customHeight="1">
      <c r="A982" s="782"/>
      <c r="B982" s="816"/>
      <c r="C982" s="817"/>
      <c r="D982" s="817"/>
    </row>
    <row r="983" ht="15.75" customHeight="1">
      <c r="A983" s="782"/>
      <c r="B983" s="816"/>
      <c r="C983" s="817"/>
      <c r="D983" s="817"/>
    </row>
    <row r="984" ht="15.75" customHeight="1">
      <c r="A984" s="782"/>
      <c r="B984" s="816"/>
      <c r="C984" s="817"/>
      <c r="D984" s="817"/>
    </row>
    <row r="985" ht="15.75" customHeight="1">
      <c r="A985" s="782"/>
      <c r="B985" s="816"/>
      <c r="C985" s="817"/>
      <c r="D985" s="817"/>
    </row>
    <row r="986" ht="15.75" customHeight="1">
      <c r="A986" s="782"/>
      <c r="B986" s="816"/>
      <c r="C986" s="817"/>
      <c r="D986" s="817"/>
    </row>
    <row r="987" ht="15.75" customHeight="1">
      <c r="A987" s="782"/>
      <c r="B987" s="816"/>
      <c r="C987" s="817"/>
      <c r="D987" s="817"/>
    </row>
    <row r="988" ht="15.75" customHeight="1">
      <c r="A988" s="782"/>
      <c r="B988" s="816"/>
      <c r="C988" s="817"/>
      <c r="D988" s="817"/>
    </row>
    <row r="989" ht="15.75" customHeight="1">
      <c r="A989" s="782"/>
      <c r="B989" s="816"/>
      <c r="C989" s="817"/>
      <c r="D989" s="817"/>
    </row>
    <row r="990" ht="15.75" customHeight="1">
      <c r="A990" s="782"/>
      <c r="B990" s="816"/>
      <c r="C990" s="817"/>
      <c r="D990" s="817"/>
    </row>
    <row r="991" ht="15.75" customHeight="1">
      <c r="A991" s="782"/>
      <c r="B991" s="816"/>
      <c r="C991" s="817"/>
      <c r="D991" s="817"/>
    </row>
    <row r="992" ht="15.75" customHeight="1">
      <c r="A992" s="782"/>
      <c r="B992" s="816"/>
      <c r="C992" s="817"/>
      <c r="D992" s="817"/>
    </row>
    <row r="993" ht="15.75" customHeight="1">
      <c r="A993" s="782"/>
      <c r="B993" s="816"/>
      <c r="C993" s="817"/>
      <c r="D993" s="817"/>
    </row>
    <row r="994" ht="15.75" customHeight="1">
      <c r="A994" s="782"/>
      <c r="B994" s="816"/>
      <c r="C994" s="817"/>
      <c r="D994" s="817"/>
    </row>
    <row r="995" ht="15.75" customHeight="1">
      <c r="A995" s="782"/>
      <c r="B995" s="816"/>
      <c r="C995" s="817"/>
      <c r="D995" s="817"/>
    </row>
    <row r="996" ht="15.75" customHeight="1">
      <c r="A996" s="782"/>
      <c r="B996" s="816"/>
      <c r="C996" s="817"/>
      <c r="D996" s="817"/>
    </row>
    <row r="997" ht="15.75" customHeight="1">
      <c r="A997" s="782"/>
      <c r="B997" s="816"/>
      <c r="C997" s="817"/>
      <c r="D997" s="817"/>
    </row>
    <row r="998" ht="15.75" customHeight="1">
      <c r="A998" s="782"/>
      <c r="B998" s="816"/>
      <c r="C998" s="817"/>
      <c r="D998" s="817"/>
    </row>
    <row r="999" ht="15.75" customHeight="1">
      <c r="A999" s="782"/>
      <c r="B999" s="816"/>
      <c r="C999" s="817"/>
      <c r="D999" s="817"/>
    </row>
    <row r="1000" ht="15.75" customHeight="1">
      <c r="A1000" s="782"/>
      <c r="B1000" s="816"/>
      <c r="C1000" s="817"/>
      <c r="D1000" s="817"/>
    </row>
  </sheetData>
  <printOptions/>
  <pageMargins bottom="0.787401575" footer="0.0" header="0.0" left="0.511811024" right="0.511811024" top="0.787401575"/>
  <pageSetup paperSize="9" orientation="landscape"/>
  <drawing r:id="rId1"/>
</worksheet>
</file>